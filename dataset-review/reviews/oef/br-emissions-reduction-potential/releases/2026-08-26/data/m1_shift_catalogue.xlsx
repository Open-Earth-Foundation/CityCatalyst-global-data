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EF shifts" sheetId="2" r:id="rId6"/>
    <sheet state="hidden" name="Pathways and Bank actions" sheetId="3" r:id="rId7"/>
  </sheets>
  <definedNames>
    <definedName hidden="1" localSheetId="1" name="_xlnm._FilterDatabase">'TEF shifts'!$A$1:$H$280</definedName>
  </definedNames>
  <calcPr/>
</workbook>
</file>

<file path=xl/sharedStrings.xml><?xml version="1.0" encoding="utf-8"?>
<sst xmlns="http://schemas.openxmlformats.org/spreadsheetml/2006/main" count="3619" uniqueCount="1037">
  <si>
    <t>Focus</t>
  </si>
  <si>
    <t>ID</t>
  </si>
  <si>
    <t>Sector_1</t>
  </si>
  <si>
    <t>Subsector_1</t>
  </si>
  <si>
    <t>Subsector_2</t>
  </si>
  <si>
    <t>Subsector_3</t>
  </si>
  <si>
    <t>Sector</t>
  </si>
  <si>
    <t>Shift</t>
  </si>
  <si>
    <t>Code_TEF</t>
  </si>
  <si>
    <t>action_name</t>
  </si>
  <si>
    <t>Name_TEF or new name</t>
  </si>
  <si>
    <t>Type</t>
  </si>
  <si>
    <t xml:space="preserve">Type 2 </t>
  </si>
  <si>
    <t>description</t>
  </si>
  <si>
    <t>Description</t>
  </si>
  <si>
    <t>NEW_action_id</t>
  </si>
  <si>
    <t>subsector_names</t>
  </si>
  <si>
    <t xml:space="preserve">This file describes the list of shifts from TEF that can be included or removed for the City Compass. </t>
  </si>
  <si>
    <t>Description TEF</t>
  </si>
  <si>
    <t>Pathways equivalent</t>
  </si>
  <si>
    <t>Include or remove</t>
  </si>
  <si>
    <t>C40 shift category_OLD NAME</t>
  </si>
  <si>
    <t>Required added granularity</t>
  </si>
  <si>
    <t>High Impact</t>
  </si>
  <si>
    <t>Indicator</t>
  </si>
  <si>
    <t>Climate trace equivalent</t>
  </si>
  <si>
    <t>c40_0023</t>
  </si>
  <si>
    <t xml:space="preserve">It also lists shifts that are not currently included in the TEF. </t>
  </si>
  <si>
    <t>Transport</t>
  </si>
  <si>
    <t>Adopt zero-emission bus fleets for public transport</t>
  </si>
  <si>
    <t>Efficiency</t>
  </si>
  <si>
    <t>infrastructure</t>
  </si>
  <si>
    <t>"Adopt zero-emission bus fleets for public transport" mitigation focuses on transitioning public transport fleets to zero-emission buses. According to the HIA, this means that the city or transit operator procures only zero-emission buses (from 2020 onwards). This strategy eliminates tailpipe emissions from traditional buses, improves air quality, and supports a sustainable and resilient urban transport system. Eco-driving training and maintenance programs can be implemented in parallel to maximize efficiency gains and emission reductions during the fleet transition.</t>
  </si>
  <si>
    <t>rev_c40_0023</t>
  </si>
  <si>
    <t>on-road</t>
  </si>
  <si>
    <t>Mitigation</t>
  </si>
  <si>
    <t>File provider</t>
  </si>
  <si>
    <t>Honorine</t>
  </si>
  <si>
    <t>AFOLU</t>
  </si>
  <si>
    <t>Passenger vehicle - fuel switch/efficiency</t>
  </si>
  <si>
    <t>Date</t>
  </si>
  <si>
    <t>Transition to EVs</t>
  </si>
  <si>
    <t>Source</t>
  </si>
  <si>
    <t>c40_0025</t>
  </si>
  <si>
    <t>Promote deployment of zero-emission freight fleets (trucks)</t>
  </si>
  <si>
    <t>Public</t>
  </si>
  <si>
    <t>Reference</t>
  </si>
  <si>
    <t xml:space="preserve">TEF </t>
  </si>
  <si>
    <t>"Promote deployment of zero-emission freight fleets (trucks)" mitigation involves adopting cleaner fuels and technologies to reduce the environmental impact of freight transportation. This initiative aims to decrease air pollution, promote sustainability, and improve the overall efficiency of urban logistics. Eco-driving training and maintenance programs can be implemented in parallel to maximize efficiency gains and emission reductions during the fleet transition.</t>
  </si>
  <si>
    <t>https://www.transitionelements.org/3-transition-elements/</t>
  </si>
  <si>
    <t>rev_c40_0025</t>
  </si>
  <si>
    <t>c40_0029</t>
  </si>
  <si>
    <t>Electrify municipal vehicle fleets</t>
  </si>
  <si>
    <t>The city transitions its municipal vehicle fleets to electric vehicles, beginning with high-impact segments such as buses and garbage trucks. According to HIA guidance, this aligns with the broader objective of implementing key measures to promote transport electrification. Cities can adopt phased strategies, starting with their own fleets, then expanding through incentives for private sector fleets and gradually scaling as charging infrastructure develops. Emphasis should be placed on equity to ensure low-income areas also benefit from cleaner, quieter transport. Eco-driving training and maintenance programs can be implemented in parallel to maximize efficiency gains and emission reductions during the fleet transition.</t>
  </si>
  <si>
    <t>rev_c40_0029</t>
  </si>
  <si>
    <t>icare_0117</t>
  </si>
  <si>
    <t>Improve public transport systems to promote modal shift</t>
  </si>
  <si>
    <t>Activity</t>
  </si>
  <si>
    <t>Implements measures to enhance the coverage, frequency, capacity, speed, reliability, accessibility, resilience, safety, affordability, comfort, and convenience of public transport systems (e.g., buses, BRT, informal transport, intra-city rail). Specific actions include expanding routes, improving service frequency and reliability, integrating ticketing systems, and ensuring universal accessibility. These improvements encourage passengers to shift from private motorized transport to public transport, reducing emissions and supporting more sustainable mobility.</t>
  </si>
  <si>
    <t>Activity shift</t>
  </si>
  <si>
    <t>NA</t>
  </si>
  <si>
    <t>Pathways</t>
  </si>
  <si>
    <t>Reduction in aggregate source emissions</t>
  </si>
  <si>
    <t>https://www.c40knowledgehub.org/s/article/Pathways-Air-Quality-Pathways-AQ?language=en_US</t>
  </si>
  <si>
    <t>Mode shift - transit</t>
  </si>
  <si>
    <t>Add shift</t>
  </si>
  <si>
    <t>icare_0121</t>
  </si>
  <si>
    <t>Incentive to create bike-sharing programs in urban areas, with a focus on electric bikes.</t>
  </si>
  <si>
    <t>This action encourages the establishment of bike-sharing systems in cities, specifically promoting the use of electric bicycles. These systems allow residents to rent electric bikes for short trips, reducing the dependence on cars for urban transportation. By integrating electric bikes, cities can further reduce greenhouse gas emissions, alleviate traffic congestion, and promote a healthier and more sustainable mode of transportation for both urban and rural areas. This initiative also supports mobility equality, as it makes bikes more accessible to a wider range of people.</t>
  </si>
  <si>
    <t>AFOLU&gt; Reduction in aggregate source emissions</t>
  </si>
  <si>
    <t>Note: not in C40 pathways but present in Climate Trace. Less priority</t>
  </si>
  <si>
    <t>Mode shift - walk/bike</t>
  </si>
  <si>
    <t>icare_0139</t>
  </si>
  <si>
    <t>Implement congestion pricing and restrictions on high-polluting vehicles</t>
  </si>
  <si>
    <t>Activity, Efficiency</t>
  </si>
  <si>
    <t>Climate Trace</t>
  </si>
  <si>
    <t>https://climatetrace.org/reduce/city/ghs-fua_2702/Paris-Urban-Area%2C-FRA</t>
  </si>
  <si>
    <t>The city introduces congestion pricing and related restrictions (such as tolls, charges, or bans) on high-polluting vehicles that cover significant parts of the city. To ensure equity and social acceptance, design measures may include exemptions or discounts for low-income drivers, reinvestment of revenues into public transport and active mobility, and strong communication campaigns. While congestion pricing can deliver major emission reductions, it requires substantial governance capacity and is best suited for larger metropolitan areas.</t>
  </si>
  <si>
    <t>Vehicle - fuel switch/efficiency</t>
  </si>
  <si>
    <t>Land</t>
  </si>
  <si>
    <t>ipcc_0001</t>
  </si>
  <si>
    <t>Promote compact urban form and transit-oriented development</t>
  </si>
  <si>
    <t>Encourages compact and mixed-use urban development to reduce travel distances, car dependency, and related GHG emissions. Measures include transit-oriented development (TOD), zoning reforms, densification around transport corridors, and integration of land use and mobility planning. Particularly suited for larger cities with the capacity to update master plans and invest in transit infrastructure.</t>
  </si>
  <si>
    <t>Transit oriented development - reduction in activity</t>
  </si>
  <si>
    <t>ipcc_0105</t>
  </si>
  <si>
    <t>Promote active mobility through road space reallocation</t>
  </si>
  <si>
    <t>Promotes walking and cycling by reallocating road space from cars to active and sustainable modes on a permanent basis. Measures include developing pedestrian pathways, protected cycling infrastructure, green corridors, and universal accessibility improvements. By prioritizing active mobility, cities enhance public health, equity, and resilience while reducing emissions from private vehicles.</t>
  </si>
  <si>
    <t>rev_ipcc_0001_2</t>
  </si>
  <si>
    <t>Reduction in Land emissions</t>
  </si>
  <si>
    <t>AFOLU&gt; Reduction in Land emissions</t>
  </si>
  <si>
    <t>c40_0034</t>
  </si>
  <si>
    <t>Waste</t>
  </si>
  <si>
    <t>Enact and enforce material bans in order to restrict single use and non-recyclable materials</t>
  </si>
  <si>
    <t>Total</t>
  </si>
  <si>
    <t>Impose restrictions on single-use or non-recyclable materials (e.g., single-use plastics, Styrofoam bans) to reduce environmental impact and promote the use of sustainable alternatives, contributing to waste reduction and overall environmental conservation.</t>
  </si>
  <si>
    <t>rev_c40_0034</t>
  </si>
  <si>
    <t>disposal_of_solid_waste_generated_in_the_city</t>
  </si>
  <si>
    <t>Livestock</t>
  </si>
  <si>
    <t>Diversion and Management</t>
  </si>
  <si>
    <t>Industrial</t>
  </si>
  <si>
    <t>c40_0035</t>
  </si>
  <si>
    <t>Residential</t>
  </si>
  <si>
    <t>Optmize waste management systems</t>
  </si>
  <si>
    <t>Non residential</t>
  </si>
  <si>
    <t>Generation</t>
  </si>
  <si>
    <t>Improve the efficiency of waste management systems, throught the development ou actualization of municipal planning or strategies and implementation of alterntives to expand the service coverage to more areas of the municipality, increase energy efficiency, segregated collection, adequate treatment, promote sustainable waste disposal practices, improve the monitoring of regular disposal and waste deposits, reduce resource consumption and minimize environmental impact.</t>
  </si>
  <si>
    <t>Solid Waste</t>
  </si>
  <si>
    <t>rev_c40_0035</t>
  </si>
  <si>
    <t>all</t>
  </si>
  <si>
    <t>Road</t>
  </si>
  <si>
    <t>c40_0036</t>
  </si>
  <si>
    <t>Aviation</t>
  </si>
  <si>
    <t>Commercial</t>
  </si>
  <si>
    <t>Upgrade Landfills to Engineered Sanitary Landfills with Gas Capture.</t>
  </si>
  <si>
    <t>Rail</t>
  </si>
  <si>
    <t>Water</t>
  </si>
  <si>
    <t>Reduction in livestock emissions</t>
  </si>
  <si>
    <t>"Upgrade Landfills to Engineered Sanitary Landfills with Gas Capture." strategies focus on responsible and sustainable landfill practices to minimize environmental degradation. By adopting effective management techniques, cities aim to reduce the ecological footprint associated with landfill sites and encourage waste reduction.</t>
  </si>
  <si>
    <t>Number of shifts</t>
  </si>
  <si>
    <t>AFOLU&gt; Reduction in livestock emissions</t>
  </si>
  <si>
    <t>Diversion and daily/intermediate cover (sanitary landfill)</t>
  </si>
  <si>
    <t>c40_0037</t>
  </si>
  <si>
    <t>Implement residential and business segregated collection of recyclables, organic, and residual waste</t>
  </si>
  <si>
    <t>Establish citywide three-bin waste separation systems-recyclables, organic waste, and residual waste, for households and businesses. Municipal governments play a central role by organizing segregated collection, running awareness campaigns, and providing training and engagement programs to ensure residents and businesses adopt correct waste sorting practices. Clear communication, adequate infrastructure, and continuous monitoring make this action scalable and practical for cities of all sizes, improving recycling rates and reducing landfill dependency. Cities should ensure universal coverage, address underserved areas, and monitor illegal dumping to achieve full implementation of segregated collection. Ensure that both dry and organic materials are collected separately, and strengthen recycling cooperatives as part of the system’s implementation.</t>
  </si>
  <si>
    <t>rev_c40_0037</t>
  </si>
  <si>
    <t>c40_0040</t>
  </si>
  <si>
    <t>Implement Volume-Based Collection policy</t>
  </si>
  <si>
    <t>Implement volume based collection fees that reward generators that geneerate less waste and impose higher fees on larger generators. This policy should incentivize waste reduction in the cities.</t>
  </si>
  <si>
    <t>rev_c40_0040</t>
  </si>
  <si>
    <t>icare_0053</t>
  </si>
  <si>
    <t>Support cooperatives of voluntary waste collectors to aggregate into small enterprises and expand into organics management</t>
  </si>
  <si>
    <t>Synthetic-fertilizer-application - Adopt nitrification/urease inhibitors to cut N‚ÇÇO</t>
  </si>
  <si>
    <t>Measures to aggregate voluntary waste collectors into small enterprises or associtations, improve working conditions and income in the processes of sorting recyclable and organic waste to contribute for GHG emissions reduction and the increase climate risk resilience. It includes mapping individual and groups of voluntary waste collectors, provide training for collectors in waste management and treatement technologies, economics, business management, and conceptual planning for the operation and administration of the Sorting Unit.</t>
  </si>
  <si>
    <t>rev_icare_0053</t>
  </si>
  <si>
    <t>AFOLU&gt; synthetic-fertilizer-application - Adopt nitrification/urease inhibitors to cut N‚ÇÇO</t>
  </si>
  <si>
    <t>icare_0064</t>
  </si>
  <si>
    <t>Develop an organic waste management strategy</t>
  </si>
  <si>
    <t>Development of an organic waste management strategy with near, mid and long term interventions, integrating aquisition and implementation of organic waste treatment technologies and resources to build the adequate infrastructure to treat the collected waste, such as composting, biodigestion and other technologies, in order to reduce the amount sent to landfills and to achieve maximum organics waste diversion</t>
  </si>
  <si>
    <t>rev_icare_0064</t>
  </si>
  <si>
    <t>biological_treatment_of_waste_generated_in_the_city</t>
  </si>
  <si>
    <t>icare_0110</t>
  </si>
  <si>
    <t>Regulate Construction and Demolition Waste Management to improve deconstruction, segregation at source, reutilization and recycling</t>
  </si>
  <si>
    <t>Shifts to be used</t>
  </si>
  <si>
    <t>Establish comprehensive guidelines for the sustainable management of construction and demolition waste (CDW) to promote efficiency, circularity, and environmental responsibility across the construction sector. The action aims to reduce waste generation at the source, encourage selective deconstruction instead of conventional demolition, and foster material segregation, reuse, and recycling.
 These guidelines should define technical standards, responsibilities, and incentives for all stakeholders involved — including contractors, developers, and waste operators — to ensure that valuable materials such as concrete, metals, wood, and aggregates are recovered and reintegrated into new construction cycles. The framework should also establish procedures for safe handling, transportation, and disposal of non-recyclable materials, ensuring compliance with environmental regulations and minimizing landfill use.</t>
  </si>
  <si>
    <t>rev_icare_0110</t>
  </si>
  <si>
    <t>icare_0111</t>
  </si>
  <si>
    <t>Rice-cultivation - Alternate wetting and drying</t>
  </si>
  <si>
    <t>Strengthen Extended Producer Responsibility (EPR) Systems</t>
  </si>
  <si>
    <t>AFOLU&gt; rice-cultivation - Alternate wetting and drying</t>
  </si>
  <si>
    <t>Enhance processes for returning products to the production cycle, encouraging collection, reuse, and recycling.</t>
  </si>
  <si>
    <t>icare_0122</t>
  </si>
  <si>
    <t>Establish eco-parks.</t>
  </si>
  <si>
    <t>An eco-park is a facility for the mechanical and biological treatment of urban solid waste, integrating different technologies for the segregation and treatment of various fractions within the waste. This treatment aims to maximize the recovery of dry and organic waste and reduce the volume of waste to be sent for final disposal in landfills, using technologies such as energy generation, composting, recycling recovery, proper disposal of residual waste, and other existing treatment methods available in the market. By integrating these processes , eco-parks operate as multi-technology hubs for waste management, fostering synergies between waste reduction, energy recovery, and environmental protection for the cities. They also contribute to green job creation, climate change mitigation, and urban sustainability.</t>
  </si>
  <si>
    <t>rev_icare_0122</t>
  </si>
  <si>
    <t>land</t>
  </si>
  <si>
    <t>Recycling</t>
  </si>
  <si>
    <t>Diversion and shut down</t>
  </si>
  <si>
    <t>c40_0010</t>
  </si>
  <si>
    <t>Stationary Energy</t>
  </si>
  <si>
    <t>Introduce energy-efficiency standards for new residential buildings</t>
  </si>
  <si>
    <t>The city adopts new energy-efficiency standards for residential construction, ensuring all new buildings incorporate design and performance requirements such as improved thermal insulation, natural ventilation, shading devices, efficient lighting (LED), and solar-ready wiring for PV integration. Standards may also establish region-dependent requirements for cooling demand reduction (e.g., reflective roofs, cross-ventilation) and may also include whole life carbon requirements and promote the use of sustainable materials. Smaller cities can integrate these requirements into basic building codes, while larger cities can introduce advanced certifications or municipal green building standards.</t>
  </si>
  <si>
    <t>rev_c40_0010</t>
  </si>
  <si>
    <t>residential_buildings</t>
  </si>
  <si>
    <t>Envelope (insulation, window, roof)</t>
  </si>
  <si>
    <t>c40_0012</t>
  </si>
  <si>
    <t>Introduce energy-efficiency standards for new institutional buildings</t>
  </si>
  <si>
    <t>The city introduces energy-efficient and resource-efficient standards for schools, hospitals, and other public buildings, setting an example for sustainable construction. Standards should mandate efficient HVAC systems with proper zoning, daylighting strategies to reduce artificial lighting, occupancy sensors, reflective roofs, and integration of photovoltaic (PV) systems where feasibleand. They can also include whole life carbon requirements and promote the use of sustainable materials. Requirements may vary depending on regional climate conditions to address specific cooling or thermal comfort needs.</t>
  </si>
  <si>
    <t>rev_c40_0012</t>
  </si>
  <si>
    <t>Other-chemicals - Alternative fuel use and cleaner production</t>
  </si>
  <si>
    <t>institutional_buildings</t>
  </si>
  <si>
    <t>c40_0013</t>
  </si>
  <si>
    <t>AFOLU&gt; other-chemicals - Alternative fuel use and cleaner production</t>
  </si>
  <si>
    <t>Support Implementation of Industrial Building Efficiency Standards.</t>
  </si>
  <si>
    <t>"Support Implementation of Industrial Building Efficiency Standards" set guidelines for environmentally responsible construction, ensuring that new structures adhere to energy-efficient practices, thereby reducing carbon emissions and promoting sustainable urban development. Standards may also include whole life carbon requirements and promote the use of sustainable materials.</t>
  </si>
  <si>
    <t>manufacturing_industries_and_construction</t>
  </si>
  <si>
    <t>Equipement - efficiency</t>
  </si>
  <si>
    <t>c40_0015</t>
  </si>
  <si>
    <t>Retrofit residential buildings for energy efficiency</t>
  </si>
  <si>
    <t>The city supports retrofitting existing residential buildings to improve energy efficiency and reduce emissions. Key interventions include replacing inefficient refrigerators, air conditioners, and lighting with high-efficiency models (e.g., PROCEL Seal appliances), sealing windows and doors to reduce air leakage, and improving indoor comfort through natural ventilation and shading. Municipalities can facilitate access to financing programs, bulk procurement, and technical assistance for households to adopt upgrades. Retrofits should prioritize passive cooling strategies (shading, ventilation) before installing high-efficiency cooling technologies using low-GWP refrigerants.</t>
  </si>
  <si>
    <t>rev_c40_0015</t>
  </si>
  <si>
    <t>c40_0016</t>
  </si>
  <si>
    <t>Retrofit commercial and institutional other non-residential buildings for energy efficiency</t>
  </si>
  <si>
    <t>The city promotes energy retrofits in commercial and institutional buildings such as offices, shopping centers, universities, and hotels. Measures include upgrading HVAC systems with variable refrigerant flow (VRF) units, replacing fluorescent and halogen lighting with LEDs, implementing building automation and energy management systems, and improving the thermal envelope (insulation, reflective coatings, shading). Region-specific adaptations may also be required to address cooling and comfort needs. Retrofits often deliver short payback periods through lower operating costs and enhanced occupant comfort. Retrofits should prioritize passive cooling strategies (shading, ventilation) before installing high-efficiency cooling technologies using low-GWP refrigerants.</t>
  </si>
  <si>
    <t>rev_c40_0016</t>
  </si>
  <si>
    <t>commercial_and_institutional_buildings_and_facilities</t>
  </si>
  <si>
    <t>c40_0017</t>
  </si>
  <si>
    <t>Retrofit municipal buildings for energy efficiency</t>
  </si>
  <si>
    <t>The city leads by example through energy retrofits in municipal buildings, including schools, health centers, and administrative offices. Interventions include replacing outdated air conditioners with high-efficiency models, upgrading lighting to LEDs with smart controls, improving building envelopes with reflective roofs and shading, and installing energy management systems for real-time monitoring. Adaptations should reflect regional climate conditions to ensure cost-effective energy savings. By prioritizing its own facilities, the city demonstrates leadership, reduces operating expenses, and showcases practical solutions that can be replicated by the private sector. Retrofits should prioritize passive cooling strategies (shading, ventilation) before installing high-efficiency cooling technologies using low-GWP refrigerants.</t>
  </si>
  <si>
    <t>rev_c40_0017</t>
  </si>
  <si>
    <t>Rice-cultivation - Balanced fertilizer composition</t>
  </si>
  <si>
    <t>Shifts to be removed</t>
  </si>
  <si>
    <t>c40_0018</t>
  </si>
  <si>
    <t>Optimize energy efficiency and sustainability standards for existing industrial infrastructure</t>
  </si>
  <si>
    <t>AFOLU&gt; rice-cultivation - Balanced fertilizer composition</t>
  </si>
  <si>
    <t>The city will promote the optimization of energy and environmental performance in existing industrial infrastructure, aiming to maximize efficiency, reduce emissions, and lower operational costs. This action focuses on upgrading equipment, improving process efficiency, and retrofitting industrial facilities to meet higher sustainability standards. Municipal roles may include providing incentives for energy audits and retrofits, facilitating partnerships with industry associations and utilities, and adopting regulations or voluntary standards aligned with national efficiency programs. These measures enhance industrial competitiveness, reduce resource intensity, and contribute to the city’s broader decarbonization and circular economy objectives.</t>
  </si>
  <si>
    <t>rev_c40_0018</t>
  </si>
  <si>
    <t>Industrial - efficiency</t>
  </si>
  <si>
    <t>c40_0071</t>
  </si>
  <si>
    <t>Promote the phase out the reliance on fossil fuels for cooking (in favour of high-efficiency electric cookstoves such as induction stoves).</t>
  </si>
  <si>
    <t>Promote the phase out the reliance on fossil fuels for cooking encourage environmentally friendly cooking practices, including the use of energy-efficient appliances and sustainable cooking methods. This strategy promotes resource conservation and contributes to overall sustainability in food preparation.</t>
  </si>
  <si>
    <t>rev_c40_0071</t>
  </si>
  <si>
    <t>Cooking - fuel switch</t>
  </si>
  <si>
    <t>Technology retrofit (cooking)</t>
  </si>
  <si>
    <t>icare_0002</t>
  </si>
  <si>
    <t>Promote and expand the use of the Brazilian Energy Labeling Program for Buildings</t>
  </si>
  <si>
    <t>The city will encourage the adoption and enforcement of the Brazilian Energy Labeling Program for Buildings to improve energy efficiency and reduce emissions from the building sector. The program evaluates and certifies buildings based on their energy performance, covering aspects such as thermal efficiency, lighting, and HVAC systems. Actions may include incentivizing developers and property owners to seek certification, integrating energy performance criteria into municipal building codes, and raising public awareness of the benefits of energy-efficient construction and renovation.</t>
  </si>
  <si>
    <t>rev_icare_0002</t>
  </si>
  <si>
    <t>icare_0006</t>
  </si>
  <si>
    <t>Develop integrated renewable energy planning and solar–battery microgrids for rural and peri-urban areas</t>
  </si>
  <si>
    <t>The city will promote integrated regional energy planning to ensure that electricity expansion in rural and peri-urban areas is cost-effective, low-emission, and equitable. This approach combines renewable energy generation (e.g., solar PV and wind) with battery storage and microgrid systems to extend reliable access to electricity where traditional grid expansion is unviable or inefficient. Municipalities can partner with energy utilities, rural cooperatives, and neighboring jurisdictions to identify optimal locations for solar–battery microgrids or distributed renewable infrastructure, especially in areas adjoining urban centers where land availability supports clean energy generation for both city and rural users. Financing mechanisms may include public–private artnerships (PPPs), leasing models, concessional loans, and power purchase agreements (PPAs).</t>
  </si>
  <si>
    <t>rev_icare_0006</t>
  </si>
  <si>
    <t>energy_generation_supplied_to_the_grid</t>
  </si>
  <si>
    <t>Distributed renewables</t>
  </si>
  <si>
    <t>Replace activity with solar generation</t>
  </si>
  <si>
    <t>icare_0008</t>
  </si>
  <si>
    <t>Enable smart grid integration and distributed energy storage through municipal collaboration and demonstration projects</t>
  </si>
  <si>
    <t>Enteric-fermentation-cattle-pasture - Feed additives in cattle diet</t>
  </si>
  <si>
    <t>The city will collaborate with energy utilities, regulators, and technology providers to support the deployment of smart grid infrastructure and distributed energy storage systems that enhance flexibility, reliability, and renewable energy integration. While large-scale grid modernization is typically led by national or regional authorities</t>
  </si>
  <si>
    <t>rev_icare_0008</t>
  </si>
  <si>
    <t>energy_industries</t>
  </si>
  <si>
    <t>icare_0009</t>
  </si>
  <si>
    <t>Deploy cogeneration systems in industries</t>
  </si>
  <si>
    <t>Utilize combined heat and power systems to maximize energy efficiency in industrial processes.</t>
  </si>
  <si>
    <t>AFOLU&gt; enteric-fermentation-cattle-pasture - Feed additives in cattle diet</t>
  </si>
  <si>
    <t>Industrial - fuel switch</t>
  </si>
  <si>
    <t>Alternative fuel usage</t>
  </si>
  <si>
    <t>Shifts to be added</t>
  </si>
  <si>
    <t>icare_0010</t>
  </si>
  <si>
    <t>Promote Net-Zero and Green Building Certifications</t>
  </si>
  <si>
    <t>This action focuses on promoting sustainable buildings by supporting net-zero energy goals and encouraging green building certifications such as LEED. It aims to incentivize the construction and renovation of buildings that produce as much energy as they consume, reducing their environmental impact. This initiative also fosters the adoption of sustainable practices and technologies, ensuring long-term energy efficiency and environmental responsibility across residential, commercial, and public infrastructure.</t>
  </si>
  <si>
    <t>icare_0012</t>
  </si>
  <si>
    <t>Expand solar energy generation on municipal facilities and public assets</t>
  </si>
  <si>
    <t>The city will install and scale up solar photovoltaic (PV) systems on municipal buildings and public assets, including schools, health centers, administrative offices, bus terminals, water treatment plants, and decommissioned landfills. The objective is to increase the share of renewable electricity in municipal operations, lower energy costs, and reduce greenhouse gas emissions. Facilitating pilot and demonstration projects in municipal buildings, neighborhoods, or industrial zones to showcase the benefits of smart meters, automated controls, and local storage systems; Supporting demand-side flexibility programs, such as time-of-use tariffs and smart appliance initiatives; Incorporating grid-readiness and distributed generation planning into local development and zoning strategies; and 
 Engaging in integrated resource planning with utilities to ensure that urban and peri-urban energy needs are aligned with regional grid upgrades.</t>
  </si>
  <si>
    <t>rev_icare_0012</t>
  </si>
  <si>
    <t>icare_0015</t>
  </si>
  <si>
    <t>Promote Mini and Micro-Hydropower and Biomass Energy</t>
  </si>
  <si>
    <t>This action focuses on promoting renewable energy generation by developing mini and micro-hydropower plants and encouraging biomass energy production in agricultural regions. By harnessing the potential of local water resources and organic waste, this initiative aims to diversify the energy mix, improve energy security, and support sustainable agricultural practices, reducing dependence on fossil fuels while promoting environmentally friendly energy solutions.</t>
  </si>
  <si>
    <t>Grid decarbonisation</t>
  </si>
  <si>
    <t>Enteric-fermentation-cattle-operation - Feed additives in cattle diet</t>
  </si>
  <si>
    <t>icare_0016</t>
  </si>
  <si>
    <t>Promote solar thermal and heat pump systems for water heating in residential, commercial, and public buildings</t>
  </si>
  <si>
    <t>The city will encourage the adoption of renewable and efficient water heating systems, including solar thermal collectors and heat pumps, across residential, commercial, and public facilities. These systems significantly reduce energy consumption and emissions associated with conventional electric or gas water heating. Municipal actions may include: Installing systems in public buildings (schools, hospitals, sports centers) to demonstrate leadership and reduce operational costs; Providing incentives or financing programs for residential and commercial installations; and Updating building codes or efficiency standards to integrate renewable heating technologies in new and retrofitted constructions.</t>
  </si>
  <si>
    <t>rev_icare_0016</t>
  </si>
  <si>
    <t>AFOLU&gt; enteric-fermentation-cattle-operation - Feed additives in cattle diet</t>
  </si>
  <si>
    <t>Water heating: efficiency / fuel switch</t>
  </si>
  <si>
    <t>Technology retrofit (water-heating)</t>
  </si>
  <si>
    <t>icare_0023</t>
  </si>
  <si>
    <t>Upgrade and maintain electrical substations</t>
  </si>
  <si>
    <t>Enhance the reliability and efficiency of the electrical grid by modernizing substation equipment and implementing regular maintenance programs.</t>
  </si>
  <si>
    <t>icare_0024</t>
  </si>
  <si>
    <t>Integrate renewables into municipal water systems</t>
  </si>
  <si>
    <t>Implement renewable energy sources, such as solar or wind power, to drive water treatment, pumping, and distribution systems, reducing energy costs and emissions.</t>
  </si>
  <si>
    <t>icare_0025</t>
  </si>
  <si>
    <t>Promote energy-efficient and climate-resilient housing for low-income and informal settlements</t>
  </si>
  <si>
    <t>The city will develop and support housing programs that integrate energy-efficient and climate-resilient design principles, reducing energy costs and improving comfort for low-income households and residents of informal settlements. Measures may include the use of thermal insulation materials, reflective roofing, natural ventilation, and efficient lighting and appliances (such as LEDs and solar water heaters). Municipal actions can involve incentivizing retrofits, integrating efficiency criteria into social housing programs, and offering technical assistance or subsidies for small-scale upgrades. This action can be combined with broader improvement projects that address sanitation, water access, and structural safety, fostering integrated and inclusive neighborhood upgrading. These interventions enhance quality of life, reduce energy poverty, and contribute to urban climate mitigation and adaptation goals.</t>
  </si>
  <si>
    <t>rev_icare_0025</t>
  </si>
  <si>
    <t xml:space="preserve">Notes: </t>
  </si>
  <si>
    <t>Shifts to biofuel, gas, hydrogen etc.. have been removed.</t>
  </si>
  <si>
    <t>icare_0026</t>
  </si>
  <si>
    <t>Implement time-of-use electricity tariffs to enhance demand-side flexibility and efficiency</t>
  </si>
  <si>
    <t>The city will work with energy regulators and utilities to introduce time-of-use (TOU) electricity tariffs that incentivize consumers to shift energy use toward off-peak hours. By encouraging demand-side flexibility, this measure helps to balance grid demand, ensure grid stability, and lower energy costs for consumers, particularly when combined with energy-efficient appliances and smart metering technologies. Municipal roles may include advocating for regulatory approval, piloting TOU programs in public facilities, and raising awareness among residential, commercial, and industrial users. This action supports the city’s broader energy efficiency and resilience objectives, helping to integrate renewable energy more effectively and reduce peak load pressures.</t>
  </si>
  <si>
    <t>rev_icare_0026</t>
  </si>
  <si>
    <t>Forest-land-clearing - Forest restoration</t>
  </si>
  <si>
    <t>In generation of electricity, shifts to all sources have been kept, considering that they would be "altering" the use of the fuel (eg. reducing coal use).</t>
  </si>
  <si>
    <t>icare_0027</t>
  </si>
  <si>
    <t>Create financing programs for local renewable energy projects</t>
  </si>
  <si>
    <t>Establish funding mechanisms, such as grants and low-interest loans, to support the development of small-scale renewable energy initiatives in communities. These programs can also support community renewable energy farms and cooperatives, enabling shared access to clean power and strengthening local ownership models.</t>
  </si>
  <si>
    <t>AFOLU&gt; forest-land-clearing - Forest restoration</t>
  </si>
  <si>
    <t>More details on the industrial processes and Afolu were added from climate trace</t>
  </si>
  <si>
    <t>rev_icare_0027</t>
  </si>
  <si>
    <t>icare_0028</t>
  </si>
  <si>
    <t>Promote passive cooling through natural shading and ventilation in residential, commercial, and public buildings</t>
  </si>
  <si>
    <t>The city will require or encourage passive cooling design features—including shaded facades, green roofs, natural ventilation, reflective surfaces, and cross-ventilation layouts—to reduce dependence on mechanical air conditioning in residential, commercial, and public buildings. These measures improve indoor comfort, lower energy demand, and enhance urban resilience to heat stress. Implementation can include updating building codes, incentivizing retrofits, and providing design guidance for new developments and renovations. This action complements other green building initiatives and supports long-term climate adaptation through energy efficiency and thermal comfort.</t>
  </si>
  <si>
    <t>rev_icare_0028</t>
  </si>
  <si>
    <t>icare_0031</t>
  </si>
  <si>
    <t>Capture &amp; Use Biogas at Wastewater Treatment Plants'</t>
  </si>
  <si>
    <t>Install biogas systems in wastewater treatment facilities to produce renewable energy from organic sludge, reducing emissions and operational costs. Technologies may include sludge digestion, CHP for plant loads, and upgrading to biomethane for vehicles. This action can be financed by development banks and can be scaled by regionalization.</t>
  </si>
  <si>
    <t>wastewater_generated_in_the_city</t>
  </si>
  <si>
    <t>icare_0033</t>
  </si>
  <si>
    <t>Manure-applied-to-soils - Inject slurry below surface</t>
  </si>
  <si>
    <t>Install biodigesters in rural properties</t>
  </si>
  <si>
    <t>Equip rural farms and properties with biodigesters to convert organic waste into biogas and nutrient-rich fertilizers, providing a sustainable energy source.</t>
  </si>
  <si>
    <t>agriculture_forestry_and_fishing_activities</t>
  </si>
  <si>
    <t>AFOLU&gt; manure-applied-to-soils - Inject slurry below surface</t>
  </si>
  <si>
    <t>Organic waste diversion (composting / anaerobic digestion)</t>
  </si>
  <si>
    <t>icare_0035</t>
  </si>
  <si>
    <t>Enhance industrial energy efficiency processes</t>
  </si>
  <si>
    <t>Implement advanced technologies and process optimizations in industrial facilities to minimize energy consumption and improve productivity.</t>
  </si>
  <si>
    <t>icare_0040</t>
  </si>
  <si>
    <t>Deploy energy-efficient and solar-powered street lighting across all neighborhoods</t>
  </si>
  <si>
    <t>The city will install LED-based (or other low emission technologies), solar-powered streetlights in all neighborhoods, including rural and peri-urban areas, to enhance safety, accessibility, and social inclusion while reducing energy costs and environmental impacts. Where feasible, the action prioritizes solar power generation, especially in areas with limited grid coverage or high carbon intensity. In locations where the electricity grid is already clean, the focus will be on maximizing lighting efficiency through LED retrofits and smart controls. Municipal roles include procuring equipment, establishing public–private financing mechanisms, and contracting long-term maintenance services to ensure system reliability. This action delivers strong co-benefits for communities of all sizes but requires careful planning to address maintenance and operational challenges.</t>
  </si>
  <si>
    <t>rev_icare_0040</t>
  </si>
  <si>
    <t>Lighting - efficiency</t>
  </si>
  <si>
    <t>icare_0049</t>
  </si>
  <si>
    <t>Develop regional hubs for renewable energy production</t>
  </si>
  <si>
    <t>Establish strategic centers for large-scale renewable energy generation, supporting local economies and providing reliable, clean energy to surrounding areas.</t>
  </si>
  <si>
    <t>icare_0104</t>
  </si>
  <si>
    <t>Crop-residues - Residue management with low C:N under 25</t>
  </si>
  <si>
    <t>Adopt hybrid renewable energy systems (solar-wind)</t>
  </si>
  <si>
    <t>Combine solar and wind energy technologies to create reliable, diversified renewable energy systems suitable for various environmental conditions.</t>
  </si>
  <si>
    <t>AFOLU&gt; crop-residues - Residue management with low C:N under 25</t>
  </si>
  <si>
    <t>icare_0105</t>
  </si>
  <si>
    <t>Reduce technical losses in energy distribution networks</t>
  </si>
  <si>
    <t>Upgrade and maintain electrical infrastructure to minimize energy lost during transmission and distribution, improving overall grid efficiency.</t>
  </si>
  <si>
    <t>icare_0120</t>
  </si>
  <si>
    <t>Implement energy efficiency criteria and indicators in the procurement of goods, services, or works by the municipal public administration.</t>
  </si>
  <si>
    <t>The architectural projects for all renovations and constructions contracted must be designed to minimize the use of artificial lighting and internal cooling, allowing for the use of natural light and cross ventilation. It sould include all energy end-uses in municipal buildings, promote the use of sustainable materials, and adoption of passive design principles.</t>
  </si>
  <si>
    <t>rev_icare_0120</t>
  </si>
  <si>
    <t>non-specified_sources</t>
  </si>
  <si>
    <t>icare_0137</t>
  </si>
  <si>
    <t>Replace Inefficient Lighting with LED Technology in Public Spaces</t>
  </si>
  <si>
    <t>This action focuses on replacing outdated and inefficient lighting systems in public spaces with energy-efficient LED technology. The objective is to enhance energy efficiency, reduce operational costs, and lower carbon emissions, contributing to a more sustainable and environmentally-friendly municipal infrastructure.</t>
  </si>
  <si>
    <t>ipcc_0074</t>
  </si>
  <si>
    <t>Promote compact urban form through spatial planning</t>
  </si>
  <si>
    <t>Integrated spatial planning promotes compact urban form to reduce GHG emissions by increasing urban efficiency, supporting sustainable infrastructure such as district heating/cooling networks, and enhancing green areas. Co-design processes improve public acceptance and institutional capacity to support coordinated mitigation strategies.</t>
  </si>
  <si>
    <t>Cropland-fires - Residue Removal without burning</t>
  </si>
  <si>
    <t>AFOLU&gt; cropland-fires - Residue Removal without burning</t>
  </si>
  <si>
    <t>Manure-management-cattle-operation - Shift manure management method</t>
  </si>
  <si>
    <t>AFOLU&gt; manure-management-cattle-operation - Shift manure management method</t>
  </si>
  <si>
    <t>Stationary (Buildings)</t>
  </si>
  <si>
    <t>Flat</t>
  </si>
  <si>
    <t>Heating</t>
  </si>
  <si>
    <t>Fuel shift</t>
  </si>
  <si>
    <t>T-4A1a-TE-1</t>
  </si>
  <si>
    <t>Shift to heat pumps in multi-family buildings</t>
  </si>
  <si>
    <t>Shift square meter from multi-family buildings heated with gas, oil, direct electric, coal and LPG to multi-family buildings heated with heat pumps in square meter to fulfill the need for comfortable premises</t>
  </si>
  <si>
    <t>Include</t>
  </si>
  <si>
    <t>New and existing buildings ; income bands</t>
  </si>
  <si>
    <t>T-4A1a-TE-2</t>
  </si>
  <si>
    <t>Shift to district heating in multi-family buildings</t>
  </si>
  <si>
    <t>Shift square meter from multi family building heated with gas, oil, direct electric, coal and LPG to multi family building heated with district heating in square meter to fulfill the need of comfortable premises</t>
  </si>
  <si>
    <t>Cooling</t>
  </si>
  <si>
    <t>Technology shift</t>
  </si>
  <si>
    <t>T-4A1a-TE-3</t>
  </si>
  <si>
    <t>Shift to district cooling in multi-family buildings</t>
  </si>
  <si>
    <t>Shift square meter from multi family building cooling with AC to multi family building cooling with district cooling in square meter to fulfill the need of comfortable premises</t>
  </si>
  <si>
    <t>Water heating</t>
  </si>
  <si>
    <t>T-4A1a-TE-4</t>
  </si>
  <si>
    <t>Shift to solar thermal in multi-family buildings</t>
  </si>
  <si>
    <t>Shift square meter from multi family building heated with gas, oil, direct electric and coal to multi family building heated with solar thermal in square meter to fulfill the need of comfortable premises</t>
  </si>
  <si>
    <t>T-4A1a-TE-5</t>
  </si>
  <si>
    <t>Shift to biofuel heating in multi-family buildings</t>
  </si>
  <si>
    <t>Shift square meter from multi family building heated with gas oil, direct electric, coal and LPG to multi family building heated with solid biofuels in square meter to fulfill the need of comfortable premises</t>
  </si>
  <si>
    <t>Remove</t>
  </si>
  <si>
    <t>Not modelling biofuel transition</t>
  </si>
  <si>
    <t>T-4A1a-TE-6</t>
  </si>
  <si>
    <t>Retrofitting multi-family buildings for efficient heating</t>
  </si>
  <si>
    <t>Reduce the amount of energy required to heat district heating, gas, oil, direct electric, heat pump, solid biofuels, coal, solar thermal and LPG multi family buildings through retrofitting</t>
  </si>
  <si>
    <t>Behaviour shift</t>
  </si>
  <si>
    <t>T-4A1a-TE-7</t>
  </si>
  <si>
    <t>Energy efficient use of ACs in multi-family buildings</t>
  </si>
  <si>
    <t>Reduce the amount of energy required to cool multi family buildings with AC through efficient use of AC units</t>
  </si>
  <si>
    <t>No demand modelling</t>
  </si>
  <si>
    <t>T-4A1a-TE-8</t>
  </si>
  <si>
    <t>Energy efficient AC in multi-family buildings</t>
  </si>
  <si>
    <t>Reduce the amount of energy required to cool multi family buildings with AC through more efficient AC units</t>
  </si>
  <si>
    <t>T-4A1a-TE-9</t>
  </si>
  <si>
    <t>Retrofitting multi-family buildings for efficient cooling</t>
  </si>
  <si>
    <t>Reduce the amount of energy required to cool multi family building with AC and disitrct cooling through retrofitting</t>
  </si>
  <si>
    <t>Change in fuels for water heating in flats</t>
  </si>
  <si>
    <t>Change in efficiency for water heating in flats</t>
  </si>
  <si>
    <t>Change in amount of water heating in flats</t>
  </si>
  <si>
    <t>House</t>
  </si>
  <si>
    <t>T-4A1b-TE-1</t>
  </si>
  <si>
    <t>Shift to heat pumps in single-family buildings</t>
  </si>
  <si>
    <t>Shift square meter from single-family buildings heated with gas, oil, direct electric heaters, coal and LPG to single-family buildings heated with heat pumps in square meter to fulfill the need for comfortable premises</t>
  </si>
  <si>
    <t>T-4A1b-TE-2</t>
  </si>
  <si>
    <t>Shift to district heating in single-family buildings</t>
  </si>
  <si>
    <t>Shift square meter from single family building heated with gas, oil, direct electric heaters, coal and LPG to single family building heating with district heating in square meter to fulfill the need of comfortable premises</t>
  </si>
  <si>
    <t>T-4A1b-TE-3</t>
  </si>
  <si>
    <t>Shift to district cooling in single-family buildings</t>
  </si>
  <si>
    <t>Shift square meter from single family building cooling with AC to single family building cooling with district cooling in square meter to fulfill the need of comfortable premises</t>
  </si>
  <si>
    <t>T-4A1b-TE-4</t>
  </si>
  <si>
    <t>Shift to solar thermal in single-family buildings</t>
  </si>
  <si>
    <t>Shift square meter from single family building heated with gas, oil, direct electric heaters and coal to single family building heated with solar thermal in square meter to fulfill the need of comfortable premises</t>
  </si>
  <si>
    <t>T-4A1b-TE-5</t>
  </si>
  <si>
    <t>Shift to biofuel heating in single-family buildings</t>
  </si>
  <si>
    <t>Shift square meter from single-family buildings heated with gas, oil, direct electric heaters, coal and LPG to single-family buildings heated with solid biofuels in square meter to fulfill the need for comfortable premises</t>
  </si>
  <si>
    <t>T-4A1b-TE-6</t>
  </si>
  <si>
    <t>Retrofitting single-family buildings for efficient heating</t>
  </si>
  <si>
    <t>Reduce the amount of energy required to heat single family building with gas, oil, direct electric heaters, district heating, heat pump, coal, solar thermal, solid biofuels and LPG through retrofitting</t>
  </si>
  <si>
    <t>T-4A1b-TE-7</t>
  </si>
  <si>
    <t>Energy efficient use of ACs in single-family buildings</t>
  </si>
  <si>
    <t>Reduce the amount of energy required to cool single family buildings with AC through efficient use of AC units</t>
  </si>
  <si>
    <t>T-4A1b-TE-8</t>
  </si>
  <si>
    <t>Energy efficient AC in single-family buildings</t>
  </si>
  <si>
    <t>Reduce the amount of energy required to cool single family buildings with AC through more efficient AC units</t>
  </si>
  <si>
    <t>T-4A1b-TE-9</t>
  </si>
  <si>
    <t>Retrofitting single-family buildings for efficient cooling</t>
  </si>
  <si>
    <t>Reduce the amount of energy required to cool single family building with AC and disitrct cooling through retrofitting</t>
  </si>
  <si>
    <t>T-4A1b-TE-10</t>
  </si>
  <si>
    <t>Shift to biogas heating in single-family buildings</t>
  </si>
  <si>
    <t>Shift square meter from single family residential building heating with gas tosingle family residential building heating with biogas in square meter to fulfill the need of comfortable premises</t>
  </si>
  <si>
    <t>Not modelling biomass and biogas</t>
  </si>
  <si>
    <t>Change in fuels for water heating in houses</t>
  </si>
  <si>
    <t>Change in efficiency for water heating in houses</t>
  </si>
  <si>
    <t>Change in amount of water heating in houses</t>
  </si>
  <si>
    <t>Appliance</t>
  </si>
  <si>
    <t>T-4A2d-TE-1</t>
  </si>
  <si>
    <r>
      <rPr>
        <rFont val="Figtree"/>
        <color rgb="FF1155CC"/>
        <u/>
      </rPr>
      <t>Energy efficient residential electrical appliances</t>
    </r>
  </si>
  <si>
    <t>Reduce the amount of energy required to operate residential electrical appliances</t>
  </si>
  <si>
    <t>Flat and houses &gt; New and existing buildings ; income bands</t>
  </si>
  <si>
    <t>Cooking</t>
  </si>
  <si>
    <t>T-4A2d-TE-2</t>
  </si>
  <si>
    <r>
      <rPr>
        <rFont val="Figtree"/>
        <color rgb="FF1155CC"/>
        <u/>
      </rPr>
      <t>Shift to residential electric cooking stoves</t>
    </r>
  </si>
  <si>
    <t>Shift kWh from residential cooking gas stoves to residential electric cooking stoves in kWh to fullfill the need for cooking</t>
  </si>
  <si>
    <t>Lighting</t>
  </si>
  <si>
    <t>Change in lighting technology (efficiency) in houses</t>
  </si>
  <si>
    <r>
      <rPr>
        <rFont val="Figtree"/>
        <color rgb="FF1155CC"/>
        <u/>
      </rPr>
      <t>Energy efficient residential electrical appliances</t>
    </r>
  </si>
  <si>
    <r>
      <rPr>
        <rFont val="Figtree"/>
        <color rgb="FF1155CC"/>
        <u/>
      </rPr>
      <t>Shift to residential electric cooking stoves</t>
    </r>
  </si>
  <si>
    <t>Change in lighting technology (efficiency) in flats</t>
  </si>
  <si>
    <t>Pump and lifts</t>
  </si>
  <si>
    <t>Change in pumps technology (efficiency) in flats</t>
  </si>
  <si>
    <t>Informal settlement</t>
  </si>
  <si>
    <t>Change in fuels for heating in informal settlements</t>
  </si>
  <si>
    <t>Change in efficiency for heating in informal settlements</t>
  </si>
  <si>
    <t>Change in amount of heating in informal settlements</t>
  </si>
  <si>
    <t>Change in efficiency for cooling in informal settlements</t>
  </si>
  <si>
    <t>Change in amount of cooling in informal settlements</t>
  </si>
  <si>
    <t>Change in fuels for cooking in informal settlements</t>
  </si>
  <si>
    <t>Change in fuels for water heating in informal settlements</t>
  </si>
  <si>
    <t>Change in efficiency for water heating in informal settlements</t>
  </si>
  <si>
    <t>Change in appliance efficiency in informal settlements</t>
  </si>
  <si>
    <t>T-4B1a-TE-1</t>
  </si>
  <si>
    <t>Shift to district heating in commercial buildings</t>
  </si>
  <si>
    <t>Shift square meter from commercial building heated with gas, oil, direct electric heaters, coal and LPG to commercial building heating with district heating in square meter to fulfill the need of comfortable premises</t>
  </si>
  <si>
    <t>New and existing buildings ; type of building (hospital, school, office, commercial, warehouse, hotel, multi use)</t>
  </si>
  <si>
    <t>T-4B1a-TE-2</t>
  </si>
  <si>
    <t>Shift to district cooling in commerical buildings</t>
  </si>
  <si>
    <t>Shift square meter from commerical building cooling with AC to commerical building cooling with district cooling in square meter to fulfill the need of comfortable premises</t>
  </si>
  <si>
    <t>T-4B1a-TE-3</t>
  </si>
  <si>
    <t>Shift to heat pumps in commerical buildings</t>
  </si>
  <si>
    <t>Shift square meter from commercial buildings heated with gas, oil, direct electric heaters, coal and LPG to commercial buildings heated with heat pumps in square meter to fulfill the need for comfortable premises</t>
  </si>
  <si>
    <t>T-4B1a-TE-4</t>
  </si>
  <si>
    <t>Shift to biofuel in commercial buildings</t>
  </si>
  <si>
    <t>Shift square meter from commercial buildings heated with gas, oil, direct electric heaters, coal and LPG to commercial buildings heated with solid biofuels in square meter to fulfill the need for comfortable premises</t>
  </si>
  <si>
    <t>T-4B1a-TE-5</t>
  </si>
  <si>
    <t>Shift to solar thermal in commercial buildings</t>
  </si>
  <si>
    <t>Shift square meter from commercial building heated with gas, oil, direct electric heaters, coal, LPG to commercial building heated with solar thermal in square meter to fulfill the need of comfortable premises</t>
  </si>
  <si>
    <t>T-4B1a-TE-6</t>
  </si>
  <si>
    <t>Retrofitting commerical buildings for efficient heating</t>
  </si>
  <si>
    <t>Reduce the amount of energy required to heat commercial building with gas, oil, direct electric heaters, district heating, heat pump, coal, solar thermal, solid biofuels and LPG through retrofitting</t>
  </si>
  <si>
    <t>T-4B1a-TE-7</t>
  </si>
  <si>
    <t>Retrofitting commerical buildings for efficient cooling</t>
  </si>
  <si>
    <t>Reduce the amount of energy required to cool commerical building with AC and disitrct cooling through retrofitting</t>
  </si>
  <si>
    <t>T-4B1a-TE-9</t>
  </si>
  <si>
    <t>Energy efficient new Commercial Buildings</t>
  </si>
  <si>
    <t>NA (part of the retrofits details)</t>
  </si>
  <si>
    <t>T-4B1a-TE-10</t>
  </si>
  <si>
    <t>Shift to biogas in commercial buildings</t>
  </si>
  <si>
    <t>Shift square meter from commercial building heating with gas to commercial building heating with biogas in square meter to fulfill the need of comfortable premises</t>
  </si>
  <si>
    <t>Change in fuels for water heating for commercial buildings</t>
  </si>
  <si>
    <t>Change in efficiency for water heating for commercial buildings</t>
  </si>
  <si>
    <t>Change in amount of water heating for commercial buildings</t>
  </si>
  <si>
    <t>Change in efficiency for pumps for commercial buildings</t>
  </si>
  <si>
    <t>Institutional</t>
  </si>
  <si>
    <t>T-4B1b-TE-1</t>
  </si>
  <si>
    <t>Shift to district heating in public buildings</t>
  </si>
  <si>
    <t>Shift square meter from public building heated with oil, gas, direct electric heaters, coal and LPG to public building heating with district heating in square meter to fulfill the need of comfortable premises</t>
  </si>
  <si>
    <t>New and existing buildings ; type of building (hospital, school, office)</t>
  </si>
  <si>
    <t>T-4B1b-TE-2</t>
  </si>
  <si>
    <t>Shift to district cooling in public buildings</t>
  </si>
  <si>
    <t>Shift square meter from industrial building cooling with AC to industrial building cooling with district cooling in square meter to fulfill the need of comfortable premises</t>
  </si>
  <si>
    <t>T-4B1b-TE-3</t>
  </si>
  <si>
    <t>Shift to heat pumps in public buildings</t>
  </si>
  <si>
    <t>Shift square meter from public buildings heated with oil, gas, direct electric heaters, coal and LPG to public buildings heated with heat pumps in square meter to fulfill the need for comfortable premises</t>
  </si>
  <si>
    <t>T-4B1b-TE-4</t>
  </si>
  <si>
    <t>Shift to biofuel in public buildings</t>
  </si>
  <si>
    <t>Shift square meter from public buildings heated with oil, gas, direct electric heaters, coal and LPG to public buildings heated with solid biofuels in square meter to fulfill the need for comfortable premises</t>
  </si>
  <si>
    <t>T-4B1b-TE-5</t>
  </si>
  <si>
    <t>Shift to solar thermal in public buildings</t>
  </si>
  <si>
    <t>Shift square meter from public building heated with oil, gas, direct electric heaters and coal to public building heating with solar thermal in square meter to fulfill the need of comfortable premises</t>
  </si>
  <si>
    <t>T-4B1b-TE-6</t>
  </si>
  <si>
    <t>Retrofitting public buildings for efficient heating</t>
  </si>
  <si>
    <t>Reduce the amount of energy required to heat public building heating with district heating oil, gas, direct electric heaters, solid biofuels, heat pump, coal, solar thermal and LPG through retrofitting</t>
  </si>
  <si>
    <t>T-4B1b-TE-7</t>
  </si>
  <si>
    <t>Retrofitting public buildings for efficient cooling</t>
  </si>
  <si>
    <t>Reduce the amount of energy required to cool public building with AC and disitrct cooling through retrofitting</t>
  </si>
  <si>
    <t>Change in fuels for water heating for institutional buildings</t>
  </si>
  <si>
    <t>Change in efficiency for water heating for institutional buildings</t>
  </si>
  <si>
    <t>Change in amount of water heating for institutional buildings</t>
  </si>
  <si>
    <t>Change in cooking fuel for institutional buildings</t>
  </si>
  <si>
    <t>Change in ligjting effienciency for institutional buildings</t>
  </si>
  <si>
    <t>Change in efficiency for pumps for institutional buildings</t>
  </si>
  <si>
    <t>Industry</t>
  </si>
  <si>
    <t>T-4B1c-TE-1</t>
  </si>
  <si>
    <t>Shift to district heating in industrial buildings</t>
  </si>
  <si>
    <t>Shift square meter from industrial building heated with gas, oil and direct electric heaters to industrial building heating with district heating in square meter to fulfill the need of comfortable premises</t>
  </si>
  <si>
    <t>T-4B1c-TE-2</t>
  </si>
  <si>
    <t>Shift to district cooling in industrial buildings</t>
  </si>
  <si>
    <t>T-4B1c-TE-3</t>
  </si>
  <si>
    <t>Shift to heat pumps in industrial buildings</t>
  </si>
  <si>
    <t>Heat pumps in non residential industrial buildings</t>
  </si>
  <si>
    <t>T-4B1c-TE-4</t>
  </si>
  <si>
    <t>Shift to biofuel in industrial buildings</t>
  </si>
  <si>
    <t>Shift square meter from industrial buildings heated with gas, oil and direct electric heaters to industrial buildings heated with solid biofuels in square meter to fulfill the need for comfortable premises</t>
  </si>
  <si>
    <t>T-4B1c-TE-5</t>
  </si>
  <si>
    <t>Shift to solar thermal in industrial buildings</t>
  </si>
  <si>
    <t>Shift square meter from industrial building heated with gas, oil, direct electric heaters, coal, LPG to industrial building heated with solar thermal in square meter to fulfill the need of comfortable premises</t>
  </si>
  <si>
    <t>T-4B1c-TE-6</t>
  </si>
  <si>
    <t>Retrofitting industrial buildings for efficient heating</t>
  </si>
  <si>
    <t>Reduce the amount of energy required to heat industrial building with district heating, gas, oil, direct electric heaters, solid biofuels, heat pump through retrofitting</t>
  </si>
  <si>
    <t>T-4B1c-TE-7</t>
  </si>
  <si>
    <t>Retrofitting industrial buildings for efficient cooling</t>
  </si>
  <si>
    <t>Reduce the amount of energy required to cool industrial building with AC and disitrct cooling through retrofitting</t>
  </si>
  <si>
    <t>Change in fuels for water heating for industrial buildings</t>
  </si>
  <si>
    <t>Change in efficiency for water heating for industrial buildings</t>
  </si>
  <si>
    <t>Change in amount of water heating for industrial buildings</t>
  </si>
  <si>
    <t>Change in fuel for cooking in industrial buildings</t>
  </si>
  <si>
    <t>Change in lighting efficiency for industrial buildings</t>
  </si>
  <si>
    <t>Pumps and ligts</t>
  </si>
  <si>
    <t>Change in pumps efficiency for industrial buildings</t>
  </si>
  <si>
    <t>Public ligh</t>
  </si>
  <si>
    <t>T-4B2a-TE-1</t>
  </si>
  <si>
    <t>Energy efficient street lighting</t>
  </si>
  <si>
    <t>Reduce the amount of energy required to operate street lighting</t>
  </si>
  <si>
    <t>T-4B2a-TE-2</t>
  </si>
  <si>
    <t>Energy efficient commercial lighting</t>
  </si>
  <si>
    <t>Reduce the amount of energy required to operate commercial lighting</t>
  </si>
  <si>
    <t>T-4B2b-TE-1</t>
  </si>
  <si>
    <t>Shift to commercial electric cooking stoves</t>
  </si>
  <si>
    <t>Shift kWh from commercial cooking gas stoves to commercial electric cooking stoves in kWh to fullfill the need for cooking</t>
  </si>
  <si>
    <t>Other</t>
  </si>
  <si>
    <t>T-4B2c-TE-1</t>
  </si>
  <si>
    <t>Energy efficient commercial electrical appliances</t>
  </si>
  <si>
    <t>Reduce the amount of energy required to operate commercial electrical appliances</t>
  </si>
  <si>
    <t>T-4B2c-TE-2</t>
  </si>
  <si>
    <t>Energy efficient industrial electrical appliances</t>
  </si>
  <si>
    <t>Reduce the amount of energy required to operate industrial electrical appliances</t>
  </si>
  <si>
    <t>T-4B2c-TE-3</t>
  </si>
  <si>
    <t>Energy efficient public electrical appliances</t>
  </si>
  <si>
    <t>Reduce the amount of energy required to operate institutional electrical appliances</t>
  </si>
  <si>
    <t>Construction</t>
  </si>
  <si>
    <t>T-4C1-TE-1</t>
  </si>
  <si>
    <t>Low carbon construction of buildings</t>
  </si>
  <si>
    <t>unsure</t>
  </si>
  <si>
    <t>Not currently in C40 modelling</t>
  </si>
  <si>
    <t>T-4C1-TE-2</t>
  </si>
  <si>
    <t>Low carbon construction of multi-family buildings</t>
  </si>
  <si>
    <t>Shift square meter from residential multi family standard construction to residential multi family low carbon construction in square meter to fulfill the need of housing</t>
  </si>
  <si>
    <t>T-4C1-TE-3</t>
  </si>
  <si>
    <t>Low carbon construction of commercial buildings</t>
  </si>
  <si>
    <t>Shift square meter from non residential commercial standard construction to non residential commercial low carbon construction in square meter to fulfill the need of housing</t>
  </si>
  <si>
    <t>Stationary (Energy)</t>
  </si>
  <si>
    <t>Electricity</t>
  </si>
  <si>
    <t>Coal</t>
  </si>
  <si>
    <t>T-5A1-TE-1</t>
  </si>
  <si>
    <t>Electricity from coal power plants</t>
  </si>
  <si>
    <t>Alter the amount of electricity produced by coal fired power plants</t>
  </si>
  <si>
    <t>Gas</t>
  </si>
  <si>
    <t>T-5A1-TE-2</t>
  </si>
  <si>
    <t>Electricity from gas power plants</t>
  </si>
  <si>
    <t>Alter the amount of electricity produced by gas fired power plants</t>
  </si>
  <si>
    <t>T-5A1-TE-3</t>
  </si>
  <si>
    <t>Improved Grid Electricity</t>
  </si>
  <si>
    <t>T-5A1-TE-4</t>
  </si>
  <si>
    <t>Update imported electricity grid emission factor</t>
  </si>
  <si>
    <t>Alter the emission factor (grams of carbon dioxide equivalent per kilowatt-hour) for the electricity grid</t>
  </si>
  <si>
    <t>Oil</t>
  </si>
  <si>
    <t>T-5A1-TE-5</t>
  </si>
  <si>
    <t>Electricity from oil power plants</t>
  </si>
  <si>
    <t>Alter the amount of electricity produced by oil fired power plants</t>
  </si>
  <si>
    <t xml:space="preserve">Hydro </t>
  </si>
  <si>
    <t>T-5A1-TE-6</t>
  </si>
  <si>
    <t>Electricity from hydro reservoir</t>
  </si>
  <si>
    <t>Alter the amount of electricity produced by hydro reservoir</t>
  </si>
  <si>
    <t>Solar</t>
  </si>
  <si>
    <t>T-5A1-TE-7</t>
  </si>
  <si>
    <t>Electricity from solar parks</t>
  </si>
  <si>
    <t>Alter the amount of electricity produced by solar parks</t>
  </si>
  <si>
    <t>Solar (distributed)</t>
  </si>
  <si>
    <t>T-5A1-TE-8</t>
  </si>
  <si>
    <t>Electricity from solar rooftops</t>
  </si>
  <si>
    <t>Alter the amount of electricity produced by solar rooftops</t>
  </si>
  <si>
    <t>Wind</t>
  </si>
  <si>
    <t>T-5A1-TE-9</t>
  </si>
  <si>
    <t>Electricity from wind offshore</t>
  </si>
  <si>
    <t>Alter the amount of electricity produced by wind offshore</t>
  </si>
  <si>
    <t>T-5A1-TE-10</t>
  </si>
  <si>
    <t>Electricity from wind onshore</t>
  </si>
  <si>
    <t>Alter the amount of electricity produced by wind onshore</t>
  </si>
  <si>
    <t>Biomass</t>
  </si>
  <si>
    <t>T-5A1-TE-11</t>
  </si>
  <si>
    <t>Electricity from biomass power plants</t>
  </si>
  <si>
    <t>Alter the amount of electricity produced by biofuel fired power plants</t>
  </si>
  <si>
    <t>Nuclear</t>
  </si>
  <si>
    <t xml:space="preserve">Change in nuclear-generated electricity </t>
  </si>
  <si>
    <t>Generators</t>
  </si>
  <si>
    <t>Change in generator-generated electricity</t>
  </si>
  <si>
    <t>Storage</t>
  </si>
  <si>
    <t>Change in storage capacity</t>
  </si>
  <si>
    <t>Heat</t>
  </si>
  <si>
    <t>T-5A2-TE-1</t>
  </si>
  <si>
    <t>District heat from imported grid</t>
  </si>
  <si>
    <t>Alter the amount of district heat produced by imported grid district heat</t>
  </si>
  <si>
    <t>Energy &gt; Grid decarbonisation &gt; Heat</t>
  </si>
  <si>
    <t>T-5A2-TE-2</t>
  </si>
  <si>
    <t>Update imported district heat grid emission factor</t>
  </si>
  <si>
    <t>Alter the emission factor (grams of carbon dioxide equivalent per kilowatt-hour) for the district heat grid</t>
  </si>
  <si>
    <t>T-5A2-TE-3</t>
  </si>
  <si>
    <t>District heating by residual heat</t>
  </si>
  <si>
    <t>Alter the amount of district heat produced by residual heat</t>
  </si>
  <si>
    <t>T-5A2-TE-4</t>
  </si>
  <si>
    <t>District heating by heat pump</t>
  </si>
  <si>
    <t>Alter the amount of district heat produced by heat pumps</t>
  </si>
  <si>
    <t>T-5A2-TE-5</t>
  </si>
  <si>
    <t>Shift to heat pumps in district heating</t>
  </si>
  <si>
    <t>T-5A2-TE-6</t>
  </si>
  <si>
    <t>Shift to Residual Heat in district heating</t>
  </si>
  <si>
    <t>CHP</t>
  </si>
  <si>
    <t>T-5A3-TE-1</t>
  </si>
  <si>
    <t>CHP from coal</t>
  </si>
  <si>
    <t>Alter the amount of district heat and electricity produced by CHP coal</t>
  </si>
  <si>
    <t>Energy &gt; Grid decarbonisation &gt; CHP</t>
  </si>
  <si>
    <t>T-5A3-TE-2</t>
  </si>
  <si>
    <t>CHP from oil</t>
  </si>
  <si>
    <t>Alter the amount of district heat and electricity produced by CHP oil</t>
  </si>
  <si>
    <t>T-5A3-TE-3</t>
  </si>
  <si>
    <t>CHP from natural gas</t>
  </si>
  <si>
    <t>Alter the amount of district heat and electricity produced by CHP natural gas</t>
  </si>
  <si>
    <t>Incineration waste</t>
  </si>
  <si>
    <t>T-5A3-TE-4</t>
  </si>
  <si>
    <t>CHP from waste incineration</t>
  </si>
  <si>
    <t>Alter the amount of district heat and electricity produced by CHP waste incineration</t>
  </si>
  <si>
    <t>T-5A3-TE-5</t>
  </si>
  <si>
    <t>CHP from biomass</t>
  </si>
  <si>
    <t>Alter the amount of district heat and electricity produced by CHP biofuels</t>
  </si>
  <si>
    <t>T-5A3-TE-6</t>
  </si>
  <si>
    <t>Increased energy recovery from waste</t>
  </si>
  <si>
    <t>Shift tonne from solid waste disposal in landfills and open dumps, incineration and open burning of waste to CHP waste incineration in tonne to fulfill the need of warm premisses</t>
  </si>
  <si>
    <t>Biofuel</t>
  </si>
  <si>
    <t>T-5A3-TE-7</t>
  </si>
  <si>
    <t>Shift to biofuel in district heating</t>
  </si>
  <si>
    <t>Refinement</t>
  </si>
  <si>
    <t>T-5B1-TE-1</t>
  </si>
  <si>
    <t>Shift to biomass energy in petroleum refinement</t>
  </si>
  <si>
    <t>Not encouraging petroleum industry</t>
  </si>
  <si>
    <t>Hydrogen</t>
  </si>
  <si>
    <t>T-5B4-TE-1</t>
  </si>
  <si>
    <t>Biogas in methane reforming for hydrogen production</t>
  </si>
  <si>
    <t>Not modelling hydrogen transition</t>
  </si>
  <si>
    <t>T-5B4-TE-2</t>
  </si>
  <si>
    <t>Biomass in carbon gasification for hydrogen production</t>
  </si>
  <si>
    <t>T-5B4-TE-3</t>
  </si>
  <si>
    <t>Shift to biogas energy in hydrogen refinement</t>
  </si>
  <si>
    <t>T-5B4-TE-4</t>
  </si>
  <si>
    <t>Shift to biomass energy in hydrogen refinement</t>
  </si>
  <si>
    <t>T-5B4-TE-5</t>
  </si>
  <si>
    <t>Shift to electricity in hydrogen refinement</t>
  </si>
  <si>
    <t>T-5B4-TE-6</t>
  </si>
  <si>
    <t>Shift to electrolysis of water for hydrogen production</t>
  </si>
  <si>
    <t>Stationary (Industrial processes)</t>
  </si>
  <si>
    <t>Cement</t>
  </si>
  <si>
    <t>T-2A1-TE-1</t>
  </si>
  <si>
    <t>Shift to use biofuel in cement and mineral industry</t>
  </si>
  <si>
    <t>T-2A1-TE-2</t>
  </si>
  <si>
    <t>Shift to electricity in cement and mineral industry</t>
  </si>
  <si>
    <t>Shift kilowatt-hours from cement and mineral processes that uses coal to cement and mineral processes that uses electricity</t>
  </si>
  <si>
    <t>Glass</t>
  </si>
  <si>
    <t>T-2A3-TE-1</t>
  </si>
  <si>
    <t>Shift to biogas energy in glass industries</t>
  </si>
  <si>
    <t>T-2A3-TE-2</t>
  </si>
  <si>
    <t>Shift to biomass energy in glass industries</t>
  </si>
  <si>
    <t>Carbon storage</t>
  </si>
  <si>
    <t>Carbon storage for Cement</t>
  </si>
  <si>
    <t>T-2A3-TE-3</t>
  </si>
  <si>
    <t>Shift to electricity in glass industries</t>
  </si>
  <si>
    <t>T-2A3-TE-4</t>
  </si>
  <si>
    <t>Shift to hydrogen energy in glass industries</t>
  </si>
  <si>
    <t>Amonia</t>
  </si>
  <si>
    <t>T-2B1-TE-1</t>
  </si>
  <si>
    <t>Biogas in methane reforming for ammonia production</t>
  </si>
  <si>
    <t>Lack of data</t>
  </si>
  <si>
    <t>Other Chemical</t>
  </si>
  <si>
    <t>T-2B9-TE-1</t>
  </si>
  <si>
    <t>Shift to biogas energy in chemical industries</t>
  </si>
  <si>
    <t>T-2B9-TE-2</t>
  </si>
  <si>
    <t>Shift to biomass energy in chemical industries</t>
  </si>
  <si>
    <t>T-2B9-TE-3</t>
  </si>
  <si>
    <t>Shift to electricity in chemical industries</t>
  </si>
  <si>
    <t>T-2B9-TE-4</t>
  </si>
  <si>
    <t>Shift to hydrogen energy in chemical industries</t>
  </si>
  <si>
    <t>Iron and Steel Production¶</t>
  </si>
  <si>
    <t>T-2C1-TE-1</t>
  </si>
  <si>
    <t>Shift to biogas energy in iron and steel industries</t>
  </si>
  <si>
    <t>T-2C1-TE-2</t>
  </si>
  <si>
    <t>Shift to biomass energy in iron and steel industries</t>
  </si>
  <si>
    <t>T-2C1-TE-3</t>
  </si>
  <si>
    <t>Shift to electric arc furnaces in steel industries</t>
  </si>
  <si>
    <t>T-2C1-TE-4</t>
  </si>
  <si>
    <t>Shift to electricity in iron and steel industries</t>
  </si>
  <si>
    <t>T-2C1-TE-5</t>
  </si>
  <si>
    <t>Shift to hydrogen energy in iron and steel industries</t>
  </si>
  <si>
    <t>Aluminium Production</t>
  </si>
  <si>
    <t>T-2C3-TE-1</t>
  </si>
  <si>
    <t>Shift to inert anodes in aluminium industries</t>
  </si>
  <si>
    <t>Magnesium Production</t>
  </si>
  <si>
    <t>T-2C4-TE-1</t>
  </si>
  <si>
    <t>Shift to electricity in magnesium industries</t>
  </si>
  <si>
    <t>T-2C4-TE-2</t>
  </si>
  <si>
    <t>Shift to biogas energy in magnesium industries</t>
  </si>
  <si>
    <t>T-2C4-TE-3</t>
  </si>
  <si>
    <t>Shift to biomass energy in magnesium industries</t>
  </si>
  <si>
    <t>Lead Production</t>
  </si>
  <si>
    <t>T-2C5-TE-1</t>
  </si>
  <si>
    <t>Shift to biogas energy in lead industries</t>
  </si>
  <si>
    <t>T-2C5-TE-2</t>
  </si>
  <si>
    <t>Shift to biomass energy in lead industries</t>
  </si>
  <si>
    <t>T-2C5-TE-3</t>
  </si>
  <si>
    <t>Shift to electricity in lead industries</t>
  </si>
  <si>
    <t>Pulp, Paper and Print</t>
  </si>
  <si>
    <t>T-2D1b-TE-1</t>
  </si>
  <si>
    <t>Shift to biogas energy in pulp, paper and print industries</t>
  </si>
  <si>
    <t>T-2D1b-TE-2</t>
  </si>
  <si>
    <t>Shift to biomass energy in pulp, paper and print industries</t>
  </si>
  <si>
    <t>T-2D1b-TE-3</t>
  </si>
  <si>
    <t>Shift to electricity in pulp, paper and print industries</t>
  </si>
  <si>
    <t>T-2D1b-TE-4</t>
  </si>
  <si>
    <t>Shift to hydrogen energy in pulp, paper and print industries</t>
  </si>
  <si>
    <t>Mobile Machinery</t>
  </si>
  <si>
    <t>T-2D4-TE-1</t>
  </si>
  <si>
    <t>Shift to biofuel for mobile machinery</t>
  </si>
  <si>
    <t>Shift kilowatt-hours from mobile machinery diesel to mobile machinery biofuel in kilowatt-hour to fulfill the need of productivity</t>
  </si>
  <si>
    <t>T-2D4-TE-2</t>
  </si>
  <si>
    <t>Shift to electric mobile machinery</t>
  </si>
  <si>
    <t>T-2D4-TE-3</t>
  </si>
  <si>
    <t>Efficient use of mobile machinery</t>
  </si>
  <si>
    <t>Reduce the amount of energy required to operate diesel, petrol, biofuel, LPG and electricity mobile machinery through more efficient use</t>
  </si>
  <si>
    <t>Other industries</t>
  </si>
  <si>
    <t>T-2D5-TE-1</t>
  </si>
  <si>
    <t>Shift to biomass energy in other industries</t>
  </si>
  <si>
    <t>T-2D5-TE-2</t>
  </si>
  <si>
    <t>Shift to biogas energy in other industries</t>
  </si>
  <si>
    <t>T-2D5-TE-3</t>
  </si>
  <si>
    <t>Shift to electricity in other industries</t>
  </si>
  <si>
    <t>Change in amount of fuel used in Industry</t>
  </si>
  <si>
    <t>Change in the efficiency of technocology in industry</t>
  </si>
  <si>
    <t>Private vehicle</t>
  </si>
  <si>
    <t>Car</t>
  </si>
  <si>
    <t>T-1A1a-TE-1</t>
  </si>
  <si>
    <r>
      <rPr>
        <rFont val="Figtree"/>
        <color rgb="FF1155CC"/>
        <u/>
      </rPr>
      <t>Shift to electric cars</t>
    </r>
  </si>
  <si>
    <t>Shift vehicle kilometer from petrol, diesel, LPG and gas vehicles to battery electric vehicles in vehicle kilometer to fulfill the need of mobility</t>
  </si>
  <si>
    <t>Vehicle by euro standard</t>
  </si>
  <si>
    <t>T-1A1a-TE-2</t>
  </si>
  <si>
    <r>
      <rPr>
        <rFont val="Figtree"/>
        <color rgb="FF1155CC"/>
        <u/>
      </rPr>
      <t>Shift to hydrogen cars</t>
    </r>
  </si>
  <si>
    <t>Shift vehicle kilometer from petrol and diesel vehicles to hydrogen vehicles in vehicle kilometer to fulfill the need of mobility</t>
  </si>
  <si>
    <t>T-1A1a-TE-3</t>
  </si>
  <si>
    <r>
      <rPr>
        <rFont val="Figtree"/>
        <color rgb="FF1155CC"/>
        <u/>
      </rPr>
      <t>Ecodriving of cars</t>
    </r>
  </si>
  <si>
    <t>Reduce the amount of energy required to drive petrol, diesel, LPG and natural gas vehicles through ecodriving</t>
  </si>
  <si>
    <t>No data on driving modes</t>
  </si>
  <si>
    <t>T-1A1a-TE-4</t>
  </si>
  <si>
    <r>
      <rPr>
        <rFont val="Figtree"/>
        <color rgb="FF1155CC"/>
        <u/>
      </rPr>
      <t>Improved car engine technology</t>
    </r>
  </si>
  <si>
    <t>Reduce the amount of energy required to drive petrol and diesel vehicles through improved engine technology</t>
  </si>
  <si>
    <t>T-1A1a-TE-5</t>
  </si>
  <si>
    <r>
      <rPr>
        <rFont val="Figtree"/>
        <color rgb="FF1155CC"/>
        <u/>
      </rPr>
      <t>Increase journey sharing</t>
    </r>
  </si>
  <si>
    <t>Reduce the number of vehicle kilometers from petrol, diesel, lpg and natural gas vehicles to fulfill the need of commuting through more efficient commuting by car</t>
  </si>
  <si>
    <t>Not modelling demand control</t>
  </si>
  <si>
    <t>Mode shift</t>
  </si>
  <si>
    <t>T-1A1a-TE-6</t>
  </si>
  <si>
    <r>
      <rPr>
        <rFont val="Figtree"/>
        <color rgb="FF1155CC"/>
        <u/>
      </rPr>
      <t>Shift from car to railway</t>
    </r>
  </si>
  <si>
    <t>Shift vehicle kilometer from petrol, diesel, LPG and gas vehicles to electric rail in person kilometer to fulfill the need of mobility</t>
  </si>
  <si>
    <t>T-1A1a-TE-7</t>
  </si>
  <si>
    <r>
      <rPr>
        <rFont val="Figtree"/>
        <color rgb="FF1155CC"/>
        <u/>
      </rPr>
      <t>Shift to online meetings and services</t>
    </r>
  </si>
  <si>
    <t>Shift vehicle kilometer from petrol, diesel, LPG and gas vehicles to e-meetings in hours to fulfill the need of business trips</t>
  </si>
  <si>
    <t>T-1A1a-TE-8</t>
  </si>
  <si>
    <r>
      <rPr>
        <rFont val="Figtree"/>
        <color rgb="FF1155CC"/>
        <u/>
      </rPr>
      <t>Shift from car to remote working</t>
    </r>
  </si>
  <si>
    <t>Shift vehicle kilometer from petrol, diesel, LPG and gas vehicles to remote working in hours to fulfill the need of commuting</t>
  </si>
  <si>
    <t>T-1A1a-TE-9</t>
  </si>
  <si>
    <r>
      <rPr>
        <rFont val="Figtree"/>
        <color rgb="FF1155CC"/>
        <u/>
      </rPr>
      <t>Biofuel for petrol cars</t>
    </r>
  </si>
  <si>
    <t>Increase the proportion of ethanol in petrol</t>
  </si>
  <si>
    <t>T-1A1a-TE-10</t>
  </si>
  <si>
    <r>
      <rPr>
        <rFont val="Figtree"/>
        <color rgb="FF1155CC"/>
        <u/>
      </rPr>
      <t>Shift to walking and cycling</t>
    </r>
  </si>
  <si>
    <t>Shift vehicle kilometer from petrol, diesel, LPG and gas vehicles to walking cycling in person kilometer to fulfill the need of commuting</t>
  </si>
  <si>
    <t>T-1A1a-TE-11</t>
  </si>
  <si>
    <r>
      <rPr>
        <rFont val="Figtree"/>
        <color rgb="FF1155CC"/>
        <u/>
      </rPr>
      <t>Shift to electric bikes</t>
    </r>
  </si>
  <si>
    <t>Shift vehicle kilometer from petrol,diesel and LPG vehicles to electric bike in vehicle kilometer to fulfill the need of mobility</t>
  </si>
  <si>
    <t>T-1A1a-TE-12</t>
  </si>
  <si>
    <r>
      <rPr>
        <rFont val="Figtree"/>
        <color rgb="FF1155CC"/>
        <u/>
      </rPr>
      <t>Shift to travel by electric bus</t>
    </r>
  </si>
  <si>
    <t>Shift vehicle kilometer from petrol, diesel, LPG and gas vehicles to electric bus to fulfill the need of commuting</t>
  </si>
  <si>
    <t>T-1A1a-TE-13</t>
  </si>
  <si>
    <r>
      <rPr>
        <rFont val="Figtree"/>
        <color rgb="FF1155CC"/>
        <u/>
      </rPr>
      <t>Shift to travel by hydrogen bus</t>
    </r>
  </si>
  <si>
    <t>Shift vehicle kilometer from petrol and diesel vehicles to hydrogen buses in vehicle kilometer to fulfill the need of commuting</t>
  </si>
  <si>
    <t>T-1A1a-TE-14</t>
  </si>
  <si>
    <r>
      <rPr>
        <rFont val="Figtree"/>
        <color rgb="FF1155CC"/>
        <u/>
      </rPr>
      <t>Shift to travel by LPG bus</t>
    </r>
  </si>
  <si>
    <t>Shift vehicle kilometer from petrol and diesel vehicles to LPG buses in vehicle kilometer to fulfill the need of commuting</t>
  </si>
  <si>
    <t>T-1A1a-TE-15</t>
  </si>
  <si>
    <r>
      <rPr>
        <rFont val="Figtree"/>
        <color rgb="FF1155CC"/>
        <u/>
      </rPr>
      <t>Shift to travel by gas bus</t>
    </r>
  </si>
  <si>
    <t>Shift vehicle kilometer from petrol and diesel vehicles to gas buses in vehicle kilometer to fulfill the need of commuting</t>
  </si>
  <si>
    <t>T-1A1a-TE-16</t>
  </si>
  <si>
    <r>
      <rPr>
        <rFont val="Figtree"/>
        <color rgb="FF1155CC"/>
        <u/>
      </rPr>
      <t>Shift to travel by petrol bus</t>
    </r>
  </si>
  <si>
    <t>Shift vehicle kilometer from petrol and diesel vehicles to petrol buses in vehicle kilometer to fulfill the need of commuting</t>
  </si>
  <si>
    <t>T-1A1a-TE-17</t>
  </si>
  <si>
    <r>
      <rPr>
        <rFont val="Figtree"/>
        <color rgb="FF1155CC"/>
        <u/>
      </rPr>
      <t>Shift to travel by diesel bus</t>
    </r>
  </si>
  <si>
    <t>Shift vehicle kilometer from petrol and diesel vehicles to diesel buses in vehicle kilometer to fulfill the need of commuting</t>
  </si>
  <si>
    <t>T-1A1a-TE-18</t>
  </si>
  <si>
    <r>
      <rPr>
        <rFont val="Figtree"/>
        <color rgb="FF1155CC"/>
        <u/>
      </rPr>
      <t>Shift to trams, light rail and subway</t>
    </r>
  </si>
  <si>
    <t>Shift vehicle kilometer from petrol, diesel, LPG and gas vehicles to tram and light rail in vehicle kilometer to fulfill the need of commuting</t>
  </si>
  <si>
    <t>T-1A1a-TE-19</t>
  </si>
  <si>
    <r>
      <rPr>
        <rFont val="Figtree"/>
        <color rgb="FF1155CC"/>
        <u/>
      </rPr>
      <t>Shift to gas cars</t>
    </r>
  </si>
  <si>
    <t>Shift vehicle kilometer from petrol and diesel vehicles to gas vehicles in vehicle kilometer to fulfill the need of mobility</t>
  </si>
  <si>
    <t>T-1A1a-TE-20</t>
  </si>
  <si>
    <r>
      <rPr>
        <rFont val="Figtree"/>
        <color rgb="FF1155CC"/>
        <u/>
      </rPr>
      <t>Biofuel for gas cars</t>
    </r>
  </si>
  <si>
    <t>Increase the proportion of biogas in gas mix</t>
  </si>
  <si>
    <t>T-1A1a-TE-21</t>
  </si>
  <si>
    <r>
      <rPr>
        <rFont val="Figtree"/>
        <color rgb="FF1155CC"/>
        <u/>
      </rPr>
      <t>Biofuel for diesel cars</t>
    </r>
  </si>
  <si>
    <t>Increase the proportion of HVO biodiesel in diesel</t>
  </si>
  <si>
    <t>2/3 Wheelers</t>
  </si>
  <si>
    <t>T-1A1b-TE-1</t>
  </si>
  <si>
    <r>
      <rPr>
        <rFont val="Figtree"/>
        <color rgb="FF1155CC"/>
        <u/>
      </rPr>
      <t>Biofuel for petrol motorcycles</t>
    </r>
  </si>
  <si>
    <t>T-1A1b-TE-2</t>
  </si>
  <si>
    <r>
      <rPr>
        <rFont val="Figtree"/>
        <color rgb="FF1155CC"/>
        <u/>
      </rPr>
      <t>Shift to electric motorcycles</t>
    </r>
  </si>
  <si>
    <t>Shift vehicle kilometer from petrol motorcycles to electric motorcycles in vehicle kilometer to fulfill the need of mobility</t>
  </si>
  <si>
    <t>Shift to more efficient vehicle</t>
  </si>
  <si>
    <t>Public transit</t>
  </si>
  <si>
    <t>Buses</t>
  </si>
  <si>
    <t>T-1A1c-TE-1</t>
  </si>
  <si>
    <t>Biofuel for diesel buses</t>
  </si>
  <si>
    <t>Increase the proportion of biodiesel in diesel</t>
  </si>
  <si>
    <t>T-1A1c-TE-2</t>
  </si>
  <si>
    <t>Biofuel for gas buses</t>
  </si>
  <si>
    <t>T-1A1c-TE-3</t>
  </si>
  <si>
    <t>Biofuel for petrol buses</t>
  </si>
  <si>
    <t>T-1A1c-TE-4</t>
  </si>
  <si>
    <t>Improved bus engine technology</t>
  </si>
  <si>
    <t>Reduce the amount of energy required to drive diesel, petrol, hydrogen, CNG and LPG buses through improved engine technology</t>
  </si>
  <si>
    <t>Increased or optimised public transport travel</t>
  </si>
  <si>
    <t>T-1A1C-TE-5</t>
  </si>
  <si>
    <t>Shift to electric busses</t>
  </si>
  <si>
    <t>Change in car euro standards</t>
  </si>
  <si>
    <t>Change in 2/3 Wheelers euro standards</t>
  </si>
  <si>
    <t>Change in bus euro standards</t>
  </si>
  <si>
    <t>Passenger</t>
  </si>
  <si>
    <t>T-1A3-TE-1</t>
  </si>
  <si>
    <t>Biofuel for air passenger transport</t>
  </si>
  <si>
    <t>Increase the proportion of aviation biofuel in aviation turbine fuel</t>
  </si>
  <si>
    <t>T-1A3-TE-2</t>
  </si>
  <si>
    <t>More efficient passenger airplanes</t>
  </si>
  <si>
    <t>Reduce the amount of energy required to operate passenger transportation by air through more efficient passenger airplanes</t>
  </si>
  <si>
    <t>T-1A3-TE-3</t>
  </si>
  <si>
    <t>Shift to electric air passenger transport</t>
  </si>
  <si>
    <t>Shift person kilometer from passenger transportation by air to electric passenger transportation by air in person kilometer to fulfill the need of mobility</t>
  </si>
  <si>
    <t>T-1A3-TE-4</t>
  </si>
  <si>
    <t>Shift from air travel to railway</t>
  </si>
  <si>
    <t>Shift person kilometer from passenger transportation by air to electric rail in person kilometer to fulfill the need of mobility</t>
  </si>
  <si>
    <t>Freight</t>
  </si>
  <si>
    <t>T-1B3-TE-1</t>
  </si>
  <si>
    <t>Biofuel for kerosene air freight transport</t>
  </si>
  <si>
    <t>T-1B3-TE-2</t>
  </si>
  <si>
    <t>Shift to electric freight air transportation</t>
  </si>
  <si>
    <t>Shift tonne kilometer from freight transportation by air to electric freight transportation by air in tonne kilometer to fulfill the need of logistics</t>
  </si>
  <si>
    <t>T-1B3-TE-3</t>
  </si>
  <si>
    <t>More efficient air freight transport</t>
  </si>
  <si>
    <t>Reduce the amount of energy required to operate freight transportation by air through more efficient freight airplanes</t>
  </si>
  <si>
    <t>T-1B3-TE-4</t>
  </si>
  <si>
    <t>Shift from freight air transport to electric rail freight</t>
  </si>
  <si>
    <t>Shift tonne kilometer from freight transportation by air to electric rail in tonne kilometer to fulfill the need of logistics</t>
  </si>
  <si>
    <t>Heavy trucks</t>
  </si>
  <si>
    <t>T-1B1b-TE-1</t>
  </si>
  <si>
    <t>Shift to gas heavy trucks</t>
  </si>
  <si>
    <t>Shift tonne kilometer from diesel heavy trucks to gas heavy trucks in tonne kilometer to fulfill the need of logistics</t>
  </si>
  <si>
    <t>T-1B1b-TE-2</t>
  </si>
  <si>
    <t>Biofuel for diesel heavy trucks</t>
  </si>
  <si>
    <t>T-1B1b-TE-3</t>
  </si>
  <si>
    <t>Biofuel for petrol heavy trucks</t>
  </si>
  <si>
    <t>T-1B1b-TE-4</t>
  </si>
  <si>
    <t>Shift to hydrogen for heavy trucks</t>
  </si>
  <si>
    <t>Shift tonne kilometer from diesel heavy trucks to hydrogen heavy trucks in tonne kilometer to fulfill the need for logistics</t>
  </si>
  <si>
    <t>T-1B1b-TE-5</t>
  </si>
  <si>
    <t>Ecodriving of heavy trucks</t>
  </si>
  <si>
    <t>Reduce the amount of energy required to drive diesel, hydrogen and battery electric heavy trucks through ecodriving</t>
  </si>
  <si>
    <t>T-1B1b-TE-6</t>
  </si>
  <si>
    <t>Shift to electric heavy trucks</t>
  </si>
  <si>
    <t>Shift tonne kilometer from diesel heavy trucks to battery electric heavy trucks in tonne kilometer to fulfill the need of logistics</t>
  </si>
  <si>
    <t>T-1B1b-TE-7</t>
  </si>
  <si>
    <t>Improved heavy truck engine technology</t>
  </si>
  <si>
    <t>Reduce the amount of energy required to operate diesel, hydrogen and battery electric heavy trucks through improved engine technology</t>
  </si>
  <si>
    <t>T-1B1b-TE-8</t>
  </si>
  <si>
    <t>Improved load factor for heavy trucks</t>
  </si>
  <si>
    <t>Reduce the amount of energy required to operate diesel heavy trucks through improved load factor</t>
  </si>
  <si>
    <t>T-1B1b-TE-9</t>
  </si>
  <si>
    <t>Shift from heavy truck to sea</t>
  </si>
  <si>
    <t>Shift tonne kilometer from diesel heavy trucks to ship freight in tonne kilometer to fulfill the need of logistics</t>
  </si>
  <si>
    <t>T-1B1b-TE-10</t>
  </si>
  <si>
    <t>Shift from heavy truck to electric railway</t>
  </si>
  <si>
    <t>Shift tonne kilometer from diesel heavy trucks to electric rail freight in tonne kilometer to fulfill the need of logistics</t>
  </si>
  <si>
    <t>Change in kilometers travelled by heavy trucks</t>
  </si>
  <si>
    <t>Change in heavy trucks euro standards</t>
  </si>
  <si>
    <t>T-1A2-TE-1</t>
  </si>
  <si>
    <t>Biofuel for rail passenger transport</t>
  </si>
  <si>
    <t>T-1A2-TE-2</t>
  </si>
  <si>
    <t>Shift to travel by electric rail</t>
  </si>
  <si>
    <t>Shift person kilometer from diesel passenger rail to electric passenger rail in person kilometer to fulfill the need of mobility</t>
  </si>
  <si>
    <t>Change in passenger rail activity</t>
  </si>
  <si>
    <t>T-1A2-TE-3</t>
  </si>
  <si>
    <t>Shift to travel by hydrogen rail</t>
  </si>
  <si>
    <t>Shift person kilometer from diesel passenger rail to hydrogen passenger rail in person kilometer to fulfill the need of mobility</t>
  </si>
  <si>
    <t>T-1B2-TE-1</t>
  </si>
  <si>
    <t>Biofuel for rail freight transport</t>
  </si>
  <si>
    <t>T-1B2-TE-2</t>
  </si>
  <si>
    <t>Shift to electric freight rail transportation</t>
  </si>
  <si>
    <t>Shift tonne kilometer from diesel freight tail to electric freight tail in tonne kilometer to fulfill the need for logistics</t>
  </si>
  <si>
    <t>T-1B2-TE-3</t>
  </si>
  <si>
    <t>Shift to hydrogen freight rail transportation</t>
  </si>
  <si>
    <t>Shift tonne kilometer from diesel freight tail to hydrogen freight tail in tonne kilometer to fulfill the need for logistics</t>
  </si>
  <si>
    <t>Trucks</t>
  </si>
  <si>
    <t>T-1B1a-TE-1</t>
  </si>
  <si>
    <t>Shift to gas light trucks</t>
  </si>
  <si>
    <t>Shift vehicle kilometer from diesel light trucks to gas light trucks in vehicle kilometer to fulfill the need of logistics</t>
  </si>
  <si>
    <t>T-1B1a-TE-2</t>
  </si>
  <si>
    <t>Biofuel for diesel light trucks</t>
  </si>
  <si>
    <t>T-1B1a-TE-3</t>
  </si>
  <si>
    <t>Biofuel for petrol light trucks</t>
  </si>
  <si>
    <t>T-1B1a-TE-4</t>
  </si>
  <si>
    <t>Shift to hydrogen for light trucks</t>
  </si>
  <si>
    <t>Shift vehicle kilometer from diesel light trucks to hydrogen light trucks in vehicle kilometer to fulfill the need of logistics</t>
  </si>
  <si>
    <t>T-1B1a-TE-5</t>
  </si>
  <si>
    <t>Ecodriving of light trucks</t>
  </si>
  <si>
    <t>Reduce the amount of energy required to drive diesel, hydrogen and battery electric light trucks through ecodriving</t>
  </si>
  <si>
    <t>T-1B1a-TE-6</t>
  </si>
  <si>
    <t>Shift to electric light trucks</t>
  </si>
  <si>
    <t>Shift vehicle kilometer from diesel light trucks to battery electric light trucks in vehicle kilometer to fulfill the need of logistics</t>
  </si>
  <si>
    <t>T-1B1a-TE-7</t>
  </si>
  <si>
    <t>Route optimisation for light trucks</t>
  </si>
  <si>
    <t>Reduce the amount of vehicle kilometer from diesel light trucks to fulfill the need of logistics through route optimisation</t>
  </si>
  <si>
    <t>T-1B1a-TE-8</t>
  </si>
  <si>
    <t>Improved light truck engine technology</t>
  </si>
  <si>
    <t>Reduce the amount of energy required to operate diesel light trucks through improved engine technology</t>
  </si>
  <si>
    <t>T-1B1a-TE-9</t>
  </si>
  <si>
    <t>Improved load factor for light trucks</t>
  </si>
  <si>
    <t>Reduce the amount of vehicle kilometer from diesel light trucks to fulfill the need of logistics through improving the load factor</t>
  </si>
  <si>
    <t>T-1B1a-TE-10</t>
  </si>
  <si>
    <t>Shift to electric cargo bikes</t>
  </si>
  <si>
    <t>Shift vehicle kilometer from diesel and petrol light truck to electric carg bikes in vehicle kilometer to fulfill the need of logistics</t>
  </si>
  <si>
    <t>Change in trucks euro standards</t>
  </si>
  <si>
    <t>T-1A4-TE-1</t>
  </si>
  <si>
    <t>Shift to LNG fuel for marine passenger transport</t>
  </si>
  <si>
    <t>Shift person kilometer from ship passenger to LNG shipping passenger in person kilometer to fulfill the need of mobility</t>
  </si>
  <si>
    <t>Not modelling LNG transition</t>
  </si>
  <si>
    <t>T-1A4-TE-2</t>
  </si>
  <si>
    <t>More efficient marine passenger transport</t>
  </si>
  <si>
    <t>Reduce the amount of energy required to operate diesel, LNG passenger shipping through more more efficient sea passenger transportation</t>
  </si>
  <si>
    <t>T-1A4-TE-3</t>
  </si>
  <si>
    <t>Biofuel for LNG marine passenger transport</t>
  </si>
  <si>
    <t>Increase the proportion of liquefied biogas in liquefied gas mix</t>
  </si>
  <si>
    <t>T-1A4-TE-4</t>
  </si>
  <si>
    <t>Biofuel for marine passenger transport</t>
  </si>
  <si>
    <t>Increase the proportion of marine biodiesel in marine diesel</t>
  </si>
  <si>
    <t>T-1A4-TE-5</t>
  </si>
  <si>
    <t>Shift to electric marine passenger transportion</t>
  </si>
  <si>
    <t>Shift person kilometer from ship passenger to electric shipping passenger in person kilometer to fulfill the need of mobility</t>
  </si>
  <si>
    <t>Change in passenger water transport activity</t>
  </si>
  <si>
    <t>T-1B4b-TE-1</t>
  </si>
  <si>
    <t>Shift to LNG fuel for marine freight transport</t>
  </si>
  <si>
    <t>Shift tonne kilometer from ship freight to LNG shipping freight in tonne kilometer to fulfill the need of logistics</t>
  </si>
  <si>
    <t>T-1B4b-TE-2</t>
  </si>
  <si>
    <t>More efficient marine freight transport</t>
  </si>
  <si>
    <t>Reduce the amount of energy required to operate diesel and electric freight shipping through more efficient sea freight transportation</t>
  </si>
  <si>
    <t>T-1B4b-TE-3</t>
  </si>
  <si>
    <t>Biofuel for LNG marine freight transport</t>
  </si>
  <si>
    <t>T-1B4b-TE-4</t>
  </si>
  <si>
    <t>Biofuel for marine freight transport</t>
  </si>
  <si>
    <t>T-1B4b-TE-5</t>
  </si>
  <si>
    <t>Shift to electric marine freight transportion</t>
  </si>
  <si>
    <t>Shift tonne kilometer from ship freight to electric shipping freight in tonne kilometer to fulfill the need of logistics</t>
  </si>
  <si>
    <t>Urban planning</t>
  </si>
  <si>
    <t>T-1A1a-TE-22</t>
  </si>
  <si>
    <r>
      <rPr>
        <rFont val="Figtree"/>
        <color rgb="FF1155CC"/>
        <u/>
      </rPr>
      <t>Improved urban planning</t>
    </r>
  </si>
  <si>
    <t>Reduce the amount of vehicle kilometer from cars to fulfill the need of mobility through improved urban planning</t>
  </si>
  <si>
    <t>Improved urban planning: reduction in travel</t>
  </si>
  <si>
    <t>Waste diversion</t>
  </si>
  <si>
    <t>T-6A1-TE-1</t>
  </si>
  <si>
    <t>Shift to recycling of solid waste</t>
  </si>
  <si>
    <t>Shift tonne from solid waste disposal in landfills and open dumps, incineration and open burning of waste to recycling of solid waste in tonne to fulfill the need of waste handling</t>
  </si>
  <si>
    <t>Waste &gt; Solid Waste &gt; Landfill to Recycling</t>
  </si>
  <si>
    <t>Organic diversion</t>
  </si>
  <si>
    <t>T-6A1-TE-2</t>
  </si>
  <si>
    <t>Shift to composting of organic waste</t>
  </si>
  <si>
    <t>Shift tonne from solid waste disposal in landfills to composting of organic waste in tonne to fulfill the need of waste handling</t>
  </si>
  <si>
    <t>Waste &gt; Solid Waste &gt; Landfill to Composting</t>
  </si>
  <si>
    <t>T-6A1-TE-3</t>
  </si>
  <si>
    <t>Shift to exported composting of organic waste</t>
  </si>
  <si>
    <t>Shift tonne from solid waste disposal in landfills to exported composting of organic waste in tonne to fulfill the need of waste handling</t>
  </si>
  <si>
    <t>Landfill to Anaerobic digestion</t>
  </si>
  <si>
    <t>Waste &gt; Solid Waste &gt; Landfill to Anaerobic digestion</t>
  </si>
  <si>
    <t>Landfill to Biodigester</t>
  </si>
  <si>
    <t>Waste &gt; Solid Waste &gt; Landfill to Biodigester</t>
  </si>
  <si>
    <t>Landfill management</t>
  </si>
  <si>
    <t>Landfill to controlled or sanitary landfill</t>
  </si>
  <si>
    <t>Waste &gt; Solid Waste &gt; Landfill &gt; Controlled landfill</t>
  </si>
  <si>
    <t>Waste collection</t>
  </si>
  <si>
    <t>Dumping</t>
  </si>
  <si>
    <t>Dump to landfill</t>
  </si>
  <si>
    <t>Waste &gt; Solid Waste &gt; Improved collection rate &gt; Dump to landfill</t>
  </si>
  <si>
    <t>Dump to composting</t>
  </si>
  <si>
    <t>Waste &gt; Solid Waste &gt; Improved collection rate &gt; Dump to composting</t>
  </si>
  <si>
    <t>Dump to Anaerobic digestion</t>
  </si>
  <si>
    <t>Waste &gt; Solid Waste &gt; Improved collection rate &gt; Dump to Anaerobic digestion</t>
  </si>
  <si>
    <t>Dump to recycling</t>
  </si>
  <si>
    <t>Waste &gt; Solid Waste &gt; Improved collection rate &gt; Dump to recycling</t>
  </si>
  <si>
    <t>Dump to incineration</t>
  </si>
  <si>
    <t>Waste &gt; Solid Waste &gt; Improved collection rate &gt; Dump to incineration</t>
  </si>
  <si>
    <t>Dump to biodigester</t>
  </si>
  <si>
    <t>Waste &gt; Solid Waste &gt; Improved collection rate &gt; Dump to biodigester</t>
  </si>
  <si>
    <t>Open fire</t>
  </si>
  <si>
    <t>Open Burning to landfill</t>
  </si>
  <si>
    <t>Waste &gt; Solid Waste &gt; Improved collection rate &gt; Open Burning to landfill</t>
  </si>
  <si>
    <t>Open Burning  to composting</t>
  </si>
  <si>
    <t>Waste &gt; Solid Waste &gt; Improved collection rate &gt; Open Burning  to composting</t>
  </si>
  <si>
    <t>Open Burning  to Anaerobic digestion</t>
  </si>
  <si>
    <t>Waste &gt; Solid Waste &gt; Improved collection rate &gt; Open Burning  to Anaerobic digestion</t>
  </si>
  <si>
    <t>Open Burning  to recycling</t>
  </si>
  <si>
    <t>Waste &gt; Solid Waste &gt; Improved collection rate &gt; Open Burning  to recycling</t>
  </si>
  <si>
    <t>Open Burning  to incineration</t>
  </si>
  <si>
    <t>Waste &gt; Solid Waste &gt; Improved collection rate &gt; Open Burning  to incineration</t>
  </si>
  <si>
    <t>Open Burning  to biodigester</t>
  </si>
  <si>
    <t>Waste &gt; Solid Waste &gt; Improved collection rate &gt; Open Burning  to biodigester</t>
  </si>
  <si>
    <t>Incineration</t>
  </si>
  <si>
    <t>Landfill to Incineration</t>
  </si>
  <si>
    <t>Waste &gt; Solid Waste &gt; Landfill to Incineration</t>
  </si>
  <si>
    <t>Waste prevention</t>
  </si>
  <si>
    <t>Waste prevention &gt; Organic waste in supply chain</t>
  </si>
  <si>
    <t>Waste &gt; Solid Waste &gt; Waste prevention &gt; Organic waste in supply chain</t>
  </si>
  <si>
    <t>Waste prevention &gt; Plastics</t>
  </si>
  <si>
    <t>Waste &gt; Solid Waste &gt; Waste prevention &gt; Plastics</t>
  </si>
  <si>
    <t>Waste prevention &gt; All domestic waste</t>
  </si>
  <si>
    <t>Waste &gt; Solid Waste &gt; Waste prevention &gt; All domestic waste</t>
  </si>
  <si>
    <t>Wastewater</t>
  </si>
  <si>
    <t>Wastewater treatment</t>
  </si>
  <si>
    <t>Treatment</t>
  </si>
  <si>
    <t>Increase Waste water treatment</t>
  </si>
  <si>
    <t>Waste &gt; Wastewater &gt; Increase Waste water treatment</t>
  </si>
  <si>
    <t>Waste water treatment efficiency</t>
  </si>
  <si>
    <t>Waste &gt; Wastewater &gt; Waste water treatment efficiency</t>
  </si>
  <si>
    <t>T-6A1-TE-4</t>
  </si>
  <si>
    <t>Shift to landfill gas recovery</t>
  </si>
  <si>
    <t>Shift tonne from solid waste disposal in landfills without gas recovery to solid waste disposal in landfills with landfill gas recovery in tonne to fulfill the need of waste handling</t>
  </si>
  <si>
    <t>Waste &gt; Solid Waste &gt; Landfill &gt; Gas recovery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</si>
</sst>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8">
    <font>
      <sz val="10.0"/>
      <color rgb="FF000000"/>
      <name val="Arial"/>
      <scheme val="minor"/>
    </font>
    <font>
      <color theme="1"/>
      <name val="Figtree"/>
    </font>
    <font>
      <b/>
      <color rgb="FF000000"/>
      <name val="Figtree"/>
    </font>
    <font>
      <b/>
      <sz val="9.0"/>
      <color rgb="FFFFFFFF"/>
      <name val="Arial"/>
    </font>
    <font>
      <b/>
      <color theme="1"/>
      <name val="Arial"/>
      <scheme val="minor"/>
    </font>
    <font>
      <color theme="1"/>
      <name val="Arial"/>
    </font>
    <font>
      <color rgb="FF000000"/>
      <name val="Arial"/>
    </font>
    <font>
      <b/>
      <color theme="1"/>
      <name val="Figtree"/>
    </font>
    <font>
      <sz val="9.0"/>
      <color theme="1"/>
      <name val="Figtree"/>
    </font>
    <font>
      <sz val="9.0"/>
      <color rgb="FF000000"/>
      <name val="Figtree"/>
    </font>
    <font/>
    <font>
      <u/>
      <color rgb="FF0000FF"/>
      <name val="Figtree"/>
    </font>
    <font>
      <u/>
      <color rgb="FF0000FF"/>
      <name val="Figtree"/>
    </font>
    <font>
      <u/>
      <color rgb="FF0000FF"/>
      <name val="Figtree"/>
    </font>
    <font>
      <color theme="1"/>
      <name val="Arial"/>
      <scheme val="minor"/>
    </font>
    <font>
      <u/>
      <color rgb="FF1155CC"/>
      <name val="Figtree"/>
    </font>
    <font>
      <color rgb="FF000000"/>
      <name val="Figtree"/>
    </font>
    <font>
      <sz val="11.0"/>
      <color theme="1"/>
      <name val="Figtree"/>
    </font>
  </fonts>
  <fills count="12">
    <fill>
      <patternFill patternType="none"/>
    </fill>
    <fill>
      <patternFill patternType="lightGray"/>
    </fill>
    <fill>
      <patternFill patternType="solid">
        <fgColor rgb="FFFFD966"/>
        <bgColor rgb="FFFFD966"/>
      </patternFill>
    </fill>
    <fill>
      <patternFill patternType="solid">
        <fgColor rgb="FF000000"/>
        <bgColor rgb="FF000000"/>
      </patternFill>
    </fill>
    <fill>
      <patternFill patternType="solid">
        <fgColor rgb="FFCCCCCC"/>
        <bgColor rgb="FFCCCCCC"/>
      </patternFill>
    </fill>
    <fill>
      <patternFill patternType="solid">
        <fgColor rgb="FFC9DAF8"/>
        <bgColor rgb="FFC9DAF8"/>
      </patternFill>
    </fill>
    <fill>
      <patternFill patternType="solid">
        <fgColor rgb="FFEFEFEF"/>
        <bgColor rgb="FFEFEFEF"/>
      </patternFill>
    </fill>
    <fill>
      <patternFill patternType="solid">
        <fgColor rgb="FFFCE5CD"/>
        <bgColor rgb="FFFCE5CD"/>
      </patternFill>
    </fill>
    <fill>
      <patternFill patternType="solid">
        <fgColor rgb="FFFFE599"/>
        <bgColor rgb="FFFFE599"/>
      </patternFill>
    </fill>
    <fill>
      <patternFill patternType="solid">
        <fgColor rgb="FF93C47D"/>
        <bgColor rgb="FF93C47D"/>
      </patternFill>
    </fill>
    <fill>
      <patternFill patternType="solid">
        <fgColor rgb="FFD9D9D9"/>
        <bgColor rgb="FFD9D9D9"/>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vertical="bottom"/>
    </xf>
    <xf borderId="1" fillId="3" fontId="3" numFmtId="0" xfId="0" applyAlignment="1" applyBorder="1" applyFill="1" applyFont="1">
      <alignment horizontal="center" readingOrder="0" shrinkToFit="0" vertical="top" wrapText="0"/>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vertical="bottom"/>
    </xf>
    <xf borderId="0" fillId="0" fontId="4" numFmtId="0" xfId="0" applyFont="1"/>
    <xf borderId="1" fillId="0" fontId="6" numFmtId="0" xfId="0" applyAlignment="1" applyBorder="1" applyFont="1">
      <alignment readingOrder="0" shrinkToFit="0" vertical="bottom" wrapText="0"/>
    </xf>
    <xf borderId="0" fillId="0" fontId="7" numFmtId="0" xfId="0" applyFont="1"/>
    <xf borderId="1" fillId="0" fontId="1" numFmtId="0" xfId="0" applyAlignment="1" applyBorder="1" applyFont="1">
      <alignment vertical="bottom"/>
    </xf>
    <xf borderId="0" fillId="0" fontId="7" numFmtId="0" xfId="0" applyAlignment="1" applyFont="1">
      <alignment readingOrder="0"/>
    </xf>
    <xf borderId="2" fillId="0" fontId="8" numFmtId="0" xfId="0" applyAlignment="1" applyBorder="1" applyFont="1">
      <alignment readingOrder="0"/>
    </xf>
    <xf borderId="0" fillId="0" fontId="1" numFmtId="164" xfId="0" applyAlignment="1" applyFont="1" applyNumberFormat="1">
      <alignment horizontal="left" readingOrder="0"/>
    </xf>
    <xf borderId="1" fillId="0" fontId="8" numFmtId="0" xfId="0" applyAlignment="1" applyBorder="1" applyFont="1">
      <alignment vertical="bottom"/>
    </xf>
    <xf borderId="2" fillId="0" fontId="9" numFmtId="0" xfId="0" applyAlignment="1" applyBorder="1" applyFont="1">
      <alignment readingOrder="0" shrinkToFit="0" vertical="bottom" wrapText="0"/>
    </xf>
    <xf borderId="3" fillId="0" fontId="10" numFmtId="0" xfId="0" applyBorder="1" applyFont="1"/>
    <xf borderId="4" fillId="0" fontId="10" numFmtId="0" xfId="0" applyBorder="1" applyFont="1"/>
    <xf borderId="1" fillId="0" fontId="11" numFmtId="0" xfId="0" applyAlignment="1" applyBorder="1" applyFont="1">
      <alignment vertical="bottom"/>
    </xf>
    <xf borderId="0" fillId="0" fontId="12" numFmtId="0" xfId="0" applyAlignment="1" applyFont="1">
      <alignment readingOrder="0"/>
    </xf>
    <xf borderId="1" fillId="0" fontId="5" numFmtId="0" xfId="0" applyAlignment="1" applyBorder="1" applyFont="1">
      <alignment vertical="bottom"/>
    </xf>
    <xf borderId="5" fillId="0" fontId="6" numFmtId="0" xfId="0" applyAlignment="1" applyBorder="1" applyFont="1">
      <alignment readingOrder="0" shrinkToFit="0" vertical="bottom" wrapText="0"/>
    </xf>
    <xf borderId="6" fillId="0" fontId="10" numFmtId="0" xfId="0" applyBorder="1" applyFont="1"/>
    <xf borderId="1" fillId="0" fontId="9" numFmtId="0" xfId="0" applyAlignment="1" applyBorder="1" applyFont="1">
      <alignment readingOrder="0" shrinkToFit="0" vertical="bottom" wrapText="0"/>
    </xf>
    <xf borderId="0" fillId="0" fontId="13" numFmtId="0" xfId="0" applyAlignment="1" applyFont="1">
      <alignment readingOrder="0"/>
    </xf>
    <xf borderId="3" fillId="0" fontId="8" numFmtId="0" xfId="0" applyAlignment="1" applyBorder="1" applyFont="1">
      <alignment readingOrder="0"/>
    </xf>
    <xf borderId="4" fillId="0" fontId="8" numFmtId="0" xfId="0" applyAlignment="1" applyBorder="1" applyFont="1">
      <alignment readingOrder="0"/>
    </xf>
    <xf borderId="1" fillId="0" fontId="1" numFmtId="0" xfId="0" applyAlignment="1" applyBorder="1" applyFont="1">
      <alignment vertical="bottom"/>
    </xf>
    <xf borderId="1" fillId="0" fontId="6" numFmtId="0" xfId="0" applyAlignment="1" applyBorder="1" applyFont="1">
      <alignment shrinkToFit="0" vertical="bottom" wrapText="0"/>
    </xf>
    <xf borderId="1" fillId="4" fontId="1" numFmtId="0" xfId="0" applyAlignment="1" applyBorder="1" applyFill="1" applyFont="1">
      <alignment readingOrder="0"/>
    </xf>
    <xf borderId="1" fillId="5" fontId="1" numFmtId="0" xfId="0" applyAlignment="1" applyBorder="1" applyFill="1" applyFont="1">
      <alignment readingOrder="0"/>
    </xf>
    <xf borderId="1" fillId="6" fontId="1" numFmtId="0" xfId="0" applyBorder="1" applyFill="1" applyFont="1"/>
    <xf borderId="1" fillId="7" fontId="1" numFmtId="0" xfId="0" applyBorder="1" applyFill="1" applyFont="1"/>
    <xf borderId="1" fillId="8" fontId="1" numFmtId="0" xfId="0" applyBorder="1" applyFill="1" applyFont="1"/>
    <xf borderId="1" fillId="9" fontId="1" numFmtId="0" xfId="0" applyAlignment="1" applyBorder="1" applyFill="1" applyFont="1">
      <alignment readingOrder="0"/>
    </xf>
    <xf borderId="1" fillId="10" fontId="1" numFmtId="0" xfId="0" applyBorder="1" applyFill="1" applyFont="1"/>
    <xf borderId="1" fillId="5" fontId="1" numFmtId="0" xfId="0" applyBorder="1" applyFill="1" applyFont="1"/>
    <xf borderId="1" fillId="0" fontId="7" numFmtId="0" xfId="0" applyAlignment="1" applyBorder="1" applyFont="1">
      <alignment readingOrder="0"/>
    </xf>
    <xf borderId="1" fillId="4" fontId="1" numFmtId="0" xfId="0" applyBorder="1" applyFill="1" applyFont="1"/>
    <xf borderId="0" fillId="0" fontId="14" numFmtId="0" xfId="0" applyFont="1"/>
    <xf borderId="1" fillId="0" fontId="1" numFmtId="0" xfId="0" applyBorder="1" applyFont="1"/>
    <xf borderId="1" fillId="0" fontId="1" numFmtId="0" xfId="0" applyAlignment="1" applyBorder="1" applyFont="1">
      <alignment readingOrder="0"/>
    </xf>
    <xf borderId="1" fillId="0" fontId="1" numFmtId="9" xfId="0" applyBorder="1" applyFont="1" applyNumberFormat="1"/>
    <xf borderId="1" fillId="0" fontId="15" numFmtId="0" xfId="0" applyAlignment="1" applyBorder="1" applyFont="1">
      <alignment vertical="bottom"/>
    </xf>
    <xf borderId="0" fillId="0" fontId="1" numFmtId="0" xfId="0" applyAlignment="1" applyFont="1">
      <alignment vertical="bottom"/>
    </xf>
    <xf borderId="0" fillId="0" fontId="1" numFmtId="0" xfId="0" applyAlignment="1" applyFont="1">
      <alignment vertical="bottom"/>
    </xf>
    <xf borderId="1" fillId="0" fontId="16" numFmtId="0" xfId="0" applyAlignment="1" applyBorder="1" applyFont="1">
      <alignment vertical="bottom"/>
    </xf>
    <xf borderId="1" fillId="11" fontId="16" numFmtId="0" xfId="0" applyAlignment="1" applyBorder="1" applyFill="1" applyFont="1">
      <alignment vertical="bottom"/>
    </xf>
    <xf borderId="1" fillId="0" fontId="17"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ransitionelements.org/3-transition-elements/" TargetMode="External"/><Relationship Id="rId2" Type="http://schemas.openxmlformats.org/officeDocument/2006/relationships/hyperlink" Target="https://www.c40knowledgehub.org/s/article/Pathways-Air-Quality-Pathways-AQ?language=en_US" TargetMode="External"/><Relationship Id="rId3" Type="http://schemas.openxmlformats.org/officeDocument/2006/relationships/hyperlink" Target="https://climatetrace.org/reduce/city/ghs-fua_2702/Paris-Urban-Area%2C-FR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ransitionelements.org/3-transition-elements/1-transport/1a-mobility/1a1-road/1a1a-light-duty-vehicles/1a1a-te-10-increased_proportion_of_walking_and_cycling/" TargetMode="External"/><Relationship Id="rId42" Type="http://schemas.openxmlformats.org/officeDocument/2006/relationships/hyperlink" Target="https://www.transitionelements.org/3-transition-elements/1-transport/1a-mobility/1a1-road/1a1a-light-duty-vehicles/1a1a-te-12-increased_proportion_of_commuting_by_electric_bus/" TargetMode="External"/><Relationship Id="rId41" Type="http://schemas.openxmlformats.org/officeDocument/2006/relationships/hyperlink" Target="https://www.transitionelements.org/3-transition-elements/1-transport/1a-mobility/1a1-road/1a1a-light-duty-vehicles/1a1a-te-11-shift_to_electric_bikes/" TargetMode="External"/><Relationship Id="rId44" Type="http://schemas.openxmlformats.org/officeDocument/2006/relationships/hyperlink" Target="https://www.transitionelements.org/3-transition-elements/1-transport/1a-mobility/1a1-road/1a1a-light-duty-vehicles/1a1a-te-14-increased_proportion_of_public_transport_by_lpg_bus/" TargetMode="External"/><Relationship Id="rId43" Type="http://schemas.openxmlformats.org/officeDocument/2006/relationships/hyperlink" Target="https://www.transitionelements.org/3-transition-elements/1-transport/1a-mobility/1a1-road/1a1a-light-duty-vehicles/1a1a-te-13-increased_proportion_of_public_transport_by_hydrogen_bus/" TargetMode="External"/><Relationship Id="rId46" Type="http://schemas.openxmlformats.org/officeDocument/2006/relationships/hyperlink" Target="https://www.transitionelements.org/3-transition-elements/1-transport/1a-mobility/1a1-road/1a1a-light-duty-vehicles/1a1a-te-16-increased_proportion_of_public_transport_by_petrol_bus/" TargetMode="External"/><Relationship Id="rId45" Type="http://schemas.openxmlformats.org/officeDocument/2006/relationships/hyperlink" Target="https://www.transitionelements.org/3-transition-elements/1-transport/1a-mobility/1a1-road/1a1a-light-duty-vehicles/1a1a-te-15-increased_proportion_of_public_transport_by_gas_bus/" TargetMode="External"/><Relationship Id="rId1" Type="http://schemas.openxmlformats.org/officeDocument/2006/relationships/hyperlink" Target="https://www.transitionelements.org/3-transition-elements/1-transport/1a-mobility/1a1-road/1a1a-light-duty-vehicles/1a1a-te-01-shift_to_electric_vehicles/" TargetMode="External"/><Relationship Id="rId2" Type="http://schemas.openxmlformats.org/officeDocument/2006/relationships/hyperlink" Target="https://www.transitionelements.org/3-transition-elements/1-transport/1a-mobility/1a1-road/1a1a-light-duty-vehicles/1a1a-te-02-shift_to_hydrogen_vehicles/" TargetMode="External"/><Relationship Id="rId3" Type="http://schemas.openxmlformats.org/officeDocument/2006/relationships/hyperlink" Target="https://www.transitionelements.org/3-transition-elements/1-transport/1a-mobility/1a1-road/1a1a-light-duty-vehicles/1a1a-te-03-ecodriving_of_cars/" TargetMode="External"/><Relationship Id="rId4" Type="http://schemas.openxmlformats.org/officeDocument/2006/relationships/hyperlink" Target="https://www.transitionelements.org/3-transition-elements/1-transport/1a-mobility/1a1-road/1a1a-light-duty-vehicles/1a1a-te-04-improved_vehicle_technology/" TargetMode="External"/><Relationship Id="rId9" Type="http://schemas.openxmlformats.org/officeDocument/2006/relationships/hyperlink" Target="https://www.transitionelements.org/3-transition-elements/1-transport/1a-mobility/1a1-road/1a1a-light-duty-vehicles/1a1a-te-09-increase_renewable_proportion_in_petrol/" TargetMode="External"/><Relationship Id="rId48" Type="http://schemas.openxmlformats.org/officeDocument/2006/relationships/hyperlink" Target="https://www.transitionelements.org/3-transition-elements/1-transport/1a-mobility/1a1-road/1a1a-light-duty-vehicles/1a1a-te-18-increased_proportion_of_public_transport_by_trams_and_light_rail/" TargetMode="External"/><Relationship Id="rId47" Type="http://schemas.openxmlformats.org/officeDocument/2006/relationships/hyperlink" Target="https://www.transitionelements.org/3-transition-elements/1-transport/1a-mobility/1a1-road/1a1a-light-duty-vehicles/1a1a-te-17-increased_proportion_of_public_transport_by_diesel_bus/" TargetMode="External"/><Relationship Id="rId49" Type="http://schemas.openxmlformats.org/officeDocument/2006/relationships/hyperlink" Target="https://www.transitionelements.org/3-transition-elements/1-transport/1a-mobility/1a1-road/1a1a-light-duty-vehicles/1a1a-te-19-shift_to_gas_vehicles/" TargetMode="External"/><Relationship Id="rId5" Type="http://schemas.openxmlformats.org/officeDocument/2006/relationships/hyperlink" Target="https://www.transitionelements.org/3-transition-elements/1-transport/1a-mobility/1a1-road/1a1a-light-duty-vehicles/1a1a-te-05-more_efficient_commuting_by_car/" TargetMode="External"/><Relationship Id="rId6" Type="http://schemas.openxmlformats.org/officeDocument/2006/relationships/hyperlink" Target="https://www.transitionelements.org/3-transition-elements/1-transport/1a-mobility/1a1-road/1a1a-light-duty-vehicles/1a1a-te-06-transfer_from_car_to_railway/" TargetMode="External"/><Relationship Id="rId7" Type="http://schemas.openxmlformats.org/officeDocument/2006/relationships/hyperlink" Target="https://www.transitionelements.org/3-transition-elements/1-transport/1a-mobility/1a1-road/1a1a-light-duty-vehicles/1a1a-te-07-increased_proportion_of_non_travel_meetings_and_services/" TargetMode="External"/><Relationship Id="rId8" Type="http://schemas.openxmlformats.org/officeDocument/2006/relationships/hyperlink" Target="https://www.transitionelements.org/3-transition-elements/1-transport/1a-mobility/1a1-road/1a1a-light-duty-vehicles/1a1a-te-08-transfer_from_car_to_remote_working/" TargetMode="External"/><Relationship Id="rId31" Type="http://schemas.openxmlformats.org/officeDocument/2006/relationships/hyperlink" Target="https://www.transitionelements.org/3-transition-elements/1-transport/1a-mobility/1a1-road/1a1a-light-duty-vehicles/1a1a-te-01-shift_to_electric_vehicles/" TargetMode="External"/><Relationship Id="rId30" Type="http://schemas.openxmlformats.org/officeDocument/2006/relationships/hyperlink" Target="https://www.transitionelements.org/3-transition-elements/4-buildings/4a-residential/4a2-other-energy-usage/4a2d-unregulated/4a2d-te-02-shift_to_residential_electric_cooking_stoves/" TargetMode="External"/><Relationship Id="rId33" Type="http://schemas.openxmlformats.org/officeDocument/2006/relationships/hyperlink" Target="https://www.transitionelements.org/3-transition-elements/1-transport/1a-mobility/1a1-road/1a1a-light-duty-vehicles/1a1a-te-03-ecodriving_of_cars/" TargetMode="External"/><Relationship Id="rId32" Type="http://schemas.openxmlformats.org/officeDocument/2006/relationships/hyperlink" Target="https://www.transitionelements.org/3-transition-elements/1-transport/1a-mobility/1a1-road/1a1a-light-duty-vehicles/1a1a-te-02-shift_to_hydrogen_vehicles/" TargetMode="External"/><Relationship Id="rId35" Type="http://schemas.openxmlformats.org/officeDocument/2006/relationships/hyperlink" Target="https://www.transitionelements.org/3-transition-elements/1-transport/1a-mobility/1a1-road/1a1a-light-duty-vehicles/1a1a-te-05-more_efficient_commuting_by_car/" TargetMode="External"/><Relationship Id="rId34" Type="http://schemas.openxmlformats.org/officeDocument/2006/relationships/hyperlink" Target="https://www.transitionelements.org/3-transition-elements/1-transport/1a-mobility/1a1-road/1a1a-light-duty-vehicles/1a1a-te-04-improved_vehicle_technology/" TargetMode="External"/><Relationship Id="rId37" Type="http://schemas.openxmlformats.org/officeDocument/2006/relationships/hyperlink" Target="https://www.transitionelements.org/3-transition-elements/1-transport/1a-mobility/1a1-road/1a1a-light-duty-vehicles/1a1a-te-07-increased_proportion_of_non_travel_meetings_and_services/" TargetMode="External"/><Relationship Id="rId36" Type="http://schemas.openxmlformats.org/officeDocument/2006/relationships/hyperlink" Target="https://www.transitionelements.org/3-transition-elements/1-transport/1a-mobility/1a1-road/1a1a-light-duty-vehicles/1a1a-te-06-transfer_from_car_to_railway/" TargetMode="External"/><Relationship Id="rId39" Type="http://schemas.openxmlformats.org/officeDocument/2006/relationships/hyperlink" Target="https://www.transitionelements.org/3-transition-elements/1-transport/1a-mobility/1a1-road/1a1a-light-duty-vehicles/1a1a-te-09-increase_renewable_proportion_in_petrol/" TargetMode="External"/><Relationship Id="rId38" Type="http://schemas.openxmlformats.org/officeDocument/2006/relationships/hyperlink" Target="https://www.transitionelements.org/3-transition-elements/1-transport/1a-mobility/1a1-road/1a1a-light-duty-vehicles/1a1a-te-08-transfer_from_car_to_remote_working/" TargetMode="External"/><Relationship Id="rId20" Type="http://schemas.openxmlformats.org/officeDocument/2006/relationships/hyperlink" Target="https://www.transitionelements.org/3-transition-elements/1-transport/1a-mobility/1a1-road/1a1a-light-duty-vehicles/1a1a-te-20-biofuel_for_gas_vehicles/" TargetMode="External"/><Relationship Id="rId22" Type="http://schemas.openxmlformats.org/officeDocument/2006/relationships/hyperlink" Target="https://www.transitionelements.org/3-transition-elements/1-transport/1a-mobility/1a1-road/1a1a-light-duty-vehicles/1a1a-te-22-improved_urban_planning/" TargetMode="External"/><Relationship Id="rId21" Type="http://schemas.openxmlformats.org/officeDocument/2006/relationships/hyperlink" Target="https://www.transitionelements.org/3-transition-elements/1-transport/1a-mobility/1a1-road/1a1a-light-duty-vehicles/1a1a-te-21-increase_renewable_proportion_in_diesel/" TargetMode="External"/><Relationship Id="rId24" Type="http://schemas.openxmlformats.org/officeDocument/2006/relationships/hyperlink" Target="https://www.transitionelements.org/3-transition-elements/1-transport/1a-mobility/1a1-road/1a1b-2-3-wheel-vehicles/1a1b-te-2-shift_to_electric_motorcycles/" TargetMode="External"/><Relationship Id="rId23" Type="http://schemas.openxmlformats.org/officeDocument/2006/relationships/hyperlink" Target="https://www.transitionelements.org/3-transition-elements/1-transport/1a-mobility/1a1-road/1a1b-2-3-wheel-vehicles/1a1b-te-1-biofuel_for_petrol_motorcycles/" TargetMode="External"/><Relationship Id="rId26" Type="http://schemas.openxmlformats.org/officeDocument/2006/relationships/hyperlink" Target="https://www.transitionelements.org/3-transition-elements/4-buildings/4a-residential/4a2-other-energy-usage/4a2d-unregulated/4a2d-te-02-shift_to_residential_electric_cooking_stoves/" TargetMode="External"/><Relationship Id="rId25" Type="http://schemas.openxmlformats.org/officeDocument/2006/relationships/hyperlink" Target="https://www.transitionelements.org/3-transition-elements/4-buildings/4a-residential/4a2-other-energy-usage/4a2d-unregulated/4a2d-te-01-energy_efficient_other_residential_electric_appliances/" TargetMode="External"/><Relationship Id="rId28" Type="http://schemas.openxmlformats.org/officeDocument/2006/relationships/hyperlink" Target="https://www.transitionelements.org/3-transition-elements/4-buildings/4a-residential/4a2-other-energy-usage/4a2d-unregulated/4a2d-te-02-shift_to_residential_electric_cooking_stoves/" TargetMode="External"/><Relationship Id="rId27" Type="http://schemas.openxmlformats.org/officeDocument/2006/relationships/hyperlink" Target="https://www.transitionelements.org/3-transition-elements/4-buildings/4a-residential/4a2-other-energy-usage/4a2d-unregulated/4a2d-te-01-energy_efficient_other_residential_electric_appliances/" TargetMode="External"/><Relationship Id="rId29" Type="http://schemas.openxmlformats.org/officeDocument/2006/relationships/hyperlink" Target="https://www.transitionelements.org/3-transition-elements/4-buildings/4a-residential/4a2-other-energy-usage/4a2d-unregulated/4a2d-te-01-energy_efficient_other_residential_electric_appliances/" TargetMode="External"/><Relationship Id="rId51" Type="http://schemas.openxmlformats.org/officeDocument/2006/relationships/hyperlink" Target="https://www.transitionelements.org/3-transition-elements/1-transport/1a-mobility/1a1-road/1a1a-light-duty-vehicles/1a1a-te-21-increase_renewable_proportion_in_diesel/" TargetMode="External"/><Relationship Id="rId50" Type="http://schemas.openxmlformats.org/officeDocument/2006/relationships/hyperlink" Target="https://www.transitionelements.org/3-transition-elements/1-transport/1a-mobility/1a1-road/1a1a-light-duty-vehicles/1a1a-te-20-biofuel_for_gas_vehicles/" TargetMode="External"/><Relationship Id="rId53" Type="http://schemas.openxmlformats.org/officeDocument/2006/relationships/hyperlink" Target="https://www.transitionelements.org/3-transition-elements/1-transport/1a-mobility/1a1-road/1a1b-2-3-wheel-vehicles/1a1b-te-2-shift_to_electric_motorcycles/" TargetMode="External"/><Relationship Id="rId52" Type="http://schemas.openxmlformats.org/officeDocument/2006/relationships/hyperlink" Target="https://www.transitionelements.org/3-transition-elements/1-transport/1a-mobility/1a1-road/1a1b-2-3-wheel-vehicles/1a1b-te-1-biofuel_for_petrol_motorcycles/" TargetMode="External"/><Relationship Id="rId11" Type="http://schemas.openxmlformats.org/officeDocument/2006/relationships/hyperlink" Target="https://www.transitionelements.org/3-transition-elements/1-transport/1a-mobility/1a1-road/1a1a-light-duty-vehicles/1a1a-te-11-shift_to_electric_bikes/" TargetMode="External"/><Relationship Id="rId55" Type="http://schemas.openxmlformats.org/officeDocument/2006/relationships/drawing" Target="../drawings/drawing2.xml"/><Relationship Id="rId10" Type="http://schemas.openxmlformats.org/officeDocument/2006/relationships/hyperlink" Target="https://www.transitionelements.org/3-transition-elements/1-transport/1a-mobility/1a1-road/1a1a-light-duty-vehicles/1a1a-te-10-increased_proportion_of_walking_and_cycling/" TargetMode="External"/><Relationship Id="rId54" Type="http://schemas.openxmlformats.org/officeDocument/2006/relationships/hyperlink" Target="https://www.transitionelements.org/3-transition-elements/1-transport/1a-mobility/1a1-road/1a1a-light-duty-vehicles/1a1a-te-22-improved_urban_planning/" TargetMode="External"/><Relationship Id="rId13" Type="http://schemas.openxmlformats.org/officeDocument/2006/relationships/hyperlink" Target="https://www.transitionelements.org/3-transition-elements/1-transport/1a-mobility/1a1-road/1a1a-light-duty-vehicles/1a1a-te-13-increased_proportion_of_public_transport_by_hydrogen_bus/" TargetMode="External"/><Relationship Id="rId12" Type="http://schemas.openxmlformats.org/officeDocument/2006/relationships/hyperlink" Target="https://www.transitionelements.org/3-transition-elements/1-transport/1a-mobility/1a1-road/1a1a-light-duty-vehicles/1a1a-te-12-increased_proportion_of_commuting_by_electric_bus/" TargetMode="External"/><Relationship Id="rId15" Type="http://schemas.openxmlformats.org/officeDocument/2006/relationships/hyperlink" Target="https://www.transitionelements.org/3-transition-elements/1-transport/1a-mobility/1a1-road/1a1a-light-duty-vehicles/1a1a-te-15-increased_proportion_of_public_transport_by_gas_bus/" TargetMode="External"/><Relationship Id="rId14" Type="http://schemas.openxmlformats.org/officeDocument/2006/relationships/hyperlink" Target="https://www.transitionelements.org/3-transition-elements/1-transport/1a-mobility/1a1-road/1a1a-light-duty-vehicles/1a1a-te-14-increased_proportion_of_public_transport_by_lpg_bus/" TargetMode="External"/><Relationship Id="rId17" Type="http://schemas.openxmlformats.org/officeDocument/2006/relationships/hyperlink" Target="https://www.transitionelements.org/3-transition-elements/1-transport/1a-mobility/1a1-road/1a1a-light-duty-vehicles/1a1a-te-17-increased_proportion_of_public_transport_by_diesel_bus/" TargetMode="External"/><Relationship Id="rId16" Type="http://schemas.openxmlformats.org/officeDocument/2006/relationships/hyperlink" Target="https://www.transitionelements.org/3-transition-elements/1-transport/1a-mobility/1a1-road/1a1a-light-duty-vehicles/1a1a-te-16-increased_proportion_of_public_transport_by_petrol_bus/" TargetMode="External"/><Relationship Id="rId19" Type="http://schemas.openxmlformats.org/officeDocument/2006/relationships/hyperlink" Target="https://www.transitionelements.org/3-transition-elements/1-transport/1a-mobility/1a1-road/1a1a-light-duty-vehicles/1a1a-te-19-shift_to_gas_vehicles/" TargetMode="External"/><Relationship Id="rId18" Type="http://schemas.openxmlformats.org/officeDocument/2006/relationships/hyperlink" Target="https://www.transitionelements.org/3-transition-elements/1-transport/1a-mobility/1a1-road/1a1a-light-duty-vehicles/1a1a-te-18-increased_proportion_of_public_transport_by_trams_and_light_rai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3" max="3" width="21.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 t="s">
        <v>14</v>
      </c>
      <c r="C2" s="5" t="s">
        <v>17</v>
      </c>
      <c r="D2" s="1"/>
      <c r="E2" s="1"/>
      <c r="F2" s="1"/>
      <c r="G2" s="1"/>
      <c r="H2" s="1"/>
      <c r="I2" s="1"/>
      <c r="J2" s="1"/>
      <c r="K2" s="1"/>
      <c r="L2" s="1"/>
      <c r="M2" s="1"/>
      <c r="N2" s="1"/>
      <c r="O2" s="1"/>
      <c r="P2" s="1"/>
      <c r="Q2" s="1"/>
      <c r="R2" s="1"/>
      <c r="S2" s="1"/>
      <c r="T2" s="1"/>
      <c r="U2" s="1"/>
      <c r="V2" s="1"/>
      <c r="W2" s="1"/>
      <c r="X2" s="1"/>
      <c r="Y2" s="1"/>
      <c r="Z2" s="1"/>
    </row>
    <row r="3">
      <c r="A3" s="1"/>
      <c r="B3" s="7"/>
      <c r="C3" s="5" t="s">
        <v>27</v>
      </c>
      <c r="D3" s="1"/>
      <c r="E3" s="1"/>
      <c r="F3" s="1"/>
      <c r="G3" s="1"/>
      <c r="H3" s="1"/>
      <c r="I3" s="1"/>
      <c r="J3" s="1"/>
      <c r="K3" s="1"/>
      <c r="L3" s="1"/>
      <c r="M3" s="1"/>
      <c r="N3" s="1"/>
      <c r="O3" s="1"/>
      <c r="P3" s="1"/>
      <c r="Q3" s="1"/>
      <c r="R3" s="1"/>
      <c r="S3" s="1"/>
      <c r="T3" s="1"/>
      <c r="U3" s="1"/>
      <c r="V3" s="1"/>
      <c r="W3" s="1"/>
      <c r="X3" s="1"/>
      <c r="Y3" s="1"/>
      <c r="Z3" s="1"/>
    </row>
    <row r="4">
      <c r="A4" s="1"/>
      <c r="B4" s="9"/>
      <c r="C4" s="1"/>
      <c r="D4" s="1"/>
      <c r="E4" s="1"/>
      <c r="F4" s="1"/>
      <c r="G4" s="1"/>
      <c r="H4" s="1"/>
      <c r="I4" s="1"/>
      <c r="J4" s="1"/>
      <c r="K4" s="1"/>
      <c r="L4" s="1"/>
      <c r="M4" s="1"/>
      <c r="N4" s="1"/>
      <c r="O4" s="1"/>
      <c r="P4" s="1"/>
      <c r="Q4" s="1"/>
      <c r="R4" s="1"/>
      <c r="S4" s="1"/>
      <c r="T4" s="1"/>
      <c r="U4" s="1"/>
      <c r="V4" s="1"/>
      <c r="W4" s="1"/>
      <c r="X4" s="1"/>
      <c r="Y4" s="1"/>
      <c r="Z4" s="1"/>
    </row>
    <row r="5">
      <c r="A5" s="1"/>
      <c r="B5" s="11" t="s">
        <v>36</v>
      </c>
      <c r="C5" s="5" t="s">
        <v>37</v>
      </c>
      <c r="D5" s="1"/>
      <c r="E5" s="1"/>
      <c r="F5" s="1"/>
      <c r="G5" s="1"/>
      <c r="H5" s="1"/>
      <c r="I5" s="1"/>
      <c r="J5" s="1"/>
      <c r="K5" s="1"/>
      <c r="L5" s="1"/>
      <c r="M5" s="1"/>
      <c r="N5" s="1"/>
      <c r="O5" s="1"/>
      <c r="P5" s="1"/>
      <c r="Q5" s="1"/>
      <c r="R5" s="1"/>
      <c r="S5" s="1"/>
      <c r="T5" s="1"/>
      <c r="U5" s="1"/>
      <c r="V5" s="1"/>
      <c r="W5" s="1"/>
      <c r="X5" s="1"/>
      <c r="Y5" s="1"/>
      <c r="Z5" s="1"/>
    </row>
    <row r="6">
      <c r="A6" s="1"/>
      <c r="B6" s="11" t="s">
        <v>40</v>
      </c>
      <c r="C6" s="13">
        <v>46212.0</v>
      </c>
      <c r="D6" s="1"/>
      <c r="E6" s="1"/>
      <c r="F6" s="1"/>
      <c r="G6" s="1"/>
      <c r="H6" s="1"/>
      <c r="I6" s="1"/>
      <c r="J6" s="1"/>
      <c r="K6" s="1"/>
      <c r="L6" s="1"/>
      <c r="M6" s="1"/>
      <c r="N6" s="1"/>
      <c r="O6" s="1"/>
      <c r="P6" s="1"/>
      <c r="Q6" s="1"/>
      <c r="R6" s="1"/>
      <c r="S6" s="1"/>
      <c r="T6" s="1"/>
      <c r="U6" s="1"/>
      <c r="V6" s="1"/>
      <c r="W6" s="1"/>
      <c r="X6" s="1"/>
      <c r="Y6" s="1"/>
      <c r="Z6" s="1"/>
    </row>
    <row r="7">
      <c r="A7" s="1"/>
      <c r="B7" s="9"/>
      <c r="C7" s="1"/>
      <c r="D7" s="1"/>
      <c r="E7" s="1"/>
      <c r="F7" s="1"/>
      <c r="G7" s="1"/>
      <c r="H7" s="1"/>
      <c r="I7" s="1"/>
      <c r="J7" s="1"/>
      <c r="K7" s="1"/>
      <c r="L7" s="1"/>
      <c r="M7" s="1"/>
      <c r="N7" s="1"/>
      <c r="O7" s="1"/>
      <c r="P7" s="1"/>
      <c r="Q7" s="1"/>
      <c r="R7" s="1"/>
      <c r="S7" s="1"/>
      <c r="T7" s="1"/>
      <c r="U7" s="1"/>
      <c r="V7" s="1"/>
      <c r="W7" s="1"/>
      <c r="X7" s="1"/>
      <c r="Y7" s="1"/>
      <c r="Z7" s="1"/>
    </row>
    <row r="8">
      <c r="A8" s="1"/>
      <c r="B8" s="11" t="s">
        <v>46</v>
      </c>
      <c r="C8" s="5" t="s">
        <v>47</v>
      </c>
      <c r="D8" s="19" t="s">
        <v>49</v>
      </c>
      <c r="E8" s="1"/>
      <c r="F8" s="1"/>
      <c r="G8" s="1"/>
      <c r="H8" s="1"/>
      <c r="I8" s="1"/>
      <c r="J8" s="1"/>
      <c r="K8" s="1"/>
      <c r="L8" s="1"/>
      <c r="M8" s="1"/>
      <c r="N8" s="1"/>
      <c r="O8" s="1"/>
      <c r="P8" s="1"/>
      <c r="Q8" s="1"/>
      <c r="R8" s="1"/>
      <c r="S8" s="1"/>
      <c r="T8" s="1"/>
      <c r="U8" s="1"/>
      <c r="V8" s="1"/>
      <c r="W8" s="1"/>
      <c r="X8" s="1"/>
      <c r="Y8" s="1"/>
      <c r="Z8" s="1"/>
    </row>
    <row r="9">
      <c r="A9" s="1"/>
      <c r="B9" s="1"/>
      <c r="C9" s="5" t="s">
        <v>61</v>
      </c>
      <c r="D9" s="24" t="s">
        <v>63</v>
      </c>
      <c r="E9" s="1"/>
      <c r="F9" s="1"/>
      <c r="G9" s="1"/>
      <c r="H9" s="1"/>
      <c r="I9" s="1"/>
      <c r="J9" s="1"/>
      <c r="K9" s="1"/>
      <c r="L9" s="1"/>
      <c r="M9" s="1"/>
      <c r="N9" s="1"/>
      <c r="O9" s="1"/>
      <c r="P9" s="1"/>
      <c r="Q9" s="1"/>
      <c r="R9" s="1"/>
      <c r="S9" s="1"/>
      <c r="T9" s="1"/>
      <c r="U9" s="1"/>
      <c r="V9" s="1"/>
      <c r="W9" s="1"/>
      <c r="X9" s="1"/>
      <c r="Y9" s="1"/>
      <c r="Z9" s="1"/>
    </row>
    <row r="10">
      <c r="A10" s="1"/>
      <c r="B10" s="1"/>
      <c r="C10" s="5" t="s">
        <v>75</v>
      </c>
      <c r="D10" s="24" t="s">
        <v>76</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29" t="s">
        <v>93</v>
      </c>
      <c r="E13" s="30" t="s">
        <v>28</v>
      </c>
      <c r="F13" s="31" t="s">
        <v>99</v>
      </c>
      <c r="G13" s="32" t="s">
        <v>101</v>
      </c>
      <c r="H13" s="32" t="s">
        <v>103</v>
      </c>
      <c r="I13" s="33" t="s">
        <v>104</v>
      </c>
      <c r="J13" s="34" t="s">
        <v>106</v>
      </c>
      <c r="K13" s="35" t="s">
        <v>38</v>
      </c>
      <c r="M13" s="36" t="s">
        <v>109</v>
      </c>
      <c r="N13" s="36" t="s">
        <v>111</v>
      </c>
      <c r="O13" s="36" t="s">
        <v>112</v>
      </c>
      <c r="P13" s="36" t="s">
        <v>114</v>
      </c>
      <c r="Q13" s="36" t="s">
        <v>115</v>
      </c>
      <c r="U13" s="1"/>
      <c r="V13" s="1"/>
      <c r="W13" s="1"/>
      <c r="X13" s="1"/>
      <c r="Y13" s="1"/>
      <c r="Z13" s="1"/>
    </row>
    <row r="14">
      <c r="A14" s="1"/>
      <c r="C14" s="37" t="s">
        <v>118</v>
      </c>
      <c r="D14" s="38">
        <f>COUNTA('TEF shifts'!A:A)-1</f>
        <v>282</v>
      </c>
      <c r="E14" s="39">
        <f>SUM(M14:Q14)</f>
        <v>84</v>
      </c>
      <c r="F14" s="40">
        <f>COUNTIFS('TEF shifts'!$C:$C,F$13)</f>
        <v>37</v>
      </c>
      <c r="G14" s="40">
        <f>COUNTIFS('TEF shifts'!$C:$C,G$13)</f>
        <v>41</v>
      </c>
      <c r="H14" s="40">
        <f>COUNTIFS('TEF shifts'!$C:$C,H$13)</f>
        <v>45</v>
      </c>
      <c r="I14" s="40">
        <f>COUNTIFS('TEF shifts'!$C:$C,I$13)</f>
        <v>33</v>
      </c>
      <c r="J14" s="40">
        <f>COUNTIFS('TEF shifts'!$C:$C,J$13)</f>
        <v>23</v>
      </c>
      <c r="K14" s="40">
        <f>COUNTIFS('TEF shifts'!$C:$C,K$13)</f>
        <v>14</v>
      </c>
      <c r="M14" s="40">
        <f>COUNTIFS('TEF shifts'!$C:$C,M$13)</f>
        <v>58</v>
      </c>
      <c r="N14" s="40">
        <f>COUNTIFS('TEF shifts'!$C:$C,N$13)</f>
        <v>8</v>
      </c>
      <c r="O14" s="40">
        <f>COUNTIFS('TEF shifts'!$C:$C,O$13)</f>
        <v>0</v>
      </c>
      <c r="P14" s="40">
        <f>COUNTIFS('TEF shifts'!$C:$C,P$13)</f>
        <v>7</v>
      </c>
      <c r="Q14" s="40">
        <f>COUNTIFS('TEF shifts'!$C:$C,Q$13)</f>
        <v>11</v>
      </c>
      <c r="U14" s="1"/>
      <c r="V14" s="1"/>
      <c r="W14" s="1"/>
      <c r="X14" s="1"/>
      <c r="Y14" s="1"/>
      <c r="Z14" s="1"/>
    </row>
    <row r="15">
      <c r="A15" s="1"/>
      <c r="C15" s="41" t="s">
        <v>142</v>
      </c>
      <c r="D15" s="38">
        <f>COUNTIFS('TEF shifts'!J:J,"Include")</f>
        <v>119</v>
      </c>
      <c r="E15" s="42">
        <f t="shared" ref="E15:E17" si="1">SUM(M15:Q15)/E$14</f>
        <v>0.4642857143</v>
      </c>
      <c r="F15" s="42">
        <f>COUNTIFS('TEF shifts'!$J:$J,"Include",'TEF shifts'!$C:$C,F$13)/F$14</f>
        <v>0.2702702703</v>
      </c>
      <c r="G15" s="42">
        <f>COUNTIFS('TEF shifts'!$J:$J,"Include",'TEF shifts'!$C:$C,G$13)/G$14</f>
        <v>0.4390243902</v>
      </c>
      <c r="H15" s="42">
        <f>COUNTIFS('TEF shifts'!$J:$J,"Include",'TEF shifts'!$C:$C,H$13)/H$14</f>
        <v>0.5333333333</v>
      </c>
      <c r="I15" s="42">
        <f>COUNTIFS('TEF shifts'!$J:$J,"Include",'TEF shifts'!$C:$C,I$13)/I$14</f>
        <v>0.7272727273</v>
      </c>
      <c r="J15" s="42">
        <f>COUNTIFS('TEF shifts'!$J:$J,"Include",'TEF shifts'!$C:$C,J$13)/J$14</f>
        <v>0.1739130435</v>
      </c>
      <c r="K15" s="42">
        <f>COUNTIFS('TEF shifts'!$J:$J,"Include",'TEF shifts'!$C:$C,K$13)/K$14</f>
        <v>0</v>
      </c>
      <c r="M15" s="40">
        <f>COUNTIFS('TEF shifts'!$J:$J,"Include",'TEF shifts'!$C:$C,M$13)</f>
        <v>27</v>
      </c>
      <c r="N15" s="40">
        <f>COUNTIFS('TEF shifts'!$J:$J,"Include",'TEF shifts'!$C:$C,N$13)</f>
        <v>6</v>
      </c>
      <c r="O15" s="40">
        <f>COUNTIFS('TEF shifts'!$J:$J,"Include",'TEF shifts'!$C:$C,O$13)</f>
        <v>0</v>
      </c>
      <c r="P15" s="40">
        <f>COUNTIFS('TEF shifts'!$J:$J,"Include",'TEF shifts'!$C:$C,P$13)</f>
        <v>2</v>
      </c>
      <c r="Q15" s="40">
        <f>COUNTIFS('TEF shifts'!$J:$J,"Include",'TEF shifts'!$C:$C,Q$13)</f>
        <v>4</v>
      </c>
      <c r="U15" s="1"/>
      <c r="V15" s="1"/>
      <c r="W15" s="1"/>
      <c r="X15" s="1"/>
      <c r="Y15" s="1"/>
      <c r="Z15" s="1"/>
    </row>
    <row r="16">
      <c r="A16" s="1"/>
      <c r="C16" s="41" t="s">
        <v>190</v>
      </c>
      <c r="D16" s="38">
        <f>COUNTIFS('TEF shifts'!J:J,"Remove")</f>
        <v>74</v>
      </c>
      <c r="E16" s="42">
        <f t="shared" si="1"/>
        <v>0.4047619048</v>
      </c>
      <c r="F16" s="42">
        <f>COUNTIFS('TEF shifts'!$J:$J,"Remove",'TEF shifts'!$C:$C,F$13)/F$14</f>
        <v>0.6486486486</v>
      </c>
      <c r="G16" s="42">
        <f>COUNTIFS('TEF shifts'!$J:$J,"Remove",'TEF shifts'!$C:$C,G$13)/G$14</f>
        <v>0.1219512195</v>
      </c>
      <c r="H16" s="42">
        <f>COUNTIFS('TEF shifts'!$J:$J,"Remove",'TEF shifts'!$C:$C,H$13)/H$14</f>
        <v>0.1111111111</v>
      </c>
      <c r="I16" s="42">
        <f>COUNTIFS('TEF shifts'!$J:$J,"Remove",'TEF shifts'!$C:$C,I$13)/I$14</f>
        <v>0.1818181818</v>
      </c>
      <c r="J16" s="42">
        <f>COUNTIFS('TEF shifts'!$J:$J,"Remove",'TEF shifts'!$C:$C,J$13)/J$14</f>
        <v>0</v>
      </c>
      <c r="K16" s="42">
        <f>COUNTIFS('TEF shifts'!$J:$J,"Remove",'TEF shifts'!$C:$C,K$13)/K$14</f>
        <v>0</v>
      </c>
      <c r="M16" s="40">
        <f>COUNTIFS('TEF shifts'!$J:$J,"Remove",'TEF shifts'!$C:$C,M$13)</f>
        <v>22</v>
      </c>
      <c r="N16" s="40">
        <f>COUNTIFS('TEF shifts'!$J:$J,"Remove",'TEF shifts'!$C:$C,N$13)</f>
        <v>2</v>
      </c>
      <c r="O16" s="40">
        <f>COUNTIFS('TEF shifts'!$J:$J,"Remove",'TEF shifts'!$C:$C,O$13)</f>
        <v>0</v>
      </c>
      <c r="P16" s="40">
        <f>COUNTIFS('TEF shifts'!$J:$J,"Remove",'TEF shifts'!$C:$C,P$13)</f>
        <v>4</v>
      </c>
      <c r="Q16" s="40">
        <f>COUNTIFS('TEF shifts'!$J:$J,"Remove",'TEF shifts'!$C:$C,Q$13)</f>
        <v>6</v>
      </c>
      <c r="U16" s="1"/>
      <c r="V16" s="1"/>
      <c r="W16" s="1"/>
      <c r="X16" s="1"/>
      <c r="Y16" s="1"/>
      <c r="Z16" s="1"/>
    </row>
    <row r="17">
      <c r="A17" s="1"/>
      <c r="C17" s="41" t="s">
        <v>226</v>
      </c>
      <c r="D17" s="38">
        <f>COUNTIFS('TEF shifts'!J:J,"Add shift")</f>
        <v>86</v>
      </c>
      <c r="E17" s="42">
        <f t="shared" si="1"/>
        <v>0.130952381</v>
      </c>
      <c r="F17" s="42">
        <f>COUNTIFS('TEF shifts'!$J:$J,"Add shift",'TEF shifts'!$C:$C,F$13)/F$14</f>
        <v>0.08108108108</v>
      </c>
      <c r="G17" s="42">
        <f>COUNTIFS('TEF shifts'!$J:$J,"Add shift",'TEF shifts'!$C:$C,G$13)/G$14</f>
        <v>0.4390243902</v>
      </c>
      <c r="H17" s="42">
        <f>COUNTIFS('TEF shifts'!$J:$J,"Add shift",'TEF shifts'!$C:$C,H$13)/H$14</f>
        <v>0.3555555556</v>
      </c>
      <c r="I17" s="42">
        <f>COUNTIFS('TEF shifts'!$J:$J,"Add shift",'TEF shifts'!$C:$C,I$13)/I$14</f>
        <v>0.09090909091</v>
      </c>
      <c r="J17" s="42">
        <f>COUNTIFS('TEF shifts'!$J:$J,"Add shift",'TEF shifts'!$C:$C,J$13)/J$14</f>
        <v>0.8260869565</v>
      </c>
      <c r="K17" s="42">
        <f>COUNTIFS('TEF shifts'!$J:$J,"Add shift",'TEF shifts'!$C:$C,K$13)/K$14</f>
        <v>1</v>
      </c>
      <c r="M17" s="40">
        <f>COUNTIFS('TEF shifts'!$J:$J,"Add shift",'TEF shifts'!$C:$C,M$13)</f>
        <v>9</v>
      </c>
      <c r="N17" s="40">
        <f>COUNTIFS('TEF shifts'!$J:$J,"Add shift",'TEF shifts'!$C:$C,N$13)</f>
        <v>0</v>
      </c>
      <c r="O17" s="40">
        <f>COUNTIFS('TEF shifts'!$J:$J,"Add shift",'TEF shifts'!$C:$C,O$13)</f>
        <v>0</v>
      </c>
      <c r="P17" s="40">
        <f>COUNTIFS('TEF shifts'!$J:$J,"Add shift",'TEF shifts'!$C:$C,P$13)</f>
        <v>1</v>
      </c>
      <c r="Q17" s="40">
        <f>COUNTIFS('TEF shifts'!$J:$J,"Add shift",'TEF shifts'!$C:$C,Q$13)</f>
        <v>1</v>
      </c>
      <c r="U17" s="1"/>
      <c r="V17" s="1"/>
      <c r="W17" s="1"/>
      <c r="X17" s="1"/>
      <c r="Y17" s="1"/>
      <c r="Z17" s="1"/>
    </row>
    <row r="18">
      <c r="A18" s="1"/>
      <c r="B18" s="5"/>
      <c r="C18" s="1"/>
      <c r="D18" s="1"/>
      <c r="E18" s="1"/>
      <c r="F18" s="1"/>
      <c r="G18" s="1"/>
      <c r="H18" s="1"/>
      <c r="I18" s="1"/>
      <c r="J18" s="1"/>
      <c r="K18" s="1"/>
      <c r="L18" s="1"/>
      <c r="M18" s="1"/>
      <c r="N18" s="1"/>
      <c r="O18" s="1"/>
      <c r="P18" s="1"/>
      <c r="Q18" s="1"/>
      <c r="R18" s="1"/>
      <c r="S18" s="1"/>
      <c r="T18" s="1"/>
      <c r="U18" s="1"/>
      <c r="V18" s="1"/>
      <c r="W18" s="1"/>
      <c r="X18" s="1"/>
      <c r="Y18" s="1"/>
      <c r="Z18" s="1"/>
    </row>
    <row r="19">
      <c r="A19" s="1"/>
      <c r="B19" s="5" t="s">
        <v>256</v>
      </c>
      <c r="C19" s="5" t="s">
        <v>257</v>
      </c>
      <c r="D19" s="1"/>
      <c r="E19" s="1"/>
      <c r="F19" s="1"/>
      <c r="G19" s="1"/>
      <c r="H19" s="1"/>
      <c r="I19" s="1"/>
      <c r="J19" s="1"/>
      <c r="K19" s="1"/>
      <c r="L19" s="1"/>
      <c r="M19" s="1"/>
      <c r="N19" s="1"/>
      <c r="O19" s="1"/>
      <c r="P19" s="1"/>
      <c r="Q19" s="1"/>
      <c r="R19" s="1"/>
      <c r="S19" s="1"/>
      <c r="T19" s="1"/>
      <c r="U19" s="1"/>
      <c r="V19" s="1"/>
      <c r="W19" s="1"/>
      <c r="X19" s="1"/>
      <c r="Y19" s="1"/>
      <c r="Z19" s="1"/>
    </row>
    <row r="20">
      <c r="A20" s="1"/>
      <c r="B20" s="1"/>
      <c r="C20" s="5" t="s">
        <v>263</v>
      </c>
      <c r="D20" s="1"/>
      <c r="E20" s="1"/>
      <c r="F20" s="1"/>
      <c r="G20" s="1"/>
      <c r="H20" s="1"/>
      <c r="I20" s="1"/>
      <c r="J20" s="1"/>
      <c r="K20" s="1"/>
      <c r="L20" s="1"/>
      <c r="M20" s="1"/>
      <c r="N20" s="1"/>
      <c r="O20" s="1"/>
      <c r="P20" s="1"/>
      <c r="Q20" s="1"/>
      <c r="R20" s="1"/>
      <c r="S20" s="1"/>
      <c r="T20" s="1"/>
      <c r="U20" s="1"/>
      <c r="V20" s="1"/>
      <c r="W20" s="1"/>
      <c r="X20" s="1"/>
      <c r="Y20" s="1"/>
      <c r="Z20" s="1"/>
    </row>
    <row r="21">
      <c r="A21" s="1"/>
      <c r="B21" s="1"/>
      <c r="C21" s="5" t="s">
        <v>268</v>
      </c>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D8"/>
    <hyperlink r:id="rId2" ref="D9"/>
    <hyperlink r:id="rId3" ref="D1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5"/>
    <col customWidth="1" min="7" max="7" width="18.88"/>
    <col customWidth="1" min="8" max="8" width="23.5"/>
  </cols>
  <sheetData>
    <row r="1" ht="39.75" customHeight="1">
      <c r="A1" s="2" t="s">
        <v>0</v>
      </c>
      <c r="B1" s="2" t="s">
        <v>2</v>
      </c>
      <c r="C1" s="2" t="s">
        <v>3</v>
      </c>
      <c r="D1" s="2" t="s">
        <v>4</v>
      </c>
      <c r="E1" s="2" t="s">
        <v>5</v>
      </c>
      <c r="F1" s="2" t="s">
        <v>7</v>
      </c>
      <c r="G1" s="2" t="s">
        <v>8</v>
      </c>
      <c r="H1" s="2" t="s">
        <v>10</v>
      </c>
      <c r="I1" s="2" t="s">
        <v>18</v>
      </c>
      <c r="J1" s="2" t="s">
        <v>20</v>
      </c>
      <c r="K1" s="2" t="s">
        <v>7</v>
      </c>
      <c r="L1" s="2" t="s">
        <v>21</v>
      </c>
      <c r="M1" s="2" t="s">
        <v>22</v>
      </c>
      <c r="N1" s="2" t="s">
        <v>23</v>
      </c>
      <c r="O1" s="2" t="s">
        <v>24</v>
      </c>
      <c r="P1" s="6"/>
      <c r="Q1" s="6"/>
      <c r="R1" s="6"/>
      <c r="S1" s="6"/>
      <c r="T1" s="6"/>
      <c r="U1" s="6"/>
      <c r="V1" s="6"/>
      <c r="W1" s="6"/>
      <c r="X1" s="6"/>
      <c r="Y1" s="6"/>
      <c r="Z1" s="6"/>
      <c r="AA1" s="6"/>
      <c r="AB1" s="6"/>
      <c r="AC1" s="6"/>
      <c r="AD1" s="6"/>
      <c r="AE1" s="6"/>
      <c r="AF1" s="6"/>
    </row>
    <row r="2">
      <c r="A2" s="10" t="s">
        <v>35</v>
      </c>
      <c r="B2" s="10" t="s">
        <v>38</v>
      </c>
      <c r="C2" s="14" t="s">
        <v>38</v>
      </c>
      <c r="D2" s="18" t="s">
        <v>42</v>
      </c>
      <c r="E2" s="20"/>
      <c r="F2" s="10" t="s">
        <v>59</v>
      </c>
      <c r="G2" s="10" t="s">
        <v>60</v>
      </c>
      <c r="H2" s="10" t="s">
        <v>62</v>
      </c>
      <c r="I2" s="10" t="s">
        <v>60</v>
      </c>
      <c r="J2" s="10" t="s">
        <v>65</v>
      </c>
      <c r="K2" s="10" t="str">
        <f t="shared" ref="K2:K4" si="1">CONCATENATE(C2," &gt; ",D2," &gt; ",E2," &gt; ",F2)</f>
        <v>AFOLU &gt; Source &gt;  &gt; Activity shift</v>
      </c>
      <c r="L2" s="10" t="s">
        <v>69</v>
      </c>
      <c r="M2" s="10" t="s">
        <v>70</v>
      </c>
      <c r="N2" s="6"/>
      <c r="O2" s="6"/>
      <c r="P2" s="6"/>
      <c r="Q2" s="6"/>
      <c r="R2" s="6"/>
      <c r="S2" s="6"/>
      <c r="T2" s="6"/>
      <c r="U2" s="6"/>
      <c r="V2" s="6"/>
      <c r="W2" s="6"/>
      <c r="X2" s="6"/>
      <c r="Y2" s="6"/>
      <c r="Z2" s="6"/>
      <c r="AA2" s="6"/>
      <c r="AB2" s="6"/>
      <c r="AC2" s="6"/>
      <c r="AD2" s="6"/>
      <c r="AE2" s="6"/>
      <c r="AF2" s="6"/>
    </row>
    <row r="3">
      <c r="A3" s="10" t="s">
        <v>35</v>
      </c>
      <c r="B3" s="10" t="s">
        <v>38</v>
      </c>
      <c r="C3" s="14" t="s">
        <v>38</v>
      </c>
      <c r="D3" s="18" t="s">
        <v>79</v>
      </c>
      <c r="E3" s="20"/>
      <c r="F3" s="10" t="s">
        <v>59</v>
      </c>
      <c r="G3" s="27" t="s">
        <v>60</v>
      </c>
      <c r="H3" s="10" t="s">
        <v>88</v>
      </c>
      <c r="I3" s="10" t="s">
        <v>60</v>
      </c>
      <c r="J3" s="10" t="s">
        <v>65</v>
      </c>
      <c r="K3" s="10" t="str">
        <f t="shared" si="1"/>
        <v>AFOLU &gt; Land &gt;  &gt; Activity shift</v>
      </c>
      <c r="L3" s="10" t="s">
        <v>89</v>
      </c>
      <c r="M3" s="10" t="s">
        <v>70</v>
      </c>
      <c r="N3" s="6"/>
      <c r="O3" s="6"/>
      <c r="P3" s="6"/>
      <c r="Q3" s="6"/>
      <c r="R3" s="6"/>
      <c r="S3" s="6"/>
      <c r="T3" s="6"/>
      <c r="U3" s="6"/>
      <c r="V3" s="6"/>
      <c r="W3" s="6"/>
      <c r="X3" s="6"/>
      <c r="Y3" s="6"/>
      <c r="Z3" s="6"/>
      <c r="AA3" s="6"/>
      <c r="AB3" s="6"/>
      <c r="AC3" s="6"/>
      <c r="AD3" s="6"/>
      <c r="AE3" s="6"/>
      <c r="AF3" s="6"/>
    </row>
    <row r="4">
      <c r="A4" s="10" t="s">
        <v>35</v>
      </c>
      <c r="B4" s="10" t="s">
        <v>38</v>
      </c>
      <c r="C4" s="14" t="s">
        <v>38</v>
      </c>
      <c r="D4" s="18" t="s">
        <v>97</v>
      </c>
      <c r="E4" s="20"/>
      <c r="F4" s="10" t="s">
        <v>59</v>
      </c>
      <c r="G4" s="27" t="s">
        <v>60</v>
      </c>
      <c r="H4" s="10" t="s">
        <v>116</v>
      </c>
      <c r="I4" s="10" t="s">
        <v>60</v>
      </c>
      <c r="J4" s="10" t="s">
        <v>65</v>
      </c>
      <c r="K4" s="10" t="str">
        <f t="shared" si="1"/>
        <v>AFOLU &gt; Livestock &gt;  &gt; Activity shift</v>
      </c>
      <c r="L4" s="10" t="s">
        <v>119</v>
      </c>
      <c r="M4" s="10" t="s">
        <v>70</v>
      </c>
      <c r="N4" s="6"/>
      <c r="O4" s="6"/>
      <c r="P4" s="6"/>
      <c r="Q4" s="6"/>
      <c r="R4" s="6"/>
      <c r="S4" s="6"/>
      <c r="T4" s="6"/>
      <c r="U4" s="6"/>
      <c r="V4" s="6"/>
      <c r="W4" s="6"/>
      <c r="X4" s="6"/>
      <c r="Y4" s="6"/>
      <c r="Z4" s="6"/>
      <c r="AA4" s="6"/>
      <c r="AB4" s="6"/>
      <c r="AC4" s="6"/>
      <c r="AD4" s="6"/>
      <c r="AE4" s="6"/>
      <c r="AF4" s="6"/>
    </row>
    <row r="5">
      <c r="A5" s="10" t="s">
        <v>35</v>
      </c>
      <c r="B5" s="10" t="s">
        <v>38</v>
      </c>
      <c r="C5" s="14" t="s">
        <v>38</v>
      </c>
      <c r="D5" s="18" t="s">
        <v>79</v>
      </c>
      <c r="E5" s="20"/>
      <c r="F5" s="20"/>
      <c r="G5" s="10" t="s">
        <v>60</v>
      </c>
      <c r="H5" s="14" t="s">
        <v>131</v>
      </c>
      <c r="I5" s="10" t="s">
        <v>60</v>
      </c>
      <c r="J5" s="10" t="s">
        <v>65</v>
      </c>
      <c r="K5" s="14" t="str">
        <f t="shared" ref="K5:K15" si="2">L5</f>
        <v>AFOLU&gt; synthetic-fertilizer-application - Adopt nitrification/urease inhibitors to cut N‚ÇÇO</v>
      </c>
      <c r="L5" s="14" t="s">
        <v>134</v>
      </c>
      <c r="M5" s="10" t="s">
        <v>70</v>
      </c>
      <c r="N5" s="6"/>
      <c r="O5" s="6"/>
      <c r="P5" s="6"/>
      <c r="Q5" s="6"/>
      <c r="R5" s="6"/>
      <c r="S5" s="6"/>
      <c r="T5" s="6"/>
      <c r="U5" s="6"/>
      <c r="V5" s="6"/>
      <c r="W5" s="6"/>
      <c r="X5" s="6"/>
      <c r="Y5" s="6"/>
      <c r="Z5" s="6"/>
      <c r="AA5" s="6"/>
      <c r="AB5" s="6"/>
      <c r="AC5" s="6"/>
      <c r="AD5" s="6"/>
      <c r="AE5" s="6"/>
      <c r="AF5" s="6"/>
    </row>
    <row r="6">
      <c r="A6" s="10" t="s">
        <v>35</v>
      </c>
      <c r="B6" s="10" t="s">
        <v>38</v>
      </c>
      <c r="C6" s="14" t="s">
        <v>38</v>
      </c>
      <c r="D6" s="18" t="s">
        <v>79</v>
      </c>
      <c r="E6" s="20"/>
      <c r="F6" s="20"/>
      <c r="G6" s="27" t="s">
        <v>60</v>
      </c>
      <c r="H6" s="14" t="s">
        <v>146</v>
      </c>
      <c r="I6" s="10" t="s">
        <v>60</v>
      </c>
      <c r="J6" s="10" t="s">
        <v>65</v>
      </c>
      <c r="K6" s="14" t="str">
        <f t="shared" si="2"/>
        <v>AFOLU&gt; rice-cultivation - Alternate wetting and drying</v>
      </c>
      <c r="L6" s="14" t="s">
        <v>148</v>
      </c>
      <c r="M6" s="10" t="s">
        <v>70</v>
      </c>
      <c r="N6" s="6"/>
      <c r="O6" s="6"/>
      <c r="P6" s="6"/>
      <c r="Q6" s="6"/>
      <c r="R6" s="6"/>
      <c r="S6" s="6"/>
      <c r="T6" s="6"/>
      <c r="U6" s="6"/>
      <c r="V6" s="6"/>
      <c r="W6" s="6"/>
      <c r="X6" s="6"/>
      <c r="Y6" s="6"/>
      <c r="Z6" s="6"/>
      <c r="AA6" s="6"/>
      <c r="AB6" s="6"/>
      <c r="AC6" s="6"/>
      <c r="AD6" s="6"/>
      <c r="AE6" s="6"/>
      <c r="AF6" s="6"/>
    </row>
    <row r="7">
      <c r="A7" s="10" t="s">
        <v>35</v>
      </c>
      <c r="B7" s="10" t="s">
        <v>38</v>
      </c>
      <c r="C7" s="14" t="s">
        <v>38</v>
      </c>
      <c r="D7" s="18" t="s">
        <v>79</v>
      </c>
      <c r="E7" s="20"/>
      <c r="F7" s="20"/>
      <c r="G7" s="10" t="s">
        <v>60</v>
      </c>
      <c r="H7" s="14" t="s">
        <v>168</v>
      </c>
      <c r="I7" s="10" t="s">
        <v>60</v>
      </c>
      <c r="J7" s="10" t="s">
        <v>65</v>
      </c>
      <c r="K7" s="14" t="str">
        <f t="shared" si="2"/>
        <v>AFOLU&gt; other-chemicals - Alternative fuel use and cleaner production</v>
      </c>
      <c r="L7" s="14" t="s">
        <v>171</v>
      </c>
      <c r="M7" s="10" t="s">
        <v>70</v>
      </c>
      <c r="N7" s="6"/>
      <c r="O7" s="6"/>
      <c r="P7" s="6"/>
      <c r="Q7" s="6"/>
      <c r="R7" s="6"/>
      <c r="S7" s="6"/>
      <c r="T7" s="6"/>
      <c r="U7" s="6"/>
      <c r="V7" s="6"/>
      <c r="W7" s="6"/>
      <c r="X7" s="6"/>
      <c r="Y7" s="6"/>
      <c r="Z7" s="6"/>
      <c r="AA7" s="6"/>
      <c r="AB7" s="6"/>
      <c r="AC7" s="6"/>
      <c r="AD7" s="6"/>
      <c r="AE7" s="6"/>
      <c r="AF7" s="6"/>
    </row>
    <row r="8">
      <c r="A8" s="10" t="s">
        <v>35</v>
      </c>
      <c r="B8" s="10" t="s">
        <v>38</v>
      </c>
      <c r="C8" s="14" t="s">
        <v>38</v>
      </c>
      <c r="D8" s="18" t="s">
        <v>79</v>
      </c>
      <c r="E8" s="20"/>
      <c r="F8" s="20"/>
      <c r="G8" s="27" t="s">
        <v>60</v>
      </c>
      <c r="H8" s="14" t="s">
        <v>189</v>
      </c>
      <c r="I8" s="10" t="s">
        <v>60</v>
      </c>
      <c r="J8" s="10" t="s">
        <v>65</v>
      </c>
      <c r="K8" s="14" t="str">
        <f t="shared" si="2"/>
        <v>AFOLU&gt; rice-cultivation - Balanced fertilizer composition</v>
      </c>
      <c r="L8" s="14" t="s">
        <v>193</v>
      </c>
      <c r="M8" s="10" t="s">
        <v>70</v>
      </c>
      <c r="N8" s="6"/>
      <c r="O8" s="6"/>
      <c r="P8" s="6"/>
      <c r="Q8" s="6"/>
      <c r="R8" s="6"/>
      <c r="S8" s="6"/>
      <c r="T8" s="6"/>
      <c r="U8" s="6"/>
      <c r="V8" s="6"/>
      <c r="W8" s="6"/>
      <c r="X8" s="6"/>
      <c r="Y8" s="6"/>
      <c r="Z8" s="6"/>
      <c r="AA8" s="6"/>
      <c r="AB8" s="6"/>
      <c r="AC8" s="6"/>
      <c r="AD8" s="6"/>
      <c r="AE8" s="6"/>
      <c r="AF8" s="6"/>
    </row>
    <row r="9">
      <c r="A9" s="10" t="s">
        <v>35</v>
      </c>
      <c r="B9" s="10" t="s">
        <v>38</v>
      </c>
      <c r="C9" s="14" t="s">
        <v>38</v>
      </c>
      <c r="D9" s="18" t="s">
        <v>97</v>
      </c>
      <c r="E9" s="20"/>
      <c r="F9" s="20"/>
      <c r="G9" s="27" t="s">
        <v>60</v>
      </c>
      <c r="H9" s="14" t="s">
        <v>216</v>
      </c>
      <c r="I9" s="10" t="s">
        <v>60</v>
      </c>
      <c r="J9" s="10" t="s">
        <v>65</v>
      </c>
      <c r="K9" s="14" t="str">
        <f t="shared" si="2"/>
        <v>AFOLU&gt; enteric-fermentation-cattle-pasture - Feed additives in cattle diet</v>
      </c>
      <c r="L9" s="14" t="s">
        <v>223</v>
      </c>
      <c r="M9" s="10" t="s">
        <v>70</v>
      </c>
      <c r="N9" s="6"/>
      <c r="O9" s="6"/>
      <c r="P9" s="6"/>
      <c r="Q9" s="6"/>
      <c r="R9" s="6"/>
      <c r="S9" s="6"/>
      <c r="T9" s="6"/>
      <c r="U9" s="6"/>
      <c r="V9" s="6"/>
      <c r="W9" s="6"/>
      <c r="X9" s="6"/>
      <c r="Y9" s="6"/>
      <c r="Z9" s="6"/>
      <c r="AA9" s="6"/>
      <c r="AB9" s="6"/>
      <c r="AC9" s="6"/>
      <c r="AD9" s="6"/>
      <c r="AE9" s="6"/>
      <c r="AF9" s="6"/>
    </row>
    <row r="10">
      <c r="A10" s="10" t="s">
        <v>35</v>
      </c>
      <c r="B10" s="10" t="s">
        <v>38</v>
      </c>
      <c r="C10" s="14" t="s">
        <v>38</v>
      </c>
      <c r="D10" s="18" t="s">
        <v>97</v>
      </c>
      <c r="E10" s="20"/>
      <c r="F10" s="20"/>
      <c r="G10" s="27" t="s">
        <v>60</v>
      </c>
      <c r="H10" s="14" t="s">
        <v>238</v>
      </c>
      <c r="I10" s="10" t="s">
        <v>60</v>
      </c>
      <c r="J10" s="10" t="s">
        <v>65</v>
      </c>
      <c r="K10" s="14" t="str">
        <f t="shared" si="2"/>
        <v>AFOLU&gt; enteric-fermentation-cattle-operation - Feed additives in cattle diet</v>
      </c>
      <c r="L10" s="14" t="s">
        <v>243</v>
      </c>
      <c r="M10" s="10" t="s">
        <v>70</v>
      </c>
      <c r="N10" s="6"/>
      <c r="O10" s="6"/>
      <c r="P10" s="6"/>
      <c r="Q10" s="6"/>
      <c r="R10" s="6"/>
      <c r="S10" s="6"/>
      <c r="T10" s="6"/>
      <c r="U10" s="6"/>
      <c r="V10" s="6"/>
      <c r="W10" s="6"/>
      <c r="X10" s="6"/>
      <c r="Y10" s="6"/>
      <c r="Z10" s="6"/>
      <c r="AA10" s="6"/>
      <c r="AB10" s="6"/>
      <c r="AC10" s="6"/>
      <c r="AD10" s="6"/>
      <c r="AE10" s="6"/>
      <c r="AF10" s="6"/>
    </row>
    <row r="11">
      <c r="A11" s="10" t="s">
        <v>35</v>
      </c>
      <c r="B11" s="10" t="s">
        <v>38</v>
      </c>
      <c r="C11" s="14" t="s">
        <v>38</v>
      </c>
      <c r="D11" s="18" t="s">
        <v>79</v>
      </c>
      <c r="E11" s="20"/>
      <c r="F11" s="20"/>
      <c r="G11" s="10" t="s">
        <v>60</v>
      </c>
      <c r="H11" s="14" t="s">
        <v>262</v>
      </c>
      <c r="I11" s="10" t="s">
        <v>60</v>
      </c>
      <c r="J11" s="10" t="s">
        <v>65</v>
      </c>
      <c r="K11" s="14" t="str">
        <f t="shared" si="2"/>
        <v>AFOLU&gt; forest-land-clearing - Forest restoration</v>
      </c>
      <c r="L11" s="14" t="s">
        <v>267</v>
      </c>
      <c r="M11" s="10" t="s">
        <v>70</v>
      </c>
      <c r="N11" s="6"/>
      <c r="O11" s="6"/>
      <c r="P11" s="6"/>
      <c r="Q11" s="6"/>
      <c r="R11" s="6"/>
      <c r="S11" s="6"/>
      <c r="T11" s="6"/>
      <c r="U11" s="6"/>
      <c r="V11" s="6"/>
      <c r="W11" s="6"/>
      <c r="X11" s="6"/>
      <c r="Y11" s="6"/>
      <c r="Z11" s="6"/>
      <c r="AA11" s="6"/>
      <c r="AB11" s="6"/>
      <c r="AC11" s="6"/>
      <c r="AD11" s="6"/>
      <c r="AE11" s="6"/>
      <c r="AF11" s="6"/>
    </row>
    <row r="12">
      <c r="A12" s="10" t="s">
        <v>35</v>
      </c>
      <c r="B12" s="10" t="s">
        <v>38</v>
      </c>
      <c r="C12" s="14" t="s">
        <v>38</v>
      </c>
      <c r="D12" s="18" t="s">
        <v>79</v>
      </c>
      <c r="E12" s="20"/>
      <c r="F12" s="20"/>
      <c r="G12" s="10" t="s">
        <v>60</v>
      </c>
      <c r="H12" s="14" t="s">
        <v>279</v>
      </c>
      <c r="I12" s="10" t="s">
        <v>60</v>
      </c>
      <c r="J12" s="10" t="s">
        <v>65</v>
      </c>
      <c r="K12" s="14" t="str">
        <f t="shared" si="2"/>
        <v>AFOLU&gt; manure-applied-to-soils - Inject slurry below surface</v>
      </c>
      <c r="L12" s="14" t="s">
        <v>283</v>
      </c>
      <c r="M12" s="10" t="s">
        <v>70</v>
      </c>
      <c r="N12" s="6"/>
      <c r="O12" s="6"/>
      <c r="P12" s="6"/>
      <c r="Q12" s="6"/>
      <c r="R12" s="6"/>
      <c r="S12" s="6"/>
      <c r="T12" s="6"/>
      <c r="U12" s="6"/>
      <c r="V12" s="6"/>
      <c r="W12" s="6"/>
      <c r="X12" s="6"/>
      <c r="Y12" s="6"/>
      <c r="Z12" s="6"/>
      <c r="AA12" s="6"/>
      <c r="AB12" s="6"/>
      <c r="AC12" s="6"/>
      <c r="AD12" s="6"/>
      <c r="AE12" s="6"/>
      <c r="AF12" s="6"/>
    </row>
    <row r="13">
      <c r="A13" s="10" t="s">
        <v>35</v>
      </c>
      <c r="B13" s="10" t="s">
        <v>38</v>
      </c>
      <c r="C13" s="14" t="s">
        <v>38</v>
      </c>
      <c r="D13" s="18" t="s">
        <v>79</v>
      </c>
      <c r="E13" s="20"/>
      <c r="F13" s="20"/>
      <c r="G13" s="10" t="s">
        <v>60</v>
      </c>
      <c r="H13" s="14" t="s">
        <v>297</v>
      </c>
      <c r="I13" s="10" t="s">
        <v>60</v>
      </c>
      <c r="J13" s="10" t="s">
        <v>65</v>
      </c>
      <c r="K13" s="14" t="str">
        <f t="shared" si="2"/>
        <v>AFOLU&gt; crop-residues - Residue management with low C:N under 25</v>
      </c>
      <c r="L13" s="14" t="s">
        <v>300</v>
      </c>
      <c r="M13" s="10" t="s">
        <v>70</v>
      </c>
      <c r="N13" s="6"/>
      <c r="O13" s="6"/>
      <c r="P13" s="6"/>
      <c r="Q13" s="6"/>
      <c r="R13" s="6"/>
      <c r="S13" s="6"/>
      <c r="T13" s="6"/>
      <c r="U13" s="6"/>
      <c r="V13" s="6"/>
      <c r="W13" s="6"/>
      <c r="X13" s="6"/>
      <c r="Y13" s="6"/>
      <c r="Z13" s="6"/>
      <c r="AA13" s="6"/>
      <c r="AB13" s="6"/>
      <c r="AC13" s="6"/>
      <c r="AD13" s="6"/>
      <c r="AE13" s="6"/>
      <c r="AF13" s="6"/>
    </row>
    <row r="14">
      <c r="A14" s="10" t="s">
        <v>35</v>
      </c>
      <c r="B14" s="10" t="s">
        <v>38</v>
      </c>
      <c r="C14" s="14" t="s">
        <v>38</v>
      </c>
      <c r="D14" s="18" t="s">
        <v>79</v>
      </c>
      <c r="E14" s="20"/>
      <c r="F14" s="20"/>
      <c r="G14" s="10" t="s">
        <v>60</v>
      </c>
      <c r="H14" s="14" t="s">
        <v>315</v>
      </c>
      <c r="I14" s="10" t="s">
        <v>60</v>
      </c>
      <c r="J14" s="10" t="s">
        <v>65</v>
      </c>
      <c r="K14" s="14" t="str">
        <f t="shared" si="2"/>
        <v>AFOLU&gt; cropland-fires - Residue Removal without burning</v>
      </c>
      <c r="L14" s="14" t="s">
        <v>316</v>
      </c>
      <c r="M14" s="10" t="s">
        <v>70</v>
      </c>
      <c r="N14" s="6"/>
      <c r="O14" s="6"/>
      <c r="P14" s="6"/>
      <c r="Q14" s="6"/>
      <c r="R14" s="6"/>
      <c r="S14" s="6"/>
      <c r="T14" s="6"/>
      <c r="U14" s="6"/>
      <c r="V14" s="6"/>
      <c r="W14" s="6"/>
      <c r="X14" s="6"/>
      <c r="Y14" s="6"/>
      <c r="Z14" s="6"/>
      <c r="AA14" s="6"/>
      <c r="AB14" s="6"/>
      <c r="AC14" s="6"/>
      <c r="AD14" s="6"/>
      <c r="AE14" s="6"/>
      <c r="AF14" s="6"/>
    </row>
    <row r="15">
      <c r="A15" s="10" t="s">
        <v>35</v>
      </c>
      <c r="B15" s="10" t="s">
        <v>38</v>
      </c>
      <c r="C15" s="14" t="s">
        <v>38</v>
      </c>
      <c r="D15" s="18" t="s">
        <v>97</v>
      </c>
      <c r="E15" s="20"/>
      <c r="F15" s="20"/>
      <c r="G15" s="10" t="s">
        <v>60</v>
      </c>
      <c r="H15" s="14" t="s">
        <v>317</v>
      </c>
      <c r="I15" s="10" t="s">
        <v>60</v>
      </c>
      <c r="J15" s="10" t="s">
        <v>65</v>
      </c>
      <c r="K15" s="14" t="str">
        <f t="shared" si="2"/>
        <v>AFOLU&gt; manure-management-cattle-operation - Shift manure management method</v>
      </c>
      <c r="L15" s="14" t="s">
        <v>318</v>
      </c>
      <c r="M15" s="10" t="s">
        <v>70</v>
      </c>
      <c r="N15" s="6"/>
      <c r="O15" s="6"/>
      <c r="P15" s="6"/>
      <c r="Q15" s="6"/>
      <c r="R15" s="6"/>
      <c r="S15" s="6"/>
      <c r="T15" s="6"/>
      <c r="U15" s="6"/>
      <c r="V15" s="6"/>
      <c r="W15" s="6"/>
      <c r="X15" s="6"/>
      <c r="Y15" s="6"/>
      <c r="Z15" s="6"/>
      <c r="AA15" s="6"/>
      <c r="AB15" s="6"/>
      <c r="AC15" s="6"/>
      <c r="AD15" s="6"/>
      <c r="AE15" s="6"/>
      <c r="AF15" s="6"/>
    </row>
    <row r="16">
      <c r="A16" s="10" t="s">
        <v>35</v>
      </c>
      <c r="B16" s="10" t="s">
        <v>319</v>
      </c>
      <c r="C16" s="14" t="s">
        <v>101</v>
      </c>
      <c r="D16" s="18" t="s">
        <v>320</v>
      </c>
      <c r="E16" s="10" t="s">
        <v>321</v>
      </c>
      <c r="F16" s="10" t="s">
        <v>322</v>
      </c>
      <c r="G16" s="10" t="s">
        <v>323</v>
      </c>
      <c r="H16" s="10" t="s">
        <v>324</v>
      </c>
      <c r="I16" s="10" t="s">
        <v>325</v>
      </c>
      <c r="J16" s="10" t="s">
        <v>326</v>
      </c>
      <c r="K16" s="10" t="str">
        <f t="shared" ref="K16:K19" si="3">CONCATENATE(C16," &gt; ",D16," &gt; ",E16," &gt; ",F16)</f>
        <v>Residential &gt; Flat &gt; Heating &gt; Fuel shift</v>
      </c>
      <c r="L16" s="10" t="str">
        <f t="shared" ref="L16:L19" si="4">CONCATENATE(C16," &gt; ",D16," &gt; ",E16," &gt; ",F16)</f>
        <v>Residential &gt; Flat &gt; Heating &gt; Fuel shift</v>
      </c>
      <c r="M16" s="10" t="s">
        <v>327</v>
      </c>
      <c r="N16" s="6"/>
      <c r="O16" s="6"/>
      <c r="P16" s="6"/>
      <c r="Q16" s="6"/>
      <c r="R16" s="6"/>
      <c r="S16" s="6"/>
      <c r="T16" s="6"/>
      <c r="U16" s="6"/>
      <c r="V16" s="6"/>
      <c r="W16" s="6"/>
      <c r="X16" s="6"/>
      <c r="Y16" s="6"/>
      <c r="Z16" s="6"/>
      <c r="AA16" s="6"/>
      <c r="AB16" s="6"/>
      <c r="AC16" s="6"/>
      <c r="AD16" s="6"/>
      <c r="AE16" s="6"/>
      <c r="AF16" s="6"/>
    </row>
    <row r="17">
      <c r="A17" s="10" t="s">
        <v>35</v>
      </c>
      <c r="B17" s="10" t="s">
        <v>319</v>
      </c>
      <c r="C17" s="14" t="s">
        <v>101</v>
      </c>
      <c r="D17" s="18" t="s">
        <v>320</v>
      </c>
      <c r="E17" s="10" t="s">
        <v>321</v>
      </c>
      <c r="F17" s="10" t="s">
        <v>322</v>
      </c>
      <c r="G17" s="10" t="s">
        <v>328</v>
      </c>
      <c r="H17" s="10" t="s">
        <v>329</v>
      </c>
      <c r="I17" s="10" t="s">
        <v>330</v>
      </c>
      <c r="J17" s="10" t="s">
        <v>326</v>
      </c>
      <c r="K17" s="10" t="str">
        <f t="shared" si="3"/>
        <v>Residential &gt; Flat &gt; Heating &gt; Fuel shift</v>
      </c>
      <c r="L17" s="10" t="str">
        <f t="shared" si="4"/>
        <v>Residential &gt; Flat &gt; Heating &gt; Fuel shift</v>
      </c>
      <c r="M17" s="10" t="s">
        <v>327</v>
      </c>
      <c r="N17" s="6"/>
      <c r="O17" s="6"/>
      <c r="P17" s="6"/>
      <c r="Q17" s="6"/>
      <c r="R17" s="6"/>
      <c r="S17" s="6"/>
      <c r="T17" s="6"/>
      <c r="U17" s="6"/>
      <c r="V17" s="6"/>
      <c r="W17" s="6"/>
      <c r="X17" s="6"/>
      <c r="Y17" s="6"/>
      <c r="Z17" s="6"/>
      <c r="AA17" s="6"/>
      <c r="AB17" s="6"/>
      <c r="AC17" s="6"/>
      <c r="AD17" s="6"/>
      <c r="AE17" s="6"/>
      <c r="AF17" s="6"/>
    </row>
    <row r="18">
      <c r="A18" s="10" t="s">
        <v>35</v>
      </c>
      <c r="B18" s="10" t="s">
        <v>319</v>
      </c>
      <c r="C18" s="14" t="s">
        <v>101</v>
      </c>
      <c r="D18" s="18" t="s">
        <v>320</v>
      </c>
      <c r="E18" s="10" t="s">
        <v>331</v>
      </c>
      <c r="F18" s="10" t="s">
        <v>332</v>
      </c>
      <c r="G18" s="10" t="s">
        <v>333</v>
      </c>
      <c r="H18" s="10" t="s">
        <v>334</v>
      </c>
      <c r="I18" s="10" t="s">
        <v>335</v>
      </c>
      <c r="J18" s="10" t="s">
        <v>326</v>
      </c>
      <c r="K18" s="10" t="str">
        <f t="shared" si="3"/>
        <v>Residential &gt; Flat &gt; Cooling &gt; Technology shift</v>
      </c>
      <c r="L18" s="10" t="str">
        <f t="shared" si="4"/>
        <v>Residential &gt; Flat &gt; Cooling &gt; Technology shift</v>
      </c>
      <c r="M18" s="10" t="s">
        <v>327</v>
      </c>
      <c r="N18" s="6"/>
      <c r="O18" s="6"/>
      <c r="P18" s="6"/>
      <c r="Q18" s="6"/>
      <c r="R18" s="6"/>
      <c r="S18" s="6"/>
      <c r="T18" s="6"/>
      <c r="U18" s="6"/>
      <c r="V18" s="6"/>
      <c r="W18" s="6"/>
      <c r="X18" s="6"/>
      <c r="Y18" s="6"/>
      <c r="Z18" s="6"/>
      <c r="AA18" s="6"/>
      <c r="AB18" s="6"/>
      <c r="AC18" s="6"/>
      <c r="AD18" s="6"/>
      <c r="AE18" s="6"/>
      <c r="AF18" s="6"/>
    </row>
    <row r="19">
      <c r="A19" s="10" t="s">
        <v>35</v>
      </c>
      <c r="B19" s="10" t="s">
        <v>319</v>
      </c>
      <c r="C19" s="14" t="s">
        <v>101</v>
      </c>
      <c r="D19" s="18" t="s">
        <v>320</v>
      </c>
      <c r="E19" s="10" t="s">
        <v>336</v>
      </c>
      <c r="F19" s="10" t="s">
        <v>322</v>
      </c>
      <c r="G19" s="10" t="s">
        <v>337</v>
      </c>
      <c r="H19" s="10" t="s">
        <v>338</v>
      </c>
      <c r="I19" s="10" t="s">
        <v>339</v>
      </c>
      <c r="J19" s="10" t="s">
        <v>326</v>
      </c>
      <c r="K19" s="10" t="str">
        <f t="shared" si="3"/>
        <v>Residential &gt; Flat &gt; Water heating &gt; Fuel shift</v>
      </c>
      <c r="L19" s="10" t="str">
        <f t="shared" si="4"/>
        <v>Residential &gt; Flat &gt; Water heating &gt; Fuel shift</v>
      </c>
      <c r="M19" s="10" t="s">
        <v>327</v>
      </c>
      <c r="N19" s="6"/>
      <c r="O19" s="6"/>
      <c r="P19" s="6"/>
      <c r="Q19" s="6"/>
      <c r="R19" s="6"/>
      <c r="S19" s="6"/>
      <c r="T19" s="6"/>
      <c r="U19" s="6"/>
      <c r="V19" s="6"/>
      <c r="W19" s="6"/>
      <c r="X19" s="6"/>
      <c r="Y19" s="6"/>
      <c r="Z19" s="6"/>
      <c r="AA19" s="6"/>
      <c r="AB19" s="6"/>
      <c r="AC19" s="6"/>
      <c r="AD19" s="6"/>
      <c r="AE19" s="6"/>
      <c r="AF19" s="6"/>
    </row>
    <row r="20">
      <c r="A20" s="10" t="s">
        <v>35</v>
      </c>
      <c r="B20" s="10" t="s">
        <v>319</v>
      </c>
      <c r="C20" s="14" t="s">
        <v>101</v>
      </c>
      <c r="D20" s="18" t="s">
        <v>320</v>
      </c>
      <c r="E20" s="10" t="s">
        <v>321</v>
      </c>
      <c r="F20" s="27" t="s">
        <v>322</v>
      </c>
      <c r="G20" s="10" t="s">
        <v>340</v>
      </c>
      <c r="H20" s="10" t="s">
        <v>341</v>
      </c>
      <c r="I20" s="10" t="s">
        <v>342</v>
      </c>
      <c r="J20" s="10" t="s">
        <v>343</v>
      </c>
      <c r="K20" s="20"/>
      <c r="L20" s="10" t="s">
        <v>344</v>
      </c>
      <c r="M20" s="10" t="s">
        <v>60</v>
      </c>
      <c r="N20" s="6"/>
      <c r="O20" s="6"/>
      <c r="P20" s="6"/>
      <c r="Q20" s="6"/>
      <c r="R20" s="6"/>
      <c r="S20" s="6"/>
      <c r="T20" s="6"/>
      <c r="U20" s="6"/>
      <c r="V20" s="6"/>
      <c r="W20" s="6"/>
      <c r="X20" s="6"/>
      <c r="Y20" s="6"/>
      <c r="Z20" s="6"/>
      <c r="AA20" s="6"/>
      <c r="AB20" s="6"/>
      <c r="AC20" s="6"/>
      <c r="AD20" s="6"/>
      <c r="AE20" s="6"/>
      <c r="AF20" s="6"/>
    </row>
    <row r="21">
      <c r="A21" s="10" t="s">
        <v>35</v>
      </c>
      <c r="B21" s="10" t="s">
        <v>319</v>
      </c>
      <c r="C21" s="14" t="s">
        <v>101</v>
      </c>
      <c r="D21" s="18" t="s">
        <v>320</v>
      </c>
      <c r="E21" s="10" t="s">
        <v>321</v>
      </c>
      <c r="F21" s="10" t="s">
        <v>59</v>
      </c>
      <c r="G21" s="27" t="s">
        <v>345</v>
      </c>
      <c r="H21" s="10" t="s">
        <v>346</v>
      </c>
      <c r="I21" s="10" t="s">
        <v>347</v>
      </c>
      <c r="J21" s="10" t="s">
        <v>326</v>
      </c>
      <c r="K21" s="10" t="str">
        <f>CONCATENATE(C21," &gt; ",D21," &gt; ",E21," &gt; ",F21)</f>
        <v>Residential &gt; Flat &gt; Heating &gt; Activity shift</v>
      </c>
      <c r="L21" s="10" t="str">
        <f>CONCATENATE(C21," &gt; ",D21," &gt; ",E21," &gt; ",F21)</f>
        <v>Residential &gt; Flat &gt; Heating &gt; Activity shift</v>
      </c>
      <c r="M21" s="10" t="s">
        <v>327</v>
      </c>
      <c r="N21" s="6"/>
      <c r="O21" s="6"/>
      <c r="P21" s="6"/>
      <c r="Q21" s="6"/>
      <c r="R21" s="6"/>
      <c r="S21" s="6"/>
      <c r="T21" s="6"/>
      <c r="U21" s="6"/>
      <c r="V21" s="6"/>
      <c r="W21" s="6"/>
      <c r="X21" s="6"/>
      <c r="Y21" s="6"/>
      <c r="Z21" s="6"/>
      <c r="AA21" s="6"/>
      <c r="AB21" s="6"/>
      <c r="AC21" s="6"/>
      <c r="AD21" s="6"/>
      <c r="AE21" s="6"/>
      <c r="AF21" s="6"/>
    </row>
    <row r="22">
      <c r="A22" s="10" t="s">
        <v>35</v>
      </c>
      <c r="B22" s="10" t="s">
        <v>319</v>
      </c>
      <c r="C22" s="14" t="s">
        <v>101</v>
      </c>
      <c r="D22" s="18" t="s">
        <v>320</v>
      </c>
      <c r="E22" s="10" t="s">
        <v>331</v>
      </c>
      <c r="F22" s="10" t="s">
        <v>348</v>
      </c>
      <c r="G22" s="27" t="s">
        <v>349</v>
      </c>
      <c r="H22" s="10" t="s">
        <v>350</v>
      </c>
      <c r="I22" s="10" t="s">
        <v>351</v>
      </c>
      <c r="J22" s="10" t="s">
        <v>343</v>
      </c>
      <c r="K22" s="20"/>
      <c r="L22" s="10" t="s">
        <v>352</v>
      </c>
      <c r="M22" s="10" t="s">
        <v>60</v>
      </c>
      <c r="N22" s="6"/>
      <c r="O22" s="6"/>
      <c r="P22" s="6"/>
      <c r="Q22" s="6"/>
      <c r="R22" s="6"/>
      <c r="S22" s="6"/>
      <c r="T22" s="6"/>
      <c r="U22" s="6"/>
      <c r="V22" s="6"/>
      <c r="W22" s="6"/>
      <c r="X22" s="6"/>
      <c r="Y22" s="6"/>
      <c r="Z22" s="6"/>
      <c r="AA22" s="6"/>
      <c r="AB22" s="6"/>
      <c r="AC22" s="6"/>
      <c r="AD22" s="6"/>
      <c r="AE22" s="6"/>
      <c r="AF22" s="6"/>
    </row>
    <row r="23">
      <c r="A23" s="10" t="s">
        <v>35</v>
      </c>
      <c r="B23" s="10" t="s">
        <v>319</v>
      </c>
      <c r="C23" s="14" t="s">
        <v>101</v>
      </c>
      <c r="D23" s="18" t="s">
        <v>320</v>
      </c>
      <c r="E23" s="10" t="s">
        <v>331</v>
      </c>
      <c r="F23" s="10" t="s">
        <v>332</v>
      </c>
      <c r="G23" s="10" t="s">
        <v>353</v>
      </c>
      <c r="H23" s="10" t="s">
        <v>354</v>
      </c>
      <c r="I23" s="10" t="s">
        <v>355</v>
      </c>
      <c r="J23" s="10" t="s">
        <v>326</v>
      </c>
      <c r="K23" s="10" t="str">
        <f t="shared" ref="K23:K31" si="5">CONCATENATE(C23," &gt; ",D23," &gt; ",E23," &gt; ",F23)</f>
        <v>Residential &gt; Flat &gt; Cooling &gt; Technology shift</v>
      </c>
      <c r="L23" s="10" t="str">
        <f t="shared" ref="L23:L31" si="6">CONCATENATE(C23," &gt; ",D23," &gt; ",E23," &gt; ",F23)</f>
        <v>Residential &gt; Flat &gt; Cooling &gt; Technology shift</v>
      </c>
      <c r="M23" s="10" t="s">
        <v>327</v>
      </c>
      <c r="N23" s="6"/>
      <c r="O23" s="6"/>
      <c r="P23" s="6"/>
      <c r="Q23" s="6"/>
      <c r="R23" s="6"/>
      <c r="S23" s="6"/>
      <c r="T23" s="6"/>
      <c r="U23" s="6"/>
      <c r="V23" s="6"/>
      <c r="W23" s="6"/>
      <c r="X23" s="6"/>
      <c r="Y23" s="6"/>
      <c r="Z23" s="6"/>
      <c r="AA23" s="6"/>
      <c r="AB23" s="6"/>
      <c r="AC23" s="6"/>
      <c r="AD23" s="6"/>
      <c r="AE23" s="6"/>
      <c r="AF23" s="6"/>
    </row>
    <row r="24">
      <c r="A24" s="10" t="s">
        <v>35</v>
      </c>
      <c r="B24" s="10" t="s">
        <v>319</v>
      </c>
      <c r="C24" s="14" t="s">
        <v>101</v>
      </c>
      <c r="D24" s="18" t="s">
        <v>320</v>
      </c>
      <c r="E24" s="10" t="s">
        <v>331</v>
      </c>
      <c r="F24" s="10" t="s">
        <v>59</v>
      </c>
      <c r="G24" s="27" t="s">
        <v>356</v>
      </c>
      <c r="H24" s="10" t="s">
        <v>357</v>
      </c>
      <c r="I24" s="10" t="s">
        <v>358</v>
      </c>
      <c r="J24" s="10" t="s">
        <v>326</v>
      </c>
      <c r="K24" s="10" t="str">
        <f t="shared" si="5"/>
        <v>Residential &gt; Flat &gt; Cooling &gt; Activity shift</v>
      </c>
      <c r="L24" s="10" t="str">
        <f t="shared" si="6"/>
        <v>Residential &gt; Flat &gt; Cooling &gt; Activity shift</v>
      </c>
      <c r="M24" s="10" t="s">
        <v>327</v>
      </c>
      <c r="N24" s="6"/>
      <c r="O24" s="6"/>
      <c r="P24" s="6"/>
      <c r="Q24" s="6"/>
      <c r="R24" s="6"/>
      <c r="S24" s="6"/>
      <c r="T24" s="6"/>
      <c r="U24" s="6"/>
      <c r="V24" s="6"/>
      <c r="W24" s="6"/>
      <c r="X24" s="6"/>
      <c r="Y24" s="6"/>
      <c r="Z24" s="6"/>
      <c r="AA24" s="6"/>
      <c r="AB24" s="6"/>
      <c r="AC24" s="6"/>
      <c r="AD24" s="6"/>
      <c r="AE24" s="6"/>
      <c r="AF24" s="6"/>
    </row>
    <row r="25">
      <c r="A25" s="10" t="s">
        <v>35</v>
      </c>
      <c r="B25" s="10" t="s">
        <v>319</v>
      </c>
      <c r="C25" s="14" t="s">
        <v>101</v>
      </c>
      <c r="D25" s="18" t="s">
        <v>320</v>
      </c>
      <c r="E25" s="10" t="s">
        <v>336</v>
      </c>
      <c r="F25" s="10" t="s">
        <v>322</v>
      </c>
      <c r="G25" s="10" t="s">
        <v>60</v>
      </c>
      <c r="H25" s="10" t="s">
        <v>359</v>
      </c>
      <c r="I25" s="10" t="s">
        <v>60</v>
      </c>
      <c r="J25" s="10" t="s">
        <v>65</v>
      </c>
      <c r="K25" s="10" t="str">
        <f t="shared" si="5"/>
        <v>Residential &gt; Flat &gt; Water heating &gt; Fuel shift</v>
      </c>
      <c r="L25" s="10" t="str">
        <f t="shared" si="6"/>
        <v>Residential &gt; Flat &gt; Water heating &gt; Fuel shift</v>
      </c>
      <c r="M25" s="10" t="s">
        <v>327</v>
      </c>
      <c r="N25" s="6"/>
      <c r="O25" s="6"/>
      <c r="P25" s="6"/>
      <c r="Q25" s="6"/>
      <c r="R25" s="6"/>
      <c r="S25" s="6"/>
      <c r="T25" s="6"/>
      <c r="U25" s="6"/>
      <c r="V25" s="6"/>
      <c r="W25" s="6"/>
      <c r="X25" s="6"/>
      <c r="Y25" s="6"/>
      <c r="Z25" s="6"/>
      <c r="AA25" s="6"/>
      <c r="AB25" s="6"/>
      <c r="AC25" s="6"/>
      <c r="AD25" s="6"/>
      <c r="AE25" s="6"/>
      <c r="AF25" s="6"/>
    </row>
    <row r="26">
      <c r="A26" s="10" t="s">
        <v>35</v>
      </c>
      <c r="B26" s="10" t="s">
        <v>319</v>
      </c>
      <c r="C26" s="14" t="s">
        <v>101</v>
      </c>
      <c r="D26" s="10" t="s">
        <v>320</v>
      </c>
      <c r="E26" s="10" t="s">
        <v>336</v>
      </c>
      <c r="F26" s="10" t="s">
        <v>332</v>
      </c>
      <c r="G26" s="10" t="s">
        <v>60</v>
      </c>
      <c r="H26" s="10" t="s">
        <v>360</v>
      </c>
      <c r="I26" s="10" t="s">
        <v>60</v>
      </c>
      <c r="J26" s="10" t="s">
        <v>65</v>
      </c>
      <c r="K26" s="10" t="str">
        <f t="shared" si="5"/>
        <v>Residential &gt; Flat &gt; Water heating &gt; Technology shift</v>
      </c>
      <c r="L26" s="10" t="str">
        <f t="shared" si="6"/>
        <v>Residential &gt; Flat &gt; Water heating &gt; Technology shift</v>
      </c>
      <c r="M26" s="10" t="s">
        <v>327</v>
      </c>
      <c r="N26" s="6"/>
      <c r="O26" s="6"/>
      <c r="P26" s="6"/>
      <c r="Q26" s="6"/>
      <c r="R26" s="6"/>
      <c r="S26" s="6"/>
      <c r="T26" s="6"/>
      <c r="U26" s="6"/>
      <c r="V26" s="6"/>
      <c r="W26" s="6"/>
      <c r="X26" s="6"/>
      <c r="Y26" s="6"/>
      <c r="Z26" s="6"/>
      <c r="AA26" s="6"/>
      <c r="AB26" s="6"/>
      <c r="AC26" s="6"/>
      <c r="AD26" s="6"/>
      <c r="AE26" s="6"/>
      <c r="AF26" s="6"/>
    </row>
    <row r="27">
      <c r="A27" s="10" t="s">
        <v>35</v>
      </c>
      <c r="B27" s="10" t="s">
        <v>319</v>
      </c>
      <c r="C27" s="14" t="s">
        <v>101</v>
      </c>
      <c r="D27" s="10" t="s">
        <v>320</v>
      </c>
      <c r="E27" s="10" t="s">
        <v>336</v>
      </c>
      <c r="F27" s="10" t="s">
        <v>59</v>
      </c>
      <c r="G27" s="10" t="s">
        <v>60</v>
      </c>
      <c r="H27" s="10" t="s">
        <v>361</v>
      </c>
      <c r="I27" s="10" t="s">
        <v>60</v>
      </c>
      <c r="J27" s="10" t="s">
        <v>65</v>
      </c>
      <c r="K27" s="10" t="str">
        <f t="shared" si="5"/>
        <v>Residential &gt; Flat &gt; Water heating &gt; Activity shift</v>
      </c>
      <c r="L27" s="10" t="str">
        <f t="shared" si="6"/>
        <v>Residential &gt; Flat &gt; Water heating &gt; Activity shift</v>
      </c>
      <c r="M27" s="10" t="s">
        <v>327</v>
      </c>
      <c r="N27" s="6"/>
      <c r="O27" s="6"/>
      <c r="P27" s="6"/>
      <c r="Q27" s="6"/>
      <c r="R27" s="6"/>
      <c r="S27" s="6"/>
      <c r="T27" s="6"/>
      <c r="U27" s="6"/>
      <c r="V27" s="6"/>
      <c r="W27" s="6"/>
      <c r="X27" s="6"/>
      <c r="Y27" s="6"/>
      <c r="Z27" s="6"/>
      <c r="AA27" s="6"/>
      <c r="AB27" s="6"/>
      <c r="AC27" s="6"/>
      <c r="AD27" s="6"/>
      <c r="AE27" s="6"/>
      <c r="AF27" s="6"/>
    </row>
    <row r="28">
      <c r="A28" s="10" t="s">
        <v>35</v>
      </c>
      <c r="B28" s="10" t="s">
        <v>319</v>
      </c>
      <c r="C28" s="14" t="s">
        <v>101</v>
      </c>
      <c r="D28" s="10" t="s">
        <v>362</v>
      </c>
      <c r="E28" s="10" t="s">
        <v>321</v>
      </c>
      <c r="F28" s="10" t="s">
        <v>322</v>
      </c>
      <c r="G28" s="27" t="s">
        <v>363</v>
      </c>
      <c r="H28" s="10" t="s">
        <v>364</v>
      </c>
      <c r="I28" s="10" t="s">
        <v>365</v>
      </c>
      <c r="J28" s="10" t="s">
        <v>326</v>
      </c>
      <c r="K28" s="10" t="str">
        <f t="shared" si="5"/>
        <v>Residential &gt; House &gt; Heating &gt; Fuel shift</v>
      </c>
      <c r="L28" s="10" t="str">
        <f t="shared" si="6"/>
        <v>Residential &gt; House &gt; Heating &gt; Fuel shift</v>
      </c>
      <c r="M28" s="10" t="s">
        <v>327</v>
      </c>
      <c r="N28" s="6"/>
      <c r="O28" s="6"/>
      <c r="P28" s="6"/>
      <c r="Q28" s="6"/>
      <c r="R28" s="6"/>
      <c r="S28" s="6"/>
      <c r="T28" s="6"/>
      <c r="U28" s="6"/>
      <c r="V28" s="6"/>
      <c r="W28" s="6"/>
      <c r="X28" s="6"/>
      <c r="Y28" s="6"/>
      <c r="Z28" s="6"/>
      <c r="AA28" s="6"/>
      <c r="AB28" s="6"/>
      <c r="AC28" s="6"/>
      <c r="AD28" s="6"/>
      <c r="AE28" s="6"/>
      <c r="AF28" s="6"/>
    </row>
    <row r="29">
      <c r="A29" s="10" t="s">
        <v>35</v>
      </c>
      <c r="B29" s="10" t="s">
        <v>319</v>
      </c>
      <c r="C29" s="14" t="s">
        <v>101</v>
      </c>
      <c r="D29" s="10" t="s">
        <v>362</v>
      </c>
      <c r="E29" s="10" t="s">
        <v>321</v>
      </c>
      <c r="F29" s="10" t="s">
        <v>322</v>
      </c>
      <c r="G29" s="27" t="s">
        <v>366</v>
      </c>
      <c r="H29" s="10" t="s">
        <v>367</v>
      </c>
      <c r="I29" s="10" t="s">
        <v>368</v>
      </c>
      <c r="J29" s="10" t="s">
        <v>326</v>
      </c>
      <c r="K29" s="10" t="str">
        <f t="shared" si="5"/>
        <v>Residential &gt; House &gt; Heating &gt; Fuel shift</v>
      </c>
      <c r="L29" s="10" t="str">
        <f t="shared" si="6"/>
        <v>Residential &gt; House &gt; Heating &gt; Fuel shift</v>
      </c>
      <c r="M29" s="10" t="s">
        <v>327</v>
      </c>
      <c r="N29" s="6"/>
      <c r="O29" s="6"/>
      <c r="P29" s="6"/>
      <c r="Q29" s="6"/>
      <c r="R29" s="6"/>
      <c r="S29" s="6"/>
      <c r="T29" s="6"/>
      <c r="U29" s="6"/>
      <c r="V29" s="6"/>
      <c r="W29" s="6"/>
      <c r="X29" s="6"/>
      <c r="Y29" s="6"/>
      <c r="Z29" s="6"/>
      <c r="AA29" s="6"/>
      <c r="AB29" s="6"/>
      <c r="AC29" s="6"/>
      <c r="AD29" s="6"/>
      <c r="AE29" s="6"/>
      <c r="AF29" s="6"/>
    </row>
    <row r="30">
      <c r="A30" s="10" t="s">
        <v>35</v>
      </c>
      <c r="B30" s="10" t="s">
        <v>319</v>
      </c>
      <c r="C30" s="14" t="s">
        <v>101</v>
      </c>
      <c r="D30" s="10" t="s">
        <v>362</v>
      </c>
      <c r="E30" s="10" t="s">
        <v>331</v>
      </c>
      <c r="F30" s="10" t="s">
        <v>332</v>
      </c>
      <c r="G30" s="27" t="s">
        <v>369</v>
      </c>
      <c r="H30" s="10" t="s">
        <v>370</v>
      </c>
      <c r="I30" s="10" t="s">
        <v>371</v>
      </c>
      <c r="J30" s="10" t="s">
        <v>326</v>
      </c>
      <c r="K30" s="10" t="str">
        <f t="shared" si="5"/>
        <v>Residential &gt; House &gt; Cooling &gt; Technology shift</v>
      </c>
      <c r="L30" s="10" t="str">
        <f t="shared" si="6"/>
        <v>Residential &gt; House &gt; Cooling &gt; Technology shift</v>
      </c>
      <c r="M30" s="10" t="s">
        <v>327</v>
      </c>
      <c r="N30" s="6"/>
      <c r="O30" s="6"/>
      <c r="P30" s="6"/>
      <c r="Q30" s="6"/>
      <c r="R30" s="6"/>
      <c r="S30" s="6"/>
      <c r="T30" s="6"/>
      <c r="U30" s="6"/>
      <c r="V30" s="6"/>
      <c r="W30" s="6"/>
      <c r="X30" s="6"/>
      <c r="Y30" s="6"/>
      <c r="Z30" s="6"/>
      <c r="AA30" s="6"/>
      <c r="AB30" s="6"/>
      <c r="AC30" s="6"/>
      <c r="AD30" s="6"/>
      <c r="AE30" s="6"/>
      <c r="AF30" s="6"/>
    </row>
    <row r="31">
      <c r="A31" s="10" t="s">
        <v>35</v>
      </c>
      <c r="B31" s="10" t="s">
        <v>319</v>
      </c>
      <c r="C31" s="14" t="s">
        <v>101</v>
      </c>
      <c r="D31" s="10" t="s">
        <v>362</v>
      </c>
      <c r="E31" s="10" t="s">
        <v>336</v>
      </c>
      <c r="F31" s="10" t="s">
        <v>322</v>
      </c>
      <c r="G31" s="10" t="s">
        <v>372</v>
      </c>
      <c r="H31" s="10" t="s">
        <v>373</v>
      </c>
      <c r="I31" s="10" t="s">
        <v>374</v>
      </c>
      <c r="J31" s="10" t="s">
        <v>326</v>
      </c>
      <c r="K31" s="10" t="str">
        <f t="shared" si="5"/>
        <v>Residential &gt; House &gt; Water heating &gt; Fuel shift</v>
      </c>
      <c r="L31" s="10" t="str">
        <f t="shared" si="6"/>
        <v>Residential &gt; House &gt; Water heating &gt; Fuel shift</v>
      </c>
      <c r="M31" s="10" t="s">
        <v>327</v>
      </c>
      <c r="N31" s="6"/>
      <c r="O31" s="6"/>
      <c r="P31" s="6"/>
      <c r="Q31" s="6"/>
      <c r="R31" s="6"/>
      <c r="S31" s="6"/>
      <c r="T31" s="6"/>
      <c r="U31" s="6"/>
      <c r="V31" s="6"/>
      <c r="W31" s="6"/>
      <c r="X31" s="6"/>
      <c r="Y31" s="6"/>
      <c r="Z31" s="6"/>
      <c r="AA31" s="6"/>
      <c r="AB31" s="6"/>
      <c r="AC31" s="6"/>
      <c r="AD31" s="6"/>
      <c r="AE31" s="6"/>
      <c r="AF31" s="6"/>
    </row>
    <row r="32">
      <c r="A32" s="10" t="s">
        <v>35</v>
      </c>
      <c r="B32" s="10" t="s">
        <v>319</v>
      </c>
      <c r="C32" s="14" t="s">
        <v>101</v>
      </c>
      <c r="D32" s="10" t="s">
        <v>362</v>
      </c>
      <c r="E32" s="10" t="s">
        <v>321</v>
      </c>
      <c r="F32" s="10" t="s">
        <v>322</v>
      </c>
      <c r="G32" s="10" t="s">
        <v>375</v>
      </c>
      <c r="H32" s="10" t="s">
        <v>376</v>
      </c>
      <c r="I32" s="10" t="s">
        <v>377</v>
      </c>
      <c r="J32" s="10" t="s">
        <v>343</v>
      </c>
      <c r="K32" s="20"/>
      <c r="L32" s="10" t="s">
        <v>344</v>
      </c>
      <c r="M32" s="10" t="s">
        <v>60</v>
      </c>
      <c r="N32" s="6"/>
      <c r="O32" s="6"/>
      <c r="P32" s="6"/>
      <c r="Q32" s="6"/>
      <c r="R32" s="6"/>
      <c r="S32" s="6"/>
      <c r="T32" s="6"/>
      <c r="U32" s="6"/>
      <c r="V32" s="6"/>
      <c r="W32" s="6"/>
      <c r="X32" s="6"/>
      <c r="Y32" s="6"/>
      <c r="Z32" s="6"/>
      <c r="AA32" s="6"/>
      <c r="AB32" s="6"/>
      <c r="AC32" s="6"/>
      <c r="AD32" s="6"/>
      <c r="AE32" s="6"/>
      <c r="AF32" s="6"/>
    </row>
    <row r="33">
      <c r="A33" s="10" t="s">
        <v>35</v>
      </c>
      <c r="B33" s="10" t="s">
        <v>319</v>
      </c>
      <c r="C33" s="14" t="s">
        <v>101</v>
      </c>
      <c r="D33" s="10" t="s">
        <v>362</v>
      </c>
      <c r="E33" s="10" t="s">
        <v>321</v>
      </c>
      <c r="F33" s="10" t="s">
        <v>59</v>
      </c>
      <c r="G33" s="10" t="s">
        <v>378</v>
      </c>
      <c r="H33" s="10" t="s">
        <v>379</v>
      </c>
      <c r="I33" s="10" t="s">
        <v>380</v>
      </c>
      <c r="J33" s="10" t="s">
        <v>326</v>
      </c>
      <c r="K33" s="10" t="str">
        <f>CONCATENATE(C33," &gt; ",D33," &gt; ",E33," &gt; ",F33)</f>
        <v>Residential &gt; House &gt; Heating &gt; Activity shift</v>
      </c>
      <c r="L33" s="10" t="str">
        <f>CONCATENATE(C33," &gt; ",D33," &gt; ",E33," &gt; ",F33)</f>
        <v>Residential &gt; House &gt; Heating &gt; Activity shift</v>
      </c>
      <c r="M33" s="10" t="s">
        <v>327</v>
      </c>
      <c r="N33" s="6"/>
      <c r="O33" s="6"/>
      <c r="P33" s="6"/>
      <c r="Q33" s="6"/>
      <c r="R33" s="6"/>
      <c r="S33" s="6"/>
      <c r="T33" s="6"/>
      <c r="U33" s="6"/>
      <c r="V33" s="6"/>
      <c r="W33" s="6"/>
      <c r="X33" s="6"/>
      <c r="Y33" s="6"/>
      <c r="Z33" s="6"/>
      <c r="AA33" s="6"/>
      <c r="AB33" s="6"/>
      <c r="AC33" s="6"/>
      <c r="AD33" s="6"/>
      <c r="AE33" s="6"/>
      <c r="AF33" s="6"/>
    </row>
    <row r="34">
      <c r="A34" s="10" t="s">
        <v>35</v>
      </c>
      <c r="B34" s="10" t="s">
        <v>319</v>
      </c>
      <c r="C34" s="14" t="s">
        <v>101</v>
      </c>
      <c r="D34" s="10" t="s">
        <v>362</v>
      </c>
      <c r="E34" s="10" t="s">
        <v>331</v>
      </c>
      <c r="F34" s="10" t="s">
        <v>348</v>
      </c>
      <c r="G34" s="10" t="s">
        <v>381</v>
      </c>
      <c r="H34" s="10" t="s">
        <v>382</v>
      </c>
      <c r="I34" s="10" t="s">
        <v>383</v>
      </c>
      <c r="J34" s="10" t="s">
        <v>343</v>
      </c>
      <c r="K34" s="20"/>
      <c r="L34" s="10" t="s">
        <v>352</v>
      </c>
      <c r="M34" s="10" t="s">
        <v>60</v>
      </c>
      <c r="N34" s="6"/>
      <c r="O34" s="6"/>
      <c r="P34" s="6"/>
      <c r="Q34" s="6"/>
      <c r="R34" s="6"/>
      <c r="S34" s="6"/>
      <c r="T34" s="6"/>
      <c r="U34" s="6"/>
      <c r="V34" s="6"/>
      <c r="W34" s="6"/>
      <c r="X34" s="6"/>
      <c r="Y34" s="6"/>
      <c r="Z34" s="6"/>
      <c r="AA34" s="6"/>
      <c r="AB34" s="6"/>
      <c r="AC34" s="6"/>
      <c r="AD34" s="6"/>
      <c r="AE34" s="6"/>
      <c r="AF34" s="6"/>
    </row>
    <row r="35">
      <c r="A35" s="10" t="s">
        <v>35</v>
      </c>
      <c r="B35" s="10" t="s">
        <v>319</v>
      </c>
      <c r="C35" s="14" t="s">
        <v>101</v>
      </c>
      <c r="D35" s="10" t="s">
        <v>362</v>
      </c>
      <c r="E35" s="10" t="s">
        <v>331</v>
      </c>
      <c r="F35" s="10" t="s">
        <v>332</v>
      </c>
      <c r="G35" s="10" t="s">
        <v>384</v>
      </c>
      <c r="H35" s="10" t="s">
        <v>385</v>
      </c>
      <c r="I35" s="10" t="s">
        <v>386</v>
      </c>
      <c r="J35" s="10" t="s">
        <v>326</v>
      </c>
      <c r="K35" s="10" t="str">
        <f t="shared" ref="K35:K36" si="7">CONCATENATE(C35," &gt; ",D35," &gt; ",E35," &gt; ",F35)</f>
        <v>Residential &gt; House &gt; Cooling &gt; Technology shift</v>
      </c>
      <c r="L35" s="10" t="str">
        <f t="shared" ref="L35:L36" si="8">CONCATENATE(C35," &gt; ",D35," &gt; ",E35," &gt; ",F35)</f>
        <v>Residential &gt; House &gt; Cooling &gt; Technology shift</v>
      </c>
      <c r="M35" s="10" t="s">
        <v>327</v>
      </c>
      <c r="N35" s="6"/>
      <c r="O35" s="6"/>
      <c r="P35" s="6"/>
      <c r="Q35" s="6"/>
      <c r="R35" s="6"/>
      <c r="S35" s="6"/>
      <c r="T35" s="6"/>
      <c r="U35" s="6"/>
      <c r="V35" s="6"/>
      <c r="W35" s="6"/>
      <c r="X35" s="6"/>
      <c r="Y35" s="6"/>
      <c r="Z35" s="6"/>
      <c r="AA35" s="6"/>
      <c r="AB35" s="6"/>
      <c r="AC35" s="6"/>
      <c r="AD35" s="6"/>
      <c r="AE35" s="6"/>
      <c r="AF35" s="6"/>
    </row>
    <row r="36">
      <c r="A36" s="10" t="s">
        <v>35</v>
      </c>
      <c r="B36" s="10" t="s">
        <v>319</v>
      </c>
      <c r="C36" s="14" t="s">
        <v>101</v>
      </c>
      <c r="D36" s="10" t="s">
        <v>362</v>
      </c>
      <c r="E36" s="10" t="s">
        <v>331</v>
      </c>
      <c r="F36" s="10" t="s">
        <v>59</v>
      </c>
      <c r="G36" s="10" t="s">
        <v>387</v>
      </c>
      <c r="H36" s="10" t="s">
        <v>388</v>
      </c>
      <c r="I36" s="10" t="s">
        <v>389</v>
      </c>
      <c r="J36" s="10" t="s">
        <v>326</v>
      </c>
      <c r="K36" s="10" t="str">
        <f t="shared" si="7"/>
        <v>Residential &gt; House &gt; Cooling &gt; Activity shift</v>
      </c>
      <c r="L36" s="10" t="str">
        <f t="shared" si="8"/>
        <v>Residential &gt; House &gt; Cooling &gt; Activity shift</v>
      </c>
      <c r="M36" s="10" t="s">
        <v>327</v>
      </c>
      <c r="N36" s="6"/>
      <c r="O36" s="6"/>
      <c r="P36" s="6"/>
      <c r="Q36" s="6"/>
      <c r="R36" s="6"/>
      <c r="S36" s="6"/>
      <c r="T36" s="6"/>
      <c r="U36" s="6"/>
      <c r="V36" s="6"/>
      <c r="W36" s="6"/>
      <c r="X36" s="6"/>
      <c r="Y36" s="6"/>
      <c r="Z36" s="6"/>
      <c r="AA36" s="6"/>
      <c r="AB36" s="6"/>
      <c r="AC36" s="6"/>
      <c r="AD36" s="6"/>
      <c r="AE36" s="6"/>
      <c r="AF36" s="6"/>
    </row>
    <row r="37">
      <c r="A37" s="10" t="s">
        <v>35</v>
      </c>
      <c r="B37" s="10" t="s">
        <v>319</v>
      </c>
      <c r="C37" s="14" t="s">
        <v>101</v>
      </c>
      <c r="D37" s="10" t="s">
        <v>362</v>
      </c>
      <c r="E37" s="10" t="s">
        <v>321</v>
      </c>
      <c r="F37" s="10" t="s">
        <v>322</v>
      </c>
      <c r="G37" s="27" t="s">
        <v>390</v>
      </c>
      <c r="H37" s="10" t="s">
        <v>391</v>
      </c>
      <c r="I37" s="10" t="s">
        <v>392</v>
      </c>
      <c r="J37" s="10" t="s">
        <v>343</v>
      </c>
      <c r="K37" s="20"/>
      <c r="L37" s="10" t="s">
        <v>393</v>
      </c>
      <c r="M37" s="10" t="s">
        <v>60</v>
      </c>
      <c r="N37" s="6"/>
      <c r="O37" s="6"/>
      <c r="P37" s="6"/>
      <c r="Q37" s="6"/>
      <c r="R37" s="6"/>
      <c r="S37" s="6"/>
      <c r="T37" s="6"/>
      <c r="U37" s="6"/>
      <c r="V37" s="6"/>
      <c r="W37" s="6"/>
      <c r="X37" s="6"/>
      <c r="Y37" s="6"/>
      <c r="Z37" s="6"/>
      <c r="AA37" s="6"/>
      <c r="AB37" s="6"/>
      <c r="AC37" s="6"/>
      <c r="AD37" s="6"/>
      <c r="AE37" s="6"/>
      <c r="AF37" s="6"/>
    </row>
    <row r="38">
      <c r="A38" s="10" t="s">
        <v>35</v>
      </c>
      <c r="B38" s="10" t="s">
        <v>319</v>
      </c>
      <c r="C38" s="14" t="s">
        <v>101</v>
      </c>
      <c r="D38" s="10" t="s">
        <v>362</v>
      </c>
      <c r="E38" s="10" t="s">
        <v>336</v>
      </c>
      <c r="F38" s="10" t="s">
        <v>322</v>
      </c>
      <c r="G38" s="10" t="s">
        <v>60</v>
      </c>
      <c r="H38" s="10" t="s">
        <v>394</v>
      </c>
      <c r="I38" s="10" t="s">
        <v>60</v>
      </c>
      <c r="J38" s="10" t="s">
        <v>65</v>
      </c>
      <c r="K38" s="10" t="str">
        <f t="shared" ref="K38:K59" si="9">CONCATENATE(C38," &gt; ",D38," &gt; ",E38," &gt; ",F38)</f>
        <v>Residential &gt; House &gt; Water heating &gt; Fuel shift</v>
      </c>
      <c r="L38" s="10" t="str">
        <f t="shared" ref="L38:L59" si="10">CONCATENATE(C38," &gt; ",D38," &gt; ",E38," &gt; ",F38)</f>
        <v>Residential &gt; House &gt; Water heating &gt; Fuel shift</v>
      </c>
      <c r="M38" s="10" t="s">
        <v>327</v>
      </c>
      <c r="N38" s="6"/>
      <c r="O38" s="6"/>
      <c r="P38" s="6"/>
      <c r="Q38" s="6"/>
      <c r="R38" s="6"/>
      <c r="S38" s="6"/>
      <c r="T38" s="6"/>
      <c r="U38" s="6"/>
      <c r="V38" s="6"/>
      <c r="W38" s="6"/>
      <c r="X38" s="6"/>
      <c r="Y38" s="6"/>
      <c r="Z38" s="6"/>
      <c r="AA38" s="6"/>
      <c r="AB38" s="6"/>
      <c r="AC38" s="6"/>
      <c r="AD38" s="6"/>
      <c r="AE38" s="6"/>
      <c r="AF38" s="6"/>
    </row>
    <row r="39">
      <c r="A39" s="10" t="s">
        <v>35</v>
      </c>
      <c r="B39" s="10" t="s">
        <v>319</v>
      </c>
      <c r="C39" s="14" t="s">
        <v>101</v>
      </c>
      <c r="D39" s="10" t="s">
        <v>362</v>
      </c>
      <c r="E39" s="10" t="s">
        <v>336</v>
      </c>
      <c r="F39" s="10" t="s">
        <v>332</v>
      </c>
      <c r="G39" s="10" t="s">
        <v>60</v>
      </c>
      <c r="H39" s="10" t="s">
        <v>395</v>
      </c>
      <c r="I39" s="10" t="s">
        <v>60</v>
      </c>
      <c r="J39" s="10" t="s">
        <v>65</v>
      </c>
      <c r="K39" s="10" t="str">
        <f t="shared" si="9"/>
        <v>Residential &gt; House &gt; Water heating &gt; Technology shift</v>
      </c>
      <c r="L39" s="10" t="str">
        <f t="shared" si="10"/>
        <v>Residential &gt; House &gt; Water heating &gt; Technology shift</v>
      </c>
      <c r="M39" s="10" t="s">
        <v>327</v>
      </c>
      <c r="N39" s="6"/>
      <c r="O39" s="6"/>
      <c r="P39" s="6"/>
      <c r="Q39" s="6"/>
      <c r="R39" s="6"/>
      <c r="S39" s="6"/>
      <c r="T39" s="6"/>
      <c r="U39" s="6"/>
      <c r="V39" s="6"/>
      <c r="W39" s="6"/>
      <c r="X39" s="6"/>
      <c r="Y39" s="6"/>
      <c r="Z39" s="6"/>
      <c r="AA39" s="6"/>
      <c r="AB39" s="6"/>
      <c r="AC39" s="6"/>
      <c r="AD39" s="6"/>
      <c r="AE39" s="6"/>
      <c r="AF39" s="6"/>
    </row>
    <row r="40">
      <c r="A40" s="10" t="s">
        <v>35</v>
      </c>
      <c r="B40" s="10" t="s">
        <v>319</v>
      </c>
      <c r="C40" s="14" t="s">
        <v>101</v>
      </c>
      <c r="D40" s="10" t="s">
        <v>362</v>
      </c>
      <c r="E40" s="10" t="s">
        <v>336</v>
      </c>
      <c r="F40" s="10" t="s">
        <v>59</v>
      </c>
      <c r="G40" s="10" t="s">
        <v>60</v>
      </c>
      <c r="H40" s="10" t="s">
        <v>396</v>
      </c>
      <c r="I40" s="10" t="s">
        <v>60</v>
      </c>
      <c r="J40" s="10" t="s">
        <v>65</v>
      </c>
      <c r="K40" s="10" t="str">
        <f t="shared" si="9"/>
        <v>Residential &gt; House &gt; Water heating &gt; Activity shift</v>
      </c>
      <c r="L40" s="10" t="str">
        <f t="shared" si="10"/>
        <v>Residential &gt; House &gt; Water heating &gt; Activity shift</v>
      </c>
      <c r="M40" s="10" t="s">
        <v>327</v>
      </c>
      <c r="N40" s="6"/>
      <c r="O40" s="6"/>
      <c r="P40" s="6"/>
      <c r="Q40" s="6"/>
      <c r="R40" s="6"/>
      <c r="S40" s="6"/>
      <c r="T40" s="6"/>
      <c r="U40" s="6"/>
      <c r="V40" s="6"/>
      <c r="W40" s="6"/>
      <c r="X40" s="6"/>
      <c r="Y40" s="6"/>
      <c r="Z40" s="6"/>
      <c r="AA40" s="6"/>
      <c r="AB40" s="6"/>
      <c r="AC40" s="6"/>
      <c r="AD40" s="6"/>
      <c r="AE40" s="6"/>
      <c r="AF40" s="6"/>
    </row>
    <row r="41">
      <c r="A41" s="10" t="s">
        <v>35</v>
      </c>
      <c r="B41" s="10" t="s">
        <v>319</v>
      </c>
      <c r="C41" s="14" t="s">
        <v>101</v>
      </c>
      <c r="D41" s="10" t="s">
        <v>362</v>
      </c>
      <c r="E41" s="10" t="s">
        <v>397</v>
      </c>
      <c r="F41" s="10" t="s">
        <v>332</v>
      </c>
      <c r="G41" s="27" t="s">
        <v>398</v>
      </c>
      <c r="H41" s="43" t="s">
        <v>399</v>
      </c>
      <c r="I41" s="10" t="s">
        <v>400</v>
      </c>
      <c r="J41" s="10" t="s">
        <v>326</v>
      </c>
      <c r="K41" s="10" t="str">
        <f t="shared" si="9"/>
        <v>Residential &gt; House &gt; Appliance &gt; Technology shift</v>
      </c>
      <c r="L41" s="10" t="str">
        <f t="shared" si="10"/>
        <v>Residential &gt; House &gt; Appliance &gt; Technology shift</v>
      </c>
      <c r="M41" s="10" t="s">
        <v>401</v>
      </c>
      <c r="N41" s="6"/>
      <c r="O41" s="6"/>
      <c r="P41" s="6"/>
      <c r="Q41" s="6"/>
      <c r="R41" s="6"/>
      <c r="S41" s="6"/>
      <c r="T41" s="6"/>
      <c r="U41" s="6"/>
      <c r="V41" s="6"/>
      <c r="W41" s="6"/>
      <c r="X41" s="6"/>
      <c r="Y41" s="6"/>
      <c r="Z41" s="6"/>
      <c r="AA41" s="6"/>
      <c r="AB41" s="6"/>
      <c r="AC41" s="6"/>
      <c r="AD41" s="6"/>
      <c r="AE41" s="6"/>
      <c r="AF41" s="6"/>
    </row>
    <row r="42">
      <c r="A42" s="10" t="s">
        <v>35</v>
      </c>
      <c r="B42" s="10" t="s">
        <v>319</v>
      </c>
      <c r="C42" s="14" t="s">
        <v>101</v>
      </c>
      <c r="D42" s="10" t="s">
        <v>362</v>
      </c>
      <c r="E42" s="10" t="s">
        <v>402</v>
      </c>
      <c r="F42" s="10" t="s">
        <v>322</v>
      </c>
      <c r="G42" s="10" t="s">
        <v>403</v>
      </c>
      <c r="H42" s="43" t="s">
        <v>404</v>
      </c>
      <c r="I42" s="10" t="s">
        <v>405</v>
      </c>
      <c r="J42" s="10" t="s">
        <v>326</v>
      </c>
      <c r="K42" s="10" t="str">
        <f t="shared" si="9"/>
        <v>Residential &gt; House &gt; Cooking &gt; Fuel shift</v>
      </c>
      <c r="L42" s="10" t="str">
        <f t="shared" si="10"/>
        <v>Residential &gt; House &gt; Cooking &gt; Fuel shift</v>
      </c>
      <c r="M42" s="10" t="s">
        <v>401</v>
      </c>
      <c r="N42" s="6"/>
      <c r="O42" s="6"/>
      <c r="P42" s="6"/>
      <c r="Q42" s="6"/>
      <c r="R42" s="6"/>
      <c r="S42" s="6"/>
      <c r="T42" s="6"/>
      <c r="U42" s="6"/>
      <c r="V42" s="6"/>
      <c r="W42" s="6"/>
      <c r="X42" s="6"/>
      <c r="Y42" s="6"/>
      <c r="Z42" s="6"/>
      <c r="AA42" s="6"/>
      <c r="AB42" s="6"/>
      <c r="AC42" s="6"/>
      <c r="AD42" s="6"/>
      <c r="AE42" s="6"/>
      <c r="AF42" s="6"/>
    </row>
    <row r="43">
      <c r="A43" s="10" t="s">
        <v>35</v>
      </c>
      <c r="B43" s="10" t="s">
        <v>319</v>
      </c>
      <c r="C43" s="14" t="s">
        <v>101</v>
      </c>
      <c r="D43" s="10" t="s">
        <v>362</v>
      </c>
      <c r="E43" s="10" t="s">
        <v>406</v>
      </c>
      <c r="F43" s="10" t="s">
        <v>332</v>
      </c>
      <c r="G43" s="10" t="s">
        <v>60</v>
      </c>
      <c r="H43" s="10" t="s">
        <v>407</v>
      </c>
      <c r="I43" s="10" t="s">
        <v>60</v>
      </c>
      <c r="J43" s="10" t="s">
        <v>65</v>
      </c>
      <c r="K43" s="10" t="str">
        <f t="shared" si="9"/>
        <v>Residential &gt; House &gt; Lighting &gt; Technology shift</v>
      </c>
      <c r="L43" s="10" t="str">
        <f t="shared" si="10"/>
        <v>Residential &gt; House &gt; Lighting &gt; Technology shift</v>
      </c>
      <c r="M43" s="10" t="s">
        <v>401</v>
      </c>
      <c r="N43" s="6"/>
      <c r="O43" s="6"/>
      <c r="P43" s="6"/>
      <c r="Q43" s="6"/>
      <c r="R43" s="6"/>
      <c r="S43" s="6"/>
      <c r="T43" s="6"/>
      <c r="U43" s="6"/>
      <c r="V43" s="6"/>
      <c r="W43" s="6"/>
      <c r="X43" s="6"/>
      <c r="Y43" s="6"/>
      <c r="Z43" s="6"/>
      <c r="AA43" s="6"/>
      <c r="AB43" s="6"/>
      <c r="AC43" s="6"/>
      <c r="AD43" s="6"/>
      <c r="AE43" s="6"/>
      <c r="AF43" s="6"/>
    </row>
    <row r="44">
      <c r="A44" s="10" t="s">
        <v>35</v>
      </c>
      <c r="B44" s="10" t="s">
        <v>319</v>
      </c>
      <c r="C44" s="14" t="s">
        <v>101</v>
      </c>
      <c r="D44" s="10" t="s">
        <v>320</v>
      </c>
      <c r="E44" s="10" t="s">
        <v>397</v>
      </c>
      <c r="F44" s="10" t="s">
        <v>332</v>
      </c>
      <c r="G44" s="10" t="s">
        <v>398</v>
      </c>
      <c r="H44" s="43" t="s">
        <v>408</v>
      </c>
      <c r="I44" s="10" t="s">
        <v>400</v>
      </c>
      <c r="J44" s="10" t="s">
        <v>326</v>
      </c>
      <c r="K44" s="10" t="str">
        <f t="shared" si="9"/>
        <v>Residential &gt; Flat &gt; Appliance &gt; Technology shift</v>
      </c>
      <c r="L44" s="10" t="str">
        <f t="shared" si="10"/>
        <v>Residential &gt; Flat &gt; Appliance &gt; Technology shift</v>
      </c>
      <c r="M44" s="10" t="s">
        <v>401</v>
      </c>
      <c r="N44" s="6"/>
      <c r="O44" s="6"/>
      <c r="P44" s="6"/>
      <c r="Q44" s="6"/>
      <c r="R44" s="6"/>
      <c r="S44" s="6"/>
      <c r="T44" s="6"/>
      <c r="U44" s="6"/>
      <c r="V44" s="6"/>
      <c r="W44" s="6"/>
      <c r="X44" s="6"/>
      <c r="Y44" s="6"/>
      <c r="Z44" s="6"/>
      <c r="AA44" s="6"/>
      <c r="AB44" s="6"/>
      <c r="AC44" s="6"/>
      <c r="AD44" s="6"/>
      <c r="AE44" s="6"/>
      <c r="AF44" s="6"/>
    </row>
    <row r="45">
      <c r="A45" s="10" t="s">
        <v>35</v>
      </c>
      <c r="B45" s="10" t="s">
        <v>319</v>
      </c>
      <c r="C45" s="14" t="s">
        <v>101</v>
      </c>
      <c r="D45" s="10" t="s">
        <v>320</v>
      </c>
      <c r="E45" s="10" t="s">
        <v>402</v>
      </c>
      <c r="F45" s="27" t="s">
        <v>322</v>
      </c>
      <c r="G45" s="10" t="s">
        <v>403</v>
      </c>
      <c r="H45" s="43" t="s">
        <v>409</v>
      </c>
      <c r="I45" s="10" t="s">
        <v>405</v>
      </c>
      <c r="J45" s="10" t="s">
        <v>326</v>
      </c>
      <c r="K45" s="10" t="str">
        <f t="shared" si="9"/>
        <v>Residential &gt; Flat &gt; Cooking &gt; Fuel shift</v>
      </c>
      <c r="L45" s="10" t="str">
        <f t="shared" si="10"/>
        <v>Residential &gt; Flat &gt; Cooking &gt; Fuel shift</v>
      </c>
      <c r="M45" s="10" t="s">
        <v>401</v>
      </c>
      <c r="N45" s="6"/>
      <c r="O45" s="6"/>
      <c r="P45" s="6"/>
      <c r="Q45" s="6"/>
      <c r="R45" s="6"/>
      <c r="S45" s="6"/>
      <c r="T45" s="6"/>
      <c r="U45" s="6"/>
      <c r="V45" s="6"/>
      <c r="W45" s="6"/>
      <c r="X45" s="6"/>
      <c r="Y45" s="6"/>
      <c r="Z45" s="6"/>
      <c r="AA45" s="6"/>
      <c r="AB45" s="6"/>
      <c r="AC45" s="6"/>
      <c r="AD45" s="6"/>
      <c r="AE45" s="6"/>
      <c r="AF45" s="6"/>
    </row>
    <row r="46">
      <c r="A46" s="10" t="s">
        <v>35</v>
      </c>
      <c r="B46" s="10" t="s">
        <v>319</v>
      </c>
      <c r="C46" s="14" t="s">
        <v>101</v>
      </c>
      <c r="D46" s="10" t="s">
        <v>320</v>
      </c>
      <c r="E46" s="10" t="s">
        <v>406</v>
      </c>
      <c r="F46" s="10" t="s">
        <v>332</v>
      </c>
      <c r="G46" s="27" t="s">
        <v>60</v>
      </c>
      <c r="H46" s="10" t="s">
        <v>410</v>
      </c>
      <c r="I46" s="10" t="s">
        <v>60</v>
      </c>
      <c r="J46" s="10" t="s">
        <v>65</v>
      </c>
      <c r="K46" s="10" t="str">
        <f t="shared" si="9"/>
        <v>Residential &gt; Flat &gt; Lighting &gt; Technology shift</v>
      </c>
      <c r="L46" s="10" t="str">
        <f t="shared" si="10"/>
        <v>Residential &gt; Flat &gt; Lighting &gt; Technology shift</v>
      </c>
      <c r="M46" s="10" t="s">
        <v>401</v>
      </c>
      <c r="N46" s="6"/>
      <c r="O46" s="6"/>
      <c r="P46" s="6"/>
      <c r="Q46" s="6"/>
      <c r="R46" s="6"/>
      <c r="S46" s="6"/>
      <c r="T46" s="6"/>
      <c r="U46" s="6"/>
      <c r="V46" s="6"/>
      <c r="W46" s="6"/>
      <c r="X46" s="6"/>
      <c r="Y46" s="6"/>
      <c r="Z46" s="6"/>
      <c r="AA46" s="6"/>
      <c r="AB46" s="6"/>
      <c r="AC46" s="6"/>
      <c r="AD46" s="6"/>
      <c r="AE46" s="6"/>
      <c r="AF46" s="6"/>
    </row>
    <row r="47">
      <c r="A47" s="10" t="s">
        <v>35</v>
      </c>
      <c r="B47" s="10" t="s">
        <v>319</v>
      </c>
      <c r="C47" s="14" t="s">
        <v>101</v>
      </c>
      <c r="D47" s="10" t="s">
        <v>320</v>
      </c>
      <c r="E47" s="10" t="s">
        <v>411</v>
      </c>
      <c r="F47" s="10" t="s">
        <v>332</v>
      </c>
      <c r="G47" s="27" t="s">
        <v>60</v>
      </c>
      <c r="H47" s="10" t="s">
        <v>412</v>
      </c>
      <c r="I47" s="10" t="s">
        <v>60</v>
      </c>
      <c r="J47" s="10" t="s">
        <v>65</v>
      </c>
      <c r="K47" s="10" t="str">
        <f t="shared" si="9"/>
        <v>Residential &gt; Flat &gt; Pump and lifts &gt; Technology shift</v>
      </c>
      <c r="L47" s="10" t="str">
        <f t="shared" si="10"/>
        <v>Residential &gt; Flat &gt; Pump and lifts &gt; Technology shift</v>
      </c>
      <c r="M47" s="10" t="s">
        <v>327</v>
      </c>
      <c r="N47" s="6"/>
      <c r="O47" s="6"/>
      <c r="P47" s="6"/>
      <c r="Q47" s="6"/>
      <c r="R47" s="6"/>
      <c r="S47" s="6"/>
      <c r="T47" s="6"/>
      <c r="U47" s="6"/>
      <c r="V47" s="6"/>
      <c r="W47" s="6"/>
      <c r="X47" s="6"/>
      <c r="Y47" s="6"/>
      <c r="Z47" s="6"/>
      <c r="AA47" s="6"/>
      <c r="AB47" s="6"/>
      <c r="AC47" s="6"/>
      <c r="AD47" s="6"/>
      <c r="AE47" s="6"/>
      <c r="AF47" s="6"/>
    </row>
    <row r="48">
      <c r="A48" s="10" t="s">
        <v>35</v>
      </c>
      <c r="B48" s="10" t="s">
        <v>319</v>
      </c>
      <c r="C48" s="14" t="s">
        <v>101</v>
      </c>
      <c r="D48" s="10" t="s">
        <v>413</v>
      </c>
      <c r="E48" s="10" t="s">
        <v>321</v>
      </c>
      <c r="F48" s="10" t="s">
        <v>322</v>
      </c>
      <c r="G48" s="27" t="s">
        <v>60</v>
      </c>
      <c r="H48" s="10" t="s">
        <v>414</v>
      </c>
      <c r="I48" s="10" t="s">
        <v>60</v>
      </c>
      <c r="J48" s="10" t="s">
        <v>65</v>
      </c>
      <c r="K48" s="10" t="str">
        <f t="shared" si="9"/>
        <v>Residential &gt; Informal settlement &gt; Heating &gt; Fuel shift</v>
      </c>
      <c r="L48" s="10" t="str">
        <f t="shared" si="10"/>
        <v>Residential &gt; Informal settlement &gt; Heating &gt; Fuel shift</v>
      </c>
      <c r="M48" s="10" t="s">
        <v>60</v>
      </c>
      <c r="N48" s="6"/>
      <c r="O48" s="6"/>
      <c r="P48" s="6"/>
      <c r="Q48" s="6"/>
      <c r="R48" s="6"/>
      <c r="S48" s="6"/>
      <c r="T48" s="6"/>
      <c r="U48" s="6"/>
      <c r="V48" s="6"/>
      <c r="W48" s="6"/>
      <c r="X48" s="6"/>
      <c r="Y48" s="6"/>
      <c r="Z48" s="6"/>
      <c r="AA48" s="6"/>
      <c r="AB48" s="6"/>
      <c r="AC48" s="6"/>
      <c r="AD48" s="6"/>
      <c r="AE48" s="6"/>
      <c r="AF48" s="6"/>
    </row>
    <row r="49">
      <c r="A49" s="10" t="s">
        <v>35</v>
      </c>
      <c r="B49" s="10" t="s">
        <v>319</v>
      </c>
      <c r="C49" s="14" t="s">
        <v>101</v>
      </c>
      <c r="D49" s="10" t="s">
        <v>413</v>
      </c>
      <c r="E49" s="10" t="s">
        <v>321</v>
      </c>
      <c r="F49" s="10" t="s">
        <v>332</v>
      </c>
      <c r="G49" s="27" t="s">
        <v>60</v>
      </c>
      <c r="H49" s="10" t="s">
        <v>415</v>
      </c>
      <c r="I49" s="10" t="s">
        <v>60</v>
      </c>
      <c r="J49" s="10" t="s">
        <v>65</v>
      </c>
      <c r="K49" s="10" t="str">
        <f t="shared" si="9"/>
        <v>Residential &gt; Informal settlement &gt; Heating &gt; Technology shift</v>
      </c>
      <c r="L49" s="10" t="str">
        <f t="shared" si="10"/>
        <v>Residential &gt; Informal settlement &gt; Heating &gt; Technology shift</v>
      </c>
      <c r="M49" s="10" t="s">
        <v>60</v>
      </c>
      <c r="N49" s="6"/>
      <c r="O49" s="6"/>
      <c r="P49" s="6"/>
      <c r="Q49" s="6"/>
      <c r="R49" s="6"/>
      <c r="S49" s="6"/>
      <c r="T49" s="6"/>
      <c r="U49" s="6"/>
      <c r="V49" s="6"/>
      <c r="W49" s="6"/>
      <c r="X49" s="6"/>
      <c r="Y49" s="6"/>
      <c r="Z49" s="6"/>
      <c r="AA49" s="6"/>
      <c r="AB49" s="6"/>
      <c r="AC49" s="6"/>
      <c r="AD49" s="6"/>
      <c r="AE49" s="6"/>
      <c r="AF49" s="6"/>
    </row>
    <row r="50">
      <c r="A50" s="10" t="s">
        <v>35</v>
      </c>
      <c r="B50" s="10" t="s">
        <v>319</v>
      </c>
      <c r="C50" s="14" t="s">
        <v>101</v>
      </c>
      <c r="D50" s="10" t="s">
        <v>413</v>
      </c>
      <c r="E50" s="10" t="s">
        <v>321</v>
      </c>
      <c r="F50" s="10" t="s">
        <v>59</v>
      </c>
      <c r="G50" s="10" t="s">
        <v>60</v>
      </c>
      <c r="H50" s="10" t="s">
        <v>416</v>
      </c>
      <c r="I50" s="10" t="s">
        <v>60</v>
      </c>
      <c r="J50" s="10" t="s">
        <v>65</v>
      </c>
      <c r="K50" s="10" t="str">
        <f t="shared" si="9"/>
        <v>Residential &gt; Informal settlement &gt; Heating &gt; Activity shift</v>
      </c>
      <c r="L50" s="10" t="str">
        <f t="shared" si="10"/>
        <v>Residential &gt; Informal settlement &gt; Heating &gt; Activity shift</v>
      </c>
      <c r="M50" s="10" t="s">
        <v>60</v>
      </c>
      <c r="N50" s="6"/>
      <c r="O50" s="6"/>
      <c r="P50" s="6"/>
      <c r="Q50" s="6"/>
      <c r="R50" s="6"/>
      <c r="S50" s="6"/>
      <c r="T50" s="6"/>
      <c r="U50" s="6"/>
      <c r="V50" s="6"/>
      <c r="W50" s="6"/>
      <c r="X50" s="6"/>
      <c r="Y50" s="6"/>
      <c r="Z50" s="6"/>
      <c r="AA50" s="6"/>
      <c r="AB50" s="6"/>
      <c r="AC50" s="6"/>
      <c r="AD50" s="6"/>
      <c r="AE50" s="6"/>
      <c r="AF50" s="6"/>
    </row>
    <row r="51">
      <c r="A51" s="10" t="s">
        <v>35</v>
      </c>
      <c r="B51" s="10" t="s">
        <v>319</v>
      </c>
      <c r="C51" s="14" t="s">
        <v>101</v>
      </c>
      <c r="D51" s="10" t="s">
        <v>413</v>
      </c>
      <c r="E51" s="10" t="s">
        <v>331</v>
      </c>
      <c r="F51" s="10" t="s">
        <v>332</v>
      </c>
      <c r="G51" s="10" t="s">
        <v>60</v>
      </c>
      <c r="H51" s="10" t="s">
        <v>417</v>
      </c>
      <c r="I51" s="10" t="s">
        <v>60</v>
      </c>
      <c r="J51" s="10" t="s">
        <v>65</v>
      </c>
      <c r="K51" s="10" t="str">
        <f t="shared" si="9"/>
        <v>Residential &gt; Informal settlement &gt; Cooling &gt; Technology shift</v>
      </c>
      <c r="L51" s="10" t="str">
        <f t="shared" si="10"/>
        <v>Residential &gt; Informal settlement &gt; Cooling &gt; Technology shift</v>
      </c>
      <c r="M51" s="10" t="s">
        <v>60</v>
      </c>
      <c r="N51" s="6"/>
      <c r="O51" s="6"/>
      <c r="P51" s="6"/>
      <c r="Q51" s="6"/>
      <c r="R51" s="6"/>
      <c r="S51" s="6"/>
      <c r="T51" s="6"/>
      <c r="U51" s="6"/>
      <c r="V51" s="6"/>
      <c r="W51" s="6"/>
      <c r="X51" s="6"/>
      <c r="Y51" s="6"/>
      <c r="Z51" s="6"/>
      <c r="AA51" s="6"/>
      <c r="AB51" s="6"/>
      <c r="AC51" s="6"/>
      <c r="AD51" s="6"/>
      <c r="AE51" s="6"/>
      <c r="AF51" s="6"/>
    </row>
    <row r="52">
      <c r="A52" s="10" t="s">
        <v>35</v>
      </c>
      <c r="B52" s="10" t="s">
        <v>319</v>
      </c>
      <c r="C52" s="14" t="s">
        <v>101</v>
      </c>
      <c r="D52" s="10" t="s">
        <v>413</v>
      </c>
      <c r="E52" s="10" t="s">
        <v>331</v>
      </c>
      <c r="F52" s="10" t="s">
        <v>59</v>
      </c>
      <c r="G52" s="27" t="s">
        <v>60</v>
      </c>
      <c r="H52" s="10" t="s">
        <v>418</v>
      </c>
      <c r="I52" s="10" t="s">
        <v>60</v>
      </c>
      <c r="J52" s="10" t="s">
        <v>65</v>
      </c>
      <c r="K52" s="10" t="str">
        <f t="shared" si="9"/>
        <v>Residential &gt; Informal settlement &gt; Cooling &gt; Activity shift</v>
      </c>
      <c r="L52" s="10" t="str">
        <f t="shared" si="10"/>
        <v>Residential &gt; Informal settlement &gt; Cooling &gt; Activity shift</v>
      </c>
      <c r="M52" s="10" t="s">
        <v>60</v>
      </c>
      <c r="N52" s="6"/>
      <c r="O52" s="6"/>
      <c r="P52" s="6"/>
      <c r="Q52" s="6"/>
      <c r="R52" s="6"/>
      <c r="S52" s="6"/>
      <c r="T52" s="6"/>
      <c r="U52" s="6"/>
      <c r="V52" s="6"/>
      <c r="W52" s="6"/>
      <c r="X52" s="6"/>
      <c r="Y52" s="6"/>
      <c r="Z52" s="6"/>
      <c r="AA52" s="6"/>
      <c r="AB52" s="6"/>
      <c r="AC52" s="6"/>
      <c r="AD52" s="6"/>
      <c r="AE52" s="6"/>
      <c r="AF52" s="6"/>
    </row>
    <row r="53">
      <c r="A53" s="10" t="s">
        <v>35</v>
      </c>
      <c r="B53" s="10" t="s">
        <v>319</v>
      </c>
      <c r="C53" s="14" t="s">
        <v>101</v>
      </c>
      <c r="D53" s="10" t="s">
        <v>413</v>
      </c>
      <c r="E53" s="10" t="s">
        <v>402</v>
      </c>
      <c r="F53" s="10" t="s">
        <v>322</v>
      </c>
      <c r="G53" s="10" t="s">
        <v>60</v>
      </c>
      <c r="H53" s="10" t="s">
        <v>419</v>
      </c>
      <c r="I53" s="10" t="s">
        <v>60</v>
      </c>
      <c r="J53" s="10" t="s">
        <v>65</v>
      </c>
      <c r="K53" s="10" t="str">
        <f t="shared" si="9"/>
        <v>Residential &gt; Informal settlement &gt; Cooking &gt; Fuel shift</v>
      </c>
      <c r="L53" s="10" t="str">
        <f t="shared" si="10"/>
        <v>Residential &gt; Informal settlement &gt; Cooking &gt; Fuel shift</v>
      </c>
      <c r="M53" s="10" t="s">
        <v>60</v>
      </c>
      <c r="N53" s="6"/>
      <c r="O53" s="6"/>
      <c r="P53" s="6"/>
      <c r="Q53" s="6"/>
      <c r="R53" s="6"/>
      <c r="S53" s="6"/>
      <c r="T53" s="6"/>
      <c r="U53" s="6"/>
      <c r="V53" s="6"/>
      <c r="W53" s="6"/>
      <c r="X53" s="6"/>
      <c r="Y53" s="6"/>
      <c r="Z53" s="6"/>
      <c r="AA53" s="6"/>
      <c r="AB53" s="6"/>
      <c r="AC53" s="6"/>
      <c r="AD53" s="6"/>
      <c r="AE53" s="6"/>
      <c r="AF53" s="6"/>
    </row>
    <row r="54">
      <c r="A54" s="10" t="s">
        <v>35</v>
      </c>
      <c r="B54" s="10" t="s">
        <v>319</v>
      </c>
      <c r="C54" s="14" t="s">
        <v>101</v>
      </c>
      <c r="D54" s="10" t="s">
        <v>413</v>
      </c>
      <c r="E54" s="10" t="s">
        <v>336</v>
      </c>
      <c r="F54" s="10" t="s">
        <v>322</v>
      </c>
      <c r="G54" s="10" t="s">
        <v>60</v>
      </c>
      <c r="H54" s="10" t="s">
        <v>420</v>
      </c>
      <c r="I54" s="10" t="s">
        <v>60</v>
      </c>
      <c r="J54" s="10" t="s">
        <v>65</v>
      </c>
      <c r="K54" s="10" t="str">
        <f t="shared" si="9"/>
        <v>Residential &gt; Informal settlement &gt; Water heating &gt; Fuel shift</v>
      </c>
      <c r="L54" s="10" t="str">
        <f t="shared" si="10"/>
        <v>Residential &gt; Informal settlement &gt; Water heating &gt; Fuel shift</v>
      </c>
      <c r="M54" s="10" t="s">
        <v>60</v>
      </c>
      <c r="N54" s="6"/>
      <c r="O54" s="6"/>
      <c r="P54" s="6"/>
      <c r="Q54" s="6"/>
      <c r="R54" s="6"/>
      <c r="S54" s="6"/>
      <c r="T54" s="6"/>
      <c r="U54" s="6"/>
      <c r="V54" s="6"/>
      <c r="W54" s="6"/>
      <c r="X54" s="6"/>
      <c r="Y54" s="6"/>
      <c r="Z54" s="6"/>
      <c r="AA54" s="6"/>
      <c r="AB54" s="6"/>
      <c r="AC54" s="6"/>
      <c r="AD54" s="6"/>
      <c r="AE54" s="6"/>
      <c r="AF54" s="6"/>
    </row>
    <row r="55">
      <c r="A55" s="10" t="s">
        <v>35</v>
      </c>
      <c r="B55" s="10" t="s">
        <v>319</v>
      </c>
      <c r="C55" s="14" t="s">
        <v>101</v>
      </c>
      <c r="D55" s="10" t="s">
        <v>413</v>
      </c>
      <c r="E55" s="10" t="s">
        <v>336</v>
      </c>
      <c r="F55" s="10" t="s">
        <v>332</v>
      </c>
      <c r="G55" s="10" t="s">
        <v>60</v>
      </c>
      <c r="H55" s="10" t="s">
        <v>421</v>
      </c>
      <c r="I55" s="10" t="s">
        <v>60</v>
      </c>
      <c r="J55" s="10" t="s">
        <v>65</v>
      </c>
      <c r="K55" s="10" t="str">
        <f t="shared" si="9"/>
        <v>Residential &gt; Informal settlement &gt; Water heating &gt; Technology shift</v>
      </c>
      <c r="L55" s="10" t="str">
        <f t="shared" si="10"/>
        <v>Residential &gt; Informal settlement &gt; Water heating &gt; Technology shift</v>
      </c>
      <c r="M55" s="10" t="s">
        <v>60</v>
      </c>
      <c r="N55" s="6"/>
      <c r="O55" s="6"/>
      <c r="P55" s="6"/>
      <c r="Q55" s="6"/>
      <c r="R55" s="6"/>
      <c r="S55" s="6"/>
      <c r="T55" s="6"/>
      <c r="U55" s="6"/>
      <c r="V55" s="6"/>
      <c r="W55" s="6"/>
      <c r="X55" s="6"/>
      <c r="Y55" s="6"/>
      <c r="Z55" s="6"/>
      <c r="AA55" s="6"/>
      <c r="AB55" s="6"/>
      <c r="AC55" s="6"/>
      <c r="AD55" s="6"/>
      <c r="AE55" s="6"/>
      <c r="AF55" s="6"/>
    </row>
    <row r="56">
      <c r="A56" s="10" t="s">
        <v>35</v>
      </c>
      <c r="B56" s="10" t="s">
        <v>319</v>
      </c>
      <c r="C56" s="14" t="s">
        <v>101</v>
      </c>
      <c r="D56" s="10" t="s">
        <v>413</v>
      </c>
      <c r="E56" s="10" t="s">
        <v>397</v>
      </c>
      <c r="F56" s="10" t="s">
        <v>332</v>
      </c>
      <c r="G56" s="10" t="s">
        <v>60</v>
      </c>
      <c r="H56" s="10" t="s">
        <v>422</v>
      </c>
      <c r="I56" s="10" t="s">
        <v>60</v>
      </c>
      <c r="J56" s="10" t="s">
        <v>65</v>
      </c>
      <c r="K56" s="10" t="str">
        <f t="shared" si="9"/>
        <v>Residential &gt; Informal settlement &gt; Appliance &gt; Technology shift</v>
      </c>
      <c r="L56" s="10" t="str">
        <f t="shared" si="10"/>
        <v>Residential &gt; Informal settlement &gt; Appliance &gt; Technology shift</v>
      </c>
      <c r="M56" s="10" t="s">
        <v>60</v>
      </c>
      <c r="N56" s="6"/>
      <c r="O56" s="6"/>
      <c r="P56" s="6"/>
      <c r="Q56" s="6"/>
      <c r="R56" s="6"/>
      <c r="S56" s="6"/>
      <c r="T56" s="6"/>
      <c r="U56" s="6"/>
      <c r="V56" s="6"/>
      <c r="W56" s="6"/>
      <c r="X56" s="6"/>
      <c r="Y56" s="6"/>
      <c r="Z56" s="6"/>
      <c r="AA56" s="6"/>
      <c r="AB56" s="6"/>
      <c r="AC56" s="6"/>
      <c r="AD56" s="6"/>
      <c r="AE56" s="6"/>
      <c r="AF56" s="6"/>
    </row>
    <row r="57">
      <c r="A57" s="10" t="s">
        <v>35</v>
      </c>
      <c r="B57" s="10" t="s">
        <v>319</v>
      </c>
      <c r="C57" s="14" t="s">
        <v>103</v>
      </c>
      <c r="D57" s="10" t="s">
        <v>112</v>
      </c>
      <c r="E57" s="10" t="s">
        <v>321</v>
      </c>
      <c r="F57" s="10" t="s">
        <v>322</v>
      </c>
      <c r="G57" s="27" t="s">
        <v>423</v>
      </c>
      <c r="H57" s="10" t="s">
        <v>424</v>
      </c>
      <c r="I57" s="10" t="s">
        <v>425</v>
      </c>
      <c r="J57" s="10" t="s">
        <v>326</v>
      </c>
      <c r="K57" s="10" t="str">
        <f t="shared" si="9"/>
        <v>Non residential &gt; Commercial &gt; Heating &gt; Fuel shift</v>
      </c>
      <c r="L57" s="10" t="str">
        <f t="shared" si="10"/>
        <v>Non residential &gt; Commercial &gt; Heating &gt; Fuel shift</v>
      </c>
      <c r="M57" s="10" t="s">
        <v>426</v>
      </c>
      <c r="N57" s="6"/>
      <c r="O57" s="6"/>
      <c r="P57" s="6"/>
      <c r="Q57" s="6"/>
      <c r="R57" s="6"/>
      <c r="S57" s="6"/>
      <c r="T57" s="6"/>
      <c r="U57" s="6"/>
      <c r="V57" s="6"/>
      <c r="W57" s="6"/>
      <c r="X57" s="6"/>
      <c r="Y57" s="6"/>
      <c r="Z57" s="6"/>
      <c r="AA57" s="6"/>
      <c r="AB57" s="6"/>
      <c r="AC57" s="6"/>
      <c r="AD57" s="6"/>
      <c r="AE57" s="6"/>
      <c r="AF57" s="6"/>
    </row>
    <row r="58">
      <c r="A58" s="10" t="s">
        <v>35</v>
      </c>
      <c r="B58" s="10" t="s">
        <v>319</v>
      </c>
      <c r="C58" s="14" t="s">
        <v>103</v>
      </c>
      <c r="D58" s="10" t="s">
        <v>112</v>
      </c>
      <c r="E58" s="10" t="s">
        <v>331</v>
      </c>
      <c r="F58" s="10" t="s">
        <v>322</v>
      </c>
      <c r="G58" s="10" t="s">
        <v>427</v>
      </c>
      <c r="H58" s="10" t="s">
        <v>428</v>
      </c>
      <c r="I58" s="10" t="s">
        <v>429</v>
      </c>
      <c r="J58" s="10" t="s">
        <v>326</v>
      </c>
      <c r="K58" s="10" t="str">
        <f t="shared" si="9"/>
        <v>Non residential &gt; Commercial &gt; Cooling &gt; Fuel shift</v>
      </c>
      <c r="L58" s="10" t="str">
        <f t="shared" si="10"/>
        <v>Non residential &gt; Commercial &gt; Cooling &gt; Fuel shift</v>
      </c>
      <c r="M58" s="10" t="s">
        <v>426</v>
      </c>
      <c r="N58" s="6"/>
      <c r="O58" s="6"/>
      <c r="P58" s="6"/>
      <c r="Q58" s="6"/>
      <c r="R58" s="6"/>
      <c r="S58" s="6"/>
      <c r="T58" s="6"/>
      <c r="U58" s="6"/>
      <c r="V58" s="6"/>
      <c r="W58" s="6"/>
      <c r="X58" s="6"/>
      <c r="Y58" s="6"/>
      <c r="Z58" s="6"/>
      <c r="AA58" s="6"/>
      <c r="AB58" s="6"/>
      <c r="AC58" s="6"/>
      <c r="AD58" s="6"/>
      <c r="AE58" s="6"/>
      <c r="AF58" s="6"/>
    </row>
    <row r="59">
      <c r="A59" s="10" t="s">
        <v>35</v>
      </c>
      <c r="B59" s="10" t="s">
        <v>319</v>
      </c>
      <c r="C59" s="14" t="s">
        <v>103</v>
      </c>
      <c r="D59" s="10" t="s">
        <v>112</v>
      </c>
      <c r="E59" s="10" t="s">
        <v>321</v>
      </c>
      <c r="F59" s="10" t="s">
        <v>332</v>
      </c>
      <c r="G59" s="10" t="s">
        <v>430</v>
      </c>
      <c r="H59" s="10" t="s">
        <v>431</v>
      </c>
      <c r="I59" s="10" t="s">
        <v>432</v>
      </c>
      <c r="J59" s="10" t="s">
        <v>326</v>
      </c>
      <c r="K59" s="10" t="str">
        <f t="shared" si="9"/>
        <v>Non residential &gt; Commercial &gt; Heating &gt; Technology shift</v>
      </c>
      <c r="L59" s="10" t="str">
        <f t="shared" si="10"/>
        <v>Non residential &gt; Commercial &gt; Heating &gt; Technology shift</v>
      </c>
      <c r="M59" s="10" t="s">
        <v>426</v>
      </c>
      <c r="N59" s="6"/>
      <c r="O59" s="6"/>
      <c r="P59" s="6"/>
      <c r="Q59" s="6"/>
      <c r="R59" s="6"/>
      <c r="S59" s="6"/>
      <c r="T59" s="6"/>
      <c r="U59" s="6"/>
      <c r="V59" s="6"/>
      <c r="W59" s="6"/>
      <c r="X59" s="6"/>
      <c r="Y59" s="6"/>
      <c r="Z59" s="6"/>
      <c r="AA59" s="6"/>
      <c r="AB59" s="6"/>
      <c r="AC59" s="6"/>
      <c r="AD59" s="6"/>
      <c r="AE59" s="6"/>
      <c r="AF59" s="6"/>
    </row>
    <row r="60">
      <c r="A60" s="10" t="s">
        <v>35</v>
      </c>
      <c r="B60" s="10" t="s">
        <v>319</v>
      </c>
      <c r="C60" s="14" t="s">
        <v>103</v>
      </c>
      <c r="D60" s="10" t="s">
        <v>112</v>
      </c>
      <c r="E60" s="10" t="s">
        <v>321</v>
      </c>
      <c r="F60" s="10" t="s">
        <v>322</v>
      </c>
      <c r="G60" s="27" t="s">
        <v>433</v>
      </c>
      <c r="H60" s="10" t="s">
        <v>434</v>
      </c>
      <c r="I60" s="10" t="s">
        <v>435</v>
      </c>
      <c r="J60" s="10" t="s">
        <v>343</v>
      </c>
      <c r="K60" s="20"/>
      <c r="L60" s="10" t="s">
        <v>344</v>
      </c>
      <c r="M60" s="10" t="s">
        <v>60</v>
      </c>
      <c r="N60" s="6"/>
      <c r="O60" s="6"/>
      <c r="P60" s="6"/>
      <c r="Q60" s="6"/>
      <c r="R60" s="6"/>
      <c r="S60" s="6"/>
      <c r="T60" s="6"/>
      <c r="U60" s="6"/>
      <c r="V60" s="6"/>
      <c r="W60" s="6"/>
      <c r="X60" s="6"/>
      <c r="Y60" s="6"/>
      <c r="Z60" s="6"/>
      <c r="AA60" s="6"/>
      <c r="AB60" s="6"/>
      <c r="AC60" s="6"/>
      <c r="AD60" s="6"/>
      <c r="AE60" s="6"/>
      <c r="AF60" s="6"/>
    </row>
    <row r="61">
      <c r="A61" s="10" t="s">
        <v>35</v>
      </c>
      <c r="B61" s="10" t="s">
        <v>319</v>
      </c>
      <c r="C61" s="14" t="s">
        <v>103</v>
      </c>
      <c r="D61" s="10" t="s">
        <v>112</v>
      </c>
      <c r="E61" s="10" t="s">
        <v>336</v>
      </c>
      <c r="F61" s="10" t="s">
        <v>322</v>
      </c>
      <c r="G61" s="27" t="s">
        <v>436</v>
      </c>
      <c r="H61" s="10" t="s">
        <v>437</v>
      </c>
      <c r="I61" s="10" t="s">
        <v>438</v>
      </c>
      <c r="J61" s="10" t="s">
        <v>326</v>
      </c>
      <c r="K61" s="10" t="str">
        <f t="shared" ref="K61:K63" si="11">CONCATENATE(C61," &gt; ",D61," &gt; ",E61," &gt; ",F61)</f>
        <v>Non residential &gt; Commercial &gt; Water heating &gt; Fuel shift</v>
      </c>
      <c r="L61" s="10" t="str">
        <f t="shared" ref="L61:L63" si="12">CONCATENATE(C61," &gt; ",D61," &gt; ",E61," &gt; ",F61)</f>
        <v>Non residential &gt; Commercial &gt; Water heating &gt; Fuel shift</v>
      </c>
      <c r="M61" s="10" t="s">
        <v>426</v>
      </c>
      <c r="N61" s="6"/>
      <c r="O61" s="6"/>
      <c r="P61" s="6"/>
      <c r="Q61" s="6"/>
      <c r="R61" s="6"/>
      <c r="S61" s="6"/>
      <c r="T61" s="6"/>
      <c r="U61" s="6"/>
      <c r="V61" s="6"/>
      <c r="W61" s="6"/>
      <c r="X61" s="6"/>
      <c r="Y61" s="6"/>
      <c r="Z61" s="6"/>
      <c r="AA61" s="6"/>
      <c r="AB61" s="6"/>
      <c r="AC61" s="6"/>
      <c r="AD61" s="6"/>
      <c r="AE61" s="6"/>
      <c r="AF61" s="6"/>
    </row>
    <row r="62">
      <c r="A62" s="10" t="s">
        <v>35</v>
      </c>
      <c r="B62" s="10" t="s">
        <v>319</v>
      </c>
      <c r="C62" s="14" t="s">
        <v>103</v>
      </c>
      <c r="D62" s="10" t="s">
        <v>112</v>
      </c>
      <c r="E62" s="10" t="s">
        <v>321</v>
      </c>
      <c r="F62" s="10" t="s">
        <v>59</v>
      </c>
      <c r="G62" s="10" t="s">
        <v>439</v>
      </c>
      <c r="H62" s="10" t="s">
        <v>440</v>
      </c>
      <c r="I62" s="10" t="s">
        <v>441</v>
      </c>
      <c r="J62" s="10" t="s">
        <v>326</v>
      </c>
      <c r="K62" s="10" t="str">
        <f t="shared" si="11"/>
        <v>Non residential &gt; Commercial &gt; Heating &gt; Activity shift</v>
      </c>
      <c r="L62" s="10" t="str">
        <f t="shared" si="12"/>
        <v>Non residential &gt; Commercial &gt; Heating &gt; Activity shift</v>
      </c>
      <c r="M62" s="10" t="s">
        <v>426</v>
      </c>
      <c r="N62" s="6"/>
      <c r="O62" s="6"/>
      <c r="P62" s="6"/>
      <c r="Q62" s="6"/>
      <c r="R62" s="6"/>
      <c r="S62" s="6"/>
      <c r="T62" s="6"/>
      <c r="U62" s="6"/>
      <c r="V62" s="6"/>
      <c r="W62" s="6"/>
      <c r="X62" s="6"/>
      <c r="Y62" s="6"/>
      <c r="Z62" s="6"/>
      <c r="AA62" s="6"/>
      <c r="AB62" s="6"/>
      <c r="AC62" s="6"/>
      <c r="AD62" s="6"/>
      <c r="AE62" s="6"/>
      <c r="AF62" s="6"/>
    </row>
    <row r="63">
      <c r="A63" s="10" t="s">
        <v>35</v>
      </c>
      <c r="B63" s="10" t="s">
        <v>319</v>
      </c>
      <c r="C63" s="14" t="s">
        <v>103</v>
      </c>
      <c r="D63" s="10" t="s">
        <v>112</v>
      </c>
      <c r="E63" s="10" t="s">
        <v>331</v>
      </c>
      <c r="F63" s="10" t="s">
        <v>59</v>
      </c>
      <c r="G63" s="27" t="s">
        <v>442</v>
      </c>
      <c r="H63" s="10" t="s">
        <v>443</v>
      </c>
      <c r="I63" s="10" t="s">
        <v>444</v>
      </c>
      <c r="J63" s="10" t="s">
        <v>326</v>
      </c>
      <c r="K63" s="10" t="str">
        <f t="shared" si="11"/>
        <v>Non residential &gt; Commercial &gt; Cooling &gt; Activity shift</v>
      </c>
      <c r="L63" s="10" t="str">
        <f t="shared" si="12"/>
        <v>Non residential &gt; Commercial &gt; Cooling &gt; Activity shift</v>
      </c>
      <c r="M63" s="10" t="s">
        <v>426</v>
      </c>
      <c r="N63" s="6"/>
      <c r="O63" s="6"/>
      <c r="P63" s="6"/>
      <c r="Q63" s="6"/>
      <c r="R63" s="6"/>
      <c r="S63" s="6"/>
      <c r="T63" s="6"/>
      <c r="U63" s="6"/>
      <c r="V63" s="6"/>
      <c r="W63" s="6"/>
      <c r="X63" s="6"/>
      <c r="Y63" s="6"/>
      <c r="Z63" s="6"/>
      <c r="AA63" s="6"/>
      <c r="AB63" s="6"/>
      <c r="AC63" s="6"/>
      <c r="AD63" s="6"/>
      <c r="AE63" s="6"/>
      <c r="AF63" s="6"/>
    </row>
    <row r="64">
      <c r="A64" s="10" t="s">
        <v>35</v>
      </c>
      <c r="B64" s="10" t="s">
        <v>319</v>
      </c>
      <c r="C64" s="14" t="s">
        <v>103</v>
      </c>
      <c r="D64" s="10" t="s">
        <v>112</v>
      </c>
      <c r="E64" s="10" t="s">
        <v>321</v>
      </c>
      <c r="F64" s="27" t="s">
        <v>59</v>
      </c>
      <c r="G64" s="10" t="s">
        <v>445</v>
      </c>
      <c r="H64" s="10" t="s">
        <v>446</v>
      </c>
      <c r="I64" s="20"/>
      <c r="J64" s="10" t="s">
        <v>343</v>
      </c>
      <c r="K64" s="20"/>
      <c r="L64" s="10" t="s">
        <v>447</v>
      </c>
      <c r="M64" s="10" t="s">
        <v>60</v>
      </c>
      <c r="N64" s="6"/>
      <c r="O64" s="6"/>
      <c r="P64" s="6"/>
      <c r="Q64" s="6"/>
      <c r="R64" s="6"/>
      <c r="S64" s="6"/>
      <c r="T64" s="6"/>
      <c r="U64" s="6"/>
      <c r="V64" s="6"/>
      <c r="W64" s="6"/>
      <c r="X64" s="6"/>
      <c r="Y64" s="6"/>
      <c r="Z64" s="6"/>
      <c r="AA64" s="6"/>
      <c r="AB64" s="6"/>
      <c r="AC64" s="6"/>
      <c r="AD64" s="6"/>
      <c r="AE64" s="6"/>
      <c r="AF64" s="6"/>
    </row>
    <row r="65">
      <c r="A65" s="10" t="s">
        <v>35</v>
      </c>
      <c r="B65" s="10" t="s">
        <v>319</v>
      </c>
      <c r="C65" s="14" t="s">
        <v>103</v>
      </c>
      <c r="D65" s="10" t="s">
        <v>112</v>
      </c>
      <c r="E65" s="10" t="s">
        <v>321</v>
      </c>
      <c r="F65" s="10" t="s">
        <v>322</v>
      </c>
      <c r="G65" s="27" t="s">
        <v>448</v>
      </c>
      <c r="H65" s="10" t="s">
        <v>449</v>
      </c>
      <c r="I65" s="10" t="s">
        <v>450</v>
      </c>
      <c r="J65" s="10" t="s">
        <v>343</v>
      </c>
      <c r="K65" s="20"/>
      <c r="L65" s="10" t="s">
        <v>393</v>
      </c>
      <c r="M65" s="10" t="s">
        <v>60</v>
      </c>
      <c r="N65" s="6"/>
      <c r="O65" s="6"/>
      <c r="P65" s="6"/>
      <c r="Q65" s="6"/>
      <c r="R65" s="6"/>
      <c r="S65" s="6"/>
      <c r="T65" s="6"/>
      <c r="U65" s="6"/>
      <c r="V65" s="6"/>
      <c r="W65" s="6"/>
      <c r="X65" s="6"/>
      <c r="Y65" s="6"/>
      <c r="Z65" s="6"/>
      <c r="AA65" s="6"/>
      <c r="AB65" s="6"/>
      <c r="AC65" s="6"/>
      <c r="AD65" s="6"/>
      <c r="AE65" s="6"/>
      <c r="AF65" s="6"/>
    </row>
    <row r="66">
      <c r="A66" s="10" t="s">
        <v>35</v>
      </c>
      <c r="B66" s="10" t="s">
        <v>319</v>
      </c>
      <c r="C66" s="14" t="s">
        <v>103</v>
      </c>
      <c r="D66" s="10" t="s">
        <v>112</v>
      </c>
      <c r="E66" s="10" t="s">
        <v>336</v>
      </c>
      <c r="F66" s="10" t="s">
        <v>322</v>
      </c>
      <c r="G66" s="27" t="s">
        <v>60</v>
      </c>
      <c r="H66" s="10" t="s">
        <v>451</v>
      </c>
      <c r="I66" s="10" t="s">
        <v>60</v>
      </c>
      <c r="J66" s="10" t="s">
        <v>65</v>
      </c>
      <c r="K66" s="10" t="str">
        <f t="shared" ref="K66:K72" si="13">CONCATENATE(C66," &gt; ",D66," &gt; ",E66," &gt; ",F66)</f>
        <v>Non residential &gt; Commercial &gt; Water heating &gt; Fuel shift</v>
      </c>
      <c r="L66" s="10" t="str">
        <f t="shared" ref="L66:L72" si="14">CONCATENATE(C66," &gt; ",D66," &gt; ",E66," &gt; ",F66)</f>
        <v>Non residential &gt; Commercial &gt; Water heating &gt; Fuel shift</v>
      </c>
      <c r="M66" s="10" t="s">
        <v>426</v>
      </c>
      <c r="N66" s="6"/>
      <c r="O66" s="6"/>
      <c r="P66" s="6"/>
      <c r="Q66" s="6"/>
      <c r="R66" s="6"/>
      <c r="S66" s="6"/>
      <c r="T66" s="6"/>
      <c r="U66" s="6"/>
      <c r="V66" s="6"/>
      <c r="W66" s="6"/>
      <c r="X66" s="6"/>
      <c r="Y66" s="6"/>
      <c r="Z66" s="6"/>
      <c r="AA66" s="6"/>
      <c r="AB66" s="6"/>
      <c r="AC66" s="6"/>
      <c r="AD66" s="6"/>
      <c r="AE66" s="6"/>
      <c r="AF66" s="6"/>
    </row>
    <row r="67">
      <c r="A67" s="10" t="s">
        <v>35</v>
      </c>
      <c r="B67" s="10" t="s">
        <v>319</v>
      </c>
      <c r="C67" s="14" t="s">
        <v>103</v>
      </c>
      <c r="D67" s="10" t="s">
        <v>112</v>
      </c>
      <c r="E67" s="10" t="s">
        <v>336</v>
      </c>
      <c r="F67" s="10" t="s">
        <v>332</v>
      </c>
      <c r="G67" s="27" t="s">
        <v>60</v>
      </c>
      <c r="H67" s="10" t="s">
        <v>452</v>
      </c>
      <c r="I67" s="10" t="s">
        <v>60</v>
      </c>
      <c r="J67" s="10" t="s">
        <v>65</v>
      </c>
      <c r="K67" s="10" t="str">
        <f t="shared" si="13"/>
        <v>Non residential &gt; Commercial &gt; Water heating &gt; Technology shift</v>
      </c>
      <c r="L67" s="10" t="str">
        <f t="shared" si="14"/>
        <v>Non residential &gt; Commercial &gt; Water heating &gt; Technology shift</v>
      </c>
      <c r="M67" s="10" t="s">
        <v>426</v>
      </c>
      <c r="N67" s="6"/>
      <c r="O67" s="6"/>
      <c r="P67" s="6"/>
      <c r="Q67" s="6"/>
      <c r="R67" s="6"/>
      <c r="S67" s="6"/>
      <c r="T67" s="6"/>
      <c r="U67" s="6"/>
      <c r="V67" s="6"/>
      <c r="W67" s="6"/>
      <c r="X67" s="6"/>
      <c r="Y67" s="6"/>
      <c r="Z67" s="6"/>
      <c r="AA67" s="6"/>
      <c r="AB67" s="6"/>
      <c r="AC67" s="6"/>
      <c r="AD67" s="6"/>
      <c r="AE67" s="6"/>
      <c r="AF67" s="6"/>
    </row>
    <row r="68">
      <c r="A68" s="10" t="s">
        <v>35</v>
      </c>
      <c r="B68" s="10" t="s">
        <v>319</v>
      </c>
      <c r="C68" s="14" t="s">
        <v>103</v>
      </c>
      <c r="D68" s="10" t="s">
        <v>112</v>
      </c>
      <c r="E68" s="10" t="s">
        <v>336</v>
      </c>
      <c r="F68" s="10" t="s">
        <v>59</v>
      </c>
      <c r="G68" s="27" t="s">
        <v>60</v>
      </c>
      <c r="H68" s="10" t="s">
        <v>453</v>
      </c>
      <c r="I68" s="10" t="s">
        <v>60</v>
      </c>
      <c r="J68" s="10" t="s">
        <v>65</v>
      </c>
      <c r="K68" s="10" t="str">
        <f t="shared" si="13"/>
        <v>Non residential &gt; Commercial &gt; Water heating &gt; Activity shift</v>
      </c>
      <c r="L68" s="10" t="str">
        <f t="shared" si="14"/>
        <v>Non residential &gt; Commercial &gt; Water heating &gt; Activity shift</v>
      </c>
      <c r="M68" s="10" t="s">
        <v>426</v>
      </c>
      <c r="N68" s="6"/>
      <c r="O68" s="6"/>
      <c r="P68" s="6"/>
      <c r="Q68" s="6"/>
      <c r="R68" s="6"/>
      <c r="S68" s="6"/>
      <c r="T68" s="6"/>
      <c r="U68" s="6"/>
      <c r="V68" s="6"/>
      <c r="W68" s="6"/>
      <c r="X68" s="6"/>
      <c r="Y68" s="6"/>
      <c r="Z68" s="6"/>
      <c r="AA68" s="6"/>
      <c r="AB68" s="6"/>
      <c r="AC68" s="6"/>
      <c r="AD68" s="6"/>
      <c r="AE68" s="6"/>
      <c r="AF68" s="6"/>
    </row>
    <row r="69">
      <c r="A69" s="10" t="s">
        <v>35</v>
      </c>
      <c r="B69" s="10" t="s">
        <v>319</v>
      </c>
      <c r="C69" s="14" t="s">
        <v>103</v>
      </c>
      <c r="D69" s="10" t="s">
        <v>112</v>
      </c>
      <c r="E69" s="10" t="s">
        <v>411</v>
      </c>
      <c r="F69" s="10" t="s">
        <v>332</v>
      </c>
      <c r="G69" s="10" t="s">
        <v>60</v>
      </c>
      <c r="H69" s="10" t="s">
        <v>454</v>
      </c>
      <c r="I69" s="10" t="s">
        <v>60</v>
      </c>
      <c r="J69" s="10" t="s">
        <v>65</v>
      </c>
      <c r="K69" s="10" t="str">
        <f t="shared" si="13"/>
        <v>Non residential &gt; Commercial &gt; Pump and lifts &gt; Technology shift</v>
      </c>
      <c r="L69" s="10" t="str">
        <f t="shared" si="14"/>
        <v>Non residential &gt; Commercial &gt; Pump and lifts &gt; Technology shift</v>
      </c>
      <c r="M69" s="10" t="s">
        <v>426</v>
      </c>
      <c r="N69" s="6"/>
      <c r="O69" s="6"/>
      <c r="P69" s="6"/>
      <c r="Q69" s="6"/>
      <c r="R69" s="6"/>
      <c r="S69" s="6"/>
      <c r="T69" s="6"/>
      <c r="U69" s="6"/>
      <c r="V69" s="6"/>
      <c r="W69" s="6"/>
      <c r="X69" s="6"/>
      <c r="Y69" s="6"/>
      <c r="Z69" s="6"/>
      <c r="AA69" s="6"/>
      <c r="AB69" s="6"/>
      <c r="AC69" s="6"/>
      <c r="AD69" s="6"/>
      <c r="AE69" s="6"/>
      <c r="AF69" s="6"/>
    </row>
    <row r="70">
      <c r="A70" s="10" t="s">
        <v>35</v>
      </c>
      <c r="B70" s="10" t="s">
        <v>319</v>
      </c>
      <c r="C70" s="14" t="s">
        <v>103</v>
      </c>
      <c r="D70" s="10" t="s">
        <v>455</v>
      </c>
      <c r="E70" s="10" t="s">
        <v>321</v>
      </c>
      <c r="F70" s="10" t="s">
        <v>322</v>
      </c>
      <c r="G70" s="10" t="s">
        <v>456</v>
      </c>
      <c r="H70" s="10" t="s">
        <v>457</v>
      </c>
      <c r="I70" s="10" t="s">
        <v>458</v>
      </c>
      <c r="J70" s="10" t="s">
        <v>326</v>
      </c>
      <c r="K70" s="10" t="str">
        <f t="shared" si="13"/>
        <v>Non residential &gt; Institutional &gt; Heating &gt; Fuel shift</v>
      </c>
      <c r="L70" s="10" t="str">
        <f t="shared" si="14"/>
        <v>Non residential &gt; Institutional &gt; Heating &gt; Fuel shift</v>
      </c>
      <c r="M70" s="10" t="s">
        <v>459</v>
      </c>
      <c r="N70" s="6"/>
      <c r="O70" s="6"/>
      <c r="P70" s="6"/>
      <c r="Q70" s="6"/>
      <c r="R70" s="6"/>
      <c r="S70" s="6"/>
      <c r="T70" s="6"/>
      <c r="U70" s="6"/>
      <c r="V70" s="6"/>
      <c r="W70" s="6"/>
      <c r="X70" s="6"/>
      <c r="Y70" s="6"/>
      <c r="Z70" s="6"/>
      <c r="AA70" s="6"/>
      <c r="AB70" s="6"/>
      <c r="AC70" s="6"/>
      <c r="AD70" s="6"/>
      <c r="AE70" s="6"/>
      <c r="AF70" s="6"/>
    </row>
    <row r="71">
      <c r="A71" s="10" t="s">
        <v>35</v>
      </c>
      <c r="B71" s="10" t="s">
        <v>319</v>
      </c>
      <c r="C71" s="14" t="s">
        <v>103</v>
      </c>
      <c r="D71" s="10" t="s">
        <v>455</v>
      </c>
      <c r="E71" s="10" t="s">
        <v>331</v>
      </c>
      <c r="F71" s="10" t="s">
        <v>322</v>
      </c>
      <c r="G71" s="10" t="s">
        <v>460</v>
      </c>
      <c r="H71" s="10" t="s">
        <v>461</v>
      </c>
      <c r="I71" s="10" t="s">
        <v>462</v>
      </c>
      <c r="J71" s="10" t="s">
        <v>326</v>
      </c>
      <c r="K71" s="10" t="str">
        <f t="shared" si="13"/>
        <v>Non residential &gt; Institutional &gt; Cooling &gt; Fuel shift</v>
      </c>
      <c r="L71" s="10" t="str">
        <f t="shared" si="14"/>
        <v>Non residential &gt; Institutional &gt; Cooling &gt; Fuel shift</v>
      </c>
      <c r="M71" s="10" t="s">
        <v>459</v>
      </c>
      <c r="N71" s="6"/>
      <c r="O71" s="6"/>
      <c r="P71" s="6"/>
      <c r="Q71" s="6"/>
      <c r="R71" s="6"/>
      <c r="S71" s="6"/>
      <c r="T71" s="6"/>
      <c r="U71" s="6"/>
      <c r="V71" s="6"/>
      <c r="W71" s="6"/>
      <c r="X71" s="6"/>
      <c r="Y71" s="6"/>
      <c r="Z71" s="6"/>
      <c r="AA71" s="6"/>
      <c r="AB71" s="6"/>
      <c r="AC71" s="6"/>
      <c r="AD71" s="6"/>
      <c r="AE71" s="6"/>
      <c r="AF71" s="6"/>
    </row>
    <row r="72">
      <c r="A72" s="10" t="s">
        <v>35</v>
      </c>
      <c r="B72" s="10" t="s">
        <v>319</v>
      </c>
      <c r="C72" s="14" t="s">
        <v>103</v>
      </c>
      <c r="D72" s="10" t="s">
        <v>455</v>
      </c>
      <c r="E72" s="10" t="s">
        <v>321</v>
      </c>
      <c r="F72" s="10" t="s">
        <v>332</v>
      </c>
      <c r="G72" s="27" t="s">
        <v>463</v>
      </c>
      <c r="H72" s="10" t="s">
        <v>464</v>
      </c>
      <c r="I72" s="10" t="s">
        <v>465</v>
      </c>
      <c r="J72" s="10" t="s">
        <v>326</v>
      </c>
      <c r="K72" s="10" t="str">
        <f t="shared" si="13"/>
        <v>Non residential &gt; Institutional &gt; Heating &gt; Technology shift</v>
      </c>
      <c r="L72" s="10" t="str">
        <f t="shared" si="14"/>
        <v>Non residential &gt; Institutional &gt; Heating &gt; Technology shift</v>
      </c>
      <c r="M72" s="10" t="s">
        <v>459</v>
      </c>
      <c r="N72" s="6"/>
      <c r="O72" s="6"/>
      <c r="P72" s="6"/>
      <c r="Q72" s="6"/>
      <c r="R72" s="6"/>
      <c r="S72" s="6"/>
      <c r="T72" s="6"/>
      <c r="U72" s="6"/>
      <c r="V72" s="6"/>
      <c r="W72" s="6"/>
      <c r="X72" s="6"/>
      <c r="Y72" s="6"/>
      <c r="Z72" s="6"/>
      <c r="AA72" s="6"/>
      <c r="AB72" s="6"/>
      <c r="AC72" s="6"/>
      <c r="AD72" s="6"/>
      <c r="AE72" s="6"/>
      <c r="AF72" s="6"/>
    </row>
    <row r="73">
      <c r="A73" s="10" t="s">
        <v>35</v>
      </c>
      <c r="B73" s="10" t="s">
        <v>319</v>
      </c>
      <c r="C73" s="14" t="s">
        <v>103</v>
      </c>
      <c r="D73" s="10" t="s">
        <v>455</v>
      </c>
      <c r="E73" s="10" t="s">
        <v>321</v>
      </c>
      <c r="F73" s="10" t="s">
        <v>322</v>
      </c>
      <c r="G73" s="10" t="s">
        <v>466</v>
      </c>
      <c r="H73" s="10" t="s">
        <v>467</v>
      </c>
      <c r="I73" s="10" t="s">
        <v>468</v>
      </c>
      <c r="J73" s="10" t="s">
        <v>343</v>
      </c>
      <c r="K73" s="20"/>
      <c r="L73" s="10" t="s">
        <v>344</v>
      </c>
      <c r="M73" s="10" t="s">
        <v>60</v>
      </c>
      <c r="N73" s="6"/>
      <c r="O73" s="6"/>
      <c r="P73" s="6"/>
      <c r="Q73" s="6"/>
      <c r="R73" s="6"/>
      <c r="S73" s="6"/>
      <c r="T73" s="6"/>
      <c r="U73" s="6"/>
      <c r="V73" s="6"/>
      <c r="W73" s="6"/>
      <c r="X73" s="6"/>
      <c r="Y73" s="6"/>
      <c r="Z73" s="6"/>
      <c r="AA73" s="6"/>
      <c r="AB73" s="6"/>
      <c r="AC73" s="6"/>
      <c r="AD73" s="6"/>
      <c r="AE73" s="6"/>
      <c r="AF73" s="6"/>
    </row>
    <row r="74">
      <c r="A74" s="10" t="s">
        <v>35</v>
      </c>
      <c r="B74" s="10" t="s">
        <v>319</v>
      </c>
      <c r="C74" s="14" t="s">
        <v>103</v>
      </c>
      <c r="D74" s="10" t="s">
        <v>455</v>
      </c>
      <c r="E74" s="10" t="s">
        <v>336</v>
      </c>
      <c r="F74" s="10" t="s">
        <v>322</v>
      </c>
      <c r="G74" s="10" t="s">
        <v>469</v>
      </c>
      <c r="H74" s="10" t="s">
        <v>470</v>
      </c>
      <c r="I74" s="10" t="s">
        <v>471</v>
      </c>
      <c r="J74" s="10" t="s">
        <v>326</v>
      </c>
      <c r="K74" s="10" t="str">
        <f t="shared" ref="K74:K85" si="15">CONCATENATE(C74," &gt; ",D74," &gt; ",E74," &gt; ",F74)</f>
        <v>Non residential &gt; Institutional &gt; Water heating &gt; Fuel shift</v>
      </c>
      <c r="L74" s="10" t="str">
        <f t="shared" ref="L74:L85" si="16">CONCATENATE(C74," &gt; ",D74," &gt; ",E74," &gt; ",F74)</f>
        <v>Non residential &gt; Institutional &gt; Water heating &gt; Fuel shift</v>
      </c>
      <c r="M74" s="10" t="s">
        <v>459</v>
      </c>
      <c r="N74" s="6"/>
      <c r="O74" s="6"/>
      <c r="P74" s="6"/>
      <c r="Q74" s="6"/>
      <c r="R74" s="6"/>
      <c r="S74" s="6"/>
      <c r="T74" s="6"/>
      <c r="U74" s="6"/>
      <c r="V74" s="6"/>
      <c r="W74" s="6"/>
      <c r="X74" s="6"/>
      <c r="Y74" s="6"/>
      <c r="Z74" s="6"/>
      <c r="AA74" s="6"/>
      <c r="AB74" s="6"/>
      <c r="AC74" s="6"/>
      <c r="AD74" s="6"/>
      <c r="AE74" s="6"/>
      <c r="AF74" s="6"/>
    </row>
    <row r="75">
      <c r="A75" s="10" t="s">
        <v>35</v>
      </c>
      <c r="B75" s="10" t="s">
        <v>319</v>
      </c>
      <c r="C75" s="14" t="s">
        <v>103</v>
      </c>
      <c r="D75" s="10" t="s">
        <v>455</v>
      </c>
      <c r="E75" s="10" t="s">
        <v>321</v>
      </c>
      <c r="F75" s="10" t="s">
        <v>59</v>
      </c>
      <c r="G75" s="27" t="s">
        <v>472</v>
      </c>
      <c r="H75" s="10" t="s">
        <v>473</v>
      </c>
      <c r="I75" s="10" t="s">
        <v>474</v>
      </c>
      <c r="J75" s="10" t="s">
        <v>326</v>
      </c>
      <c r="K75" s="10" t="str">
        <f t="shared" si="15"/>
        <v>Non residential &gt; Institutional &gt; Heating &gt; Activity shift</v>
      </c>
      <c r="L75" s="10" t="str">
        <f t="shared" si="16"/>
        <v>Non residential &gt; Institutional &gt; Heating &gt; Activity shift</v>
      </c>
      <c r="M75" s="10" t="s">
        <v>459</v>
      </c>
      <c r="N75" s="6"/>
      <c r="O75" s="6"/>
      <c r="P75" s="6"/>
      <c r="Q75" s="6"/>
      <c r="R75" s="6"/>
      <c r="S75" s="6"/>
      <c r="T75" s="6"/>
      <c r="U75" s="6"/>
      <c r="V75" s="6"/>
      <c r="W75" s="6"/>
      <c r="X75" s="6"/>
      <c r="Y75" s="6"/>
      <c r="Z75" s="6"/>
      <c r="AA75" s="6"/>
      <c r="AB75" s="6"/>
      <c r="AC75" s="6"/>
      <c r="AD75" s="6"/>
      <c r="AE75" s="6"/>
      <c r="AF75" s="6"/>
    </row>
    <row r="76">
      <c r="A76" s="10" t="s">
        <v>35</v>
      </c>
      <c r="B76" s="10" t="s">
        <v>319</v>
      </c>
      <c r="C76" s="14" t="s">
        <v>103</v>
      </c>
      <c r="D76" s="10" t="s">
        <v>455</v>
      </c>
      <c r="E76" s="10" t="s">
        <v>331</v>
      </c>
      <c r="F76" s="10" t="s">
        <v>59</v>
      </c>
      <c r="G76" s="10" t="s">
        <v>475</v>
      </c>
      <c r="H76" s="10" t="s">
        <v>476</v>
      </c>
      <c r="I76" s="10" t="s">
        <v>477</v>
      </c>
      <c r="J76" s="10" t="s">
        <v>326</v>
      </c>
      <c r="K76" s="10" t="str">
        <f t="shared" si="15"/>
        <v>Non residential &gt; Institutional &gt; Cooling &gt; Activity shift</v>
      </c>
      <c r="L76" s="10" t="str">
        <f t="shared" si="16"/>
        <v>Non residential &gt; Institutional &gt; Cooling &gt; Activity shift</v>
      </c>
      <c r="M76" s="10" t="s">
        <v>459</v>
      </c>
      <c r="N76" s="6"/>
      <c r="O76" s="6"/>
      <c r="P76" s="6"/>
      <c r="Q76" s="6"/>
      <c r="R76" s="6"/>
      <c r="S76" s="6"/>
      <c r="T76" s="6"/>
      <c r="U76" s="6"/>
      <c r="V76" s="6"/>
      <c r="W76" s="6"/>
      <c r="X76" s="6"/>
      <c r="Y76" s="6"/>
      <c r="Z76" s="6"/>
      <c r="AA76" s="6"/>
      <c r="AB76" s="6"/>
      <c r="AC76" s="6"/>
      <c r="AD76" s="6"/>
      <c r="AE76" s="6"/>
      <c r="AF76" s="6"/>
    </row>
    <row r="77">
      <c r="A77" s="10" t="s">
        <v>35</v>
      </c>
      <c r="B77" s="10" t="s">
        <v>319</v>
      </c>
      <c r="C77" s="14" t="s">
        <v>103</v>
      </c>
      <c r="D77" s="10" t="s">
        <v>455</v>
      </c>
      <c r="E77" s="10" t="s">
        <v>336</v>
      </c>
      <c r="F77" s="10" t="s">
        <v>322</v>
      </c>
      <c r="G77" s="27" t="s">
        <v>60</v>
      </c>
      <c r="H77" s="10" t="s">
        <v>478</v>
      </c>
      <c r="I77" s="10" t="s">
        <v>60</v>
      </c>
      <c r="J77" s="10" t="s">
        <v>65</v>
      </c>
      <c r="K77" s="10" t="str">
        <f t="shared" si="15"/>
        <v>Non residential &gt; Institutional &gt; Water heating &gt; Fuel shift</v>
      </c>
      <c r="L77" s="10" t="str">
        <f t="shared" si="16"/>
        <v>Non residential &gt; Institutional &gt; Water heating &gt; Fuel shift</v>
      </c>
      <c r="M77" s="10" t="s">
        <v>459</v>
      </c>
      <c r="N77" s="6"/>
      <c r="O77" s="6"/>
      <c r="P77" s="6"/>
      <c r="Q77" s="6"/>
      <c r="R77" s="6"/>
      <c r="S77" s="6"/>
      <c r="T77" s="6"/>
      <c r="U77" s="6"/>
      <c r="V77" s="6"/>
      <c r="W77" s="6"/>
      <c r="X77" s="6"/>
      <c r="Y77" s="6"/>
      <c r="Z77" s="6"/>
      <c r="AA77" s="6"/>
      <c r="AB77" s="6"/>
      <c r="AC77" s="6"/>
      <c r="AD77" s="6"/>
      <c r="AE77" s="6"/>
      <c r="AF77" s="6"/>
    </row>
    <row r="78">
      <c r="A78" s="10" t="s">
        <v>35</v>
      </c>
      <c r="B78" s="10" t="s">
        <v>319</v>
      </c>
      <c r="C78" s="14" t="s">
        <v>103</v>
      </c>
      <c r="D78" s="10" t="s">
        <v>455</v>
      </c>
      <c r="E78" s="10" t="s">
        <v>336</v>
      </c>
      <c r="F78" s="10" t="s">
        <v>332</v>
      </c>
      <c r="G78" s="27" t="s">
        <v>60</v>
      </c>
      <c r="H78" s="10" t="s">
        <v>479</v>
      </c>
      <c r="I78" s="10" t="s">
        <v>60</v>
      </c>
      <c r="J78" s="10" t="s">
        <v>65</v>
      </c>
      <c r="K78" s="10" t="str">
        <f t="shared" si="15"/>
        <v>Non residential &gt; Institutional &gt; Water heating &gt; Technology shift</v>
      </c>
      <c r="L78" s="10" t="str">
        <f t="shared" si="16"/>
        <v>Non residential &gt; Institutional &gt; Water heating &gt; Technology shift</v>
      </c>
      <c r="M78" s="10" t="s">
        <v>459</v>
      </c>
      <c r="N78" s="6"/>
      <c r="O78" s="6"/>
      <c r="P78" s="6"/>
      <c r="Q78" s="6"/>
      <c r="R78" s="6"/>
      <c r="S78" s="6"/>
      <c r="T78" s="6"/>
      <c r="U78" s="6"/>
      <c r="V78" s="6"/>
      <c r="W78" s="6"/>
      <c r="X78" s="6"/>
      <c r="Y78" s="6"/>
      <c r="Z78" s="6"/>
      <c r="AA78" s="6"/>
      <c r="AB78" s="6"/>
      <c r="AC78" s="6"/>
      <c r="AD78" s="6"/>
      <c r="AE78" s="6"/>
      <c r="AF78" s="6"/>
    </row>
    <row r="79">
      <c r="A79" s="10" t="s">
        <v>35</v>
      </c>
      <c r="B79" s="10" t="s">
        <v>319</v>
      </c>
      <c r="C79" s="14" t="s">
        <v>103</v>
      </c>
      <c r="D79" s="10" t="s">
        <v>455</v>
      </c>
      <c r="E79" s="10" t="s">
        <v>336</v>
      </c>
      <c r="F79" s="10" t="s">
        <v>59</v>
      </c>
      <c r="G79" s="10" t="s">
        <v>60</v>
      </c>
      <c r="H79" s="10" t="s">
        <v>480</v>
      </c>
      <c r="I79" s="10" t="s">
        <v>60</v>
      </c>
      <c r="J79" s="10" t="s">
        <v>65</v>
      </c>
      <c r="K79" s="10" t="str">
        <f t="shared" si="15"/>
        <v>Non residential &gt; Institutional &gt; Water heating &gt; Activity shift</v>
      </c>
      <c r="L79" s="10" t="str">
        <f t="shared" si="16"/>
        <v>Non residential &gt; Institutional &gt; Water heating &gt; Activity shift</v>
      </c>
      <c r="M79" s="10" t="s">
        <v>459</v>
      </c>
      <c r="N79" s="6"/>
      <c r="O79" s="6"/>
      <c r="P79" s="6"/>
      <c r="Q79" s="6"/>
      <c r="R79" s="6"/>
      <c r="S79" s="6"/>
      <c r="T79" s="6"/>
      <c r="U79" s="6"/>
      <c r="V79" s="6"/>
      <c r="W79" s="6"/>
      <c r="X79" s="6"/>
      <c r="Y79" s="6"/>
      <c r="Z79" s="6"/>
      <c r="AA79" s="6"/>
      <c r="AB79" s="6"/>
      <c r="AC79" s="6"/>
      <c r="AD79" s="6"/>
      <c r="AE79" s="6"/>
      <c r="AF79" s="6"/>
    </row>
    <row r="80">
      <c r="A80" s="10" t="s">
        <v>35</v>
      </c>
      <c r="B80" s="10" t="s">
        <v>319</v>
      </c>
      <c r="C80" s="14" t="s">
        <v>103</v>
      </c>
      <c r="D80" s="10" t="s">
        <v>455</v>
      </c>
      <c r="E80" s="10" t="s">
        <v>402</v>
      </c>
      <c r="F80" s="10" t="s">
        <v>322</v>
      </c>
      <c r="G80" s="10" t="s">
        <v>60</v>
      </c>
      <c r="H80" s="10" t="s">
        <v>481</v>
      </c>
      <c r="I80" s="10" t="s">
        <v>60</v>
      </c>
      <c r="J80" s="10" t="s">
        <v>65</v>
      </c>
      <c r="K80" s="10" t="str">
        <f t="shared" si="15"/>
        <v>Non residential &gt; Institutional &gt; Cooking &gt; Fuel shift</v>
      </c>
      <c r="L80" s="10" t="str">
        <f t="shared" si="16"/>
        <v>Non residential &gt; Institutional &gt; Cooking &gt; Fuel shift</v>
      </c>
      <c r="M80" s="10" t="s">
        <v>459</v>
      </c>
      <c r="N80" s="6"/>
      <c r="O80" s="6"/>
      <c r="P80" s="6"/>
      <c r="Q80" s="6"/>
      <c r="R80" s="6"/>
      <c r="S80" s="6"/>
      <c r="T80" s="6"/>
      <c r="U80" s="6"/>
      <c r="V80" s="6"/>
      <c r="W80" s="6"/>
      <c r="X80" s="6"/>
      <c r="Y80" s="6"/>
      <c r="Z80" s="6"/>
      <c r="AA80" s="6"/>
      <c r="AB80" s="6"/>
      <c r="AC80" s="6"/>
      <c r="AD80" s="6"/>
      <c r="AE80" s="6"/>
      <c r="AF80" s="6"/>
    </row>
    <row r="81">
      <c r="A81" s="10" t="s">
        <v>35</v>
      </c>
      <c r="B81" s="10" t="s">
        <v>319</v>
      </c>
      <c r="C81" s="14" t="s">
        <v>103</v>
      </c>
      <c r="D81" s="10" t="s">
        <v>455</v>
      </c>
      <c r="E81" s="10" t="s">
        <v>406</v>
      </c>
      <c r="F81" s="10" t="s">
        <v>332</v>
      </c>
      <c r="G81" s="27" t="s">
        <v>60</v>
      </c>
      <c r="H81" s="10" t="s">
        <v>482</v>
      </c>
      <c r="I81" s="10" t="s">
        <v>60</v>
      </c>
      <c r="J81" s="10" t="s">
        <v>65</v>
      </c>
      <c r="K81" s="10" t="str">
        <f t="shared" si="15"/>
        <v>Non residential &gt; Institutional &gt; Lighting &gt; Technology shift</v>
      </c>
      <c r="L81" s="10" t="str">
        <f t="shared" si="16"/>
        <v>Non residential &gt; Institutional &gt; Lighting &gt; Technology shift</v>
      </c>
      <c r="M81" s="10" t="s">
        <v>459</v>
      </c>
      <c r="N81" s="6"/>
      <c r="O81" s="6"/>
      <c r="P81" s="6"/>
      <c r="Q81" s="6"/>
      <c r="R81" s="6"/>
      <c r="S81" s="6"/>
      <c r="T81" s="6"/>
      <c r="U81" s="6"/>
      <c r="V81" s="6"/>
      <c r="W81" s="6"/>
      <c r="X81" s="6"/>
      <c r="Y81" s="6"/>
      <c r="Z81" s="6"/>
      <c r="AA81" s="6"/>
      <c r="AB81" s="6"/>
      <c r="AC81" s="6"/>
      <c r="AD81" s="6"/>
      <c r="AE81" s="6"/>
      <c r="AF81" s="6"/>
    </row>
    <row r="82">
      <c r="A82" s="10" t="s">
        <v>35</v>
      </c>
      <c r="B82" s="10" t="s">
        <v>319</v>
      </c>
      <c r="C82" s="14" t="s">
        <v>103</v>
      </c>
      <c r="D82" s="10" t="s">
        <v>455</v>
      </c>
      <c r="E82" s="10" t="s">
        <v>411</v>
      </c>
      <c r="F82" s="10" t="s">
        <v>332</v>
      </c>
      <c r="G82" s="10" t="s">
        <v>60</v>
      </c>
      <c r="H82" s="10" t="s">
        <v>483</v>
      </c>
      <c r="I82" s="10" t="s">
        <v>60</v>
      </c>
      <c r="J82" s="10" t="s">
        <v>65</v>
      </c>
      <c r="K82" s="10" t="str">
        <f t="shared" si="15"/>
        <v>Non residential &gt; Institutional &gt; Pump and lifts &gt; Technology shift</v>
      </c>
      <c r="L82" s="10" t="str">
        <f t="shared" si="16"/>
        <v>Non residential &gt; Institutional &gt; Pump and lifts &gt; Technology shift</v>
      </c>
      <c r="M82" s="10" t="s">
        <v>459</v>
      </c>
      <c r="N82" s="6"/>
      <c r="O82" s="6"/>
      <c r="P82" s="6"/>
      <c r="Q82" s="6"/>
      <c r="R82" s="6"/>
      <c r="S82" s="6"/>
      <c r="T82" s="6"/>
      <c r="U82" s="6"/>
      <c r="V82" s="6"/>
      <c r="W82" s="6"/>
      <c r="X82" s="6"/>
      <c r="Y82" s="6"/>
      <c r="Z82" s="6"/>
      <c r="AA82" s="6"/>
      <c r="AB82" s="6"/>
      <c r="AC82" s="6"/>
      <c r="AD82" s="6"/>
      <c r="AE82" s="6"/>
      <c r="AF82" s="6"/>
    </row>
    <row r="83">
      <c r="A83" s="10" t="s">
        <v>35</v>
      </c>
      <c r="B83" s="10" t="s">
        <v>319</v>
      </c>
      <c r="C83" s="14" t="s">
        <v>103</v>
      </c>
      <c r="D83" s="10" t="s">
        <v>484</v>
      </c>
      <c r="E83" s="10" t="s">
        <v>321</v>
      </c>
      <c r="F83" s="10" t="s">
        <v>322</v>
      </c>
      <c r="G83" s="27" t="s">
        <v>485</v>
      </c>
      <c r="H83" s="10" t="s">
        <v>486</v>
      </c>
      <c r="I83" s="10" t="s">
        <v>487</v>
      </c>
      <c r="J83" s="10" t="s">
        <v>326</v>
      </c>
      <c r="K83" s="10" t="str">
        <f t="shared" si="15"/>
        <v>Non residential &gt; Industry &gt; Heating &gt; Fuel shift</v>
      </c>
      <c r="L83" s="10" t="str">
        <f t="shared" si="16"/>
        <v>Non residential &gt; Industry &gt; Heating &gt; Fuel shift</v>
      </c>
      <c r="M83" s="10" t="s">
        <v>60</v>
      </c>
      <c r="N83" s="6"/>
      <c r="O83" s="6"/>
      <c r="P83" s="6"/>
      <c r="Q83" s="6"/>
      <c r="R83" s="6"/>
      <c r="S83" s="6"/>
      <c r="T83" s="6"/>
      <c r="U83" s="6"/>
      <c r="V83" s="6"/>
      <c r="W83" s="6"/>
      <c r="X83" s="6"/>
      <c r="Y83" s="6"/>
      <c r="Z83" s="6"/>
      <c r="AA83" s="6"/>
      <c r="AB83" s="6"/>
      <c r="AC83" s="6"/>
      <c r="AD83" s="6"/>
      <c r="AE83" s="6"/>
      <c r="AF83" s="6"/>
    </row>
    <row r="84">
      <c r="A84" s="10" t="s">
        <v>35</v>
      </c>
      <c r="B84" s="10" t="s">
        <v>319</v>
      </c>
      <c r="C84" s="14" t="s">
        <v>103</v>
      </c>
      <c r="D84" s="10" t="s">
        <v>484</v>
      </c>
      <c r="E84" s="10" t="s">
        <v>331</v>
      </c>
      <c r="F84" s="10" t="s">
        <v>322</v>
      </c>
      <c r="G84" s="27" t="s">
        <v>488</v>
      </c>
      <c r="H84" s="10" t="s">
        <v>489</v>
      </c>
      <c r="I84" s="10" t="s">
        <v>462</v>
      </c>
      <c r="J84" s="10" t="s">
        <v>326</v>
      </c>
      <c r="K84" s="10" t="str">
        <f t="shared" si="15"/>
        <v>Non residential &gt; Industry &gt; Cooling &gt; Fuel shift</v>
      </c>
      <c r="L84" s="10" t="str">
        <f t="shared" si="16"/>
        <v>Non residential &gt; Industry &gt; Cooling &gt; Fuel shift</v>
      </c>
      <c r="M84" s="10" t="s">
        <v>60</v>
      </c>
      <c r="N84" s="6"/>
      <c r="O84" s="6"/>
      <c r="P84" s="6"/>
      <c r="Q84" s="6"/>
      <c r="R84" s="6"/>
      <c r="S84" s="6"/>
      <c r="T84" s="6"/>
      <c r="U84" s="6"/>
      <c r="V84" s="6"/>
      <c r="W84" s="6"/>
      <c r="X84" s="6"/>
      <c r="Y84" s="6"/>
      <c r="Z84" s="6"/>
      <c r="AA84" s="6"/>
      <c r="AB84" s="6"/>
      <c r="AC84" s="6"/>
      <c r="AD84" s="6"/>
      <c r="AE84" s="6"/>
      <c r="AF84" s="6"/>
    </row>
    <row r="85">
      <c r="A85" s="10" t="s">
        <v>35</v>
      </c>
      <c r="B85" s="10" t="s">
        <v>319</v>
      </c>
      <c r="C85" s="14" t="s">
        <v>103</v>
      </c>
      <c r="D85" s="10" t="s">
        <v>484</v>
      </c>
      <c r="E85" s="10" t="s">
        <v>321</v>
      </c>
      <c r="F85" s="10" t="s">
        <v>332</v>
      </c>
      <c r="G85" s="10" t="s">
        <v>490</v>
      </c>
      <c r="H85" s="10" t="s">
        <v>491</v>
      </c>
      <c r="I85" s="10" t="s">
        <v>492</v>
      </c>
      <c r="J85" s="10" t="s">
        <v>326</v>
      </c>
      <c r="K85" s="10" t="str">
        <f t="shared" si="15"/>
        <v>Non residential &gt; Industry &gt; Heating &gt; Technology shift</v>
      </c>
      <c r="L85" s="10" t="str">
        <f t="shared" si="16"/>
        <v>Non residential &gt; Industry &gt; Heating &gt; Technology shift</v>
      </c>
      <c r="M85" s="10" t="s">
        <v>60</v>
      </c>
      <c r="N85" s="6"/>
      <c r="O85" s="6"/>
      <c r="P85" s="6"/>
      <c r="Q85" s="6"/>
      <c r="R85" s="6"/>
      <c r="S85" s="6"/>
      <c r="T85" s="6"/>
      <c r="U85" s="6"/>
      <c r="V85" s="6"/>
      <c r="W85" s="6"/>
      <c r="X85" s="6"/>
      <c r="Y85" s="6"/>
      <c r="Z85" s="6"/>
      <c r="AA85" s="6"/>
      <c r="AB85" s="6"/>
      <c r="AC85" s="6"/>
      <c r="AD85" s="6"/>
      <c r="AE85" s="6"/>
      <c r="AF85" s="6"/>
    </row>
    <row r="86">
      <c r="A86" s="10" t="s">
        <v>35</v>
      </c>
      <c r="B86" s="10" t="s">
        <v>319</v>
      </c>
      <c r="C86" s="14" t="s">
        <v>103</v>
      </c>
      <c r="D86" s="10" t="s">
        <v>484</v>
      </c>
      <c r="E86" s="10" t="s">
        <v>321</v>
      </c>
      <c r="F86" s="44" t="s">
        <v>322</v>
      </c>
      <c r="G86" s="45" t="s">
        <v>493</v>
      </c>
      <c r="H86" s="44" t="s">
        <v>494</v>
      </c>
      <c r="I86" s="44" t="s">
        <v>495</v>
      </c>
      <c r="J86" s="44" t="s">
        <v>343</v>
      </c>
      <c r="K86" s="6"/>
      <c r="L86" s="10" t="s">
        <v>344</v>
      </c>
      <c r="M86" s="10" t="s">
        <v>60</v>
      </c>
      <c r="N86" s="6"/>
      <c r="O86" s="6"/>
      <c r="P86" s="6"/>
      <c r="Q86" s="6"/>
      <c r="R86" s="6"/>
      <c r="S86" s="6"/>
      <c r="T86" s="6"/>
      <c r="U86" s="6"/>
      <c r="V86" s="6"/>
      <c r="W86" s="6"/>
      <c r="X86" s="6"/>
      <c r="Y86" s="6"/>
      <c r="Z86" s="6"/>
      <c r="AA86" s="6"/>
      <c r="AB86" s="6"/>
      <c r="AC86" s="6"/>
      <c r="AD86" s="6"/>
      <c r="AE86" s="6"/>
      <c r="AF86" s="6"/>
    </row>
    <row r="87">
      <c r="A87" s="10" t="s">
        <v>35</v>
      </c>
      <c r="B87" s="10" t="s">
        <v>319</v>
      </c>
      <c r="C87" s="14" t="s">
        <v>103</v>
      </c>
      <c r="D87" s="10" t="s">
        <v>484</v>
      </c>
      <c r="E87" s="10" t="s">
        <v>336</v>
      </c>
      <c r="F87" s="10" t="s">
        <v>322</v>
      </c>
      <c r="G87" s="10" t="s">
        <v>496</v>
      </c>
      <c r="H87" s="10" t="s">
        <v>497</v>
      </c>
      <c r="I87" s="10" t="s">
        <v>498</v>
      </c>
      <c r="J87" s="10" t="s">
        <v>326</v>
      </c>
      <c r="K87" s="10" t="str">
        <f t="shared" ref="K87:K131" si="17">CONCATENATE(C87," &gt; ",D87," &gt; ",E87," &gt; ",F87)</f>
        <v>Non residential &gt; Industry &gt; Water heating &gt; Fuel shift</v>
      </c>
      <c r="L87" s="10" t="str">
        <f t="shared" ref="L87:L118" si="18">CONCATENATE(C87," &gt; ",D87," &gt; ",E87," &gt; ",F87)</f>
        <v>Non residential &gt; Industry &gt; Water heating &gt; Fuel shift</v>
      </c>
      <c r="M87" s="10" t="s">
        <v>60</v>
      </c>
      <c r="N87" s="6"/>
      <c r="O87" s="6"/>
      <c r="P87" s="6"/>
      <c r="Q87" s="6"/>
      <c r="R87" s="6"/>
      <c r="S87" s="6"/>
      <c r="T87" s="6"/>
      <c r="U87" s="6"/>
      <c r="V87" s="6"/>
      <c r="W87" s="6"/>
      <c r="X87" s="6"/>
      <c r="Y87" s="6"/>
      <c r="Z87" s="6"/>
      <c r="AA87" s="6"/>
      <c r="AB87" s="6"/>
      <c r="AC87" s="6"/>
      <c r="AD87" s="6"/>
      <c r="AE87" s="6"/>
      <c r="AF87" s="6"/>
    </row>
    <row r="88">
      <c r="A88" s="10" t="s">
        <v>35</v>
      </c>
      <c r="B88" s="10" t="s">
        <v>319</v>
      </c>
      <c r="C88" s="14" t="s">
        <v>103</v>
      </c>
      <c r="D88" s="10" t="s">
        <v>484</v>
      </c>
      <c r="E88" s="10" t="s">
        <v>321</v>
      </c>
      <c r="F88" s="10" t="s">
        <v>59</v>
      </c>
      <c r="G88" s="27" t="s">
        <v>499</v>
      </c>
      <c r="H88" s="10" t="s">
        <v>500</v>
      </c>
      <c r="I88" s="10" t="s">
        <v>501</v>
      </c>
      <c r="J88" s="10" t="s">
        <v>326</v>
      </c>
      <c r="K88" s="10" t="str">
        <f t="shared" si="17"/>
        <v>Non residential &gt; Industry &gt; Heating &gt; Activity shift</v>
      </c>
      <c r="L88" s="10" t="str">
        <f t="shared" si="18"/>
        <v>Non residential &gt; Industry &gt; Heating &gt; Activity shift</v>
      </c>
      <c r="M88" s="10" t="s">
        <v>60</v>
      </c>
      <c r="N88" s="6"/>
      <c r="O88" s="6"/>
      <c r="P88" s="6"/>
      <c r="Q88" s="6"/>
      <c r="R88" s="6"/>
      <c r="S88" s="6"/>
      <c r="T88" s="6"/>
      <c r="U88" s="6"/>
      <c r="V88" s="6"/>
      <c r="W88" s="6"/>
      <c r="X88" s="6"/>
      <c r="Y88" s="6"/>
      <c r="Z88" s="6"/>
      <c r="AA88" s="6"/>
      <c r="AB88" s="6"/>
      <c r="AC88" s="6"/>
      <c r="AD88" s="6"/>
      <c r="AE88" s="6"/>
      <c r="AF88" s="6"/>
    </row>
    <row r="89">
      <c r="A89" s="10" t="s">
        <v>35</v>
      </c>
      <c r="B89" s="10" t="s">
        <v>319</v>
      </c>
      <c r="C89" s="14" t="s">
        <v>103</v>
      </c>
      <c r="D89" s="10" t="s">
        <v>484</v>
      </c>
      <c r="E89" s="10" t="s">
        <v>331</v>
      </c>
      <c r="F89" s="10" t="s">
        <v>59</v>
      </c>
      <c r="G89" s="27" t="s">
        <v>502</v>
      </c>
      <c r="H89" s="10" t="s">
        <v>503</v>
      </c>
      <c r="I89" s="10" t="s">
        <v>504</v>
      </c>
      <c r="J89" s="10" t="s">
        <v>326</v>
      </c>
      <c r="K89" s="10" t="str">
        <f t="shared" si="17"/>
        <v>Non residential &gt; Industry &gt; Cooling &gt; Activity shift</v>
      </c>
      <c r="L89" s="10" t="str">
        <f t="shared" si="18"/>
        <v>Non residential &gt; Industry &gt; Cooling &gt; Activity shift</v>
      </c>
      <c r="M89" s="10" t="s">
        <v>60</v>
      </c>
      <c r="N89" s="6"/>
      <c r="O89" s="6"/>
      <c r="P89" s="6"/>
      <c r="Q89" s="6"/>
      <c r="R89" s="6"/>
      <c r="S89" s="6"/>
      <c r="T89" s="6"/>
      <c r="U89" s="6"/>
      <c r="V89" s="6"/>
      <c r="W89" s="6"/>
      <c r="X89" s="6"/>
      <c r="Y89" s="6"/>
      <c r="Z89" s="6"/>
      <c r="AA89" s="6"/>
      <c r="AB89" s="6"/>
      <c r="AC89" s="6"/>
      <c r="AD89" s="6"/>
      <c r="AE89" s="6"/>
      <c r="AF89" s="6"/>
    </row>
    <row r="90">
      <c r="A90" s="10" t="s">
        <v>35</v>
      </c>
      <c r="B90" s="10" t="s">
        <v>319</v>
      </c>
      <c r="C90" s="14" t="s">
        <v>103</v>
      </c>
      <c r="D90" s="10" t="s">
        <v>484</v>
      </c>
      <c r="E90" s="10" t="s">
        <v>336</v>
      </c>
      <c r="F90" s="10" t="s">
        <v>322</v>
      </c>
      <c r="G90" s="10" t="s">
        <v>60</v>
      </c>
      <c r="H90" s="10" t="s">
        <v>505</v>
      </c>
      <c r="I90" s="10" t="s">
        <v>60</v>
      </c>
      <c r="J90" s="10" t="s">
        <v>65</v>
      </c>
      <c r="K90" s="10" t="str">
        <f t="shared" si="17"/>
        <v>Non residential &gt; Industry &gt; Water heating &gt; Fuel shift</v>
      </c>
      <c r="L90" s="10" t="str">
        <f t="shared" si="18"/>
        <v>Non residential &gt; Industry &gt; Water heating &gt; Fuel shift</v>
      </c>
      <c r="M90" s="10" t="s">
        <v>60</v>
      </c>
      <c r="N90" s="6"/>
      <c r="O90" s="6"/>
      <c r="P90" s="6"/>
      <c r="Q90" s="6"/>
      <c r="R90" s="6"/>
      <c r="S90" s="6"/>
      <c r="T90" s="6"/>
      <c r="U90" s="6"/>
      <c r="V90" s="6"/>
      <c r="W90" s="6"/>
      <c r="X90" s="6"/>
      <c r="Y90" s="6"/>
      <c r="Z90" s="6"/>
      <c r="AA90" s="6"/>
      <c r="AB90" s="6"/>
      <c r="AC90" s="6"/>
      <c r="AD90" s="6"/>
      <c r="AE90" s="6"/>
      <c r="AF90" s="6"/>
    </row>
    <row r="91">
      <c r="A91" s="10" t="s">
        <v>35</v>
      </c>
      <c r="B91" s="10" t="s">
        <v>319</v>
      </c>
      <c r="C91" s="14" t="s">
        <v>103</v>
      </c>
      <c r="D91" s="10" t="s">
        <v>484</v>
      </c>
      <c r="E91" s="10" t="s">
        <v>336</v>
      </c>
      <c r="F91" s="10" t="s">
        <v>332</v>
      </c>
      <c r="G91" s="10" t="s">
        <v>60</v>
      </c>
      <c r="H91" s="10" t="s">
        <v>506</v>
      </c>
      <c r="I91" s="10" t="s">
        <v>60</v>
      </c>
      <c r="J91" s="10" t="s">
        <v>65</v>
      </c>
      <c r="K91" s="10" t="str">
        <f t="shared" si="17"/>
        <v>Non residential &gt; Industry &gt; Water heating &gt; Technology shift</v>
      </c>
      <c r="L91" s="10" t="str">
        <f t="shared" si="18"/>
        <v>Non residential &gt; Industry &gt; Water heating &gt; Technology shift</v>
      </c>
      <c r="M91" s="10" t="s">
        <v>60</v>
      </c>
      <c r="N91" s="6"/>
      <c r="O91" s="6"/>
      <c r="P91" s="6"/>
      <c r="Q91" s="6"/>
      <c r="R91" s="6"/>
      <c r="S91" s="6"/>
      <c r="T91" s="6"/>
      <c r="U91" s="6"/>
      <c r="V91" s="6"/>
      <c r="W91" s="6"/>
      <c r="X91" s="6"/>
      <c r="Y91" s="6"/>
      <c r="Z91" s="6"/>
      <c r="AA91" s="6"/>
      <c r="AB91" s="6"/>
      <c r="AC91" s="6"/>
      <c r="AD91" s="6"/>
      <c r="AE91" s="6"/>
      <c r="AF91" s="6"/>
    </row>
    <row r="92">
      <c r="A92" s="10" t="s">
        <v>35</v>
      </c>
      <c r="B92" s="10" t="s">
        <v>319</v>
      </c>
      <c r="C92" s="14" t="s">
        <v>103</v>
      </c>
      <c r="D92" s="10" t="s">
        <v>484</v>
      </c>
      <c r="E92" s="10" t="s">
        <v>336</v>
      </c>
      <c r="F92" s="10" t="s">
        <v>59</v>
      </c>
      <c r="G92" s="27" t="s">
        <v>60</v>
      </c>
      <c r="H92" s="10" t="s">
        <v>507</v>
      </c>
      <c r="I92" s="10" t="s">
        <v>60</v>
      </c>
      <c r="J92" s="10" t="s">
        <v>65</v>
      </c>
      <c r="K92" s="10" t="str">
        <f t="shared" si="17"/>
        <v>Non residential &gt; Industry &gt; Water heating &gt; Activity shift</v>
      </c>
      <c r="L92" s="10" t="str">
        <f t="shared" si="18"/>
        <v>Non residential &gt; Industry &gt; Water heating &gt; Activity shift</v>
      </c>
      <c r="M92" s="10" t="s">
        <v>60</v>
      </c>
      <c r="N92" s="6"/>
      <c r="O92" s="6"/>
      <c r="P92" s="6"/>
      <c r="Q92" s="6"/>
      <c r="R92" s="6"/>
      <c r="S92" s="6"/>
      <c r="T92" s="6"/>
      <c r="U92" s="6"/>
      <c r="V92" s="6"/>
      <c r="W92" s="6"/>
      <c r="X92" s="6"/>
      <c r="Y92" s="6"/>
      <c r="Z92" s="6"/>
      <c r="AA92" s="6"/>
      <c r="AB92" s="6"/>
      <c r="AC92" s="6"/>
      <c r="AD92" s="6"/>
      <c r="AE92" s="6"/>
      <c r="AF92" s="6"/>
    </row>
    <row r="93">
      <c r="A93" s="10" t="s">
        <v>35</v>
      </c>
      <c r="B93" s="10" t="s">
        <v>319</v>
      </c>
      <c r="C93" s="14" t="s">
        <v>103</v>
      </c>
      <c r="D93" s="10" t="s">
        <v>484</v>
      </c>
      <c r="E93" s="10" t="s">
        <v>402</v>
      </c>
      <c r="F93" s="10" t="s">
        <v>322</v>
      </c>
      <c r="G93" s="27" t="s">
        <v>60</v>
      </c>
      <c r="H93" s="10" t="s">
        <v>508</v>
      </c>
      <c r="I93" s="10" t="s">
        <v>60</v>
      </c>
      <c r="J93" s="10" t="s">
        <v>65</v>
      </c>
      <c r="K93" s="10" t="str">
        <f t="shared" si="17"/>
        <v>Non residential &gt; Industry &gt; Cooking &gt; Fuel shift</v>
      </c>
      <c r="L93" s="10" t="str">
        <f t="shared" si="18"/>
        <v>Non residential &gt; Industry &gt; Cooking &gt; Fuel shift</v>
      </c>
      <c r="M93" s="10" t="s">
        <v>60</v>
      </c>
      <c r="N93" s="6"/>
      <c r="O93" s="6"/>
      <c r="P93" s="6"/>
      <c r="Q93" s="6"/>
      <c r="R93" s="6"/>
      <c r="S93" s="6"/>
      <c r="T93" s="6"/>
      <c r="U93" s="6"/>
      <c r="V93" s="6"/>
      <c r="W93" s="6"/>
      <c r="X93" s="6"/>
      <c r="Y93" s="6"/>
      <c r="Z93" s="6"/>
      <c r="AA93" s="6"/>
      <c r="AB93" s="6"/>
      <c r="AC93" s="6"/>
      <c r="AD93" s="6"/>
      <c r="AE93" s="6"/>
      <c r="AF93" s="6"/>
    </row>
    <row r="94">
      <c r="A94" s="10" t="s">
        <v>35</v>
      </c>
      <c r="B94" s="10" t="s">
        <v>319</v>
      </c>
      <c r="C94" s="14" t="s">
        <v>103</v>
      </c>
      <c r="D94" s="10" t="s">
        <v>484</v>
      </c>
      <c r="E94" s="10" t="s">
        <v>406</v>
      </c>
      <c r="F94" s="27" t="s">
        <v>332</v>
      </c>
      <c r="G94" s="27" t="s">
        <v>60</v>
      </c>
      <c r="H94" s="10" t="s">
        <v>509</v>
      </c>
      <c r="I94" s="10" t="s">
        <v>60</v>
      </c>
      <c r="J94" s="10" t="s">
        <v>65</v>
      </c>
      <c r="K94" s="10" t="str">
        <f t="shared" si="17"/>
        <v>Non residential &gt; Industry &gt; Lighting &gt; Technology shift</v>
      </c>
      <c r="L94" s="10" t="str">
        <f t="shared" si="18"/>
        <v>Non residential &gt; Industry &gt; Lighting &gt; Technology shift</v>
      </c>
      <c r="M94" s="10" t="s">
        <v>60</v>
      </c>
      <c r="N94" s="6"/>
      <c r="O94" s="6"/>
      <c r="P94" s="6"/>
      <c r="Q94" s="6"/>
      <c r="R94" s="6"/>
      <c r="S94" s="6"/>
      <c r="T94" s="6"/>
      <c r="U94" s="6"/>
      <c r="V94" s="6"/>
      <c r="W94" s="6"/>
      <c r="X94" s="6"/>
      <c r="Y94" s="6"/>
      <c r="Z94" s="6"/>
      <c r="AA94" s="6"/>
      <c r="AB94" s="6"/>
      <c r="AC94" s="6"/>
      <c r="AD94" s="6"/>
      <c r="AE94" s="6"/>
      <c r="AF94" s="6"/>
    </row>
    <row r="95">
      <c r="A95" s="10" t="s">
        <v>35</v>
      </c>
      <c r="B95" s="10" t="s">
        <v>319</v>
      </c>
      <c r="C95" s="14" t="s">
        <v>103</v>
      </c>
      <c r="D95" s="10" t="s">
        <v>484</v>
      </c>
      <c r="E95" s="10" t="s">
        <v>510</v>
      </c>
      <c r="F95" s="27" t="s">
        <v>332</v>
      </c>
      <c r="G95" s="27" t="s">
        <v>60</v>
      </c>
      <c r="H95" s="10" t="s">
        <v>511</v>
      </c>
      <c r="I95" s="10" t="s">
        <v>60</v>
      </c>
      <c r="J95" s="10" t="s">
        <v>65</v>
      </c>
      <c r="K95" s="10" t="str">
        <f t="shared" si="17"/>
        <v>Non residential &gt; Industry &gt; Pumps and ligts &gt; Technology shift</v>
      </c>
      <c r="L95" s="10" t="str">
        <f t="shared" si="18"/>
        <v>Non residential &gt; Industry &gt; Pumps and ligts &gt; Technology shift</v>
      </c>
      <c r="M95" s="10" t="s">
        <v>60</v>
      </c>
      <c r="N95" s="6"/>
      <c r="O95" s="6"/>
      <c r="P95" s="6"/>
      <c r="Q95" s="6"/>
      <c r="R95" s="6"/>
      <c r="S95" s="6"/>
      <c r="T95" s="6"/>
      <c r="U95" s="6"/>
      <c r="V95" s="6"/>
      <c r="W95" s="6"/>
      <c r="X95" s="6"/>
      <c r="Y95" s="6"/>
      <c r="Z95" s="6"/>
      <c r="AA95" s="6"/>
      <c r="AB95" s="6"/>
      <c r="AC95" s="6"/>
      <c r="AD95" s="6"/>
      <c r="AE95" s="6"/>
      <c r="AF95" s="6"/>
    </row>
    <row r="96">
      <c r="A96" s="10" t="s">
        <v>35</v>
      </c>
      <c r="B96" s="10" t="s">
        <v>319</v>
      </c>
      <c r="C96" s="14" t="s">
        <v>103</v>
      </c>
      <c r="D96" s="10" t="s">
        <v>512</v>
      </c>
      <c r="E96" s="10" t="s">
        <v>406</v>
      </c>
      <c r="F96" s="10" t="s">
        <v>332</v>
      </c>
      <c r="G96" s="10" t="s">
        <v>513</v>
      </c>
      <c r="H96" s="10" t="s">
        <v>514</v>
      </c>
      <c r="I96" s="10" t="s">
        <v>515</v>
      </c>
      <c r="J96" s="10" t="s">
        <v>326</v>
      </c>
      <c r="K96" s="10" t="str">
        <f t="shared" si="17"/>
        <v>Non residential &gt; Public ligh &gt; Lighting &gt; Technology shift</v>
      </c>
      <c r="L96" s="10" t="str">
        <f t="shared" si="18"/>
        <v>Non residential &gt; Public ligh &gt; Lighting &gt; Technology shift</v>
      </c>
      <c r="M96" s="10" t="s">
        <v>60</v>
      </c>
      <c r="N96" s="6"/>
      <c r="O96" s="6"/>
      <c r="P96" s="6"/>
      <c r="Q96" s="6"/>
      <c r="R96" s="6"/>
      <c r="S96" s="6"/>
      <c r="T96" s="6"/>
      <c r="U96" s="6"/>
      <c r="V96" s="6"/>
      <c r="W96" s="6"/>
      <c r="X96" s="6"/>
      <c r="Y96" s="6"/>
      <c r="Z96" s="6"/>
      <c r="AA96" s="6"/>
      <c r="AB96" s="6"/>
      <c r="AC96" s="6"/>
      <c r="AD96" s="6"/>
      <c r="AE96" s="6"/>
      <c r="AF96" s="6"/>
    </row>
    <row r="97">
      <c r="A97" s="10" t="s">
        <v>35</v>
      </c>
      <c r="B97" s="10" t="s">
        <v>319</v>
      </c>
      <c r="C97" s="14" t="s">
        <v>103</v>
      </c>
      <c r="D97" s="10" t="s">
        <v>112</v>
      </c>
      <c r="E97" s="10" t="s">
        <v>406</v>
      </c>
      <c r="F97" s="10" t="s">
        <v>332</v>
      </c>
      <c r="G97" s="27" t="s">
        <v>516</v>
      </c>
      <c r="H97" s="10" t="s">
        <v>517</v>
      </c>
      <c r="I97" s="10" t="s">
        <v>518</v>
      </c>
      <c r="J97" s="10" t="s">
        <v>326</v>
      </c>
      <c r="K97" s="10" t="str">
        <f t="shared" si="17"/>
        <v>Non residential &gt; Commercial &gt; Lighting &gt; Technology shift</v>
      </c>
      <c r="L97" s="10" t="str">
        <f t="shared" si="18"/>
        <v>Non residential &gt; Commercial &gt; Lighting &gt; Technology shift</v>
      </c>
      <c r="M97" s="10" t="s">
        <v>426</v>
      </c>
      <c r="N97" s="6"/>
      <c r="O97" s="6"/>
      <c r="P97" s="6"/>
      <c r="Q97" s="6"/>
      <c r="R97" s="6"/>
      <c r="S97" s="6"/>
      <c r="T97" s="6"/>
      <c r="U97" s="6"/>
      <c r="V97" s="6"/>
      <c r="W97" s="6"/>
      <c r="X97" s="6"/>
      <c r="Y97" s="6"/>
      <c r="Z97" s="6"/>
      <c r="AA97" s="6"/>
      <c r="AB97" s="6"/>
      <c r="AC97" s="6"/>
      <c r="AD97" s="6"/>
      <c r="AE97" s="6"/>
      <c r="AF97" s="6"/>
    </row>
    <row r="98">
      <c r="A98" s="10" t="s">
        <v>35</v>
      </c>
      <c r="B98" s="10" t="s">
        <v>319</v>
      </c>
      <c r="C98" s="14" t="s">
        <v>103</v>
      </c>
      <c r="D98" s="10" t="s">
        <v>112</v>
      </c>
      <c r="E98" s="10" t="s">
        <v>112</v>
      </c>
      <c r="F98" s="27" t="s">
        <v>322</v>
      </c>
      <c r="G98" s="27" t="s">
        <v>519</v>
      </c>
      <c r="H98" s="10" t="s">
        <v>520</v>
      </c>
      <c r="I98" s="10" t="s">
        <v>521</v>
      </c>
      <c r="J98" s="10" t="s">
        <v>326</v>
      </c>
      <c r="K98" s="10" t="str">
        <f t="shared" si="17"/>
        <v>Non residential &gt; Commercial &gt; Commercial &gt; Fuel shift</v>
      </c>
      <c r="L98" s="10" t="str">
        <f t="shared" si="18"/>
        <v>Non residential &gt; Commercial &gt; Commercial &gt; Fuel shift</v>
      </c>
      <c r="M98" s="10" t="s">
        <v>426</v>
      </c>
      <c r="N98" s="6"/>
      <c r="O98" s="6"/>
      <c r="P98" s="6"/>
      <c r="Q98" s="6"/>
      <c r="R98" s="6"/>
      <c r="S98" s="6"/>
      <c r="T98" s="6"/>
      <c r="U98" s="6"/>
      <c r="V98" s="6"/>
      <c r="W98" s="6"/>
      <c r="X98" s="6"/>
      <c r="Y98" s="6"/>
      <c r="Z98" s="6"/>
      <c r="AA98" s="6"/>
      <c r="AB98" s="6"/>
      <c r="AC98" s="6"/>
      <c r="AD98" s="6"/>
      <c r="AE98" s="6"/>
      <c r="AF98" s="6"/>
    </row>
    <row r="99">
      <c r="A99" s="10" t="s">
        <v>35</v>
      </c>
      <c r="B99" s="10" t="s">
        <v>319</v>
      </c>
      <c r="C99" s="14" t="s">
        <v>103</v>
      </c>
      <c r="D99" s="10" t="s">
        <v>112</v>
      </c>
      <c r="E99" s="10" t="s">
        <v>522</v>
      </c>
      <c r="F99" s="27" t="s">
        <v>332</v>
      </c>
      <c r="G99" s="27" t="s">
        <v>523</v>
      </c>
      <c r="H99" s="10" t="s">
        <v>524</v>
      </c>
      <c r="I99" s="10" t="s">
        <v>525</v>
      </c>
      <c r="J99" s="10" t="s">
        <v>326</v>
      </c>
      <c r="K99" s="10" t="str">
        <f t="shared" si="17"/>
        <v>Non residential &gt; Commercial &gt; Other &gt; Technology shift</v>
      </c>
      <c r="L99" s="10" t="str">
        <f t="shared" si="18"/>
        <v>Non residential &gt; Commercial &gt; Other &gt; Technology shift</v>
      </c>
      <c r="M99" s="10" t="s">
        <v>426</v>
      </c>
      <c r="N99" s="6"/>
      <c r="O99" s="6"/>
      <c r="P99" s="6"/>
      <c r="Q99" s="6"/>
      <c r="R99" s="6"/>
      <c r="S99" s="6"/>
      <c r="T99" s="6"/>
      <c r="U99" s="6"/>
      <c r="V99" s="6"/>
      <c r="W99" s="6"/>
      <c r="X99" s="6"/>
      <c r="Y99" s="6"/>
      <c r="Z99" s="6"/>
      <c r="AA99" s="6"/>
      <c r="AB99" s="6"/>
      <c r="AC99" s="6"/>
      <c r="AD99" s="6"/>
      <c r="AE99" s="6"/>
      <c r="AF99" s="6"/>
    </row>
    <row r="100">
      <c r="A100" s="10" t="s">
        <v>35</v>
      </c>
      <c r="B100" s="10" t="s">
        <v>319</v>
      </c>
      <c r="C100" s="14" t="s">
        <v>103</v>
      </c>
      <c r="D100" s="10" t="s">
        <v>99</v>
      </c>
      <c r="E100" s="10" t="s">
        <v>522</v>
      </c>
      <c r="F100" s="10" t="s">
        <v>332</v>
      </c>
      <c r="G100" s="10" t="s">
        <v>526</v>
      </c>
      <c r="H100" s="10" t="s">
        <v>527</v>
      </c>
      <c r="I100" s="10" t="s">
        <v>528</v>
      </c>
      <c r="J100" s="10" t="s">
        <v>326</v>
      </c>
      <c r="K100" s="10" t="str">
        <f t="shared" si="17"/>
        <v>Non residential &gt; Industrial &gt; Other &gt; Technology shift</v>
      </c>
      <c r="L100" s="10" t="str">
        <f t="shared" si="18"/>
        <v>Non residential &gt; Industrial &gt; Other &gt; Technology shift</v>
      </c>
      <c r="M100" s="10" t="s">
        <v>60</v>
      </c>
      <c r="N100" s="6"/>
      <c r="O100" s="6"/>
      <c r="P100" s="6"/>
      <c r="Q100" s="6"/>
      <c r="R100" s="6"/>
      <c r="S100" s="6"/>
      <c r="T100" s="6"/>
      <c r="U100" s="6"/>
      <c r="V100" s="6"/>
      <c r="W100" s="6"/>
      <c r="X100" s="6"/>
      <c r="Y100" s="6"/>
      <c r="Z100" s="6"/>
      <c r="AA100" s="6"/>
      <c r="AB100" s="6"/>
      <c r="AC100" s="6"/>
      <c r="AD100" s="6"/>
      <c r="AE100" s="6"/>
      <c r="AF100" s="6"/>
    </row>
    <row r="101">
      <c r="A101" s="10" t="s">
        <v>35</v>
      </c>
      <c r="B101" s="10" t="s">
        <v>319</v>
      </c>
      <c r="C101" s="14" t="s">
        <v>103</v>
      </c>
      <c r="D101" s="10" t="s">
        <v>455</v>
      </c>
      <c r="E101" s="10" t="s">
        <v>522</v>
      </c>
      <c r="F101" s="10" t="s">
        <v>332</v>
      </c>
      <c r="G101" s="10" t="s">
        <v>529</v>
      </c>
      <c r="H101" s="10" t="s">
        <v>530</v>
      </c>
      <c r="I101" s="10" t="s">
        <v>531</v>
      </c>
      <c r="J101" s="10" t="s">
        <v>326</v>
      </c>
      <c r="K101" s="10" t="str">
        <f t="shared" si="17"/>
        <v>Non residential &gt; Institutional &gt; Other &gt; Technology shift</v>
      </c>
      <c r="L101" s="10" t="str">
        <f t="shared" si="18"/>
        <v>Non residential &gt; Institutional &gt; Other &gt; Technology shift</v>
      </c>
      <c r="M101" s="10" t="s">
        <v>459</v>
      </c>
      <c r="N101" s="6"/>
      <c r="O101" s="6"/>
      <c r="P101" s="6"/>
      <c r="Q101" s="6"/>
      <c r="R101" s="6"/>
      <c r="S101" s="6"/>
      <c r="T101" s="6"/>
      <c r="U101" s="6"/>
      <c r="V101" s="6"/>
      <c r="W101" s="6"/>
      <c r="X101" s="6"/>
      <c r="Y101" s="6"/>
      <c r="Z101" s="6"/>
      <c r="AA101" s="6"/>
      <c r="AB101" s="6"/>
      <c r="AC101" s="6"/>
      <c r="AD101" s="6"/>
      <c r="AE101" s="6"/>
      <c r="AF101" s="6"/>
    </row>
    <row r="102">
      <c r="A102" s="10" t="s">
        <v>35</v>
      </c>
      <c r="B102" s="10" t="s">
        <v>319</v>
      </c>
      <c r="C102" s="14" t="s">
        <v>532</v>
      </c>
      <c r="D102" s="10" t="s">
        <v>532</v>
      </c>
      <c r="E102" s="10" t="s">
        <v>532</v>
      </c>
      <c r="F102" s="10" t="s">
        <v>59</v>
      </c>
      <c r="G102" s="27" t="s">
        <v>533</v>
      </c>
      <c r="H102" s="10" t="s">
        <v>534</v>
      </c>
      <c r="I102" s="20"/>
      <c r="J102" s="10" t="s">
        <v>535</v>
      </c>
      <c r="K102" s="10" t="str">
        <f t="shared" si="17"/>
        <v>Construction &gt; Construction &gt; Construction &gt; Activity shift</v>
      </c>
      <c r="L102" s="10" t="str">
        <f t="shared" si="18"/>
        <v>Construction &gt; Construction &gt; Construction &gt; Activity shift</v>
      </c>
      <c r="M102" s="10" t="s">
        <v>536</v>
      </c>
      <c r="N102" s="6"/>
      <c r="O102" s="6"/>
      <c r="P102" s="6"/>
      <c r="Q102" s="6"/>
      <c r="R102" s="6"/>
      <c r="S102" s="6"/>
      <c r="T102" s="6"/>
      <c r="U102" s="6"/>
      <c r="V102" s="6"/>
      <c r="W102" s="6"/>
      <c r="X102" s="6"/>
      <c r="Y102" s="6"/>
      <c r="Z102" s="6"/>
      <c r="AA102" s="6"/>
      <c r="AB102" s="6"/>
      <c r="AC102" s="6"/>
      <c r="AD102" s="6"/>
      <c r="AE102" s="6"/>
      <c r="AF102" s="6"/>
    </row>
    <row r="103">
      <c r="A103" s="10" t="s">
        <v>35</v>
      </c>
      <c r="B103" s="10" t="s">
        <v>319</v>
      </c>
      <c r="C103" s="14" t="s">
        <v>532</v>
      </c>
      <c r="D103" s="10" t="s">
        <v>532</v>
      </c>
      <c r="E103" s="10" t="s">
        <v>532</v>
      </c>
      <c r="F103" s="27" t="s">
        <v>59</v>
      </c>
      <c r="G103" s="27" t="s">
        <v>537</v>
      </c>
      <c r="H103" s="10" t="s">
        <v>538</v>
      </c>
      <c r="I103" s="10" t="s">
        <v>539</v>
      </c>
      <c r="J103" s="10" t="s">
        <v>535</v>
      </c>
      <c r="K103" s="10" t="str">
        <f t="shared" si="17"/>
        <v>Construction &gt; Construction &gt; Construction &gt; Activity shift</v>
      </c>
      <c r="L103" s="10" t="str">
        <f t="shared" si="18"/>
        <v>Construction &gt; Construction &gt; Construction &gt; Activity shift</v>
      </c>
      <c r="M103" s="10" t="s">
        <v>536</v>
      </c>
      <c r="N103" s="6"/>
      <c r="O103" s="6"/>
      <c r="P103" s="6"/>
      <c r="Q103" s="6"/>
      <c r="R103" s="6"/>
      <c r="S103" s="6"/>
      <c r="T103" s="6"/>
      <c r="U103" s="6"/>
      <c r="V103" s="6"/>
      <c r="W103" s="6"/>
      <c r="X103" s="6"/>
      <c r="Y103" s="6"/>
      <c r="Z103" s="6"/>
      <c r="AA103" s="6"/>
      <c r="AB103" s="6"/>
      <c r="AC103" s="6"/>
      <c r="AD103" s="6"/>
      <c r="AE103" s="6"/>
      <c r="AF103" s="6"/>
    </row>
    <row r="104">
      <c r="A104" s="10" t="s">
        <v>35</v>
      </c>
      <c r="B104" s="10" t="s">
        <v>319</v>
      </c>
      <c r="C104" s="14" t="s">
        <v>532</v>
      </c>
      <c r="D104" s="10" t="s">
        <v>532</v>
      </c>
      <c r="E104" s="10" t="s">
        <v>532</v>
      </c>
      <c r="F104" s="10" t="s">
        <v>59</v>
      </c>
      <c r="G104" s="10" t="s">
        <v>540</v>
      </c>
      <c r="H104" s="10" t="s">
        <v>541</v>
      </c>
      <c r="I104" s="10" t="s">
        <v>542</v>
      </c>
      <c r="J104" s="10" t="s">
        <v>535</v>
      </c>
      <c r="K104" s="10" t="str">
        <f t="shared" si="17"/>
        <v>Construction &gt; Construction &gt; Construction &gt; Activity shift</v>
      </c>
      <c r="L104" s="10" t="str">
        <f t="shared" si="18"/>
        <v>Construction &gt; Construction &gt; Construction &gt; Activity shift</v>
      </c>
      <c r="M104" s="10" t="s">
        <v>536</v>
      </c>
      <c r="N104" s="6"/>
      <c r="O104" s="6"/>
      <c r="P104" s="6"/>
      <c r="Q104" s="6"/>
      <c r="R104" s="6"/>
      <c r="S104" s="6"/>
      <c r="T104" s="6"/>
      <c r="U104" s="6"/>
      <c r="V104" s="6"/>
      <c r="W104" s="6"/>
      <c r="X104" s="6"/>
      <c r="Y104" s="6"/>
      <c r="Z104" s="6"/>
      <c r="AA104" s="6"/>
      <c r="AB104" s="6"/>
      <c r="AC104" s="6"/>
      <c r="AD104" s="6"/>
      <c r="AE104" s="6"/>
      <c r="AF104" s="6"/>
    </row>
    <row r="105">
      <c r="A105" s="10" t="s">
        <v>35</v>
      </c>
      <c r="B105" s="10" t="s">
        <v>543</v>
      </c>
      <c r="C105" s="14" t="s">
        <v>104</v>
      </c>
      <c r="D105" s="10" t="s">
        <v>544</v>
      </c>
      <c r="E105" s="10" t="s">
        <v>545</v>
      </c>
      <c r="F105" s="27" t="s">
        <v>322</v>
      </c>
      <c r="G105" s="27" t="s">
        <v>546</v>
      </c>
      <c r="H105" s="10" t="s">
        <v>547</v>
      </c>
      <c r="I105" s="10" t="s">
        <v>548</v>
      </c>
      <c r="J105" s="10" t="s">
        <v>326</v>
      </c>
      <c r="K105" s="10" t="str">
        <f t="shared" si="17"/>
        <v>Generation &gt; Electricity &gt; Coal &gt; Fuel shift</v>
      </c>
      <c r="L105" s="10" t="str">
        <f t="shared" si="18"/>
        <v>Generation &gt; Electricity &gt; Coal &gt; Fuel shift</v>
      </c>
      <c r="M105" s="10" t="s">
        <v>60</v>
      </c>
      <c r="N105" s="6"/>
      <c r="O105" s="6"/>
      <c r="P105" s="6"/>
      <c r="Q105" s="6"/>
      <c r="R105" s="6"/>
      <c r="S105" s="6"/>
      <c r="T105" s="6"/>
      <c r="U105" s="6"/>
      <c r="V105" s="6"/>
      <c r="W105" s="6"/>
      <c r="X105" s="6"/>
      <c r="Y105" s="6"/>
      <c r="Z105" s="6"/>
      <c r="AA105" s="6"/>
      <c r="AB105" s="6"/>
      <c r="AC105" s="6"/>
      <c r="AD105" s="6"/>
      <c r="AE105" s="6"/>
      <c r="AF105" s="6"/>
    </row>
    <row r="106">
      <c r="A106" s="10" t="s">
        <v>35</v>
      </c>
      <c r="B106" s="10" t="s">
        <v>543</v>
      </c>
      <c r="C106" s="14" t="s">
        <v>104</v>
      </c>
      <c r="D106" s="10" t="s">
        <v>544</v>
      </c>
      <c r="E106" s="10" t="s">
        <v>549</v>
      </c>
      <c r="F106" s="27" t="s">
        <v>322</v>
      </c>
      <c r="G106" s="27" t="s">
        <v>550</v>
      </c>
      <c r="H106" s="10" t="s">
        <v>551</v>
      </c>
      <c r="I106" s="10" t="s">
        <v>552</v>
      </c>
      <c r="J106" s="10" t="s">
        <v>326</v>
      </c>
      <c r="K106" s="10" t="str">
        <f t="shared" si="17"/>
        <v>Generation &gt; Electricity &gt; Gas &gt; Fuel shift</v>
      </c>
      <c r="L106" s="10" t="str">
        <f t="shared" si="18"/>
        <v>Generation &gt; Electricity &gt; Gas &gt; Fuel shift</v>
      </c>
      <c r="M106" s="10" t="s">
        <v>60</v>
      </c>
      <c r="N106" s="6"/>
      <c r="O106" s="6"/>
      <c r="P106" s="6"/>
      <c r="Q106" s="6"/>
      <c r="R106" s="6"/>
      <c r="S106" s="6"/>
      <c r="T106" s="6"/>
      <c r="U106" s="6"/>
      <c r="V106" s="6"/>
      <c r="W106" s="6"/>
      <c r="X106" s="6"/>
      <c r="Y106" s="6"/>
      <c r="Z106" s="6"/>
      <c r="AA106" s="6"/>
      <c r="AB106" s="6"/>
      <c r="AC106" s="6"/>
      <c r="AD106" s="6"/>
      <c r="AE106" s="6"/>
      <c r="AF106" s="6"/>
    </row>
    <row r="107">
      <c r="A107" s="10" t="s">
        <v>35</v>
      </c>
      <c r="B107" s="10" t="s">
        <v>543</v>
      </c>
      <c r="C107" s="14" t="s">
        <v>104</v>
      </c>
      <c r="D107" s="10" t="s">
        <v>544</v>
      </c>
      <c r="E107" s="20"/>
      <c r="F107" s="27" t="s">
        <v>322</v>
      </c>
      <c r="G107" s="27" t="s">
        <v>553</v>
      </c>
      <c r="H107" s="10" t="s">
        <v>554</v>
      </c>
      <c r="I107" s="20"/>
      <c r="J107" s="10" t="s">
        <v>326</v>
      </c>
      <c r="K107" s="10" t="str">
        <f t="shared" si="17"/>
        <v>Generation &gt; Electricity &gt;  &gt; Fuel shift</v>
      </c>
      <c r="L107" s="10" t="str">
        <f t="shared" si="18"/>
        <v>Generation &gt; Electricity &gt;  &gt; Fuel shift</v>
      </c>
      <c r="M107" s="10" t="s">
        <v>60</v>
      </c>
      <c r="N107" s="6"/>
      <c r="O107" s="6"/>
      <c r="P107" s="6"/>
      <c r="Q107" s="6"/>
      <c r="R107" s="6"/>
      <c r="S107" s="6"/>
      <c r="T107" s="6"/>
      <c r="U107" s="6"/>
      <c r="V107" s="6"/>
      <c r="W107" s="6"/>
      <c r="X107" s="6"/>
      <c r="Y107" s="6"/>
      <c r="Z107" s="6"/>
      <c r="AA107" s="6"/>
      <c r="AB107" s="6"/>
      <c r="AC107" s="6"/>
      <c r="AD107" s="6"/>
      <c r="AE107" s="6"/>
      <c r="AF107" s="6"/>
    </row>
    <row r="108">
      <c r="A108" s="10" t="s">
        <v>35</v>
      </c>
      <c r="B108" s="10" t="s">
        <v>543</v>
      </c>
      <c r="C108" s="14" t="s">
        <v>104</v>
      </c>
      <c r="D108" s="10" t="s">
        <v>544</v>
      </c>
      <c r="E108" s="20"/>
      <c r="F108" s="27" t="s">
        <v>322</v>
      </c>
      <c r="G108" s="27" t="s">
        <v>555</v>
      </c>
      <c r="H108" s="10" t="s">
        <v>556</v>
      </c>
      <c r="I108" s="10" t="s">
        <v>557</v>
      </c>
      <c r="J108" s="10" t="s">
        <v>326</v>
      </c>
      <c r="K108" s="10" t="str">
        <f t="shared" si="17"/>
        <v>Generation &gt; Electricity &gt;  &gt; Fuel shift</v>
      </c>
      <c r="L108" s="10" t="str">
        <f t="shared" si="18"/>
        <v>Generation &gt; Electricity &gt;  &gt; Fuel shift</v>
      </c>
      <c r="M108" s="10" t="s">
        <v>60</v>
      </c>
      <c r="N108" s="6"/>
      <c r="O108" s="6"/>
      <c r="P108" s="6"/>
      <c r="Q108" s="6"/>
      <c r="R108" s="6"/>
      <c r="S108" s="6"/>
      <c r="T108" s="6"/>
      <c r="U108" s="6"/>
      <c r="V108" s="6"/>
      <c r="W108" s="6"/>
      <c r="X108" s="6"/>
      <c r="Y108" s="6"/>
      <c r="Z108" s="6"/>
      <c r="AA108" s="6"/>
      <c r="AB108" s="6"/>
      <c r="AC108" s="6"/>
      <c r="AD108" s="6"/>
      <c r="AE108" s="6"/>
      <c r="AF108" s="6"/>
    </row>
    <row r="109">
      <c r="A109" s="10" t="s">
        <v>35</v>
      </c>
      <c r="B109" s="10" t="s">
        <v>543</v>
      </c>
      <c r="C109" s="14" t="s">
        <v>104</v>
      </c>
      <c r="D109" s="10" t="s">
        <v>544</v>
      </c>
      <c r="E109" s="10" t="s">
        <v>558</v>
      </c>
      <c r="F109" s="10" t="s">
        <v>322</v>
      </c>
      <c r="G109" s="10" t="s">
        <v>559</v>
      </c>
      <c r="H109" s="10" t="s">
        <v>560</v>
      </c>
      <c r="I109" s="10" t="s">
        <v>561</v>
      </c>
      <c r="J109" s="10" t="s">
        <v>326</v>
      </c>
      <c r="K109" s="10" t="str">
        <f t="shared" si="17"/>
        <v>Generation &gt; Electricity &gt; Oil &gt; Fuel shift</v>
      </c>
      <c r="L109" s="10" t="str">
        <f t="shared" si="18"/>
        <v>Generation &gt; Electricity &gt; Oil &gt; Fuel shift</v>
      </c>
      <c r="M109" s="10" t="s">
        <v>60</v>
      </c>
      <c r="N109" s="6"/>
      <c r="O109" s="6"/>
      <c r="P109" s="6"/>
      <c r="Q109" s="6"/>
      <c r="R109" s="6"/>
      <c r="S109" s="6"/>
      <c r="T109" s="6"/>
      <c r="U109" s="6"/>
      <c r="V109" s="6"/>
      <c r="W109" s="6"/>
      <c r="X109" s="6"/>
      <c r="Y109" s="6"/>
      <c r="Z109" s="6"/>
      <c r="AA109" s="6"/>
      <c r="AB109" s="6"/>
      <c r="AC109" s="6"/>
      <c r="AD109" s="6"/>
      <c r="AE109" s="6"/>
      <c r="AF109" s="6"/>
    </row>
    <row r="110">
      <c r="A110" s="10" t="s">
        <v>35</v>
      </c>
      <c r="B110" s="10" t="s">
        <v>543</v>
      </c>
      <c r="C110" s="14" t="s">
        <v>104</v>
      </c>
      <c r="D110" s="10" t="s">
        <v>544</v>
      </c>
      <c r="E110" s="10" t="s">
        <v>562</v>
      </c>
      <c r="F110" s="27" t="s">
        <v>322</v>
      </c>
      <c r="G110" s="27" t="s">
        <v>563</v>
      </c>
      <c r="H110" s="10" t="s">
        <v>564</v>
      </c>
      <c r="I110" s="10" t="s">
        <v>565</v>
      </c>
      <c r="J110" s="10" t="s">
        <v>326</v>
      </c>
      <c r="K110" s="10" t="str">
        <f t="shared" si="17"/>
        <v>Generation &gt; Electricity &gt; Hydro  &gt; Fuel shift</v>
      </c>
      <c r="L110" s="10" t="str">
        <f t="shared" si="18"/>
        <v>Generation &gt; Electricity &gt; Hydro  &gt; Fuel shift</v>
      </c>
      <c r="M110" s="10" t="s">
        <v>60</v>
      </c>
      <c r="N110" s="6"/>
      <c r="O110" s="6"/>
      <c r="P110" s="6"/>
      <c r="Q110" s="6"/>
      <c r="R110" s="6"/>
      <c r="S110" s="6"/>
      <c r="T110" s="6"/>
      <c r="U110" s="6"/>
      <c r="V110" s="6"/>
      <c r="W110" s="6"/>
      <c r="X110" s="6"/>
      <c r="Y110" s="6"/>
      <c r="Z110" s="6"/>
      <c r="AA110" s="6"/>
      <c r="AB110" s="6"/>
      <c r="AC110" s="6"/>
      <c r="AD110" s="6"/>
      <c r="AE110" s="6"/>
      <c r="AF110" s="6"/>
    </row>
    <row r="111">
      <c r="A111" s="10" t="s">
        <v>35</v>
      </c>
      <c r="B111" s="10" t="s">
        <v>543</v>
      </c>
      <c r="C111" s="14" t="s">
        <v>104</v>
      </c>
      <c r="D111" s="10" t="s">
        <v>544</v>
      </c>
      <c r="E111" s="10" t="s">
        <v>566</v>
      </c>
      <c r="F111" s="27" t="s">
        <v>322</v>
      </c>
      <c r="G111" s="27" t="s">
        <v>567</v>
      </c>
      <c r="H111" s="10" t="s">
        <v>568</v>
      </c>
      <c r="I111" s="10" t="s">
        <v>569</v>
      </c>
      <c r="J111" s="10" t="s">
        <v>326</v>
      </c>
      <c r="K111" s="10" t="str">
        <f t="shared" si="17"/>
        <v>Generation &gt; Electricity &gt; Solar &gt; Fuel shift</v>
      </c>
      <c r="L111" s="10" t="str">
        <f t="shared" si="18"/>
        <v>Generation &gt; Electricity &gt; Solar &gt; Fuel shift</v>
      </c>
      <c r="M111" s="10" t="s">
        <v>60</v>
      </c>
      <c r="N111" s="6"/>
      <c r="O111" s="6"/>
      <c r="P111" s="6"/>
      <c r="Q111" s="6"/>
      <c r="R111" s="6"/>
      <c r="S111" s="6"/>
      <c r="T111" s="6"/>
      <c r="U111" s="6"/>
      <c r="V111" s="6"/>
      <c r="W111" s="6"/>
      <c r="X111" s="6"/>
      <c r="Y111" s="6"/>
      <c r="Z111" s="6"/>
      <c r="AA111" s="6"/>
      <c r="AB111" s="6"/>
      <c r="AC111" s="6"/>
      <c r="AD111" s="6"/>
      <c r="AE111" s="6"/>
      <c r="AF111" s="6"/>
    </row>
    <row r="112">
      <c r="A112" s="10" t="s">
        <v>35</v>
      </c>
      <c r="B112" s="10" t="s">
        <v>543</v>
      </c>
      <c r="C112" s="14" t="s">
        <v>104</v>
      </c>
      <c r="D112" s="10" t="s">
        <v>544</v>
      </c>
      <c r="E112" s="10" t="s">
        <v>570</v>
      </c>
      <c r="F112" s="10" t="s">
        <v>322</v>
      </c>
      <c r="G112" s="10" t="s">
        <v>571</v>
      </c>
      <c r="H112" s="10" t="s">
        <v>572</v>
      </c>
      <c r="I112" s="10" t="s">
        <v>573</v>
      </c>
      <c r="J112" s="10" t="s">
        <v>326</v>
      </c>
      <c r="K112" s="10" t="str">
        <f t="shared" si="17"/>
        <v>Generation &gt; Electricity &gt; Solar (distributed) &gt; Fuel shift</v>
      </c>
      <c r="L112" s="10" t="str">
        <f t="shared" si="18"/>
        <v>Generation &gt; Electricity &gt; Solar (distributed) &gt; Fuel shift</v>
      </c>
      <c r="M112" s="10" t="s">
        <v>60</v>
      </c>
      <c r="N112" s="6"/>
      <c r="O112" s="6"/>
      <c r="P112" s="6"/>
      <c r="Q112" s="6"/>
      <c r="R112" s="6"/>
      <c r="S112" s="6"/>
      <c r="T112" s="6"/>
      <c r="U112" s="6"/>
      <c r="V112" s="6"/>
      <c r="W112" s="6"/>
      <c r="X112" s="6"/>
      <c r="Y112" s="6"/>
      <c r="Z112" s="6"/>
      <c r="AA112" s="6"/>
      <c r="AB112" s="6"/>
      <c r="AC112" s="6"/>
      <c r="AD112" s="6"/>
      <c r="AE112" s="6"/>
      <c r="AF112" s="6"/>
    </row>
    <row r="113">
      <c r="A113" s="10" t="s">
        <v>35</v>
      </c>
      <c r="B113" s="10" t="s">
        <v>543</v>
      </c>
      <c r="C113" s="14" t="s">
        <v>104</v>
      </c>
      <c r="D113" s="10" t="s">
        <v>544</v>
      </c>
      <c r="E113" s="10" t="s">
        <v>574</v>
      </c>
      <c r="F113" s="10" t="s">
        <v>322</v>
      </c>
      <c r="G113" s="27" t="s">
        <v>575</v>
      </c>
      <c r="H113" s="10" t="s">
        <v>576</v>
      </c>
      <c r="I113" s="10" t="s">
        <v>577</v>
      </c>
      <c r="J113" s="10" t="s">
        <v>326</v>
      </c>
      <c r="K113" s="10" t="str">
        <f t="shared" si="17"/>
        <v>Generation &gt; Electricity &gt; Wind &gt; Fuel shift</v>
      </c>
      <c r="L113" s="10" t="str">
        <f t="shared" si="18"/>
        <v>Generation &gt; Electricity &gt; Wind &gt; Fuel shift</v>
      </c>
      <c r="M113" s="10" t="s">
        <v>60</v>
      </c>
      <c r="N113" s="6"/>
      <c r="O113" s="6"/>
      <c r="P113" s="6"/>
      <c r="Q113" s="6"/>
      <c r="R113" s="6"/>
      <c r="S113" s="6"/>
      <c r="T113" s="6"/>
      <c r="U113" s="6"/>
      <c r="V113" s="6"/>
      <c r="W113" s="6"/>
      <c r="X113" s="6"/>
      <c r="Y113" s="6"/>
      <c r="Z113" s="6"/>
      <c r="AA113" s="6"/>
      <c r="AB113" s="6"/>
      <c r="AC113" s="6"/>
      <c r="AD113" s="6"/>
      <c r="AE113" s="6"/>
      <c r="AF113" s="6"/>
    </row>
    <row r="114">
      <c r="A114" s="10" t="s">
        <v>35</v>
      </c>
      <c r="B114" s="10" t="s">
        <v>543</v>
      </c>
      <c r="C114" s="14" t="s">
        <v>104</v>
      </c>
      <c r="D114" s="10" t="s">
        <v>544</v>
      </c>
      <c r="E114" s="10" t="s">
        <v>574</v>
      </c>
      <c r="F114" s="10" t="s">
        <v>322</v>
      </c>
      <c r="G114" s="27" t="s">
        <v>578</v>
      </c>
      <c r="H114" s="10" t="s">
        <v>579</v>
      </c>
      <c r="I114" s="10" t="s">
        <v>580</v>
      </c>
      <c r="J114" s="10" t="s">
        <v>326</v>
      </c>
      <c r="K114" s="10" t="str">
        <f t="shared" si="17"/>
        <v>Generation &gt; Electricity &gt; Wind &gt; Fuel shift</v>
      </c>
      <c r="L114" s="10" t="str">
        <f t="shared" si="18"/>
        <v>Generation &gt; Electricity &gt; Wind &gt; Fuel shift</v>
      </c>
      <c r="M114" s="10" t="s">
        <v>60</v>
      </c>
      <c r="N114" s="6"/>
      <c r="O114" s="6"/>
      <c r="P114" s="6"/>
      <c r="Q114" s="6"/>
      <c r="R114" s="6"/>
      <c r="S114" s="6"/>
      <c r="T114" s="6"/>
      <c r="U114" s="6"/>
      <c r="V114" s="6"/>
      <c r="W114" s="6"/>
      <c r="X114" s="6"/>
      <c r="Y114" s="6"/>
      <c r="Z114" s="6"/>
      <c r="AA114" s="6"/>
      <c r="AB114" s="6"/>
      <c r="AC114" s="6"/>
      <c r="AD114" s="6"/>
      <c r="AE114" s="6"/>
      <c r="AF114" s="6"/>
    </row>
    <row r="115">
      <c r="A115" s="10" t="s">
        <v>35</v>
      </c>
      <c r="B115" s="10" t="s">
        <v>543</v>
      </c>
      <c r="C115" s="14" t="s">
        <v>104</v>
      </c>
      <c r="D115" s="10" t="s">
        <v>544</v>
      </c>
      <c r="E115" s="10" t="s">
        <v>581</v>
      </c>
      <c r="F115" s="10" t="s">
        <v>322</v>
      </c>
      <c r="G115" s="10" t="s">
        <v>582</v>
      </c>
      <c r="H115" s="10" t="s">
        <v>583</v>
      </c>
      <c r="I115" s="10" t="s">
        <v>584</v>
      </c>
      <c r="J115" s="10" t="s">
        <v>326</v>
      </c>
      <c r="K115" s="10" t="str">
        <f t="shared" si="17"/>
        <v>Generation &gt; Electricity &gt; Biomass &gt; Fuel shift</v>
      </c>
      <c r="L115" s="10" t="str">
        <f t="shared" si="18"/>
        <v>Generation &gt; Electricity &gt; Biomass &gt; Fuel shift</v>
      </c>
      <c r="M115" s="10" t="s">
        <v>60</v>
      </c>
      <c r="N115" s="6"/>
      <c r="O115" s="6"/>
      <c r="P115" s="6"/>
      <c r="Q115" s="6"/>
      <c r="R115" s="6"/>
      <c r="S115" s="6"/>
      <c r="T115" s="6"/>
      <c r="U115" s="6"/>
      <c r="V115" s="6"/>
      <c r="W115" s="6"/>
      <c r="X115" s="6"/>
      <c r="Y115" s="6"/>
      <c r="Z115" s="6"/>
      <c r="AA115" s="6"/>
      <c r="AB115" s="6"/>
      <c r="AC115" s="6"/>
      <c r="AD115" s="6"/>
      <c r="AE115" s="6"/>
      <c r="AF115" s="6"/>
    </row>
    <row r="116">
      <c r="A116" s="10" t="s">
        <v>35</v>
      </c>
      <c r="B116" s="10" t="s">
        <v>543</v>
      </c>
      <c r="C116" s="14" t="s">
        <v>104</v>
      </c>
      <c r="D116" s="10" t="s">
        <v>585</v>
      </c>
      <c r="E116" s="10" t="s">
        <v>544</v>
      </c>
      <c r="F116" s="10" t="s">
        <v>322</v>
      </c>
      <c r="G116" s="27" t="s">
        <v>60</v>
      </c>
      <c r="H116" s="10" t="s">
        <v>586</v>
      </c>
      <c r="I116" s="10" t="s">
        <v>60</v>
      </c>
      <c r="J116" s="10" t="s">
        <v>65</v>
      </c>
      <c r="K116" s="10" t="str">
        <f t="shared" si="17"/>
        <v>Generation &gt; Nuclear &gt; Electricity &gt; Fuel shift</v>
      </c>
      <c r="L116" s="10" t="str">
        <f t="shared" si="18"/>
        <v>Generation &gt; Nuclear &gt; Electricity &gt; Fuel shift</v>
      </c>
      <c r="M116" s="10" t="s">
        <v>60</v>
      </c>
      <c r="N116" s="6"/>
      <c r="O116" s="6"/>
      <c r="P116" s="6"/>
      <c r="Q116" s="6"/>
      <c r="R116" s="6"/>
      <c r="S116" s="6"/>
      <c r="T116" s="6"/>
      <c r="U116" s="6"/>
      <c r="V116" s="6"/>
      <c r="W116" s="6"/>
      <c r="X116" s="6"/>
      <c r="Y116" s="6"/>
      <c r="Z116" s="6"/>
      <c r="AA116" s="6"/>
      <c r="AB116" s="6"/>
      <c r="AC116" s="6"/>
      <c r="AD116" s="6"/>
      <c r="AE116" s="6"/>
      <c r="AF116" s="6"/>
    </row>
    <row r="117">
      <c r="A117" s="10" t="s">
        <v>35</v>
      </c>
      <c r="B117" s="10" t="s">
        <v>543</v>
      </c>
      <c r="C117" s="14" t="s">
        <v>104</v>
      </c>
      <c r="D117" s="10" t="s">
        <v>587</v>
      </c>
      <c r="E117" s="10" t="s">
        <v>544</v>
      </c>
      <c r="F117" s="27" t="s">
        <v>322</v>
      </c>
      <c r="G117" s="27" t="s">
        <v>60</v>
      </c>
      <c r="H117" s="10" t="s">
        <v>588</v>
      </c>
      <c r="I117" s="10" t="s">
        <v>60</v>
      </c>
      <c r="J117" s="10" t="s">
        <v>65</v>
      </c>
      <c r="K117" s="10" t="str">
        <f t="shared" si="17"/>
        <v>Generation &gt; Generators &gt; Electricity &gt; Fuel shift</v>
      </c>
      <c r="L117" s="10" t="str">
        <f t="shared" si="18"/>
        <v>Generation &gt; Generators &gt; Electricity &gt; Fuel shift</v>
      </c>
      <c r="M117" s="10" t="s">
        <v>60</v>
      </c>
      <c r="N117" s="6"/>
      <c r="O117" s="6"/>
      <c r="P117" s="6"/>
      <c r="Q117" s="6"/>
      <c r="R117" s="6"/>
      <c r="S117" s="6"/>
      <c r="T117" s="6"/>
      <c r="U117" s="6"/>
      <c r="V117" s="6"/>
      <c r="W117" s="6"/>
      <c r="X117" s="6"/>
      <c r="Y117" s="6"/>
      <c r="Z117" s="6"/>
      <c r="AA117" s="6"/>
      <c r="AB117" s="6"/>
      <c r="AC117" s="6"/>
      <c r="AD117" s="6"/>
      <c r="AE117" s="6"/>
      <c r="AF117" s="6"/>
    </row>
    <row r="118">
      <c r="A118" s="10" t="s">
        <v>35</v>
      </c>
      <c r="B118" s="10" t="s">
        <v>543</v>
      </c>
      <c r="C118" s="14" t="s">
        <v>104</v>
      </c>
      <c r="D118" s="10" t="s">
        <v>589</v>
      </c>
      <c r="E118" s="10" t="s">
        <v>544</v>
      </c>
      <c r="F118" s="27" t="s">
        <v>322</v>
      </c>
      <c r="G118" s="27" t="s">
        <v>60</v>
      </c>
      <c r="H118" s="10" t="s">
        <v>590</v>
      </c>
      <c r="I118" s="10" t="s">
        <v>60</v>
      </c>
      <c r="J118" s="10" t="s">
        <v>65</v>
      </c>
      <c r="K118" s="10" t="str">
        <f t="shared" si="17"/>
        <v>Generation &gt; Storage &gt; Electricity &gt; Fuel shift</v>
      </c>
      <c r="L118" s="10" t="str">
        <f t="shared" si="18"/>
        <v>Generation &gt; Storage &gt; Electricity &gt; Fuel shift</v>
      </c>
      <c r="M118" s="10" t="s">
        <v>60</v>
      </c>
      <c r="N118" s="6"/>
      <c r="O118" s="6"/>
      <c r="P118" s="6"/>
      <c r="Q118" s="6"/>
      <c r="R118" s="6"/>
      <c r="S118" s="6"/>
      <c r="T118" s="6"/>
      <c r="U118" s="6"/>
      <c r="V118" s="6"/>
      <c r="W118" s="6"/>
      <c r="X118" s="6"/>
      <c r="Y118" s="6"/>
      <c r="Z118" s="6"/>
      <c r="AA118" s="6"/>
      <c r="AB118" s="6"/>
      <c r="AC118" s="6"/>
      <c r="AD118" s="6"/>
      <c r="AE118" s="6"/>
      <c r="AF118" s="6"/>
    </row>
    <row r="119">
      <c r="A119" s="10" t="s">
        <v>35</v>
      </c>
      <c r="B119" s="10" t="s">
        <v>543</v>
      </c>
      <c r="C119" s="14" t="s">
        <v>104</v>
      </c>
      <c r="D119" s="10" t="s">
        <v>591</v>
      </c>
      <c r="E119" s="20"/>
      <c r="F119" s="10" t="s">
        <v>322</v>
      </c>
      <c r="G119" s="10" t="s">
        <v>592</v>
      </c>
      <c r="H119" s="10" t="s">
        <v>593</v>
      </c>
      <c r="I119" s="10" t="s">
        <v>594</v>
      </c>
      <c r="J119" s="10" t="s">
        <v>326</v>
      </c>
      <c r="K119" s="10" t="str">
        <f t="shared" si="17"/>
        <v>Generation &gt; Heat &gt;  &gt; Fuel shift</v>
      </c>
      <c r="L119" s="10" t="s">
        <v>595</v>
      </c>
      <c r="M119" s="10" t="s">
        <v>60</v>
      </c>
      <c r="N119" s="6"/>
      <c r="O119" s="6"/>
      <c r="P119" s="6"/>
      <c r="Q119" s="6"/>
      <c r="R119" s="6"/>
      <c r="S119" s="6"/>
      <c r="T119" s="6"/>
      <c r="U119" s="6"/>
      <c r="V119" s="6"/>
      <c r="W119" s="6"/>
      <c r="X119" s="6"/>
      <c r="Y119" s="6"/>
      <c r="Z119" s="6"/>
      <c r="AA119" s="6"/>
      <c r="AB119" s="6"/>
      <c r="AC119" s="6"/>
      <c r="AD119" s="6"/>
      <c r="AE119" s="6"/>
      <c r="AF119" s="6"/>
    </row>
    <row r="120">
      <c r="A120" s="10" t="s">
        <v>35</v>
      </c>
      <c r="B120" s="10" t="s">
        <v>543</v>
      </c>
      <c r="C120" s="14" t="s">
        <v>104</v>
      </c>
      <c r="D120" s="10" t="s">
        <v>591</v>
      </c>
      <c r="E120" s="20"/>
      <c r="F120" s="10" t="s">
        <v>322</v>
      </c>
      <c r="G120" s="10" t="s">
        <v>596</v>
      </c>
      <c r="H120" s="10" t="s">
        <v>597</v>
      </c>
      <c r="I120" s="10" t="s">
        <v>598</v>
      </c>
      <c r="J120" s="10" t="s">
        <v>326</v>
      </c>
      <c r="K120" s="10" t="str">
        <f t="shared" si="17"/>
        <v>Generation &gt; Heat &gt;  &gt; Fuel shift</v>
      </c>
      <c r="L120" s="10" t="s">
        <v>595</v>
      </c>
      <c r="M120" s="10" t="s">
        <v>60</v>
      </c>
      <c r="N120" s="6"/>
      <c r="O120" s="6"/>
      <c r="P120" s="6"/>
      <c r="Q120" s="6"/>
      <c r="R120" s="6"/>
      <c r="S120" s="6"/>
      <c r="T120" s="6"/>
      <c r="U120" s="6"/>
      <c r="V120" s="6"/>
      <c r="W120" s="6"/>
      <c r="X120" s="6"/>
      <c r="Y120" s="6"/>
      <c r="Z120" s="6"/>
      <c r="AA120" s="6"/>
      <c r="AB120" s="6"/>
      <c r="AC120" s="6"/>
      <c r="AD120" s="6"/>
      <c r="AE120" s="6"/>
      <c r="AF120" s="6"/>
    </row>
    <row r="121">
      <c r="A121" s="10" t="s">
        <v>35</v>
      </c>
      <c r="B121" s="10" t="s">
        <v>543</v>
      </c>
      <c r="C121" s="14" t="s">
        <v>104</v>
      </c>
      <c r="D121" s="10" t="s">
        <v>591</v>
      </c>
      <c r="E121" s="20"/>
      <c r="F121" s="10" t="s">
        <v>322</v>
      </c>
      <c r="G121" s="10" t="s">
        <v>599</v>
      </c>
      <c r="H121" s="10" t="s">
        <v>600</v>
      </c>
      <c r="I121" s="10" t="s">
        <v>601</v>
      </c>
      <c r="J121" s="10" t="s">
        <v>326</v>
      </c>
      <c r="K121" s="10" t="str">
        <f t="shared" si="17"/>
        <v>Generation &gt; Heat &gt;  &gt; Fuel shift</v>
      </c>
      <c r="L121" s="10" t="s">
        <v>595</v>
      </c>
      <c r="M121" s="10" t="s">
        <v>60</v>
      </c>
      <c r="N121" s="6"/>
      <c r="O121" s="6"/>
      <c r="P121" s="6"/>
      <c r="Q121" s="6"/>
      <c r="R121" s="6"/>
      <c r="S121" s="6"/>
      <c r="T121" s="6"/>
      <c r="U121" s="6"/>
      <c r="V121" s="6"/>
      <c r="W121" s="6"/>
      <c r="X121" s="6"/>
      <c r="Y121" s="6"/>
      <c r="Z121" s="6"/>
      <c r="AA121" s="6"/>
      <c r="AB121" s="6"/>
      <c r="AC121" s="6"/>
      <c r="AD121" s="6"/>
      <c r="AE121" s="6"/>
      <c r="AF121" s="6"/>
    </row>
    <row r="122">
      <c r="A122" s="10" t="s">
        <v>35</v>
      </c>
      <c r="B122" s="10" t="s">
        <v>543</v>
      </c>
      <c r="C122" s="14" t="s">
        <v>104</v>
      </c>
      <c r="D122" s="10" t="s">
        <v>591</v>
      </c>
      <c r="E122" s="20"/>
      <c r="F122" s="10" t="s">
        <v>322</v>
      </c>
      <c r="G122" s="10" t="s">
        <v>602</v>
      </c>
      <c r="H122" s="10" t="s">
        <v>603</v>
      </c>
      <c r="I122" s="10" t="s">
        <v>604</v>
      </c>
      <c r="J122" s="10" t="s">
        <v>326</v>
      </c>
      <c r="K122" s="10" t="str">
        <f t="shared" si="17"/>
        <v>Generation &gt; Heat &gt;  &gt; Fuel shift</v>
      </c>
      <c r="L122" s="10" t="s">
        <v>595</v>
      </c>
      <c r="M122" s="10" t="s">
        <v>60</v>
      </c>
      <c r="N122" s="6"/>
      <c r="O122" s="6"/>
      <c r="P122" s="6"/>
      <c r="Q122" s="6"/>
      <c r="R122" s="6"/>
      <c r="S122" s="6"/>
      <c r="T122" s="6"/>
      <c r="U122" s="6"/>
      <c r="V122" s="6"/>
      <c r="W122" s="6"/>
      <c r="X122" s="6"/>
      <c r="Y122" s="6"/>
      <c r="Z122" s="6"/>
      <c r="AA122" s="6"/>
      <c r="AB122" s="6"/>
      <c r="AC122" s="6"/>
      <c r="AD122" s="6"/>
      <c r="AE122" s="6"/>
      <c r="AF122" s="6"/>
    </row>
    <row r="123">
      <c r="A123" s="10" t="s">
        <v>35</v>
      </c>
      <c r="B123" s="10" t="s">
        <v>543</v>
      </c>
      <c r="C123" s="14" t="s">
        <v>104</v>
      </c>
      <c r="D123" s="10" t="s">
        <v>591</v>
      </c>
      <c r="E123" s="20"/>
      <c r="F123" s="10" t="s">
        <v>322</v>
      </c>
      <c r="G123" s="10" t="s">
        <v>605</v>
      </c>
      <c r="H123" s="10" t="s">
        <v>606</v>
      </c>
      <c r="I123" s="20"/>
      <c r="J123" s="10" t="s">
        <v>326</v>
      </c>
      <c r="K123" s="10" t="str">
        <f t="shared" si="17"/>
        <v>Generation &gt; Heat &gt;  &gt; Fuel shift</v>
      </c>
      <c r="L123" s="10" t="s">
        <v>595</v>
      </c>
      <c r="M123" s="10" t="s">
        <v>60</v>
      </c>
      <c r="N123" s="6"/>
      <c r="O123" s="6"/>
      <c r="P123" s="6"/>
      <c r="Q123" s="6"/>
      <c r="R123" s="6"/>
      <c r="S123" s="6"/>
      <c r="T123" s="6"/>
      <c r="U123" s="6"/>
      <c r="V123" s="6"/>
      <c r="W123" s="6"/>
      <c r="X123" s="6"/>
      <c r="Y123" s="6"/>
      <c r="Z123" s="6"/>
      <c r="AA123" s="6"/>
      <c r="AB123" s="6"/>
      <c r="AC123" s="6"/>
      <c r="AD123" s="6"/>
      <c r="AE123" s="6"/>
      <c r="AF123" s="6"/>
    </row>
    <row r="124">
      <c r="A124" s="10" t="s">
        <v>35</v>
      </c>
      <c r="B124" s="10" t="s">
        <v>543</v>
      </c>
      <c r="C124" s="14" t="s">
        <v>104</v>
      </c>
      <c r="D124" s="10" t="s">
        <v>591</v>
      </c>
      <c r="E124" s="20"/>
      <c r="F124" s="10" t="s">
        <v>322</v>
      </c>
      <c r="G124" s="10" t="s">
        <v>607</v>
      </c>
      <c r="H124" s="10" t="s">
        <v>608</v>
      </c>
      <c r="I124" s="20"/>
      <c r="J124" s="10" t="s">
        <v>326</v>
      </c>
      <c r="K124" s="10" t="str">
        <f t="shared" si="17"/>
        <v>Generation &gt; Heat &gt;  &gt; Fuel shift</v>
      </c>
      <c r="L124" s="10" t="s">
        <v>595</v>
      </c>
      <c r="M124" s="10" t="s">
        <v>60</v>
      </c>
      <c r="N124" s="6"/>
      <c r="O124" s="6"/>
      <c r="P124" s="6"/>
      <c r="Q124" s="6"/>
      <c r="R124" s="6"/>
      <c r="S124" s="6"/>
      <c r="T124" s="6"/>
      <c r="U124" s="6"/>
      <c r="V124" s="6"/>
      <c r="W124" s="6"/>
      <c r="X124" s="6"/>
      <c r="Y124" s="6"/>
      <c r="Z124" s="6"/>
      <c r="AA124" s="6"/>
      <c r="AB124" s="6"/>
      <c r="AC124" s="6"/>
      <c r="AD124" s="6"/>
      <c r="AE124" s="6"/>
      <c r="AF124" s="6"/>
    </row>
    <row r="125">
      <c r="A125" s="10" t="s">
        <v>35</v>
      </c>
      <c r="B125" s="10" t="s">
        <v>543</v>
      </c>
      <c r="C125" s="14" t="s">
        <v>104</v>
      </c>
      <c r="D125" s="10" t="s">
        <v>609</v>
      </c>
      <c r="E125" s="10" t="s">
        <v>545</v>
      </c>
      <c r="F125" s="10" t="s">
        <v>322</v>
      </c>
      <c r="G125" s="10" t="s">
        <v>610</v>
      </c>
      <c r="H125" s="10" t="s">
        <v>611</v>
      </c>
      <c r="I125" s="10" t="s">
        <v>612</v>
      </c>
      <c r="J125" s="10" t="s">
        <v>326</v>
      </c>
      <c r="K125" s="10" t="str">
        <f t="shared" si="17"/>
        <v>Generation &gt; CHP &gt; Coal &gt; Fuel shift</v>
      </c>
      <c r="L125" s="10" t="s">
        <v>613</v>
      </c>
      <c r="M125" s="10" t="s">
        <v>60</v>
      </c>
      <c r="N125" s="6"/>
      <c r="O125" s="6"/>
      <c r="P125" s="6"/>
      <c r="Q125" s="6"/>
      <c r="R125" s="6"/>
      <c r="S125" s="6"/>
      <c r="T125" s="6"/>
      <c r="U125" s="6"/>
      <c r="V125" s="6"/>
      <c r="W125" s="6"/>
      <c r="X125" s="6"/>
      <c r="Y125" s="6"/>
      <c r="Z125" s="6"/>
      <c r="AA125" s="6"/>
      <c r="AB125" s="6"/>
      <c r="AC125" s="6"/>
      <c r="AD125" s="6"/>
      <c r="AE125" s="6"/>
      <c r="AF125" s="6"/>
    </row>
    <row r="126">
      <c r="A126" s="10" t="s">
        <v>35</v>
      </c>
      <c r="B126" s="10" t="s">
        <v>543</v>
      </c>
      <c r="C126" s="14" t="s">
        <v>104</v>
      </c>
      <c r="D126" s="10" t="s">
        <v>609</v>
      </c>
      <c r="E126" s="10" t="s">
        <v>558</v>
      </c>
      <c r="F126" s="10" t="s">
        <v>322</v>
      </c>
      <c r="G126" s="27" t="s">
        <v>614</v>
      </c>
      <c r="H126" s="10" t="s">
        <v>615</v>
      </c>
      <c r="I126" s="10" t="s">
        <v>616</v>
      </c>
      <c r="J126" s="10" t="s">
        <v>326</v>
      </c>
      <c r="K126" s="10" t="str">
        <f t="shared" si="17"/>
        <v>Generation &gt; CHP &gt; Oil &gt; Fuel shift</v>
      </c>
      <c r="L126" s="10" t="s">
        <v>613</v>
      </c>
      <c r="M126" s="10" t="s">
        <v>60</v>
      </c>
      <c r="N126" s="6"/>
      <c r="O126" s="6"/>
      <c r="P126" s="6"/>
      <c r="Q126" s="6"/>
      <c r="R126" s="6"/>
      <c r="S126" s="6"/>
      <c r="T126" s="6"/>
      <c r="U126" s="6"/>
      <c r="V126" s="6"/>
      <c r="W126" s="6"/>
      <c r="X126" s="6"/>
      <c r="Y126" s="6"/>
      <c r="Z126" s="6"/>
      <c r="AA126" s="6"/>
      <c r="AB126" s="6"/>
      <c r="AC126" s="6"/>
      <c r="AD126" s="6"/>
      <c r="AE126" s="6"/>
      <c r="AF126" s="6"/>
    </row>
    <row r="127">
      <c r="A127" s="10" t="s">
        <v>35</v>
      </c>
      <c r="B127" s="10" t="s">
        <v>543</v>
      </c>
      <c r="C127" s="14" t="s">
        <v>104</v>
      </c>
      <c r="D127" s="10" t="s">
        <v>609</v>
      </c>
      <c r="E127" s="10" t="s">
        <v>549</v>
      </c>
      <c r="F127" s="10" t="s">
        <v>322</v>
      </c>
      <c r="G127" s="10" t="s">
        <v>617</v>
      </c>
      <c r="H127" s="10" t="s">
        <v>618</v>
      </c>
      <c r="I127" s="10" t="s">
        <v>619</v>
      </c>
      <c r="J127" s="10" t="s">
        <v>326</v>
      </c>
      <c r="K127" s="10" t="str">
        <f t="shared" si="17"/>
        <v>Generation &gt; CHP &gt; Gas &gt; Fuel shift</v>
      </c>
      <c r="L127" s="10" t="s">
        <v>613</v>
      </c>
      <c r="M127" s="10" t="s">
        <v>60</v>
      </c>
      <c r="N127" s="6"/>
      <c r="O127" s="6"/>
      <c r="P127" s="6"/>
      <c r="Q127" s="6"/>
      <c r="R127" s="6"/>
      <c r="S127" s="6"/>
      <c r="T127" s="6"/>
      <c r="U127" s="6"/>
      <c r="V127" s="6"/>
      <c r="W127" s="6"/>
      <c r="X127" s="6"/>
      <c r="Y127" s="6"/>
      <c r="Z127" s="6"/>
      <c r="AA127" s="6"/>
      <c r="AB127" s="6"/>
      <c r="AC127" s="6"/>
      <c r="AD127" s="6"/>
      <c r="AE127" s="6"/>
      <c r="AF127" s="6"/>
    </row>
    <row r="128">
      <c r="A128" s="10" t="s">
        <v>35</v>
      </c>
      <c r="B128" s="10" t="s">
        <v>543</v>
      </c>
      <c r="C128" s="14" t="s">
        <v>104</v>
      </c>
      <c r="D128" s="10" t="s">
        <v>609</v>
      </c>
      <c r="E128" s="10" t="s">
        <v>620</v>
      </c>
      <c r="F128" s="10" t="s">
        <v>322</v>
      </c>
      <c r="G128" s="27" t="s">
        <v>621</v>
      </c>
      <c r="H128" s="10" t="s">
        <v>622</v>
      </c>
      <c r="I128" s="10" t="s">
        <v>623</v>
      </c>
      <c r="J128" s="10" t="s">
        <v>326</v>
      </c>
      <c r="K128" s="10" t="str">
        <f t="shared" si="17"/>
        <v>Generation &gt; CHP &gt; Incineration waste &gt; Fuel shift</v>
      </c>
      <c r="L128" s="10" t="s">
        <v>613</v>
      </c>
      <c r="M128" s="10" t="s">
        <v>60</v>
      </c>
      <c r="N128" s="6"/>
      <c r="O128" s="6"/>
      <c r="P128" s="6"/>
      <c r="Q128" s="6"/>
      <c r="R128" s="6"/>
      <c r="S128" s="6"/>
      <c r="T128" s="6"/>
      <c r="U128" s="6"/>
      <c r="V128" s="6"/>
      <c r="W128" s="6"/>
      <c r="X128" s="6"/>
      <c r="Y128" s="6"/>
      <c r="Z128" s="6"/>
      <c r="AA128" s="6"/>
      <c r="AB128" s="6"/>
      <c r="AC128" s="6"/>
      <c r="AD128" s="6"/>
      <c r="AE128" s="6"/>
      <c r="AF128" s="6"/>
    </row>
    <row r="129">
      <c r="A129" s="10" t="s">
        <v>35</v>
      </c>
      <c r="B129" s="10" t="s">
        <v>543</v>
      </c>
      <c r="C129" s="14" t="s">
        <v>104</v>
      </c>
      <c r="D129" s="10" t="s">
        <v>609</v>
      </c>
      <c r="E129" s="10" t="s">
        <v>581</v>
      </c>
      <c r="F129" s="10" t="s">
        <v>322</v>
      </c>
      <c r="G129" s="10" t="s">
        <v>624</v>
      </c>
      <c r="H129" s="10" t="s">
        <v>625</v>
      </c>
      <c r="I129" s="10" t="s">
        <v>626</v>
      </c>
      <c r="J129" s="10" t="s">
        <v>326</v>
      </c>
      <c r="K129" s="10" t="str">
        <f t="shared" si="17"/>
        <v>Generation &gt; CHP &gt; Biomass &gt; Fuel shift</v>
      </c>
      <c r="L129" s="10" t="s">
        <v>613</v>
      </c>
      <c r="M129" s="10" t="s">
        <v>60</v>
      </c>
      <c r="N129" s="6"/>
      <c r="O129" s="6"/>
      <c r="P129" s="6"/>
      <c r="Q129" s="6"/>
      <c r="R129" s="6"/>
      <c r="S129" s="6"/>
      <c r="T129" s="6"/>
      <c r="U129" s="6"/>
      <c r="V129" s="6"/>
      <c r="W129" s="6"/>
      <c r="X129" s="6"/>
      <c r="Y129" s="6"/>
      <c r="Z129" s="6"/>
      <c r="AA129" s="6"/>
      <c r="AB129" s="6"/>
      <c r="AC129" s="6"/>
      <c r="AD129" s="6"/>
      <c r="AE129" s="6"/>
      <c r="AF129" s="6"/>
    </row>
    <row r="130">
      <c r="A130" s="10" t="s">
        <v>35</v>
      </c>
      <c r="B130" s="10" t="s">
        <v>543</v>
      </c>
      <c r="C130" s="14" t="s">
        <v>104</v>
      </c>
      <c r="D130" s="10" t="s">
        <v>609</v>
      </c>
      <c r="E130" s="10" t="s">
        <v>620</v>
      </c>
      <c r="F130" s="10" t="s">
        <v>322</v>
      </c>
      <c r="G130" s="10" t="s">
        <v>627</v>
      </c>
      <c r="H130" s="10" t="s">
        <v>628</v>
      </c>
      <c r="I130" s="10" t="s">
        <v>629</v>
      </c>
      <c r="J130" s="10" t="s">
        <v>326</v>
      </c>
      <c r="K130" s="10" t="str">
        <f t="shared" si="17"/>
        <v>Generation &gt; CHP &gt; Incineration waste &gt; Fuel shift</v>
      </c>
      <c r="L130" s="10" t="s">
        <v>613</v>
      </c>
      <c r="M130" s="10" t="s">
        <v>60</v>
      </c>
      <c r="N130" s="6"/>
      <c r="O130" s="6"/>
      <c r="P130" s="6"/>
      <c r="Q130" s="6"/>
      <c r="R130" s="6"/>
      <c r="S130" s="6"/>
      <c r="T130" s="6"/>
      <c r="U130" s="6"/>
      <c r="V130" s="6"/>
      <c r="W130" s="6"/>
      <c r="X130" s="6"/>
      <c r="Y130" s="6"/>
      <c r="Z130" s="6"/>
      <c r="AA130" s="6"/>
      <c r="AB130" s="6"/>
      <c r="AC130" s="6"/>
      <c r="AD130" s="6"/>
      <c r="AE130" s="6"/>
      <c r="AF130" s="6"/>
    </row>
    <row r="131">
      <c r="A131" s="10" t="s">
        <v>35</v>
      </c>
      <c r="B131" s="10" t="s">
        <v>543</v>
      </c>
      <c r="C131" s="14" t="s">
        <v>104</v>
      </c>
      <c r="D131" s="10" t="s">
        <v>609</v>
      </c>
      <c r="E131" s="10" t="s">
        <v>630</v>
      </c>
      <c r="F131" s="10" t="s">
        <v>322</v>
      </c>
      <c r="G131" s="10" t="s">
        <v>631</v>
      </c>
      <c r="H131" s="10" t="s">
        <v>632</v>
      </c>
      <c r="I131" s="20"/>
      <c r="J131" s="10" t="s">
        <v>326</v>
      </c>
      <c r="K131" s="10" t="str">
        <f t="shared" si="17"/>
        <v>Generation &gt; CHP &gt; Biofuel &gt; Fuel shift</v>
      </c>
      <c r="L131" s="10" t="s">
        <v>613</v>
      </c>
      <c r="M131" s="10" t="s">
        <v>60</v>
      </c>
      <c r="N131" s="6"/>
      <c r="O131" s="6"/>
      <c r="P131" s="6"/>
      <c r="Q131" s="6"/>
      <c r="R131" s="6"/>
      <c r="S131" s="6"/>
      <c r="T131" s="6"/>
      <c r="U131" s="6"/>
      <c r="V131" s="6"/>
      <c r="W131" s="6"/>
      <c r="X131" s="6"/>
      <c r="Y131" s="6"/>
      <c r="Z131" s="6"/>
      <c r="AA131" s="6"/>
      <c r="AB131" s="6"/>
      <c r="AC131" s="6"/>
      <c r="AD131" s="6"/>
      <c r="AE131" s="6"/>
      <c r="AF131" s="6"/>
    </row>
    <row r="132">
      <c r="A132" s="10" t="s">
        <v>35</v>
      </c>
      <c r="B132" s="10" t="s">
        <v>543</v>
      </c>
      <c r="C132" s="14" t="s">
        <v>99</v>
      </c>
      <c r="D132" s="10" t="s">
        <v>99</v>
      </c>
      <c r="E132" s="10" t="s">
        <v>633</v>
      </c>
      <c r="F132" s="10" t="s">
        <v>322</v>
      </c>
      <c r="G132" s="10" t="s">
        <v>634</v>
      </c>
      <c r="H132" s="10" t="s">
        <v>635</v>
      </c>
      <c r="I132" s="20"/>
      <c r="J132" s="10" t="s">
        <v>343</v>
      </c>
      <c r="K132" s="20"/>
      <c r="L132" s="10" t="s">
        <v>636</v>
      </c>
      <c r="M132" s="10" t="s">
        <v>60</v>
      </c>
      <c r="N132" s="6"/>
      <c r="O132" s="6"/>
      <c r="P132" s="6"/>
      <c r="Q132" s="6"/>
      <c r="R132" s="6"/>
      <c r="S132" s="6"/>
      <c r="T132" s="6"/>
      <c r="U132" s="6"/>
      <c r="V132" s="6"/>
      <c r="W132" s="6"/>
      <c r="X132" s="6"/>
      <c r="Y132" s="6"/>
      <c r="Z132" s="6"/>
      <c r="AA132" s="6"/>
      <c r="AB132" s="6"/>
      <c r="AC132" s="6"/>
      <c r="AD132" s="6"/>
      <c r="AE132" s="6"/>
      <c r="AF132" s="6"/>
    </row>
    <row r="133">
      <c r="A133" s="10" t="s">
        <v>35</v>
      </c>
      <c r="B133" s="10" t="s">
        <v>543</v>
      </c>
      <c r="C133" s="14" t="s">
        <v>104</v>
      </c>
      <c r="D133" s="10" t="s">
        <v>637</v>
      </c>
      <c r="E133" s="20"/>
      <c r="F133" s="10" t="s">
        <v>322</v>
      </c>
      <c r="G133" s="10" t="s">
        <v>638</v>
      </c>
      <c r="H133" s="10" t="s">
        <v>639</v>
      </c>
      <c r="I133" s="20"/>
      <c r="J133" s="10" t="s">
        <v>343</v>
      </c>
      <c r="K133" s="20"/>
      <c r="L133" s="10" t="s">
        <v>640</v>
      </c>
      <c r="M133" s="10" t="s">
        <v>60</v>
      </c>
      <c r="N133" s="6"/>
      <c r="O133" s="6"/>
      <c r="P133" s="6"/>
      <c r="Q133" s="6"/>
      <c r="R133" s="6"/>
      <c r="S133" s="6"/>
      <c r="T133" s="6"/>
      <c r="U133" s="6"/>
      <c r="V133" s="6"/>
      <c r="W133" s="6"/>
      <c r="X133" s="6"/>
      <c r="Y133" s="6"/>
      <c r="Z133" s="6"/>
      <c r="AA133" s="6"/>
      <c r="AB133" s="6"/>
      <c r="AC133" s="6"/>
      <c r="AD133" s="6"/>
      <c r="AE133" s="6"/>
      <c r="AF133" s="6"/>
    </row>
    <row r="134">
      <c r="A134" s="10" t="s">
        <v>35</v>
      </c>
      <c r="B134" s="10" t="s">
        <v>543</v>
      </c>
      <c r="C134" s="14" t="s">
        <v>104</v>
      </c>
      <c r="D134" s="10" t="s">
        <v>637</v>
      </c>
      <c r="E134" s="20"/>
      <c r="F134" s="10" t="s">
        <v>322</v>
      </c>
      <c r="G134" s="10" t="s">
        <v>641</v>
      </c>
      <c r="H134" s="10" t="s">
        <v>642</v>
      </c>
      <c r="I134" s="20"/>
      <c r="J134" s="10" t="s">
        <v>343</v>
      </c>
      <c r="K134" s="20"/>
      <c r="L134" s="10" t="s">
        <v>640</v>
      </c>
      <c r="M134" s="10" t="s">
        <v>60</v>
      </c>
      <c r="N134" s="6"/>
      <c r="O134" s="6"/>
      <c r="P134" s="6"/>
      <c r="Q134" s="6"/>
      <c r="R134" s="6"/>
      <c r="S134" s="6"/>
      <c r="T134" s="6"/>
      <c r="U134" s="6"/>
      <c r="V134" s="6"/>
      <c r="W134" s="6"/>
      <c r="X134" s="6"/>
      <c r="Y134" s="6"/>
      <c r="Z134" s="6"/>
      <c r="AA134" s="6"/>
      <c r="AB134" s="6"/>
      <c r="AC134" s="6"/>
      <c r="AD134" s="6"/>
      <c r="AE134" s="6"/>
      <c r="AF134" s="6"/>
    </row>
    <row r="135">
      <c r="A135" s="10" t="s">
        <v>35</v>
      </c>
      <c r="B135" s="10" t="s">
        <v>543</v>
      </c>
      <c r="C135" s="14" t="s">
        <v>104</v>
      </c>
      <c r="D135" s="10" t="s">
        <v>637</v>
      </c>
      <c r="E135" s="20"/>
      <c r="F135" s="10" t="s">
        <v>322</v>
      </c>
      <c r="G135" s="10" t="s">
        <v>643</v>
      </c>
      <c r="H135" s="10" t="s">
        <v>644</v>
      </c>
      <c r="I135" s="20"/>
      <c r="J135" s="10" t="s">
        <v>343</v>
      </c>
      <c r="K135" s="20"/>
      <c r="L135" s="10" t="s">
        <v>640</v>
      </c>
      <c r="M135" s="10" t="s">
        <v>60</v>
      </c>
      <c r="N135" s="6"/>
      <c r="O135" s="6"/>
      <c r="P135" s="6"/>
      <c r="Q135" s="6"/>
      <c r="R135" s="6"/>
      <c r="S135" s="6"/>
      <c r="T135" s="6"/>
      <c r="U135" s="6"/>
      <c r="V135" s="6"/>
      <c r="W135" s="6"/>
      <c r="X135" s="6"/>
      <c r="Y135" s="6"/>
      <c r="Z135" s="6"/>
      <c r="AA135" s="6"/>
      <c r="AB135" s="6"/>
      <c r="AC135" s="6"/>
      <c r="AD135" s="6"/>
      <c r="AE135" s="6"/>
      <c r="AF135" s="6"/>
    </row>
    <row r="136">
      <c r="A136" s="10" t="s">
        <v>35</v>
      </c>
      <c r="B136" s="10" t="s">
        <v>543</v>
      </c>
      <c r="C136" s="14" t="s">
        <v>104</v>
      </c>
      <c r="D136" s="10" t="s">
        <v>637</v>
      </c>
      <c r="E136" s="20"/>
      <c r="F136" s="10" t="s">
        <v>322</v>
      </c>
      <c r="G136" s="10" t="s">
        <v>645</v>
      </c>
      <c r="H136" s="10" t="s">
        <v>646</v>
      </c>
      <c r="I136" s="20"/>
      <c r="J136" s="10" t="s">
        <v>343</v>
      </c>
      <c r="K136" s="20"/>
      <c r="L136" s="10" t="s">
        <v>640</v>
      </c>
      <c r="M136" s="10" t="s">
        <v>60</v>
      </c>
      <c r="N136" s="6"/>
      <c r="O136" s="6"/>
      <c r="P136" s="6"/>
      <c r="Q136" s="6"/>
      <c r="R136" s="6"/>
      <c r="S136" s="6"/>
      <c r="T136" s="6"/>
      <c r="U136" s="6"/>
      <c r="V136" s="6"/>
      <c r="W136" s="6"/>
      <c r="X136" s="6"/>
      <c r="Y136" s="6"/>
      <c r="Z136" s="6"/>
      <c r="AA136" s="6"/>
      <c r="AB136" s="6"/>
      <c r="AC136" s="6"/>
      <c r="AD136" s="6"/>
      <c r="AE136" s="6"/>
      <c r="AF136" s="6"/>
    </row>
    <row r="137">
      <c r="A137" s="10" t="s">
        <v>35</v>
      </c>
      <c r="B137" s="10" t="s">
        <v>543</v>
      </c>
      <c r="C137" s="14" t="s">
        <v>104</v>
      </c>
      <c r="D137" s="10" t="s">
        <v>637</v>
      </c>
      <c r="E137" s="20"/>
      <c r="F137" s="10" t="s">
        <v>322</v>
      </c>
      <c r="G137" s="10" t="s">
        <v>647</v>
      </c>
      <c r="H137" s="10" t="s">
        <v>648</v>
      </c>
      <c r="I137" s="20"/>
      <c r="J137" s="10" t="s">
        <v>343</v>
      </c>
      <c r="K137" s="20"/>
      <c r="L137" s="10" t="s">
        <v>640</v>
      </c>
      <c r="M137" s="10" t="s">
        <v>60</v>
      </c>
      <c r="N137" s="6"/>
      <c r="O137" s="6"/>
      <c r="P137" s="6"/>
      <c r="Q137" s="6"/>
      <c r="R137" s="6"/>
      <c r="S137" s="6"/>
      <c r="T137" s="6"/>
      <c r="U137" s="6"/>
      <c r="V137" s="6"/>
      <c r="W137" s="6"/>
      <c r="X137" s="6"/>
      <c r="Y137" s="6"/>
      <c r="Z137" s="6"/>
      <c r="AA137" s="6"/>
      <c r="AB137" s="6"/>
      <c r="AC137" s="6"/>
      <c r="AD137" s="6"/>
      <c r="AE137" s="6"/>
      <c r="AF137" s="6"/>
    </row>
    <row r="138">
      <c r="A138" s="10" t="s">
        <v>35</v>
      </c>
      <c r="B138" s="10" t="s">
        <v>543</v>
      </c>
      <c r="C138" s="14" t="s">
        <v>104</v>
      </c>
      <c r="D138" s="10" t="s">
        <v>637</v>
      </c>
      <c r="E138" s="20"/>
      <c r="F138" s="10" t="s">
        <v>322</v>
      </c>
      <c r="G138" s="27" t="s">
        <v>649</v>
      </c>
      <c r="H138" s="10" t="s">
        <v>650</v>
      </c>
      <c r="I138" s="20"/>
      <c r="J138" s="10" t="s">
        <v>343</v>
      </c>
      <c r="K138" s="20"/>
      <c r="L138" s="10" t="s">
        <v>640</v>
      </c>
      <c r="M138" s="10" t="s">
        <v>60</v>
      </c>
      <c r="N138" s="6"/>
      <c r="O138" s="6"/>
      <c r="P138" s="6"/>
      <c r="Q138" s="6"/>
      <c r="R138" s="6"/>
      <c r="S138" s="6"/>
      <c r="T138" s="6"/>
      <c r="U138" s="6"/>
      <c r="V138" s="6"/>
      <c r="W138" s="6"/>
      <c r="X138" s="6"/>
      <c r="Y138" s="6"/>
      <c r="Z138" s="6"/>
      <c r="AA138" s="6"/>
      <c r="AB138" s="6"/>
      <c r="AC138" s="6"/>
      <c r="AD138" s="6"/>
      <c r="AE138" s="6"/>
      <c r="AF138" s="6"/>
    </row>
    <row r="139">
      <c r="A139" s="10" t="s">
        <v>35</v>
      </c>
      <c r="B139" s="10" t="s">
        <v>651</v>
      </c>
      <c r="C139" s="14" t="s">
        <v>99</v>
      </c>
      <c r="D139" s="10" t="s">
        <v>484</v>
      </c>
      <c r="E139" s="10" t="s">
        <v>652</v>
      </c>
      <c r="F139" s="10" t="s">
        <v>322</v>
      </c>
      <c r="G139" s="10" t="s">
        <v>653</v>
      </c>
      <c r="H139" s="10" t="s">
        <v>654</v>
      </c>
      <c r="I139" s="20"/>
      <c r="J139" s="10" t="s">
        <v>343</v>
      </c>
      <c r="K139" s="20"/>
      <c r="L139" s="10" t="s">
        <v>344</v>
      </c>
      <c r="M139" s="10" t="s">
        <v>60</v>
      </c>
      <c r="N139" s="6"/>
      <c r="O139" s="6"/>
      <c r="P139" s="6"/>
      <c r="Q139" s="6"/>
      <c r="R139" s="6"/>
      <c r="S139" s="6"/>
      <c r="T139" s="6"/>
      <c r="U139" s="6"/>
      <c r="V139" s="6"/>
      <c r="W139" s="6"/>
      <c r="X139" s="6"/>
      <c r="Y139" s="6"/>
      <c r="Z139" s="6"/>
      <c r="AA139" s="6"/>
      <c r="AB139" s="6"/>
      <c r="AC139" s="6"/>
      <c r="AD139" s="6"/>
      <c r="AE139" s="6"/>
      <c r="AF139" s="6"/>
    </row>
    <row r="140">
      <c r="A140" s="10" t="s">
        <v>35</v>
      </c>
      <c r="B140" s="10" t="s">
        <v>651</v>
      </c>
      <c r="C140" s="14" t="s">
        <v>99</v>
      </c>
      <c r="D140" s="10" t="s">
        <v>484</v>
      </c>
      <c r="E140" s="10" t="s">
        <v>652</v>
      </c>
      <c r="F140" s="10" t="s">
        <v>322</v>
      </c>
      <c r="G140" s="27" t="s">
        <v>655</v>
      </c>
      <c r="H140" s="10" t="s">
        <v>656</v>
      </c>
      <c r="I140" s="10" t="s">
        <v>657</v>
      </c>
      <c r="J140" s="10" t="s">
        <v>326</v>
      </c>
      <c r="K140" s="10" t="str">
        <f>CONCATENATE(C140," &gt; ",D140," &gt; ",E140," &gt; ",F140)</f>
        <v>Industrial &gt; Industry &gt; Cement &gt; Fuel shift</v>
      </c>
      <c r="L140" s="10" t="str">
        <f>CONCATENATE(C140," &gt; ",D140," &gt; ",E140," &gt; ",F140)</f>
        <v>Industrial &gt; Industry &gt; Cement &gt; Fuel shift</v>
      </c>
      <c r="M140" s="20"/>
      <c r="N140" s="6"/>
      <c r="O140" s="6"/>
      <c r="P140" s="6"/>
      <c r="Q140" s="6"/>
      <c r="R140" s="6"/>
      <c r="S140" s="6"/>
      <c r="T140" s="6"/>
      <c r="U140" s="6"/>
      <c r="V140" s="6"/>
      <c r="W140" s="6"/>
      <c r="X140" s="6"/>
      <c r="Y140" s="6"/>
      <c r="Z140" s="6"/>
      <c r="AA140" s="6"/>
      <c r="AB140" s="6"/>
      <c r="AC140" s="6"/>
      <c r="AD140" s="6"/>
      <c r="AE140" s="6"/>
      <c r="AF140" s="6"/>
    </row>
    <row r="141">
      <c r="A141" s="10" t="s">
        <v>35</v>
      </c>
      <c r="B141" s="10" t="s">
        <v>651</v>
      </c>
      <c r="C141" s="14" t="s">
        <v>99</v>
      </c>
      <c r="D141" s="10" t="s">
        <v>484</v>
      </c>
      <c r="E141" s="10" t="s">
        <v>658</v>
      </c>
      <c r="F141" s="10" t="s">
        <v>322</v>
      </c>
      <c r="G141" s="10" t="s">
        <v>659</v>
      </c>
      <c r="H141" s="10" t="s">
        <v>660</v>
      </c>
      <c r="I141" s="20"/>
      <c r="J141" s="10" t="s">
        <v>343</v>
      </c>
      <c r="K141" s="20"/>
      <c r="L141" s="10" t="s">
        <v>344</v>
      </c>
      <c r="M141" s="10" t="s">
        <v>60</v>
      </c>
      <c r="N141" s="6"/>
      <c r="O141" s="6"/>
      <c r="P141" s="6"/>
      <c r="Q141" s="6"/>
      <c r="R141" s="6"/>
      <c r="S141" s="6"/>
      <c r="T141" s="6"/>
      <c r="U141" s="6"/>
      <c r="V141" s="6"/>
      <c r="W141" s="6"/>
      <c r="X141" s="6"/>
      <c r="Y141" s="6"/>
      <c r="Z141" s="6"/>
      <c r="AA141" s="6"/>
      <c r="AB141" s="6"/>
      <c r="AC141" s="6"/>
      <c r="AD141" s="6"/>
      <c r="AE141" s="6"/>
      <c r="AF141" s="6"/>
    </row>
    <row r="142">
      <c r="A142" s="10" t="s">
        <v>35</v>
      </c>
      <c r="B142" s="10" t="s">
        <v>651</v>
      </c>
      <c r="C142" s="14" t="s">
        <v>99</v>
      </c>
      <c r="D142" s="10" t="s">
        <v>484</v>
      </c>
      <c r="E142" s="10" t="s">
        <v>658</v>
      </c>
      <c r="F142" s="10" t="s">
        <v>322</v>
      </c>
      <c r="G142" s="10" t="s">
        <v>661</v>
      </c>
      <c r="H142" s="10" t="s">
        <v>662</v>
      </c>
      <c r="I142" s="20"/>
      <c r="J142" s="10" t="s">
        <v>343</v>
      </c>
      <c r="K142" s="20"/>
      <c r="L142" s="10" t="s">
        <v>344</v>
      </c>
      <c r="M142" s="10" t="s">
        <v>60</v>
      </c>
      <c r="N142" s="6"/>
      <c r="O142" s="6"/>
      <c r="P142" s="6"/>
      <c r="Q142" s="6"/>
      <c r="R142" s="6"/>
      <c r="S142" s="6"/>
      <c r="T142" s="6"/>
      <c r="U142" s="6"/>
      <c r="V142" s="6"/>
      <c r="W142" s="6"/>
      <c r="X142" s="6"/>
      <c r="Y142" s="6"/>
      <c r="Z142" s="6"/>
      <c r="AA142" s="6"/>
      <c r="AB142" s="6"/>
      <c r="AC142" s="6"/>
      <c r="AD142" s="6"/>
      <c r="AE142" s="6"/>
      <c r="AF142" s="6"/>
    </row>
    <row r="143">
      <c r="A143" s="10" t="s">
        <v>35</v>
      </c>
      <c r="B143" s="10" t="s">
        <v>651</v>
      </c>
      <c r="C143" s="14" t="s">
        <v>99</v>
      </c>
      <c r="D143" s="10" t="s">
        <v>484</v>
      </c>
      <c r="E143" s="10" t="s">
        <v>652</v>
      </c>
      <c r="F143" s="27" t="s">
        <v>663</v>
      </c>
      <c r="G143" s="27" t="s">
        <v>60</v>
      </c>
      <c r="H143" s="10" t="s">
        <v>664</v>
      </c>
      <c r="I143" s="10" t="s">
        <v>60</v>
      </c>
      <c r="J143" s="10" t="s">
        <v>65</v>
      </c>
      <c r="K143" s="10" t="str">
        <f t="shared" ref="K143:K144" si="19">CONCATENATE(C143," &gt; ",D143," &gt; ",E143," &gt; ",F143)</f>
        <v>Industrial &gt; Industry &gt; Cement &gt; Carbon storage</v>
      </c>
      <c r="L143" s="10" t="str">
        <f t="shared" ref="L143:L144" si="20">CONCATENATE(C143," &gt; ",D143," &gt; ",E143," &gt; ",F143)</f>
        <v>Industrial &gt; Industry &gt; Cement &gt; Carbon storage</v>
      </c>
      <c r="M143" s="10" t="s">
        <v>70</v>
      </c>
      <c r="N143" s="6"/>
      <c r="O143" s="6"/>
      <c r="P143" s="6"/>
      <c r="Q143" s="6"/>
      <c r="R143" s="6"/>
      <c r="S143" s="6"/>
      <c r="T143" s="6"/>
      <c r="U143" s="6"/>
      <c r="V143" s="6"/>
      <c r="W143" s="6"/>
      <c r="X143" s="6"/>
      <c r="Y143" s="6"/>
      <c r="Z143" s="6"/>
      <c r="AA143" s="6"/>
      <c r="AB143" s="6"/>
      <c r="AC143" s="6"/>
      <c r="AD143" s="6"/>
      <c r="AE143" s="6"/>
      <c r="AF143" s="6"/>
    </row>
    <row r="144">
      <c r="A144" s="10" t="s">
        <v>35</v>
      </c>
      <c r="B144" s="10" t="s">
        <v>651</v>
      </c>
      <c r="C144" s="14" t="s">
        <v>99</v>
      </c>
      <c r="D144" s="10" t="s">
        <v>484</v>
      </c>
      <c r="E144" s="10" t="s">
        <v>658</v>
      </c>
      <c r="F144" s="10" t="s">
        <v>322</v>
      </c>
      <c r="G144" s="10" t="s">
        <v>665</v>
      </c>
      <c r="H144" s="10" t="s">
        <v>666</v>
      </c>
      <c r="I144" s="20"/>
      <c r="J144" s="10" t="s">
        <v>326</v>
      </c>
      <c r="K144" s="10" t="str">
        <f t="shared" si="19"/>
        <v>Industrial &gt; Industry &gt; Glass &gt; Fuel shift</v>
      </c>
      <c r="L144" s="10" t="str">
        <f t="shared" si="20"/>
        <v>Industrial &gt; Industry &gt; Glass &gt; Fuel shift</v>
      </c>
      <c r="M144" s="20"/>
      <c r="N144" s="6"/>
      <c r="O144" s="6"/>
      <c r="P144" s="6"/>
      <c r="Q144" s="6"/>
      <c r="R144" s="6"/>
      <c r="S144" s="6"/>
      <c r="T144" s="6"/>
      <c r="U144" s="6"/>
      <c r="V144" s="6"/>
      <c r="W144" s="6"/>
      <c r="X144" s="6"/>
      <c r="Y144" s="6"/>
      <c r="Z144" s="6"/>
      <c r="AA144" s="6"/>
      <c r="AB144" s="6"/>
      <c r="AC144" s="6"/>
      <c r="AD144" s="6"/>
      <c r="AE144" s="6"/>
      <c r="AF144" s="6"/>
    </row>
    <row r="145">
      <c r="A145" s="10" t="s">
        <v>35</v>
      </c>
      <c r="B145" s="10" t="s">
        <v>651</v>
      </c>
      <c r="C145" s="14" t="s">
        <v>99</v>
      </c>
      <c r="D145" s="10" t="s">
        <v>484</v>
      </c>
      <c r="E145" s="10" t="s">
        <v>658</v>
      </c>
      <c r="F145" s="10" t="s">
        <v>322</v>
      </c>
      <c r="G145" s="10" t="s">
        <v>667</v>
      </c>
      <c r="H145" s="10" t="s">
        <v>668</v>
      </c>
      <c r="I145" s="20"/>
      <c r="J145" s="10" t="s">
        <v>343</v>
      </c>
      <c r="K145" s="20"/>
      <c r="L145" s="10" t="s">
        <v>640</v>
      </c>
      <c r="M145" s="10" t="s">
        <v>60</v>
      </c>
      <c r="N145" s="6"/>
      <c r="O145" s="6"/>
      <c r="P145" s="6"/>
      <c r="Q145" s="6"/>
      <c r="R145" s="6"/>
      <c r="S145" s="6"/>
      <c r="T145" s="6"/>
      <c r="U145" s="6"/>
      <c r="V145" s="6"/>
      <c r="W145" s="6"/>
      <c r="X145" s="6"/>
      <c r="Y145" s="6"/>
      <c r="Z145" s="6"/>
      <c r="AA145" s="6"/>
      <c r="AB145" s="6"/>
      <c r="AC145" s="6"/>
      <c r="AD145" s="6"/>
      <c r="AE145" s="6"/>
      <c r="AF145" s="6"/>
    </row>
    <row r="146">
      <c r="A146" s="10" t="s">
        <v>35</v>
      </c>
      <c r="B146" s="10" t="s">
        <v>651</v>
      </c>
      <c r="C146" s="14" t="s">
        <v>99</v>
      </c>
      <c r="D146" s="10" t="s">
        <v>484</v>
      </c>
      <c r="E146" s="10" t="s">
        <v>669</v>
      </c>
      <c r="F146" s="10" t="s">
        <v>322</v>
      </c>
      <c r="G146" s="10" t="s">
        <v>670</v>
      </c>
      <c r="H146" s="10" t="s">
        <v>671</v>
      </c>
      <c r="I146" s="20"/>
      <c r="J146" s="10" t="s">
        <v>343</v>
      </c>
      <c r="K146" s="20"/>
      <c r="L146" s="10" t="s">
        <v>672</v>
      </c>
      <c r="M146" s="20"/>
      <c r="N146" s="6"/>
      <c r="O146" s="6"/>
      <c r="P146" s="6"/>
      <c r="Q146" s="6"/>
      <c r="R146" s="6"/>
      <c r="S146" s="6"/>
      <c r="T146" s="6"/>
      <c r="U146" s="6"/>
      <c r="V146" s="6"/>
      <c r="W146" s="6"/>
      <c r="X146" s="6"/>
      <c r="Y146" s="6"/>
      <c r="Z146" s="6"/>
      <c r="AA146" s="6"/>
      <c r="AB146" s="6"/>
      <c r="AC146" s="6"/>
      <c r="AD146" s="6"/>
      <c r="AE146" s="6"/>
      <c r="AF146" s="6"/>
    </row>
    <row r="147">
      <c r="A147" s="10" t="s">
        <v>35</v>
      </c>
      <c r="B147" s="10" t="s">
        <v>651</v>
      </c>
      <c r="C147" s="14" t="s">
        <v>99</v>
      </c>
      <c r="D147" s="18" t="s">
        <v>484</v>
      </c>
      <c r="E147" s="10" t="s">
        <v>673</v>
      </c>
      <c r="F147" s="10" t="s">
        <v>322</v>
      </c>
      <c r="G147" s="10" t="s">
        <v>674</v>
      </c>
      <c r="H147" s="10" t="s">
        <v>675</v>
      </c>
      <c r="I147" s="20"/>
      <c r="J147" s="10" t="s">
        <v>343</v>
      </c>
      <c r="K147" s="20"/>
      <c r="L147" s="10" t="s">
        <v>393</v>
      </c>
      <c r="M147" s="10" t="s">
        <v>60</v>
      </c>
      <c r="N147" s="6"/>
      <c r="O147" s="6"/>
      <c r="P147" s="6"/>
      <c r="Q147" s="6"/>
      <c r="R147" s="6"/>
      <c r="S147" s="6"/>
      <c r="T147" s="6"/>
      <c r="U147" s="6"/>
      <c r="V147" s="6"/>
      <c r="W147" s="6"/>
      <c r="X147" s="6"/>
      <c r="Y147" s="6"/>
      <c r="Z147" s="6"/>
      <c r="AA147" s="6"/>
      <c r="AB147" s="6"/>
      <c r="AC147" s="6"/>
      <c r="AD147" s="6"/>
      <c r="AE147" s="6"/>
      <c r="AF147" s="6"/>
    </row>
    <row r="148">
      <c r="A148" s="10" t="s">
        <v>35</v>
      </c>
      <c r="B148" s="10" t="s">
        <v>651</v>
      </c>
      <c r="C148" s="14" t="s">
        <v>99</v>
      </c>
      <c r="D148" s="18" t="s">
        <v>484</v>
      </c>
      <c r="E148" s="10" t="s">
        <v>673</v>
      </c>
      <c r="F148" s="10" t="s">
        <v>322</v>
      </c>
      <c r="G148" s="10" t="s">
        <v>676</v>
      </c>
      <c r="H148" s="10" t="s">
        <v>677</v>
      </c>
      <c r="I148" s="20"/>
      <c r="J148" s="10" t="s">
        <v>343</v>
      </c>
      <c r="K148" s="20"/>
      <c r="L148" s="10" t="s">
        <v>393</v>
      </c>
      <c r="M148" s="10" t="s">
        <v>60</v>
      </c>
      <c r="N148" s="6"/>
      <c r="O148" s="6"/>
      <c r="P148" s="6"/>
      <c r="Q148" s="6"/>
      <c r="R148" s="6"/>
      <c r="S148" s="6"/>
      <c r="T148" s="6"/>
      <c r="U148" s="6"/>
      <c r="V148" s="6"/>
      <c r="W148" s="6"/>
      <c r="X148" s="6"/>
      <c r="Y148" s="6"/>
      <c r="Z148" s="6"/>
      <c r="AA148" s="6"/>
      <c r="AB148" s="6"/>
      <c r="AC148" s="6"/>
      <c r="AD148" s="6"/>
      <c r="AE148" s="6"/>
      <c r="AF148" s="6"/>
    </row>
    <row r="149">
      <c r="A149" s="10" t="s">
        <v>35</v>
      </c>
      <c r="B149" s="10" t="s">
        <v>651</v>
      </c>
      <c r="C149" s="14" t="s">
        <v>99</v>
      </c>
      <c r="D149" s="10" t="s">
        <v>484</v>
      </c>
      <c r="E149" s="10" t="s">
        <v>673</v>
      </c>
      <c r="F149" s="10" t="s">
        <v>322</v>
      </c>
      <c r="G149" s="10" t="s">
        <v>678</v>
      </c>
      <c r="H149" s="10" t="s">
        <v>679</v>
      </c>
      <c r="I149" s="20"/>
      <c r="J149" s="10" t="s">
        <v>326</v>
      </c>
      <c r="K149" s="10" t="str">
        <f>CONCATENATE(C149," &gt; ",D149," &gt; ",E149," &gt; ",F149)</f>
        <v>Industrial &gt; Industry &gt; Other Chemical &gt; Fuel shift</v>
      </c>
      <c r="L149" s="10" t="str">
        <f>CONCATENATE(C149," &gt; ",D149," &gt; ",E149," &gt; ",F149)</f>
        <v>Industrial &gt; Industry &gt; Other Chemical &gt; Fuel shift</v>
      </c>
      <c r="M149" s="20"/>
      <c r="N149" s="6"/>
      <c r="O149" s="6"/>
      <c r="P149" s="6"/>
      <c r="Q149" s="6"/>
      <c r="R149" s="6"/>
      <c r="S149" s="6"/>
      <c r="T149" s="6"/>
      <c r="U149" s="6"/>
      <c r="V149" s="6"/>
      <c r="W149" s="6"/>
      <c r="X149" s="6"/>
      <c r="Y149" s="6"/>
      <c r="Z149" s="6"/>
      <c r="AA149" s="6"/>
      <c r="AB149" s="6"/>
      <c r="AC149" s="6"/>
      <c r="AD149" s="6"/>
      <c r="AE149" s="6"/>
      <c r="AF149" s="6"/>
    </row>
    <row r="150">
      <c r="A150" s="10" t="s">
        <v>35</v>
      </c>
      <c r="B150" s="10" t="s">
        <v>651</v>
      </c>
      <c r="C150" s="14" t="s">
        <v>99</v>
      </c>
      <c r="D150" s="10" t="s">
        <v>484</v>
      </c>
      <c r="E150" s="10" t="s">
        <v>673</v>
      </c>
      <c r="F150" s="10" t="s">
        <v>322</v>
      </c>
      <c r="G150" s="10" t="s">
        <v>680</v>
      </c>
      <c r="H150" s="10" t="s">
        <v>681</v>
      </c>
      <c r="I150" s="20"/>
      <c r="J150" s="10" t="s">
        <v>343</v>
      </c>
      <c r="K150" s="20"/>
      <c r="L150" s="10" t="s">
        <v>640</v>
      </c>
      <c r="M150" s="10" t="s">
        <v>60</v>
      </c>
      <c r="N150" s="6"/>
      <c r="O150" s="6"/>
      <c r="P150" s="6"/>
      <c r="Q150" s="6"/>
      <c r="R150" s="6"/>
      <c r="S150" s="6"/>
      <c r="T150" s="6"/>
      <c r="U150" s="6"/>
      <c r="V150" s="6"/>
      <c r="W150" s="6"/>
      <c r="X150" s="6"/>
      <c r="Y150" s="6"/>
      <c r="Z150" s="6"/>
      <c r="AA150" s="6"/>
      <c r="AB150" s="6"/>
      <c r="AC150" s="6"/>
      <c r="AD150" s="6"/>
      <c r="AE150" s="6"/>
      <c r="AF150" s="6"/>
    </row>
    <row r="151">
      <c r="A151" s="10" t="s">
        <v>35</v>
      </c>
      <c r="B151" s="10" t="s">
        <v>651</v>
      </c>
      <c r="C151" s="14" t="s">
        <v>99</v>
      </c>
      <c r="D151" s="10" t="s">
        <v>484</v>
      </c>
      <c r="E151" s="10" t="s">
        <v>682</v>
      </c>
      <c r="F151" s="10" t="s">
        <v>322</v>
      </c>
      <c r="G151" s="10" t="s">
        <v>683</v>
      </c>
      <c r="H151" s="10" t="s">
        <v>684</v>
      </c>
      <c r="I151" s="20"/>
      <c r="J151" s="10" t="s">
        <v>343</v>
      </c>
      <c r="K151" s="20"/>
      <c r="L151" s="10" t="s">
        <v>393</v>
      </c>
      <c r="M151" s="10" t="s">
        <v>60</v>
      </c>
      <c r="N151" s="6"/>
      <c r="O151" s="6"/>
      <c r="P151" s="6"/>
      <c r="Q151" s="6"/>
      <c r="R151" s="6"/>
      <c r="S151" s="6"/>
      <c r="T151" s="6"/>
      <c r="U151" s="6"/>
      <c r="V151" s="6"/>
      <c r="W151" s="6"/>
      <c r="X151" s="6"/>
      <c r="Y151" s="6"/>
      <c r="Z151" s="6"/>
      <c r="AA151" s="6"/>
      <c r="AB151" s="6"/>
      <c r="AC151" s="6"/>
      <c r="AD151" s="6"/>
      <c r="AE151" s="6"/>
      <c r="AF151" s="6"/>
    </row>
    <row r="152">
      <c r="A152" s="10" t="s">
        <v>35</v>
      </c>
      <c r="B152" s="10" t="s">
        <v>651</v>
      </c>
      <c r="C152" s="14" t="s">
        <v>99</v>
      </c>
      <c r="D152" s="10" t="s">
        <v>484</v>
      </c>
      <c r="E152" s="10" t="s">
        <v>682</v>
      </c>
      <c r="F152" s="10" t="s">
        <v>322</v>
      </c>
      <c r="G152" s="10" t="s">
        <v>685</v>
      </c>
      <c r="H152" s="10" t="s">
        <v>686</v>
      </c>
      <c r="I152" s="20"/>
      <c r="J152" s="10" t="s">
        <v>343</v>
      </c>
      <c r="K152" s="20"/>
      <c r="L152" s="10" t="s">
        <v>393</v>
      </c>
      <c r="M152" s="10" t="s">
        <v>60</v>
      </c>
      <c r="N152" s="6"/>
      <c r="O152" s="6"/>
      <c r="P152" s="6"/>
      <c r="Q152" s="6"/>
      <c r="R152" s="6"/>
      <c r="S152" s="6"/>
      <c r="T152" s="6"/>
      <c r="U152" s="6"/>
      <c r="V152" s="6"/>
      <c r="W152" s="6"/>
      <c r="X152" s="6"/>
      <c r="Y152" s="6"/>
      <c r="Z152" s="6"/>
      <c r="AA152" s="6"/>
      <c r="AB152" s="6"/>
      <c r="AC152" s="6"/>
      <c r="AD152" s="6"/>
      <c r="AE152" s="6"/>
      <c r="AF152" s="6"/>
    </row>
    <row r="153">
      <c r="A153" s="10" t="s">
        <v>35</v>
      </c>
      <c r="B153" s="10" t="s">
        <v>651</v>
      </c>
      <c r="C153" s="14" t="s">
        <v>99</v>
      </c>
      <c r="D153" s="10" t="s">
        <v>484</v>
      </c>
      <c r="E153" s="10" t="s">
        <v>682</v>
      </c>
      <c r="F153" s="10" t="s">
        <v>322</v>
      </c>
      <c r="G153" s="10" t="s">
        <v>687</v>
      </c>
      <c r="H153" s="10" t="s">
        <v>688</v>
      </c>
      <c r="I153" s="20"/>
      <c r="J153" s="10" t="s">
        <v>326</v>
      </c>
      <c r="K153" s="10" t="str">
        <f t="shared" ref="K153:K154" si="21">CONCATENATE(C153," &gt; ",D153," &gt; ",E153," &gt; ",F153)</f>
        <v>Industrial &gt; Industry &gt; Iron and Steel Production¶ &gt; Fuel shift</v>
      </c>
      <c r="L153" s="10" t="str">
        <f t="shared" ref="L153:L154" si="22">CONCATENATE(C153," &gt; ",D153," &gt; ",E153," &gt; ",F153)</f>
        <v>Industrial &gt; Industry &gt; Iron and Steel Production¶ &gt; Fuel shift</v>
      </c>
      <c r="M153" s="20"/>
      <c r="N153" s="6"/>
      <c r="O153" s="6"/>
      <c r="P153" s="6"/>
      <c r="Q153" s="6"/>
      <c r="R153" s="6"/>
      <c r="S153" s="6"/>
      <c r="T153" s="6"/>
      <c r="U153" s="6"/>
      <c r="V153" s="6"/>
      <c r="W153" s="6"/>
      <c r="X153" s="6"/>
      <c r="Y153" s="6"/>
      <c r="Z153" s="6"/>
      <c r="AA153" s="6"/>
      <c r="AB153" s="6"/>
      <c r="AC153" s="6"/>
      <c r="AD153" s="6"/>
      <c r="AE153" s="6"/>
      <c r="AF153" s="6"/>
    </row>
    <row r="154">
      <c r="A154" s="10" t="s">
        <v>35</v>
      </c>
      <c r="B154" s="10" t="s">
        <v>651</v>
      </c>
      <c r="C154" s="14" t="s">
        <v>99</v>
      </c>
      <c r="D154" s="10" t="s">
        <v>484</v>
      </c>
      <c r="E154" s="10" t="s">
        <v>682</v>
      </c>
      <c r="F154" s="10" t="s">
        <v>322</v>
      </c>
      <c r="G154" s="10" t="s">
        <v>689</v>
      </c>
      <c r="H154" s="10" t="s">
        <v>690</v>
      </c>
      <c r="I154" s="20"/>
      <c r="J154" s="10" t="s">
        <v>326</v>
      </c>
      <c r="K154" s="10" t="str">
        <f t="shared" si="21"/>
        <v>Industrial &gt; Industry &gt; Iron and Steel Production¶ &gt; Fuel shift</v>
      </c>
      <c r="L154" s="10" t="str">
        <f t="shared" si="22"/>
        <v>Industrial &gt; Industry &gt; Iron and Steel Production¶ &gt; Fuel shift</v>
      </c>
      <c r="M154" s="20"/>
      <c r="N154" s="6"/>
      <c r="O154" s="6"/>
      <c r="P154" s="6"/>
      <c r="Q154" s="6"/>
      <c r="R154" s="6"/>
      <c r="S154" s="6"/>
      <c r="T154" s="6"/>
      <c r="U154" s="6"/>
      <c r="V154" s="6"/>
      <c r="W154" s="6"/>
      <c r="X154" s="6"/>
      <c r="Y154" s="6"/>
      <c r="Z154" s="6"/>
      <c r="AA154" s="6"/>
      <c r="AB154" s="6"/>
      <c r="AC154" s="6"/>
      <c r="AD154" s="6"/>
      <c r="AE154" s="6"/>
      <c r="AF154" s="6"/>
    </row>
    <row r="155">
      <c r="A155" s="10" t="s">
        <v>35</v>
      </c>
      <c r="B155" s="10" t="s">
        <v>651</v>
      </c>
      <c r="C155" s="14" t="s">
        <v>99</v>
      </c>
      <c r="D155" s="10" t="s">
        <v>484</v>
      </c>
      <c r="E155" s="10" t="s">
        <v>682</v>
      </c>
      <c r="F155" s="10" t="s">
        <v>322</v>
      </c>
      <c r="G155" s="10" t="s">
        <v>691</v>
      </c>
      <c r="H155" s="10" t="s">
        <v>692</v>
      </c>
      <c r="I155" s="20"/>
      <c r="J155" s="10" t="s">
        <v>343</v>
      </c>
      <c r="K155" s="20"/>
      <c r="L155" s="10" t="s">
        <v>640</v>
      </c>
      <c r="M155" s="10" t="s">
        <v>60</v>
      </c>
      <c r="N155" s="6"/>
      <c r="O155" s="6"/>
      <c r="P155" s="6"/>
      <c r="Q155" s="6"/>
      <c r="R155" s="6"/>
      <c r="S155" s="6"/>
      <c r="T155" s="6"/>
      <c r="U155" s="6"/>
      <c r="V155" s="6"/>
      <c r="W155" s="6"/>
      <c r="X155" s="6"/>
      <c r="Y155" s="6"/>
      <c r="Z155" s="6"/>
      <c r="AA155" s="6"/>
      <c r="AB155" s="6"/>
      <c r="AC155" s="6"/>
      <c r="AD155" s="6"/>
      <c r="AE155" s="6"/>
      <c r="AF155" s="6"/>
    </row>
    <row r="156">
      <c r="A156" s="10" t="s">
        <v>35</v>
      </c>
      <c r="B156" s="10" t="s">
        <v>651</v>
      </c>
      <c r="C156" s="14" t="s">
        <v>99</v>
      </c>
      <c r="D156" s="10" t="s">
        <v>484</v>
      </c>
      <c r="E156" s="10" t="s">
        <v>693</v>
      </c>
      <c r="F156" s="10" t="s">
        <v>322</v>
      </c>
      <c r="G156" s="10" t="s">
        <v>694</v>
      </c>
      <c r="H156" s="10" t="s">
        <v>695</v>
      </c>
      <c r="I156" s="20"/>
      <c r="J156" s="10" t="s">
        <v>343</v>
      </c>
      <c r="K156" s="20"/>
      <c r="L156" s="10" t="s">
        <v>393</v>
      </c>
      <c r="M156" s="20"/>
      <c r="N156" s="6"/>
      <c r="O156" s="6"/>
      <c r="P156" s="6"/>
      <c r="Q156" s="6"/>
      <c r="R156" s="6"/>
      <c r="S156" s="6"/>
      <c r="T156" s="6"/>
      <c r="U156" s="6"/>
      <c r="V156" s="6"/>
      <c r="W156" s="6"/>
      <c r="X156" s="6"/>
      <c r="Y156" s="6"/>
      <c r="Z156" s="6"/>
      <c r="AA156" s="6"/>
      <c r="AB156" s="6"/>
      <c r="AC156" s="6"/>
      <c r="AD156" s="6"/>
      <c r="AE156" s="6"/>
      <c r="AF156" s="6"/>
    </row>
    <row r="157">
      <c r="A157" s="10" t="s">
        <v>35</v>
      </c>
      <c r="B157" s="10" t="s">
        <v>651</v>
      </c>
      <c r="C157" s="14" t="s">
        <v>99</v>
      </c>
      <c r="D157" s="10" t="s">
        <v>484</v>
      </c>
      <c r="E157" s="10" t="s">
        <v>696</v>
      </c>
      <c r="F157" s="10" t="s">
        <v>322</v>
      </c>
      <c r="G157" s="10" t="s">
        <v>697</v>
      </c>
      <c r="H157" s="10" t="s">
        <v>698</v>
      </c>
      <c r="I157" s="20"/>
      <c r="J157" s="10" t="s">
        <v>326</v>
      </c>
      <c r="K157" s="10" t="str">
        <f>CONCATENATE(C157," &gt; ",D157," &gt; ",E157," &gt; ",F157)</f>
        <v>Industrial &gt; Industry &gt; Magnesium Production &gt; Fuel shift</v>
      </c>
      <c r="L157" s="10" t="str">
        <f>CONCATENATE(C157," &gt; ",D157," &gt; ",E157," &gt; ",F157)</f>
        <v>Industrial &gt; Industry &gt; Magnesium Production &gt; Fuel shift</v>
      </c>
      <c r="M157" s="20"/>
      <c r="N157" s="6"/>
      <c r="O157" s="6"/>
      <c r="P157" s="6"/>
      <c r="Q157" s="6"/>
      <c r="R157" s="6"/>
      <c r="S157" s="6"/>
      <c r="T157" s="6"/>
      <c r="U157" s="6"/>
      <c r="V157" s="6"/>
      <c r="W157" s="6"/>
      <c r="X157" s="6"/>
      <c r="Y157" s="6"/>
      <c r="Z157" s="6"/>
      <c r="AA157" s="6"/>
      <c r="AB157" s="6"/>
      <c r="AC157" s="6"/>
      <c r="AD157" s="6"/>
      <c r="AE157" s="6"/>
      <c r="AF157" s="6"/>
    </row>
    <row r="158">
      <c r="A158" s="10" t="s">
        <v>35</v>
      </c>
      <c r="B158" s="10" t="s">
        <v>651</v>
      </c>
      <c r="C158" s="14" t="s">
        <v>99</v>
      </c>
      <c r="D158" s="10" t="s">
        <v>484</v>
      </c>
      <c r="E158" s="10" t="s">
        <v>696</v>
      </c>
      <c r="F158" s="10" t="s">
        <v>322</v>
      </c>
      <c r="G158" s="10" t="s">
        <v>699</v>
      </c>
      <c r="H158" s="10" t="s">
        <v>700</v>
      </c>
      <c r="I158" s="20"/>
      <c r="J158" s="10" t="s">
        <v>343</v>
      </c>
      <c r="K158" s="20"/>
      <c r="L158" s="10" t="s">
        <v>393</v>
      </c>
      <c r="M158" s="10" t="s">
        <v>60</v>
      </c>
      <c r="N158" s="6"/>
      <c r="O158" s="6"/>
      <c r="P158" s="6"/>
      <c r="Q158" s="6"/>
      <c r="R158" s="6"/>
      <c r="S158" s="6"/>
      <c r="T158" s="6"/>
      <c r="U158" s="6"/>
      <c r="V158" s="6"/>
      <c r="W158" s="6"/>
      <c r="X158" s="6"/>
      <c r="Y158" s="6"/>
      <c r="Z158" s="6"/>
      <c r="AA158" s="6"/>
      <c r="AB158" s="6"/>
      <c r="AC158" s="6"/>
      <c r="AD158" s="6"/>
      <c r="AE158" s="6"/>
      <c r="AF158" s="6"/>
    </row>
    <row r="159">
      <c r="A159" s="10" t="s">
        <v>35</v>
      </c>
      <c r="B159" s="10" t="s">
        <v>651</v>
      </c>
      <c r="C159" s="14" t="s">
        <v>99</v>
      </c>
      <c r="D159" s="10" t="s">
        <v>484</v>
      </c>
      <c r="E159" s="10" t="s">
        <v>696</v>
      </c>
      <c r="F159" s="10" t="s">
        <v>322</v>
      </c>
      <c r="G159" s="10" t="s">
        <v>701</v>
      </c>
      <c r="H159" s="10" t="s">
        <v>702</v>
      </c>
      <c r="I159" s="20"/>
      <c r="J159" s="10" t="s">
        <v>343</v>
      </c>
      <c r="K159" s="20"/>
      <c r="L159" s="10" t="s">
        <v>393</v>
      </c>
      <c r="M159" s="10" t="s">
        <v>60</v>
      </c>
      <c r="N159" s="6"/>
      <c r="O159" s="6"/>
      <c r="P159" s="6"/>
      <c r="Q159" s="6"/>
      <c r="R159" s="6"/>
      <c r="S159" s="6"/>
      <c r="T159" s="6"/>
      <c r="U159" s="6"/>
      <c r="V159" s="6"/>
      <c r="W159" s="6"/>
      <c r="X159" s="6"/>
      <c r="Y159" s="6"/>
      <c r="Z159" s="6"/>
      <c r="AA159" s="6"/>
      <c r="AB159" s="6"/>
      <c r="AC159" s="6"/>
      <c r="AD159" s="6"/>
      <c r="AE159" s="6"/>
      <c r="AF159" s="6"/>
    </row>
    <row r="160">
      <c r="A160" s="10" t="s">
        <v>35</v>
      </c>
      <c r="B160" s="10" t="s">
        <v>651</v>
      </c>
      <c r="C160" s="14" t="s">
        <v>99</v>
      </c>
      <c r="D160" s="10" t="s">
        <v>484</v>
      </c>
      <c r="E160" s="10" t="s">
        <v>703</v>
      </c>
      <c r="F160" s="10" t="s">
        <v>322</v>
      </c>
      <c r="G160" s="10" t="s">
        <v>704</v>
      </c>
      <c r="H160" s="10" t="s">
        <v>705</v>
      </c>
      <c r="I160" s="20"/>
      <c r="J160" s="10" t="s">
        <v>343</v>
      </c>
      <c r="K160" s="20"/>
      <c r="L160" s="10" t="s">
        <v>393</v>
      </c>
      <c r="M160" s="10" t="s">
        <v>60</v>
      </c>
      <c r="N160" s="6"/>
      <c r="O160" s="6"/>
      <c r="P160" s="6"/>
      <c r="Q160" s="6"/>
      <c r="R160" s="6"/>
      <c r="S160" s="6"/>
      <c r="T160" s="6"/>
      <c r="U160" s="6"/>
      <c r="V160" s="6"/>
      <c r="W160" s="6"/>
      <c r="X160" s="6"/>
      <c r="Y160" s="6"/>
      <c r="Z160" s="6"/>
      <c r="AA160" s="6"/>
      <c r="AB160" s="6"/>
      <c r="AC160" s="6"/>
      <c r="AD160" s="6"/>
      <c r="AE160" s="6"/>
      <c r="AF160" s="6"/>
    </row>
    <row r="161">
      <c r="A161" s="10" t="s">
        <v>35</v>
      </c>
      <c r="B161" s="10" t="s">
        <v>651</v>
      </c>
      <c r="C161" s="14" t="s">
        <v>99</v>
      </c>
      <c r="D161" s="10" t="s">
        <v>484</v>
      </c>
      <c r="E161" s="46" t="s">
        <v>703</v>
      </c>
      <c r="F161" s="10" t="s">
        <v>322</v>
      </c>
      <c r="G161" s="10" t="s">
        <v>706</v>
      </c>
      <c r="H161" s="10" t="s">
        <v>707</v>
      </c>
      <c r="I161" s="20"/>
      <c r="J161" s="10" t="s">
        <v>343</v>
      </c>
      <c r="K161" s="20"/>
      <c r="L161" s="10" t="s">
        <v>393</v>
      </c>
      <c r="M161" s="10" t="s">
        <v>60</v>
      </c>
      <c r="N161" s="6"/>
      <c r="O161" s="6"/>
      <c r="P161" s="6"/>
      <c r="Q161" s="6"/>
      <c r="R161" s="6"/>
      <c r="S161" s="6"/>
      <c r="T161" s="6"/>
      <c r="U161" s="6"/>
      <c r="V161" s="6"/>
      <c r="W161" s="6"/>
      <c r="X161" s="6"/>
      <c r="Y161" s="6"/>
      <c r="Z161" s="6"/>
      <c r="AA161" s="6"/>
      <c r="AB161" s="6"/>
      <c r="AC161" s="6"/>
      <c r="AD161" s="6"/>
      <c r="AE161" s="6"/>
      <c r="AF161" s="6"/>
    </row>
    <row r="162">
      <c r="A162" s="10" t="s">
        <v>35</v>
      </c>
      <c r="B162" s="10" t="s">
        <v>651</v>
      </c>
      <c r="C162" s="14" t="s">
        <v>99</v>
      </c>
      <c r="D162" s="10" t="s">
        <v>484</v>
      </c>
      <c r="E162" s="46" t="s">
        <v>703</v>
      </c>
      <c r="F162" s="10" t="s">
        <v>322</v>
      </c>
      <c r="G162" s="10" t="s">
        <v>708</v>
      </c>
      <c r="H162" s="10" t="s">
        <v>709</v>
      </c>
      <c r="I162" s="20"/>
      <c r="J162" s="10" t="s">
        <v>326</v>
      </c>
      <c r="K162" s="10" t="str">
        <f>CONCATENATE(C162," &gt; ",D162," &gt; ",E162," &gt; ",F162)</f>
        <v>Industrial &gt; Industry &gt; Lead Production &gt; Fuel shift</v>
      </c>
      <c r="L162" s="10" t="str">
        <f>CONCATENATE(C162," &gt; ",D162," &gt; ",E162," &gt; ",F162)</f>
        <v>Industrial &gt; Industry &gt; Lead Production &gt; Fuel shift</v>
      </c>
      <c r="M162" s="20"/>
      <c r="N162" s="6"/>
      <c r="O162" s="6"/>
      <c r="P162" s="6"/>
      <c r="Q162" s="6"/>
      <c r="R162" s="6"/>
      <c r="S162" s="6"/>
      <c r="T162" s="6"/>
      <c r="U162" s="6"/>
      <c r="V162" s="6"/>
      <c r="W162" s="6"/>
      <c r="X162" s="6"/>
      <c r="Y162" s="6"/>
      <c r="Z162" s="6"/>
      <c r="AA162" s="6"/>
      <c r="AB162" s="6"/>
      <c r="AC162" s="6"/>
      <c r="AD162" s="6"/>
      <c r="AE162" s="6"/>
      <c r="AF162" s="6"/>
    </row>
    <row r="163">
      <c r="A163" s="10" t="s">
        <v>35</v>
      </c>
      <c r="B163" s="10" t="s">
        <v>651</v>
      </c>
      <c r="C163" s="14" t="s">
        <v>99</v>
      </c>
      <c r="D163" s="10" t="s">
        <v>484</v>
      </c>
      <c r="E163" s="10" t="s">
        <v>710</v>
      </c>
      <c r="F163" s="10" t="s">
        <v>322</v>
      </c>
      <c r="G163" s="27" t="s">
        <v>711</v>
      </c>
      <c r="H163" s="10" t="s">
        <v>712</v>
      </c>
      <c r="I163" s="20"/>
      <c r="J163" s="10" t="s">
        <v>343</v>
      </c>
      <c r="K163" s="20"/>
      <c r="L163" s="10" t="s">
        <v>393</v>
      </c>
      <c r="M163" s="10" t="s">
        <v>60</v>
      </c>
      <c r="N163" s="6"/>
      <c r="O163" s="6"/>
      <c r="P163" s="6"/>
      <c r="Q163" s="6"/>
      <c r="R163" s="6"/>
      <c r="S163" s="6"/>
      <c r="T163" s="6"/>
      <c r="U163" s="6"/>
      <c r="V163" s="6"/>
      <c r="W163" s="6"/>
      <c r="X163" s="6"/>
      <c r="Y163" s="6"/>
      <c r="Z163" s="6"/>
      <c r="AA163" s="6"/>
      <c r="AB163" s="6"/>
      <c r="AC163" s="6"/>
      <c r="AD163" s="6"/>
      <c r="AE163" s="6"/>
      <c r="AF163" s="6"/>
    </row>
    <row r="164">
      <c r="A164" s="10" t="s">
        <v>35</v>
      </c>
      <c r="B164" s="10" t="s">
        <v>651</v>
      </c>
      <c r="C164" s="14" t="s">
        <v>99</v>
      </c>
      <c r="D164" s="10" t="s">
        <v>484</v>
      </c>
      <c r="E164" s="10" t="s">
        <v>710</v>
      </c>
      <c r="F164" s="10" t="s">
        <v>322</v>
      </c>
      <c r="G164" s="10" t="s">
        <v>713</v>
      </c>
      <c r="H164" s="10" t="s">
        <v>714</v>
      </c>
      <c r="I164" s="20"/>
      <c r="J164" s="10" t="s">
        <v>343</v>
      </c>
      <c r="K164" s="20"/>
      <c r="L164" s="10" t="s">
        <v>393</v>
      </c>
      <c r="M164" s="10" t="s">
        <v>60</v>
      </c>
      <c r="N164" s="6"/>
      <c r="O164" s="6"/>
      <c r="P164" s="6"/>
      <c r="Q164" s="6"/>
      <c r="R164" s="6"/>
      <c r="S164" s="6"/>
      <c r="T164" s="6"/>
      <c r="U164" s="6"/>
      <c r="V164" s="6"/>
      <c r="W164" s="6"/>
      <c r="X164" s="6"/>
      <c r="Y164" s="6"/>
      <c r="Z164" s="6"/>
      <c r="AA164" s="6"/>
      <c r="AB164" s="6"/>
      <c r="AC164" s="6"/>
      <c r="AD164" s="6"/>
      <c r="AE164" s="6"/>
      <c r="AF164" s="6"/>
    </row>
    <row r="165">
      <c r="A165" s="10" t="s">
        <v>35</v>
      </c>
      <c r="B165" s="10" t="s">
        <v>651</v>
      </c>
      <c r="C165" s="14" t="s">
        <v>99</v>
      </c>
      <c r="D165" s="10" t="s">
        <v>484</v>
      </c>
      <c r="E165" s="10" t="s">
        <v>710</v>
      </c>
      <c r="F165" s="10" t="s">
        <v>322</v>
      </c>
      <c r="G165" s="10" t="s">
        <v>715</v>
      </c>
      <c r="H165" s="10" t="s">
        <v>716</v>
      </c>
      <c r="I165" s="20"/>
      <c r="J165" s="10" t="s">
        <v>326</v>
      </c>
      <c r="K165" s="10" t="str">
        <f>CONCATENATE(C165," &gt; ",D165," &gt; ",E165," &gt; ",F165)</f>
        <v>Industrial &gt; Industry &gt; Pulp, Paper and Print &gt; Fuel shift</v>
      </c>
      <c r="L165" s="10" t="str">
        <f>CONCATENATE(C165," &gt; ",D165," &gt; ",E165," &gt; ",F165)</f>
        <v>Industrial &gt; Industry &gt; Pulp, Paper and Print &gt; Fuel shift</v>
      </c>
      <c r="M165" s="20"/>
      <c r="N165" s="6"/>
      <c r="O165" s="6"/>
      <c r="P165" s="6"/>
      <c r="Q165" s="6"/>
      <c r="R165" s="6"/>
      <c r="S165" s="6"/>
      <c r="T165" s="6"/>
      <c r="U165" s="6"/>
      <c r="V165" s="6"/>
      <c r="W165" s="6"/>
      <c r="X165" s="6"/>
      <c r="Y165" s="6"/>
      <c r="Z165" s="6"/>
      <c r="AA165" s="6"/>
      <c r="AB165" s="6"/>
      <c r="AC165" s="6"/>
      <c r="AD165" s="6"/>
      <c r="AE165" s="6"/>
      <c r="AF165" s="6"/>
    </row>
    <row r="166">
      <c r="A166" s="10" t="s">
        <v>35</v>
      </c>
      <c r="B166" s="10" t="s">
        <v>651</v>
      </c>
      <c r="C166" s="14" t="s">
        <v>99</v>
      </c>
      <c r="D166" s="10" t="s">
        <v>484</v>
      </c>
      <c r="E166" s="10" t="s">
        <v>710</v>
      </c>
      <c r="F166" s="10" t="s">
        <v>322</v>
      </c>
      <c r="G166" s="10" t="s">
        <v>717</v>
      </c>
      <c r="H166" s="10" t="s">
        <v>718</v>
      </c>
      <c r="I166" s="20"/>
      <c r="J166" s="10" t="s">
        <v>343</v>
      </c>
      <c r="K166" s="20"/>
      <c r="L166" s="10" t="s">
        <v>640</v>
      </c>
      <c r="M166" s="10" t="s">
        <v>60</v>
      </c>
      <c r="N166" s="6"/>
      <c r="O166" s="6"/>
      <c r="P166" s="6"/>
      <c r="Q166" s="6"/>
      <c r="R166" s="6"/>
      <c r="S166" s="6"/>
      <c r="T166" s="6"/>
      <c r="U166" s="6"/>
      <c r="V166" s="6"/>
      <c r="W166" s="6"/>
      <c r="X166" s="6"/>
      <c r="Y166" s="6"/>
      <c r="Z166" s="6"/>
      <c r="AA166" s="6"/>
      <c r="AB166" s="6"/>
      <c r="AC166" s="6"/>
      <c r="AD166" s="6"/>
      <c r="AE166" s="6"/>
      <c r="AF166" s="6"/>
    </row>
    <row r="167">
      <c r="A167" s="10" t="s">
        <v>35</v>
      </c>
      <c r="B167" s="10" t="s">
        <v>651</v>
      </c>
      <c r="C167" s="14" t="s">
        <v>99</v>
      </c>
      <c r="D167" s="10" t="s">
        <v>484</v>
      </c>
      <c r="E167" s="10" t="s">
        <v>719</v>
      </c>
      <c r="F167" s="10" t="s">
        <v>322</v>
      </c>
      <c r="G167" s="27" t="s">
        <v>720</v>
      </c>
      <c r="H167" s="10" t="s">
        <v>721</v>
      </c>
      <c r="I167" s="10" t="s">
        <v>722</v>
      </c>
      <c r="J167" s="10" t="s">
        <v>343</v>
      </c>
      <c r="K167" s="20"/>
      <c r="L167" s="10" t="s">
        <v>344</v>
      </c>
      <c r="M167" s="10" t="s">
        <v>60</v>
      </c>
      <c r="N167" s="6"/>
      <c r="O167" s="6"/>
      <c r="P167" s="6"/>
      <c r="Q167" s="6"/>
      <c r="R167" s="6"/>
      <c r="S167" s="6"/>
      <c r="T167" s="6"/>
      <c r="U167" s="6"/>
      <c r="V167" s="6"/>
      <c r="W167" s="6"/>
      <c r="X167" s="6"/>
      <c r="Y167" s="6"/>
      <c r="Z167" s="6"/>
      <c r="AA167" s="6"/>
      <c r="AB167" s="6"/>
      <c r="AC167" s="6"/>
      <c r="AD167" s="6"/>
      <c r="AE167" s="6"/>
      <c r="AF167" s="6"/>
    </row>
    <row r="168">
      <c r="A168" s="10" t="s">
        <v>35</v>
      </c>
      <c r="B168" s="10" t="s">
        <v>651</v>
      </c>
      <c r="C168" s="14" t="s">
        <v>99</v>
      </c>
      <c r="D168" s="10" t="s">
        <v>484</v>
      </c>
      <c r="E168" s="10" t="s">
        <v>719</v>
      </c>
      <c r="F168" s="27" t="s">
        <v>322</v>
      </c>
      <c r="G168" s="27" t="s">
        <v>723</v>
      </c>
      <c r="H168" s="10" t="s">
        <v>724</v>
      </c>
      <c r="I168" s="20"/>
      <c r="J168" s="10" t="s">
        <v>326</v>
      </c>
      <c r="K168" s="10" t="str">
        <f>CONCATENATE(C168," &gt; ",D168," &gt; ",E168," &gt; ",F168)</f>
        <v>Industrial &gt; Industry &gt; Mobile Machinery &gt; Fuel shift</v>
      </c>
      <c r="L168" s="10" t="str">
        <f>CONCATENATE(C168," &gt; ",D168," &gt; ",E168," &gt; ",F168)</f>
        <v>Industrial &gt; Industry &gt; Mobile Machinery &gt; Fuel shift</v>
      </c>
      <c r="M168" s="20"/>
      <c r="N168" s="6"/>
      <c r="O168" s="6"/>
      <c r="P168" s="6"/>
      <c r="Q168" s="6"/>
      <c r="R168" s="6"/>
      <c r="S168" s="6"/>
      <c r="T168" s="6"/>
      <c r="U168" s="6"/>
      <c r="V168" s="6"/>
      <c r="W168" s="6"/>
      <c r="X168" s="6"/>
      <c r="Y168" s="6"/>
      <c r="Z168" s="6"/>
      <c r="AA168" s="6"/>
      <c r="AB168" s="6"/>
      <c r="AC168" s="6"/>
      <c r="AD168" s="6"/>
      <c r="AE168" s="6"/>
      <c r="AF168" s="6"/>
    </row>
    <row r="169">
      <c r="A169" s="10" t="s">
        <v>35</v>
      </c>
      <c r="B169" s="10" t="s">
        <v>651</v>
      </c>
      <c r="C169" s="14" t="s">
        <v>99</v>
      </c>
      <c r="D169" s="10" t="s">
        <v>484</v>
      </c>
      <c r="E169" s="10" t="s">
        <v>719</v>
      </c>
      <c r="F169" s="10" t="s">
        <v>348</v>
      </c>
      <c r="G169" s="10" t="s">
        <v>725</v>
      </c>
      <c r="H169" s="10" t="s">
        <v>726</v>
      </c>
      <c r="I169" s="10" t="s">
        <v>727</v>
      </c>
      <c r="J169" s="10" t="s">
        <v>343</v>
      </c>
      <c r="K169" s="20"/>
      <c r="L169" s="10" t="s">
        <v>672</v>
      </c>
      <c r="M169" s="20"/>
      <c r="N169" s="6"/>
      <c r="O169" s="6"/>
      <c r="P169" s="6"/>
      <c r="Q169" s="6"/>
      <c r="R169" s="6"/>
      <c r="S169" s="6"/>
      <c r="T169" s="6"/>
      <c r="U169" s="6"/>
      <c r="V169" s="6"/>
      <c r="W169" s="6"/>
      <c r="X169" s="6"/>
      <c r="Y169" s="6"/>
      <c r="Z169" s="6"/>
      <c r="AA169" s="6"/>
      <c r="AB169" s="6"/>
      <c r="AC169" s="6"/>
      <c r="AD169" s="6"/>
      <c r="AE169" s="6"/>
      <c r="AF169" s="6"/>
    </row>
    <row r="170">
      <c r="A170" s="10" t="s">
        <v>35</v>
      </c>
      <c r="B170" s="10" t="s">
        <v>651</v>
      </c>
      <c r="C170" s="14" t="s">
        <v>99</v>
      </c>
      <c r="D170" s="10" t="s">
        <v>484</v>
      </c>
      <c r="E170" s="10" t="s">
        <v>728</v>
      </c>
      <c r="F170" s="10" t="s">
        <v>322</v>
      </c>
      <c r="G170" s="10" t="s">
        <v>729</v>
      </c>
      <c r="H170" s="10" t="s">
        <v>730</v>
      </c>
      <c r="I170" s="20"/>
      <c r="J170" s="10" t="s">
        <v>343</v>
      </c>
      <c r="K170" s="20"/>
      <c r="L170" s="10" t="s">
        <v>393</v>
      </c>
      <c r="M170" s="10" t="s">
        <v>60</v>
      </c>
      <c r="N170" s="6"/>
      <c r="O170" s="6"/>
      <c r="P170" s="6"/>
      <c r="Q170" s="6"/>
      <c r="R170" s="6"/>
      <c r="S170" s="6"/>
      <c r="T170" s="6"/>
      <c r="U170" s="6"/>
      <c r="V170" s="6"/>
      <c r="W170" s="6"/>
      <c r="X170" s="6"/>
      <c r="Y170" s="6"/>
      <c r="Z170" s="6"/>
      <c r="AA170" s="6"/>
      <c r="AB170" s="6"/>
      <c r="AC170" s="6"/>
      <c r="AD170" s="6"/>
      <c r="AE170" s="6"/>
      <c r="AF170" s="6"/>
    </row>
    <row r="171">
      <c r="A171" s="10" t="s">
        <v>35</v>
      </c>
      <c r="B171" s="10" t="s">
        <v>651</v>
      </c>
      <c r="C171" s="14" t="s">
        <v>99</v>
      </c>
      <c r="D171" s="10" t="s">
        <v>484</v>
      </c>
      <c r="E171" s="10" t="s">
        <v>728</v>
      </c>
      <c r="F171" s="10" t="s">
        <v>322</v>
      </c>
      <c r="G171" s="10" t="s">
        <v>731</v>
      </c>
      <c r="H171" s="10" t="s">
        <v>732</v>
      </c>
      <c r="I171" s="20"/>
      <c r="J171" s="10" t="s">
        <v>343</v>
      </c>
      <c r="K171" s="20"/>
      <c r="L171" s="10" t="s">
        <v>393</v>
      </c>
      <c r="M171" s="10" t="s">
        <v>60</v>
      </c>
      <c r="N171" s="6"/>
      <c r="O171" s="6"/>
      <c r="P171" s="6"/>
      <c r="Q171" s="6"/>
      <c r="R171" s="6"/>
      <c r="S171" s="6"/>
      <c r="T171" s="6"/>
      <c r="U171" s="6"/>
      <c r="V171" s="6"/>
      <c r="W171" s="6"/>
      <c r="X171" s="6"/>
      <c r="Y171" s="6"/>
      <c r="Z171" s="6"/>
      <c r="AA171" s="6"/>
      <c r="AB171" s="6"/>
      <c r="AC171" s="6"/>
      <c r="AD171" s="6"/>
      <c r="AE171" s="6"/>
      <c r="AF171" s="6"/>
    </row>
    <row r="172">
      <c r="A172" s="10" t="s">
        <v>35</v>
      </c>
      <c r="B172" s="10" t="s">
        <v>651</v>
      </c>
      <c r="C172" s="14" t="s">
        <v>99</v>
      </c>
      <c r="D172" s="10" t="s">
        <v>484</v>
      </c>
      <c r="E172" s="10" t="s">
        <v>728</v>
      </c>
      <c r="F172" s="10" t="s">
        <v>322</v>
      </c>
      <c r="G172" s="10" t="s">
        <v>733</v>
      </c>
      <c r="H172" s="10" t="s">
        <v>734</v>
      </c>
      <c r="I172" s="20"/>
      <c r="J172" s="10" t="s">
        <v>326</v>
      </c>
      <c r="K172" s="10" t="str">
        <f t="shared" ref="K172:K175" si="23">CONCATENATE(C172," &gt; ",D172," &gt; ",E172," &gt; ",F172)</f>
        <v>Industrial &gt; Industry &gt; Other industries &gt; Fuel shift</v>
      </c>
      <c r="L172" s="10" t="str">
        <f t="shared" ref="L172:L175" si="24">CONCATENATE(C172," &gt; ",D172," &gt; ",E172," &gt; ",F172)</f>
        <v>Industrial &gt; Industry &gt; Other industries &gt; Fuel shift</v>
      </c>
      <c r="M172" s="20"/>
      <c r="N172" s="6"/>
      <c r="O172" s="6"/>
      <c r="P172" s="6"/>
      <c r="Q172" s="6"/>
      <c r="R172" s="6"/>
      <c r="S172" s="6"/>
      <c r="T172" s="6"/>
      <c r="U172" s="6"/>
      <c r="V172" s="6"/>
      <c r="W172" s="6"/>
      <c r="X172" s="6"/>
      <c r="Y172" s="6"/>
      <c r="Z172" s="6"/>
      <c r="AA172" s="6"/>
      <c r="AB172" s="6"/>
      <c r="AC172" s="6"/>
      <c r="AD172" s="6"/>
      <c r="AE172" s="6"/>
      <c r="AF172" s="6"/>
    </row>
    <row r="173">
      <c r="A173" s="10" t="s">
        <v>35</v>
      </c>
      <c r="B173" s="10" t="s">
        <v>651</v>
      </c>
      <c r="C173" s="14" t="s">
        <v>99</v>
      </c>
      <c r="D173" s="10" t="s">
        <v>484</v>
      </c>
      <c r="E173" s="20"/>
      <c r="F173" s="10" t="s">
        <v>59</v>
      </c>
      <c r="G173" s="10" t="s">
        <v>60</v>
      </c>
      <c r="H173" s="10" t="s">
        <v>735</v>
      </c>
      <c r="I173" s="10" t="s">
        <v>60</v>
      </c>
      <c r="J173" s="10" t="s">
        <v>65</v>
      </c>
      <c r="K173" s="10" t="str">
        <f t="shared" si="23"/>
        <v>Industrial &gt; Industry &gt;  &gt; Activity shift</v>
      </c>
      <c r="L173" s="10" t="str">
        <f t="shared" si="24"/>
        <v>Industrial &gt; Industry &gt;  &gt; Activity shift</v>
      </c>
      <c r="M173" s="20"/>
      <c r="N173" s="6"/>
      <c r="O173" s="6"/>
      <c r="P173" s="6"/>
      <c r="Q173" s="6"/>
      <c r="R173" s="6"/>
      <c r="S173" s="6"/>
      <c r="T173" s="6"/>
      <c r="U173" s="6"/>
      <c r="V173" s="6"/>
      <c r="W173" s="6"/>
      <c r="X173" s="6"/>
      <c r="Y173" s="6"/>
      <c r="Z173" s="6"/>
      <c r="AA173" s="6"/>
      <c r="AB173" s="6"/>
      <c r="AC173" s="6"/>
      <c r="AD173" s="6"/>
      <c r="AE173" s="6"/>
      <c r="AF173" s="6"/>
    </row>
    <row r="174">
      <c r="A174" s="10" t="s">
        <v>35</v>
      </c>
      <c r="B174" s="10" t="s">
        <v>651</v>
      </c>
      <c r="C174" s="14" t="s">
        <v>99</v>
      </c>
      <c r="D174" s="10" t="s">
        <v>484</v>
      </c>
      <c r="E174" s="20"/>
      <c r="F174" s="10" t="s">
        <v>332</v>
      </c>
      <c r="G174" s="10" t="s">
        <v>60</v>
      </c>
      <c r="H174" s="10" t="s">
        <v>736</v>
      </c>
      <c r="I174" s="10" t="s">
        <v>60</v>
      </c>
      <c r="J174" s="10" t="s">
        <v>65</v>
      </c>
      <c r="K174" s="10" t="str">
        <f t="shared" si="23"/>
        <v>Industrial &gt; Industry &gt;  &gt; Technology shift</v>
      </c>
      <c r="L174" s="10" t="str">
        <f t="shared" si="24"/>
        <v>Industrial &gt; Industry &gt;  &gt; Technology shift</v>
      </c>
      <c r="M174" s="20"/>
      <c r="N174" s="6"/>
      <c r="O174" s="6"/>
      <c r="P174" s="6"/>
      <c r="Q174" s="6"/>
      <c r="R174" s="6"/>
      <c r="S174" s="6"/>
      <c r="T174" s="6"/>
      <c r="U174" s="6"/>
      <c r="V174" s="6"/>
      <c r="W174" s="6"/>
      <c r="X174" s="6"/>
      <c r="Y174" s="6"/>
      <c r="Z174" s="6"/>
      <c r="AA174" s="6"/>
      <c r="AB174" s="6"/>
      <c r="AC174" s="6"/>
      <c r="AD174" s="6"/>
      <c r="AE174" s="6"/>
      <c r="AF174" s="6"/>
    </row>
    <row r="175">
      <c r="A175" s="10" t="s">
        <v>35</v>
      </c>
      <c r="B175" s="10" t="s">
        <v>28</v>
      </c>
      <c r="C175" s="14" t="s">
        <v>109</v>
      </c>
      <c r="D175" s="10" t="s">
        <v>737</v>
      </c>
      <c r="E175" s="10" t="s">
        <v>738</v>
      </c>
      <c r="F175" s="10" t="s">
        <v>322</v>
      </c>
      <c r="G175" s="10" t="s">
        <v>739</v>
      </c>
      <c r="H175" s="43" t="s">
        <v>740</v>
      </c>
      <c r="I175" s="47" t="s">
        <v>741</v>
      </c>
      <c r="J175" s="10" t="s">
        <v>326</v>
      </c>
      <c r="K175" s="10" t="str">
        <f t="shared" si="23"/>
        <v>Road &gt; Private vehicle &gt; Car &gt; Fuel shift</v>
      </c>
      <c r="L175" s="10" t="str">
        <f t="shared" si="24"/>
        <v>Road &gt; Private vehicle &gt; Car &gt; Fuel shift</v>
      </c>
      <c r="M175" s="10" t="s">
        <v>742</v>
      </c>
      <c r="N175" s="6"/>
      <c r="O175" s="6"/>
      <c r="P175" s="6"/>
      <c r="Q175" s="6"/>
      <c r="R175" s="6"/>
      <c r="S175" s="6"/>
      <c r="T175" s="6"/>
      <c r="U175" s="6"/>
      <c r="V175" s="6"/>
      <c r="W175" s="6"/>
      <c r="X175" s="6"/>
      <c r="Y175" s="6"/>
      <c r="Z175" s="6"/>
      <c r="AA175" s="6"/>
      <c r="AB175" s="6"/>
      <c r="AC175" s="6"/>
      <c r="AD175" s="6"/>
      <c r="AE175" s="6"/>
      <c r="AF175" s="6"/>
    </row>
    <row r="176">
      <c r="A176" s="10" t="s">
        <v>35</v>
      </c>
      <c r="B176" s="10" t="s">
        <v>28</v>
      </c>
      <c r="C176" s="14" t="s">
        <v>109</v>
      </c>
      <c r="D176" s="10" t="s">
        <v>737</v>
      </c>
      <c r="E176" s="10" t="s">
        <v>738</v>
      </c>
      <c r="F176" s="10" t="s">
        <v>322</v>
      </c>
      <c r="G176" s="27" t="s">
        <v>743</v>
      </c>
      <c r="H176" s="43" t="s">
        <v>744</v>
      </c>
      <c r="I176" s="47" t="s">
        <v>745</v>
      </c>
      <c r="J176" s="10" t="s">
        <v>343</v>
      </c>
      <c r="K176" s="20"/>
      <c r="L176" s="10" t="s">
        <v>640</v>
      </c>
      <c r="M176" s="10" t="s">
        <v>60</v>
      </c>
      <c r="N176" s="6"/>
      <c r="O176" s="6"/>
      <c r="P176" s="6"/>
      <c r="Q176" s="6"/>
      <c r="R176" s="6"/>
      <c r="S176" s="6"/>
      <c r="T176" s="6"/>
      <c r="U176" s="6"/>
      <c r="V176" s="6"/>
      <c r="W176" s="6"/>
      <c r="X176" s="6"/>
      <c r="Y176" s="6"/>
      <c r="Z176" s="6"/>
      <c r="AA176" s="6"/>
      <c r="AB176" s="6"/>
      <c r="AC176" s="6"/>
      <c r="AD176" s="6"/>
      <c r="AE176" s="6"/>
      <c r="AF176" s="6"/>
    </row>
    <row r="177">
      <c r="A177" s="10" t="s">
        <v>35</v>
      </c>
      <c r="B177" s="10" t="s">
        <v>28</v>
      </c>
      <c r="C177" s="14" t="s">
        <v>109</v>
      </c>
      <c r="D177" s="10" t="s">
        <v>737</v>
      </c>
      <c r="E177" s="10" t="s">
        <v>738</v>
      </c>
      <c r="F177" s="10" t="s">
        <v>348</v>
      </c>
      <c r="G177" s="10" t="s">
        <v>746</v>
      </c>
      <c r="H177" s="43" t="s">
        <v>747</v>
      </c>
      <c r="I177" s="47" t="s">
        <v>748</v>
      </c>
      <c r="J177" s="10" t="s">
        <v>343</v>
      </c>
      <c r="K177" s="20"/>
      <c r="L177" s="10" t="s">
        <v>749</v>
      </c>
      <c r="M177" s="10" t="s">
        <v>60</v>
      </c>
      <c r="N177" s="6"/>
      <c r="O177" s="6"/>
      <c r="P177" s="6"/>
      <c r="Q177" s="6"/>
      <c r="R177" s="6"/>
      <c r="S177" s="6"/>
      <c r="T177" s="6"/>
      <c r="U177" s="6"/>
      <c r="V177" s="6"/>
      <c r="W177" s="6"/>
      <c r="X177" s="6"/>
      <c r="Y177" s="6"/>
      <c r="Z177" s="6"/>
      <c r="AA177" s="6"/>
      <c r="AB177" s="6"/>
      <c r="AC177" s="6"/>
      <c r="AD177" s="6"/>
      <c r="AE177" s="6"/>
      <c r="AF177" s="6"/>
    </row>
    <row r="178">
      <c r="A178" s="10" t="s">
        <v>35</v>
      </c>
      <c r="B178" s="10" t="s">
        <v>28</v>
      </c>
      <c r="C178" s="14" t="s">
        <v>109</v>
      </c>
      <c r="D178" s="10" t="s">
        <v>737</v>
      </c>
      <c r="E178" s="10" t="s">
        <v>738</v>
      </c>
      <c r="F178" s="10" t="s">
        <v>332</v>
      </c>
      <c r="G178" s="10" t="s">
        <v>750</v>
      </c>
      <c r="H178" s="43" t="s">
        <v>751</v>
      </c>
      <c r="I178" s="47" t="s">
        <v>752</v>
      </c>
      <c r="J178" s="10" t="s">
        <v>326</v>
      </c>
      <c r="K178" s="10" t="str">
        <f>CONCATENATE(C178," &gt; ",D178," &gt; ",E178," &gt; ",F178)</f>
        <v>Road &gt; Private vehicle &gt; Car &gt; Technology shift</v>
      </c>
      <c r="L178" s="10" t="str">
        <f>CONCATENATE(C178," &gt; ",D178," &gt; ",E178," &gt; ",F178)</f>
        <v>Road &gt; Private vehicle &gt; Car &gt; Technology shift</v>
      </c>
      <c r="M178" s="10" t="s">
        <v>742</v>
      </c>
      <c r="N178" s="6"/>
      <c r="O178" s="6"/>
      <c r="P178" s="6"/>
      <c r="Q178" s="6"/>
      <c r="R178" s="6"/>
      <c r="S178" s="6"/>
      <c r="T178" s="6"/>
      <c r="U178" s="6"/>
      <c r="V178" s="6"/>
      <c r="W178" s="6"/>
      <c r="X178" s="6"/>
      <c r="Y178" s="6"/>
      <c r="Z178" s="6"/>
      <c r="AA178" s="6"/>
      <c r="AB178" s="6"/>
      <c r="AC178" s="6"/>
      <c r="AD178" s="6"/>
      <c r="AE178" s="6"/>
      <c r="AF178" s="6"/>
    </row>
    <row r="179">
      <c r="A179" s="10" t="s">
        <v>35</v>
      </c>
      <c r="B179" s="10" t="s">
        <v>28</v>
      </c>
      <c r="C179" s="14" t="s">
        <v>109</v>
      </c>
      <c r="D179" s="10" t="s">
        <v>737</v>
      </c>
      <c r="E179" s="10" t="s">
        <v>738</v>
      </c>
      <c r="F179" s="10" t="s">
        <v>348</v>
      </c>
      <c r="G179" s="10" t="s">
        <v>753</v>
      </c>
      <c r="H179" s="43" t="s">
        <v>754</v>
      </c>
      <c r="I179" s="47" t="s">
        <v>755</v>
      </c>
      <c r="J179" s="10" t="s">
        <v>343</v>
      </c>
      <c r="K179" s="20"/>
      <c r="L179" s="10" t="s">
        <v>756</v>
      </c>
      <c r="M179" s="10" t="s">
        <v>60</v>
      </c>
      <c r="N179" s="6"/>
      <c r="O179" s="6"/>
      <c r="P179" s="6"/>
      <c r="Q179" s="6"/>
      <c r="R179" s="6"/>
      <c r="S179" s="6"/>
      <c r="T179" s="6"/>
      <c r="U179" s="6"/>
      <c r="V179" s="6"/>
      <c r="W179" s="6"/>
      <c r="X179" s="6"/>
      <c r="Y179" s="6"/>
      <c r="Z179" s="6"/>
      <c r="AA179" s="6"/>
      <c r="AB179" s="6"/>
      <c r="AC179" s="6"/>
      <c r="AD179" s="6"/>
      <c r="AE179" s="6"/>
      <c r="AF179" s="6"/>
    </row>
    <row r="180">
      <c r="A180" s="10" t="s">
        <v>35</v>
      </c>
      <c r="B180" s="10" t="s">
        <v>28</v>
      </c>
      <c r="C180" s="14" t="s">
        <v>109</v>
      </c>
      <c r="D180" s="10" t="s">
        <v>737</v>
      </c>
      <c r="E180" s="10" t="s">
        <v>738</v>
      </c>
      <c r="F180" s="10" t="s">
        <v>757</v>
      </c>
      <c r="G180" s="10" t="s">
        <v>758</v>
      </c>
      <c r="H180" s="43" t="s">
        <v>759</v>
      </c>
      <c r="I180" s="47" t="s">
        <v>760</v>
      </c>
      <c r="J180" s="10" t="s">
        <v>326</v>
      </c>
      <c r="K180" s="10" t="str">
        <f>CONCATENATE(C180," &gt; ",D180," &gt; ",E180," &gt; ",F180)</f>
        <v>Road &gt; Private vehicle &gt; Car &gt; Mode shift</v>
      </c>
      <c r="L180" s="10" t="str">
        <f>CONCATENATE(C180," &gt; ",D180," &gt; ",E180," &gt; ",F180)</f>
        <v>Road &gt; Private vehicle &gt; Car &gt; Mode shift</v>
      </c>
      <c r="M180" s="10" t="s">
        <v>742</v>
      </c>
      <c r="N180" s="6"/>
      <c r="O180" s="6"/>
      <c r="P180" s="6"/>
      <c r="Q180" s="6"/>
      <c r="R180" s="6"/>
      <c r="S180" s="6"/>
      <c r="T180" s="6"/>
      <c r="U180" s="6"/>
      <c r="V180" s="6"/>
      <c r="W180" s="6"/>
      <c r="X180" s="6"/>
      <c r="Y180" s="6"/>
      <c r="Z180" s="6"/>
      <c r="AA180" s="6"/>
      <c r="AB180" s="6"/>
      <c r="AC180" s="6"/>
      <c r="AD180" s="6"/>
      <c r="AE180" s="6"/>
      <c r="AF180" s="6"/>
    </row>
    <row r="181">
      <c r="A181" s="10" t="s">
        <v>35</v>
      </c>
      <c r="B181" s="10" t="s">
        <v>28</v>
      </c>
      <c r="C181" s="14" t="s">
        <v>109</v>
      </c>
      <c r="D181" s="10" t="s">
        <v>737</v>
      </c>
      <c r="E181" s="10" t="s">
        <v>738</v>
      </c>
      <c r="F181" s="10" t="s">
        <v>348</v>
      </c>
      <c r="G181" s="10" t="s">
        <v>761</v>
      </c>
      <c r="H181" s="43" t="s">
        <v>762</v>
      </c>
      <c r="I181" s="47" t="s">
        <v>763</v>
      </c>
      <c r="J181" s="10" t="s">
        <v>343</v>
      </c>
      <c r="K181" s="20"/>
      <c r="L181" s="10" t="s">
        <v>756</v>
      </c>
      <c r="M181" s="10" t="s">
        <v>60</v>
      </c>
      <c r="N181" s="6"/>
      <c r="O181" s="6"/>
      <c r="P181" s="6"/>
      <c r="Q181" s="6"/>
      <c r="R181" s="6"/>
      <c r="S181" s="6"/>
      <c r="T181" s="6"/>
      <c r="U181" s="6"/>
      <c r="V181" s="6"/>
      <c r="W181" s="6"/>
      <c r="X181" s="6"/>
      <c r="Y181" s="6"/>
      <c r="Z181" s="6"/>
      <c r="AA181" s="6"/>
      <c r="AB181" s="6"/>
      <c r="AC181" s="6"/>
      <c r="AD181" s="6"/>
      <c r="AE181" s="6"/>
      <c r="AF181" s="6"/>
    </row>
    <row r="182">
      <c r="A182" s="10" t="s">
        <v>35</v>
      </c>
      <c r="B182" s="10" t="s">
        <v>28</v>
      </c>
      <c r="C182" s="14" t="s">
        <v>109</v>
      </c>
      <c r="D182" s="10" t="s">
        <v>737</v>
      </c>
      <c r="E182" s="10" t="s">
        <v>738</v>
      </c>
      <c r="F182" s="10" t="s">
        <v>348</v>
      </c>
      <c r="G182" s="10" t="s">
        <v>764</v>
      </c>
      <c r="H182" s="43" t="s">
        <v>765</v>
      </c>
      <c r="I182" s="47" t="s">
        <v>766</v>
      </c>
      <c r="J182" s="10" t="s">
        <v>343</v>
      </c>
      <c r="K182" s="20"/>
      <c r="L182" s="10" t="s">
        <v>756</v>
      </c>
      <c r="M182" s="10" t="s">
        <v>60</v>
      </c>
      <c r="N182" s="6"/>
      <c r="O182" s="6"/>
      <c r="P182" s="6"/>
      <c r="Q182" s="6"/>
      <c r="R182" s="6"/>
      <c r="S182" s="6"/>
      <c r="T182" s="6"/>
      <c r="U182" s="6"/>
      <c r="V182" s="6"/>
      <c r="W182" s="6"/>
      <c r="X182" s="6"/>
      <c r="Y182" s="6"/>
      <c r="Z182" s="6"/>
      <c r="AA182" s="6"/>
      <c r="AB182" s="6"/>
      <c r="AC182" s="6"/>
      <c r="AD182" s="6"/>
      <c r="AE182" s="6"/>
      <c r="AF182" s="6"/>
    </row>
    <row r="183">
      <c r="A183" s="10" t="s">
        <v>35</v>
      </c>
      <c r="B183" s="10" t="s">
        <v>28</v>
      </c>
      <c r="C183" s="14" t="s">
        <v>109</v>
      </c>
      <c r="D183" s="10" t="s">
        <v>737</v>
      </c>
      <c r="E183" s="10" t="s">
        <v>738</v>
      </c>
      <c r="F183" s="10" t="s">
        <v>322</v>
      </c>
      <c r="G183" s="10" t="s">
        <v>767</v>
      </c>
      <c r="H183" s="43" t="s">
        <v>768</v>
      </c>
      <c r="I183" s="47" t="s">
        <v>769</v>
      </c>
      <c r="J183" s="10" t="s">
        <v>343</v>
      </c>
      <c r="K183" s="20"/>
      <c r="L183" s="10" t="s">
        <v>344</v>
      </c>
      <c r="M183" s="10" t="s">
        <v>60</v>
      </c>
      <c r="N183" s="6"/>
      <c r="O183" s="6"/>
      <c r="P183" s="6"/>
      <c r="Q183" s="6"/>
      <c r="R183" s="6"/>
      <c r="S183" s="6"/>
      <c r="T183" s="6"/>
      <c r="U183" s="6"/>
      <c r="V183" s="6"/>
      <c r="W183" s="6"/>
      <c r="X183" s="6"/>
      <c r="Y183" s="6"/>
      <c r="Z183" s="6"/>
      <c r="AA183" s="6"/>
      <c r="AB183" s="6"/>
      <c r="AC183" s="6"/>
      <c r="AD183" s="6"/>
      <c r="AE183" s="6"/>
      <c r="AF183" s="6"/>
    </row>
    <row r="184">
      <c r="A184" s="10" t="s">
        <v>35</v>
      </c>
      <c r="B184" s="10" t="s">
        <v>28</v>
      </c>
      <c r="C184" s="14" t="s">
        <v>109</v>
      </c>
      <c r="D184" s="10" t="s">
        <v>737</v>
      </c>
      <c r="E184" s="10" t="s">
        <v>738</v>
      </c>
      <c r="F184" s="10" t="s">
        <v>757</v>
      </c>
      <c r="G184" s="10" t="s">
        <v>770</v>
      </c>
      <c r="H184" s="43" t="s">
        <v>771</v>
      </c>
      <c r="I184" s="47" t="s">
        <v>772</v>
      </c>
      <c r="J184" s="10" t="s">
        <v>326</v>
      </c>
      <c r="K184" s="10" t="str">
        <f t="shared" ref="K184:K193" si="25">CONCATENATE(C184," &gt; ",D184," &gt; ",E184," &gt; ",F184)</f>
        <v>Road &gt; Private vehicle &gt; Car &gt; Mode shift</v>
      </c>
      <c r="L184" s="10" t="str">
        <f t="shared" ref="L184:L193" si="26">CONCATENATE(C184," &gt; ",D184," &gt; ",E184," &gt; ",F184)</f>
        <v>Road &gt; Private vehicle &gt; Car &gt; Mode shift</v>
      </c>
      <c r="M184" s="10" t="s">
        <v>742</v>
      </c>
      <c r="N184" s="6"/>
      <c r="O184" s="6"/>
      <c r="P184" s="6"/>
      <c r="Q184" s="6"/>
      <c r="R184" s="6"/>
      <c r="S184" s="6"/>
      <c r="T184" s="6"/>
      <c r="U184" s="6"/>
      <c r="V184" s="6"/>
      <c r="W184" s="6"/>
      <c r="X184" s="6"/>
      <c r="Y184" s="6"/>
      <c r="Z184" s="6"/>
      <c r="AA184" s="6"/>
      <c r="AB184" s="6"/>
      <c r="AC184" s="6"/>
      <c r="AD184" s="6"/>
      <c r="AE184" s="6"/>
      <c r="AF184" s="6"/>
    </row>
    <row r="185">
      <c r="A185" s="10" t="s">
        <v>35</v>
      </c>
      <c r="B185" s="10" t="s">
        <v>28</v>
      </c>
      <c r="C185" s="14" t="s">
        <v>109</v>
      </c>
      <c r="D185" s="10" t="s">
        <v>737</v>
      </c>
      <c r="E185" s="10" t="s">
        <v>738</v>
      </c>
      <c r="F185" s="10" t="s">
        <v>757</v>
      </c>
      <c r="G185" s="10" t="s">
        <v>773</v>
      </c>
      <c r="H185" s="43" t="s">
        <v>774</v>
      </c>
      <c r="I185" s="47" t="s">
        <v>775</v>
      </c>
      <c r="J185" s="10" t="s">
        <v>326</v>
      </c>
      <c r="K185" s="10" t="str">
        <f t="shared" si="25"/>
        <v>Road &gt; Private vehicle &gt; Car &gt; Mode shift</v>
      </c>
      <c r="L185" s="10" t="str">
        <f t="shared" si="26"/>
        <v>Road &gt; Private vehicle &gt; Car &gt; Mode shift</v>
      </c>
      <c r="M185" s="10" t="s">
        <v>742</v>
      </c>
      <c r="N185" s="6"/>
      <c r="O185" s="6"/>
      <c r="P185" s="6"/>
      <c r="Q185" s="6"/>
      <c r="R185" s="6"/>
      <c r="S185" s="6"/>
      <c r="T185" s="6"/>
      <c r="U185" s="6"/>
      <c r="V185" s="6"/>
      <c r="W185" s="6"/>
      <c r="X185" s="6"/>
      <c r="Y185" s="6"/>
      <c r="Z185" s="6"/>
      <c r="AA185" s="6"/>
      <c r="AB185" s="6"/>
      <c r="AC185" s="6"/>
      <c r="AD185" s="6"/>
      <c r="AE185" s="6"/>
      <c r="AF185" s="6"/>
    </row>
    <row r="186">
      <c r="A186" s="10" t="s">
        <v>35</v>
      </c>
      <c r="B186" s="10" t="s">
        <v>28</v>
      </c>
      <c r="C186" s="14" t="s">
        <v>109</v>
      </c>
      <c r="D186" s="10" t="s">
        <v>737</v>
      </c>
      <c r="E186" s="10" t="s">
        <v>738</v>
      </c>
      <c r="F186" s="10" t="s">
        <v>757</v>
      </c>
      <c r="G186" s="10" t="s">
        <v>776</v>
      </c>
      <c r="H186" s="43" t="s">
        <v>777</v>
      </c>
      <c r="I186" s="47" t="s">
        <v>778</v>
      </c>
      <c r="J186" s="10" t="s">
        <v>326</v>
      </c>
      <c r="K186" s="10" t="str">
        <f t="shared" si="25"/>
        <v>Road &gt; Private vehicle &gt; Car &gt; Mode shift</v>
      </c>
      <c r="L186" s="10" t="str">
        <f t="shared" si="26"/>
        <v>Road &gt; Private vehicle &gt; Car &gt; Mode shift</v>
      </c>
      <c r="M186" s="10" t="s">
        <v>742</v>
      </c>
      <c r="N186" s="6"/>
      <c r="O186" s="6"/>
      <c r="P186" s="6"/>
      <c r="Q186" s="6"/>
      <c r="R186" s="6"/>
      <c r="S186" s="6"/>
      <c r="T186" s="6"/>
      <c r="U186" s="6"/>
      <c r="V186" s="6"/>
      <c r="W186" s="6"/>
      <c r="X186" s="6"/>
      <c r="Y186" s="6"/>
      <c r="Z186" s="6"/>
      <c r="AA186" s="6"/>
      <c r="AB186" s="6"/>
      <c r="AC186" s="6"/>
      <c r="AD186" s="6"/>
      <c r="AE186" s="6"/>
      <c r="AF186" s="6"/>
    </row>
    <row r="187">
      <c r="A187" s="10" t="s">
        <v>35</v>
      </c>
      <c r="B187" s="10" t="s">
        <v>28</v>
      </c>
      <c r="C187" s="14" t="s">
        <v>109</v>
      </c>
      <c r="D187" s="10" t="s">
        <v>737</v>
      </c>
      <c r="E187" s="10" t="s">
        <v>738</v>
      </c>
      <c r="F187" s="10" t="s">
        <v>757</v>
      </c>
      <c r="G187" s="10" t="s">
        <v>779</v>
      </c>
      <c r="H187" s="43" t="s">
        <v>780</v>
      </c>
      <c r="I187" s="47" t="s">
        <v>781</v>
      </c>
      <c r="J187" s="10" t="s">
        <v>326</v>
      </c>
      <c r="K187" s="10" t="str">
        <f t="shared" si="25"/>
        <v>Road &gt; Private vehicle &gt; Car &gt; Mode shift</v>
      </c>
      <c r="L187" s="10" t="str">
        <f t="shared" si="26"/>
        <v>Road &gt; Private vehicle &gt; Car &gt; Mode shift</v>
      </c>
      <c r="M187" s="10" t="s">
        <v>742</v>
      </c>
      <c r="N187" s="6"/>
      <c r="O187" s="6"/>
      <c r="P187" s="6"/>
      <c r="Q187" s="6"/>
      <c r="R187" s="6"/>
      <c r="S187" s="6"/>
      <c r="T187" s="6"/>
      <c r="U187" s="6"/>
      <c r="V187" s="6"/>
      <c r="W187" s="6"/>
      <c r="X187" s="6"/>
      <c r="Y187" s="6"/>
      <c r="Z187" s="6"/>
      <c r="AA187" s="6"/>
      <c r="AB187" s="6"/>
      <c r="AC187" s="6"/>
      <c r="AD187" s="6"/>
      <c r="AE187" s="6"/>
      <c r="AF187" s="6"/>
    </row>
    <row r="188">
      <c r="A188" s="10" t="s">
        <v>35</v>
      </c>
      <c r="B188" s="10" t="s">
        <v>28</v>
      </c>
      <c r="C188" s="14" t="s">
        <v>109</v>
      </c>
      <c r="D188" s="10" t="s">
        <v>737</v>
      </c>
      <c r="E188" s="10" t="s">
        <v>738</v>
      </c>
      <c r="F188" s="10" t="s">
        <v>757</v>
      </c>
      <c r="G188" s="10" t="s">
        <v>782</v>
      </c>
      <c r="H188" s="43" t="s">
        <v>783</v>
      </c>
      <c r="I188" s="47" t="s">
        <v>784</v>
      </c>
      <c r="J188" s="10" t="s">
        <v>326</v>
      </c>
      <c r="K188" s="10" t="str">
        <f t="shared" si="25"/>
        <v>Road &gt; Private vehicle &gt; Car &gt; Mode shift</v>
      </c>
      <c r="L188" s="10" t="str">
        <f t="shared" si="26"/>
        <v>Road &gt; Private vehicle &gt; Car &gt; Mode shift</v>
      </c>
      <c r="M188" s="10" t="s">
        <v>742</v>
      </c>
      <c r="N188" s="6"/>
      <c r="O188" s="6"/>
      <c r="P188" s="6"/>
      <c r="Q188" s="6"/>
      <c r="R188" s="6"/>
      <c r="S188" s="6"/>
      <c r="T188" s="6"/>
      <c r="U188" s="6"/>
      <c r="V188" s="6"/>
      <c r="W188" s="6"/>
      <c r="X188" s="6"/>
      <c r="Y188" s="6"/>
      <c r="Z188" s="6"/>
      <c r="AA188" s="6"/>
      <c r="AB188" s="6"/>
      <c r="AC188" s="6"/>
      <c r="AD188" s="6"/>
      <c r="AE188" s="6"/>
      <c r="AF188" s="6"/>
    </row>
    <row r="189">
      <c r="A189" s="10" t="s">
        <v>35</v>
      </c>
      <c r="B189" s="10" t="s">
        <v>28</v>
      </c>
      <c r="C189" s="14" t="s">
        <v>109</v>
      </c>
      <c r="D189" s="10" t="s">
        <v>737</v>
      </c>
      <c r="E189" s="10" t="s">
        <v>738</v>
      </c>
      <c r="F189" s="10" t="s">
        <v>757</v>
      </c>
      <c r="G189" s="27" t="s">
        <v>785</v>
      </c>
      <c r="H189" s="43" t="s">
        <v>786</v>
      </c>
      <c r="I189" s="47" t="s">
        <v>787</v>
      </c>
      <c r="J189" s="10" t="s">
        <v>326</v>
      </c>
      <c r="K189" s="10" t="str">
        <f t="shared" si="25"/>
        <v>Road &gt; Private vehicle &gt; Car &gt; Mode shift</v>
      </c>
      <c r="L189" s="10" t="str">
        <f t="shared" si="26"/>
        <v>Road &gt; Private vehicle &gt; Car &gt; Mode shift</v>
      </c>
      <c r="M189" s="10" t="s">
        <v>742</v>
      </c>
      <c r="N189" s="6"/>
      <c r="O189" s="6"/>
      <c r="P189" s="6"/>
      <c r="Q189" s="6"/>
      <c r="R189" s="6"/>
      <c r="S189" s="6"/>
      <c r="T189" s="6"/>
      <c r="U189" s="6"/>
      <c r="V189" s="6"/>
      <c r="W189" s="6"/>
      <c r="X189" s="6"/>
      <c r="Y189" s="6"/>
      <c r="Z189" s="6"/>
      <c r="AA189" s="6"/>
      <c r="AB189" s="6"/>
      <c r="AC189" s="6"/>
      <c r="AD189" s="6"/>
      <c r="AE189" s="6"/>
      <c r="AF189" s="6"/>
    </row>
    <row r="190">
      <c r="A190" s="10" t="s">
        <v>35</v>
      </c>
      <c r="B190" s="10" t="s">
        <v>28</v>
      </c>
      <c r="C190" s="14" t="s">
        <v>109</v>
      </c>
      <c r="D190" s="10" t="s">
        <v>737</v>
      </c>
      <c r="E190" s="10" t="s">
        <v>738</v>
      </c>
      <c r="F190" s="10" t="s">
        <v>757</v>
      </c>
      <c r="G190" s="10" t="s">
        <v>788</v>
      </c>
      <c r="H190" s="43" t="s">
        <v>789</v>
      </c>
      <c r="I190" s="47" t="s">
        <v>790</v>
      </c>
      <c r="J190" s="10" t="s">
        <v>326</v>
      </c>
      <c r="K190" s="10" t="str">
        <f t="shared" si="25"/>
        <v>Road &gt; Private vehicle &gt; Car &gt; Mode shift</v>
      </c>
      <c r="L190" s="10" t="str">
        <f t="shared" si="26"/>
        <v>Road &gt; Private vehicle &gt; Car &gt; Mode shift</v>
      </c>
      <c r="M190" s="10" t="s">
        <v>742</v>
      </c>
      <c r="N190" s="6"/>
      <c r="O190" s="6"/>
      <c r="P190" s="6"/>
      <c r="Q190" s="6"/>
      <c r="R190" s="6"/>
      <c r="S190" s="6"/>
      <c r="T190" s="6"/>
      <c r="U190" s="6"/>
      <c r="V190" s="6"/>
      <c r="W190" s="6"/>
      <c r="X190" s="6"/>
      <c r="Y190" s="6"/>
      <c r="Z190" s="6"/>
      <c r="AA190" s="6"/>
      <c r="AB190" s="6"/>
      <c r="AC190" s="6"/>
      <c r="AD190" s="6"/>
      <c r="AE190" s="6"/>
      <c r="AF190" s="6"/>
    </row>
    <row r="191">
      <c r="A191" s="10" t="s">
        <v>35</v>
      </c>
      <c r="B191" s="10" t="s">
        <v>28</v>
      </c>
      <c r="C191" s="14" t="s">
        <v>109</v>
      </c>
      <c r="D191" s="10" t="s">
        <v>737</v>
      </c>
      <c r="E191" s="10" t="s">
        <v>738</v>
      </c>
      <c r="F191" s="10" t="s">
        <v>757</v>
      </c>
      <c r="G191" s="10" t="s">
        <v>791</v>
      </c>
      <c r="H191" s="43" t="s">
        <v>792</v>
      </c>
      <c r="I191" s="47" t="s">
        <v>793</v>
      </c>
      <c r="J191" s="10" t="s">
        <v>326</v>
      </c>
      <c r="K191" s="10" t="str">
        <f t="shared" si="25"/>
        <v>Road &gt; Private vehicle &gt; Car &gt; Mode shift</v>
      </c>
      <c r="L191" s="10" t="str">
        <f t="shared" si="26"/>
        <v>Road &gt; Private vehicle &gt; Car &gt; Mode shift</v>
      </c>
      <c r="M191" s="10" t="s">
        <v>742</v>
      </c>
      <c r="N191" s="6"/>
      <c r="O191" s="6"/>
      <c r="P191" s="6"/>
      <c r="Q191" s="6"/>
      <c r="R191" s="6"/>
      <c r="S191" s="6"/>
      <c r="T191" s="6"/>
      <c r="U191" s="6"/>
      <c r="V191" s="6"/>
      <c r="W191" s="6"/>
      <c r="X191" s="6"/>
      <c r="Y191" s="6"/>
      <c r="Z191" s="6"/>
      <c r="AA191" s="6"/>
      <c r="AB191" s="6"/>
      <c r="AC191" s="6"/>
      <c r="AD191" s="6"/>
      <c r="AE191" s="6"/>
      <c r="AF191" s="6"/>
    </row>
    <row r="192">
      <c r="A192" s="10" t="s">
        <v>35</v>
      </c>
      <c r="B192" s="10" t="s">
        <v>28</v>
      </c>
      <c r="C192" s="14" t="s">
        <v>109</v>
      </c>
      <c r="D192" s="10" t="s">
        <v>737</v>
      </c>
      <c r="E192" s="10" t="s">
        <v>738</v>
      </c>
      <c r="F192" s="10" t="s">
        <v>757</v>
      </c>
      <c r="G192" s="10" t="s">
        <v>794</v>
      </c>
      <c r="H192" s="43" t="s">
        <v>795</v>
      </c>
      <c r="I192" s="47" t="s">
        <v>796</v>
      </c>
      <c r="J192" s="10" t="s">
        <v>326</v>
      </c>
      <c r="K192" s="10" t="str">
        <f t="shared" si="25"/>
        <v>Road &gt; Private vehicle &gt; Car &gt; Mode shift</v>
      </c>
      <c r="L192" s="10" t="str">
        <f t="shared" si="26"/>
        <v>Road &gt; Private vehicle &gt; Car &gt; Mode shift</v>
      </c>
      <c r="M192" s="10" t="s">
        <v>742</v>
      </c>
      <c r="N192" s="6"/>
      <c r="O192" s="6"/>
      <c r="P192" s="6"/>
      <c r="Q192" s="6"/>
      <c r="R192" s="6"/>
      <c r="S192" s="6"/>
      <c r="T192" s="6"/>
      <c r="U192" s="6"/>
      <c r="V192" s="6"/>
      <c r="W192" s="6"/>
      <c r="X192" s="6"/>
      <c r="Y192" s="6"/>
      <c r="Z192" s="6"/>
      <c r="AA192" s="6"/>
      <c r="AB192" s="6"/>
      <c r="AC192" s="6"/>
      <c r="AD192" s="6"/>
      <c r="AE192" s="6"/>
      <c r="AF192" s="6"/>
    </row>
    <row r="193">
      <c r="A193" s="10" t="s">
        <v>35</v>
      </c>
      <c r="B193" s="10" t="s">
        <v>28</v>
      </c>
      <c r="C193" s="14" t="s">
        <v>109</v>
      </c>
      <c r="D193" s="10" t="s">
        <v>737</v>
      </c>
      <c r="E193" s="10" t="s">
        <v>738</v>
      </c>
      <c r="F193" s="10" t="s">
        <v>322</v>
      </c>
      <c r="G193" s="10" t="s">
        <v>797</v>
      </c>
      <c r="H193" s="43" t="s">
        <v>798</v>
      </c>
      <c r="I193" s="47" t="s">
        <v>799</v>
      </c>
      <c r="J193" s="10" t="s">
        <v>326</v>
      </c>
      <c r="K193" s="10" t="str">
        <f t="shared" si="25"/>
        <v>Road &gt; Private vehicle &gt; Car &gt; Fuel shift</v>
      </c>
      <c r="L193" s="10" t="str">
        <f t="shared" si="26"/>
        <v>Road &gt; Private vehicle &gt; Car &gt; Fuel shift</v>
      </c>
      <c r="M193" s="10" t="s">
        <v>742</v>
      </c>
      <c r="N193" s="6"/>
      <c r="O193" s="6"/>
      <c r="P193" s="6"/>
      <c r="Q193" s="6"/>
      <c r="R193" s="6"/>
      <c r="S193" s="6"/>
      <c r="T193" s="6"/>
      <c r="U193" s="6"/>
      <c r="V193" s="6"/>
      <c r="W193" s="6"/>
      <c r="X193" s="6"/>
      <c r="Y193" s="6"/>
      <c r="Z193" s="6"/>
      <c r="AA193" s="6"/>
      <c r="AB193" s="6"/>
      <c r="AC193" s="6"/>
      <c r="AD193" s="6"/>
      <c r="AE193" s="6"/>
      <c r="AF193" s="6"/>
    </row>
    <row r="194">
      <c r="A194" s="10" t="s">
        <v>35</v>
      </c>
      <c r="B194" s="10" t="s">
        <v>28</v>
      </c>
      <c r="C194" s="14" t="s">
        <v>109</v>
      </c>
      <c r="D194" s="10" t="s">
        <v>737</v>
      </c>
      <c r="E194" s="10" t="s">
        <v>738</v>
      </c>
      <c r="F194" s="10" t="s">
        <v>322</v>
      </c>
      <c r="G194" s="10" t="s">
        <v>800</v>
      </c>
      <c r="H194" s="43" t="s">
        <v>801</v>
      </c>
      <c r="I194" s="47" t="s">
        <v>802</v>
      </c>
      <c r="J194" s="10" t="s">
        <v>343</v>
      </c>
      <c r="K194" s="20"/>
      <c r="L194" s="10" t="s">
        <v>344</v>
      </c>
      <c r="M194" s="10" t="s">
        <v>60</v>
      </c>
      <c r="N194" s="6"/>
      <c r="O194" s="6"/>
      <c r="P194" s="6"/>
      <c r="Q194" s="6"/>
      <c r="R194" s="6"/>
      <c r="S194" s="6"/>
      <c r="T194" s="6"/>
      <c r="U194" s="6"/>
      <c r="V194" s="6"/>
      <c r="W194" s="6"/>
      <c r="X194" s="6"/>
      <c r="Y194" s="6"/>
      <c r="Z194" s="6"/>
      <c r="AA194" s="6"/>
      <c r="AB194" s="6"/>
      <c r="AC194" s="6"/>
      <c r="AD194" s="6"/>
      <c r="AE194" s="6"/>
      <c r="AF194" s="6"/>
    </row>
    <row r="195">
      <c r="A195" s="10" t="s">
        <v>35</v>
      </c>
      <c r="B195" s="10" t="s">
        <v>28</v>
      </c>
      <c r="C195" s="14" t="s">
        <v>109</v>
      </c>
      <c r="D195" s="10" t="s">
        <v>737</v>
      </c>
      <c r="E195" s="10" t="s">
        <v>738</v>
      </c>
      <c r="F195" s="10" t="s">
        <v>322</v>
      </c>
      <c r="G195" s="10" t="s">
        <v>803</v>
      </c>
      <c r="H195" s="43" t="s">
        <v>804</v>
      </c>
      <c r="I195" s="47" t="s">
        <v>805</v>
      </c>
      <c r="J195" s="10" t="s">
        <v>343</v>
      </c>
      <c r="K195" s="20"/>
      <c r="L195" s="10" t="s">
        <v>344</v>
      </c>
      <c r="M195" s="10" t="s">
        <v>60</v>
      </c>
      <c r="N195" s="6"/>
      <c r="O195" s="6"/>
      <c r="P195" s="6"/>
      <c r="Q195" s="6"/>
      <c r="R195" s="6"/>
      <c r="S195" s="6"/>
      <c r="T195" s="6"/>
      <c r="U195" s="6"/>
      <c r="V195" s="6"/>
      <c r="W195" s="6"/>
      <c r="X195" s="6"/>
      <c r="Y195" s="6"/>
      <c r="Z195" s="6"/>
      <c r="AA195" s="6"/>
      <c r="AB195" s="6"/>
      <c r="AC195" s="6"/>
      <c r="AD195" s="6"/>
      <c r="AE195" s="6"/>
      <c r="AF195" s="6"/>
    </row>
    <row r="196">
      <c r="A196" s="10" t="s">
        <v>35</v>
      </c>
      <c r="B196" s="10" t="s">
        <v>28</v>
      </c>
      <c r="C196" s="14" t="s">
        <v>109</v>
      </c>
      <c r="D196" s="10" t="s">
        <v>737</v>
      </c>
      <c r="E196" s="10" t="s">
        <v>806</v>
      </c>
      <c r="F196" s="10" t="s">
        <v>322</v>
      </c>
      <c r="G196" s="10" t="s">
        <v>807</v>
      </c>
      <c r="H196" s="43" t="s">
        <v>808</v>
      </c>
      <c r="I196" s="47" t="s">
        <v>769</v>
      </c>
      <c r="J196" s="10" t="s">
        <v>343</v>
      </c>
      <c r="K196" s="20"/>
      <c r="L196" s="10" t="s">
        <v>344</v>
      </c>
      <c r="M196" s="10" t="s">
        <v>60</v>
      </c>
      <c r="N196" s="6"/>
      <c r="O196" s="6"/>
      <c r="P196" s="6"/>
      <c r="Q196" s="6"/>
      <c r="R196" s="6"/>
      <c r="S196" s="6"/>
      <c r="T196" s="6"/>
      <c r="U196" s="6"/>
      <c r="V196" s="6"/>
      <c r="W196" s="6"/>
      <c r="X196" s="6"/>
      <c r="Y196" s="6"/>
      <c r="Z196" s="6"/>
      <c r="AA196" s="6"/>
      <c r="AB196" s="6"/>
      <c r="AC196" s="6"/>
      <c r="AD196" s="6"/>
      <c r="AE196" s="6"/>
      <c r="AF196" s="6"/>
    </row>
    <row r="197">
      <c r="A197" s="10" t="s">
        <v>35</v>
      </c>
      <c r="B197" s="10" t="s">
        <v>28</v>
      </c>
      <c r="C197" s="14" t="s">
        <v>109</v>
      </c>
      <c r="D197" s="10" t="s">
        <v>737</v>
      </c>
      <c r="E197" s="10" t="s">
        <v>806</v>
      </c>
      <c r="F197" s="10" t="s">
        <v>322</v>
      </c>
      <c r="G197" s="10" t="s">
        <v>809</v>
      </c>
      <c r="H197" s="43" t="s">
        <v>810</v>
      </c>
      <c r="I197" s="47" t="s">
        <v>811</v>
      </c>
      <c r="J197" s="10" t="s">
        <v>326</v>
      </c>
      <c r="K197" s="10" t="str">
        <f t="shared" ref="K197:K198" si="27">CONCATENATE(C197," &gt; ",D197," &gt; ",E197," &gt; ",F197)</f>
        <v>Road &gt; Private vehicle &gt; 2/3 Wheelers &gt; Fuel shift</v>
      </c>
      <c r="L197" s="10" t="str">
        <f t="shared" ref="L197:L198" si="28">CONCATENATE(C197," &gt; ",D197," &gt; ",E197," &gt; ",F197)</f>
        <v>Road &gt; Private vehicle &gt; 2/3 Wheelers &gt; Fuel shift</v>
      </c>
      <c r="M197" s="10" t="s">
        <v>742</v>
      </c>
      <c r="N197" s="6"/>
      <c r="O197" s="6"/>
      <c r="P197" s="6"/>
      <c r="Q197" s="6"/>
      <c r="R197" s="6"/>
      <c r="S197" s="6"/>
      <c r="T197" s="6"/>
      <c r="U197" s="6"/>
      <c r="V197" s="6"/>
      <c r="W197" s="6"/>
      <c r="X197" s="6"/>
      <c r="Y197" s="6"/>
      <c r="Z197" s="6"/>
      <c r="AA197" s="6"/>
      <c r="AB197" s="6"/>
      <c r="AC197" s="6"/>
      <c r="AD197" s="6"/>
      <c r="AE197" s="6"/>
      <c r="AF197" s="6"/>
    </row>
    <row r="198">
      <c r="A198" s="10" t="s">
        <v>35</v>
      </c>
      <c r="B198" s="10" t="s">
        <v>28</v>
      </c>
      <c r="C198" s="14" t="s">
        <v>109</v>
      </c>
      <c r="D198" s="10" t="s">
        <v>737</v>
      </c>
      <c r="E198" s="10" t="s">
        <v>806</v>
      </c>
      <c r="F198" s="10" t="s">
        <v>332</v>
      </c>
      <c r="G198" s="10" t="s">
        <v>60</v>
      </c>
      <c r="H198" s="10" t="s">
        <v>812</v>
      </c>
      <c r="I198" s="10" t="s">
        <v>60</v>
      </c>
      <c r="J198" s="10" t="s">
        <v>65</v>
      </c>
      <c r="K198" s="10" t="str">
        <f t="shared" si="27"/>
        <v>Road &gt; Private vehicle &gt; 2/3 Wheelers &gt; Technology shift</v>
      </c>
      <c r="L198" s="10" t="str">
        <f t="shared" si="28"/>
        <v>Road &gt; Private vehicle &gt; 2/3 Wheelers &gt; Technology shift</v>
      </c>
      <c r="M198" s="10" t="s">
        <v>742</v>
      </c>
      <c r="N198" s="6"/>
      <c r="O198" s="6"/>
      <c r="P198" s="6"/>
      <c r="Q198" s="6"/>
      <c r="R198" s="6"/>
      <c r="S198" s="6"/>
      <c r="T198" s="6"/>
      <c r="U198" s="6"/>
      <c r="V198" s="6"/>
      <c r="W198" s="6"/>
      <c r="X198" s="6"/>
      <c r="Y198" s="6"/>
      <c r="Z198" s="6"/>
      <c r="AA198" s="6"/>
      <c r="AB198" s="6"/>
      <c r="AC198" s="6"/>
      <c r="AD198" s="6"/>
      <c r="AE198" s="6"/>
      <c r="AF198" s="6"/>
    </row>
    <row r="199">
      <c r="A199" s="10" t="s">
        <v>35</v>
      </c>
      <c r="B199" s="10" t="s">
        <v>28</v>
      </c>
      <c r="C199" s="14" t="s">
        <v>109</v>
      </c>
      <c r="D199" s="10" t="s">
        <v>813</v>
      </c>
      <c r="E199" s="10" t="s">
        <v>814</v>
      </c>
      <c r="F199" s="10" t="s">
        <v>322</v>
      </c>
      <c r="G199" s="10" t="s">
        <v>815</v>
      </c>
      <c r="H199" s="10" t="s">
        <v>816</v>
      </c>
      <c r="I199" s="10" t="s">
        <v>817</v>
      </c>
      <c r="J199" s="10" t="s">
        <v>343</v>
      </c>
      <c r="K199" s="20"/>
      <c r="L199" s="10" t="s">
        <v>344</v>
      </c>
      <c r="M199" s="10" t="s">
        <v>60</v>
      </c>
      <c r="N199" s="6"/>
      <c r="O199" s="6"/>
      <c r="P199" s="6"/>
      <c r="Q199" s="6"/>
      <c r="R199" s="6"/>
      <c r="S199" s="6"/>
      <c r="T199" s="6"/>
      <c r="U199" s="6"/>
      <c r="V199" s="6"/>
      <c r="W199" s="6"/>
      <c r="X199" s="6"/>
      <c r="Y199" s="6"/>
      <c r="Z199" s="6"/>
      <c r="AA199" s="6"/>
      <c r="AB199" s="6"/>
      <c r="AC199" s="6"/>
      <c r="AD199" s="6"/>
      <c r="AE199" s="6"/>
      <c r="AF199" s="6"/>
    </row>
    <row r="200">
      <c r="A200" s="10" t="s">
        <v>35</v>
      </c>
      <c r="B200" s="10" t="s">
        <v>28</v>
      </c>
      <c r="C200" s="14" t="s">
        <v>109</v>
      </c>
      <c r="D200" s="10" t="s">
        <v>813</v>
      </c>
      <c r="E200" s="10" t="s">
        <v>814</v>
      </c>
      <c r="F200" s="10" t="s">
        <v>322</v>
      </c>
      <c r="G200" s="10" t="s">
        <v>818</v>
      </c>
      <c r="H200" s="10" t="s">
        <v>819</v>
      </c>
      <c r="I200" s="10" t="s">
        <v>802</v>
      </c>
      <c r="J200" s="10" t="s">
        <v>343</v>
      </c>
      <c r="K200" s="20"/>
      <c r="L200" s="10" t="s">
        <v>344</v>
      </c>
      <c r="M200" s="10" t="s">
        <v>60</v>
      </c>
      <c r="N200" s="6"/>
      <c r="O200" s="6"/>
      <c r="P200" s="6"/>
      <c r="Q200" s="6"/>
      <c r="R200" s="6"/>
      <c r="S200" s="6"/>
      <c r="T200" s="6"/>
      <c r="U200" s="6"/>
      <c r="V200" s="6"/>
      <c r="W200" s="6"/>
      <c r="X200" s="6"/>
      <c r="Y200" s="6"/>
      <c r="Z200" s="6"/>
      <c r="AA200" s="6"/>
      <c r="AB200" s="6"/>
      <c r="AC200" s="6"/>
      <c r="AD200" s="6"/>
      <c r="AE200" s="6"/>
      <c r="AF200" s="6"/>
    </row>
    <row r="201">
      <c r="A201" s="10" t="s">
        <v>35</v>
      </c>
      <c r="B201" s="10" t="s">
        <v>28</v>
      </c>
      <c r="C201" s="14" t="s">
        <v>109</v>
      </c>
      <c r="D201" s="10" t="s">
        <v>813</v>
      </c>
      <c r="E201" s="10" t="s">
        <v>814</v>
      </c>
      <c r="F201" s="10" t="s">
        <v>322</v>
      </c>
      <c r="G201" s="10" t="s">
        <v>820</v>
      </c>
      <c r="H201" s="10" t="s">
        <v>821</v>
      </c>
      <c r="I201" s="10" t="s">
        <v>769</v>
      </c>
      <c r="J201" s="10" t="s">
        <v>343</v>
      </c>
      <c r="K201" s="20"/>
      <c r="L201" s="10" t="s">
        <v>344</v>
      </c>
      <c r="M201" s="10" t="s">
        <v>60</v>
      </c>
      <c r="N201" s="6"/>
      <c r="O201" s="6"/>
      <c r="P201" s="6"/>
      <c r="Q201" s="6"/>
      <c r="R201" s="6"/>
      <c r="S201" s="6"/>
      <c r="T201" s="6"/>
      <c r="U201" s="6"/>
      <c r="V201" s="6"/>
      <c r="W201" s="6"/>
      <c r="X201" s="6"/>
      <c r="Y201" s="6"/>
      <c r="Z201" s="6"/>
      <c r="AA201" s="6"/>
      <c r="AB201" s="6"/>
      <c r="AC201" s="6"/>
      <c r="AD201" s="6"/>
      <c r="AE201" s="6"/>
      <c r="AF201" s="6"/>
    </row>
    <row r="202">
      <c r="A202" s="10" t="s">
        <v>35</v>
      </c>
      <c r="B202" s="10" t="s">
        <v>28</v>
      </c>
      <c r="C202" s="14" t="s">
        <v>109</v>
      </c>
      <c r="D202" s="10" t="s">
        <v>813</v>
      </c>
      <c r="E202" s="10" t="s">
        <v>814</v>
      </c>
      <c r="F202" s="10" t="s">
        <v>332</v>
      </c>
      <c r="G202" s="10" t="s">
        <v>822</v>
      </c>
      <c r="H202" s="10" t="s">
        <v>823</v>
      </c>
      <c r="I202" s="10" t="s">
        <v>824</v>
      </c>
      <c r="J202" s="10" t="s">
        <v>326</v>
      </c>
      <c r="K202" s="10" t="str">
        <f t="shared" ref="K202:K207" si="29">CONCATENATE(C202," &gt; ",D202," &gt; ",E202," &gt; ",F202)</f>
        <v>Road &gt; Public transit &gt; Buses &gt; Technology shift</v>
      </c>
      <c r="L202" s="10" t="str">
        <f t="shared" ref="L202:L207" si="30">CONCATENATE(C202," &gt; ",D202," &gt; ",E202," &gt; ",F202)</f>
        <v>Road &gt; Public transit &gt; Buses &gt; Technology shift</v>
      </c>
      <c r="M202" s="10" t="s">
        <v>742</v>
      </c>
      <c r="N202" s="6"/>
      <c r="O202" s="6"/>
      <c r="P202" s="6"/>
      <c r="Q202" s="6"/>
      <c r="R202" s="6"/>
      <c r="S202" s="6"/>
      <c r="T202" s="6"/>
      <c r="U202" s="6"/>
      <c r="V202" s="6"/>
      <c r="W202" s="6"/>
      <c r="X202" s="6"/>
      <c r="Y202" s="6"/>
      <c r="Z202" s="6"/>
      <c r="AA202" s="6"/>
      <c r="AB202" s="6"/>
      <c r="AC202" s="6"/>
      <c r="AD202" s="6"/>
      <c r="AE202" s="6"/>
      <c r="AF202" s="6"/>
    </row>
    <row r="203">
      <c r="A203" s="10" t="s">
        <v>35</v>
      </c>
      <c r="B203" s="10" t="s">
        <v>28</v>
      </c>
      <c r="C203" s="14" t="s">
        <v>109</v>
      </c>
      <c r="D203" s="10" t="s">
        <v>813</v>
      </c>
      <c r="E203" s="10" t="s">
        <v>814</v>
      </c>
      <c r="F203" s="10" t="s">
        <v>59</v>
      </c>
      <c r="G203" s="10" t="s">
        <v>60</v>
      </c>
      <c r="H203" s="10" t="s">
        <v>825</v>
      </c>
      <c r="I203" s="10" t="s">
        <v>60</v>
      </c>
      <c r="J203" s="10" t="s">
        <v>65</v>
      </c>
      <c r="K203" s="10" t="str">
        <f t="shared" si="29"/>
        <v>Road &gt; Public transit &gt; Buses &gt; Activity shift</v>
      </c>
      <c r="L203" s="10" t="str">
        <f t="shared" si="30"/>
        <v>Road &gt; Public transit &gt; Buses &gt; Activity shift</v>
      </c>
      <c r="M203" s="10" t="s">
        <v>742</v>
      </c>
      <c r="N203" s="6"/>
      <c r="O203" s="6"/>
      <c r="P203" s="6"/>
      <c r="Q203" s="6"/>
      <c r="R203" s="6"/>
      <c r="S203" s="6"/>
      <c r="T203" s="6"/>
      <c r="U203" s="6"/>
      <c r="V203" s="6"/>
      <c r="W203" s="6"/>
      <c r="X203" s="6"/>
      <c r="Y203" s="6"/>
      <c r="Z203" s="6"/>
      <c r="AA203" s="6"/>
      <c r="AB203" s="6"/>
      <c r="AC203" s="6"/>
      <c r="AD203" s="6"/>
      <c r="AE203" s="6"/>
      <c r="AF203" s="6"/>
    </row>
    <row r="204">
      <c r="A204" s="10" t="s">
        <v>35</v>
      </c>
      <c r="B204" s="10" t="s">
        <v>28</v>
      </c>
      <c r="C204" s="14" t="s">
        <v>109</v>
      </c>
      <c r="D204" s="10" t="s">
        <v>813</v>
      </c>
      <c r="E204" s="10" t="s">
        <v>814</v>
      </c>
      <c r="F204" s="10" t="s">
        <v>322</v>
      </c>
      <c r="G204" s="10" t="s">
        <v>826</v>
      </c>
      <c r="H204" s="10" t="s">
        <v>827</v>
      </c>
      <c r="I204" s="20"/>
      <c r="J204" s="10" t="s">
        <v>326</v>
      </c>
      <c r="K204" s="10" t="str">
        <f t="shared" si="29"/>
        <v>Road &gt; Public transit &gt; Buses &gt; Fuel shift</v>
      </c>
      <c r="L204" s="10" t="str">
        <f t="shared" si="30"/>
        <v>Road &gt; Public transit &gt; Buses &gt; Fuel shift</v>
      </c>
      <c r="M204" s="10" t="s">
        <v>742</v>
      </c>
      <c r="N204" s="6"/>
      <c r="O204" s="6"/>
      <c r="P204" s="6"/>
      <c r="Q204" s="6"/>
      <c r="R204" s="6"/>
      <c r="S204" s="6"/>
      <c r="T204" s="6"/>
      <c r="U204" s="6"/>
      <c r="V204" s="6"/>
      <c r="W204" s="6"/>
      <c r="X204" s="6"/>
      <c r="Y204" s="6"/>
      <c r="Z204" s="6"/>
      <c r="AA204" s="6"/>
      <c r="AB204" s="6"/>
      <c r="AC204" s="6"/>
      <c r="AD204" s="6"/>
      <c r="AE204" s="6"/>
      <c r="AF204" s="6"/>
    </row>
    <row r="205">
      <c r="A205" s="10" t="s">
        <v>35</v>
      </c>
      <c r="B205" s="10" t="s">
        <v>28</v>
      </c>
      <c r="C205" s="14" t="s">
        <v>109</v>
      </c>
      <c r="D205" s="10" t="s">
        <v>737</v>
      </c>
      <c r="E205" s="10" t="s">
        <v>738</v>
      </c>
      <c r="F205" s="10" t="s">
        <v>332</v>
      </c>
      <c r="G205" s="10" t="s">
        <v>60</v>
      </c>
      <c r="H205" s="10" t="s">
        <v>828</v>
      </c>
      <c r="I205" s="10" t="s">
        <v>60</v>
      </c>
      <c r="J205" s="10" t="s">
        <v>65</v>
      </c>
      <c r="K205" s="10" t="str">
        <f t="shared" si="29"/>
        <v>Road &gt; Private vehicle &gt; Car &gt; Technology shift</v>
      </c>
      <c r="L205" s="10" t="str">
        <f t="shared" si="30"/>
        <v>Road &gt; Private vehicle &gt; Car &gt; Technology shift</v>
      </c>
      <c r="M205" s="10" t="s">
        <v>742</v>
      </c>
      <c r="N205" s="6"/>
      <c r="O205" s="6"/>
      <c r="P205" s="6"/>
      <c r="Q205" s="6"/>
      <c r="R205" s="6"/>
      <c r="S205" s="6"/>
      <c r="T205" s="6"/>
      <c r="U205" s="6"/>
      <c r="V205" s="6"/>
      <c r="W205" s="6"/>
      <c r="X205" s="6"/>
      <c r="Y205" s="6"/>
      <c r="Z205" s="6"/>
      <c r="AA205" s="6"/>
      <c r="AB205" s="6"/>
      <c r="AC205" s="6"/>
      <c r="AD205" s="6"/>
      <c r="AE205" s="6"/>
      <c r="AF205" s="6"/>
    </row>
    <row r="206">
      <c r="A206" s="10" t="s">
        <v>35</v>
      </c>
      <c r="B206" s="10" t="s">
        <v>28</v>
      </c>
      <c r="C206" s="14" t="s">
        <v>109</v>
      </c>
      <c r="D206" s="10" t="s">
        <v>737</v>
      </c>
      <c r="E206" s="10" t="s">
        <v>806</v>
      </c>
      <c r="F206" s="10" t="s">
        <v>332</v>
      </c>
      <c r="G206" s="10" t="s">
        <v>60</v>
      </c>
      <c r="H206" s="10" t="s">
        <v>829</v>
      </c>
      <c r="I206" s="10" t="s">
        <v>60</v>
      </c>
      <c r="J206" s="10" t="s">
        <v>65</v>
      </c>
      <c r="K206" s="10" t="str">
        <f t="shared" si="29"/>
        <v>Road &gt; Private vehicle &gt; 2/3 Wheelers &gt; Technology shift</v>
      </c>
      <c r="L206" s="10" t="str">
        <f t="shared" si="30"/>
        <v>Road &gt; Private vehicle &gt; 2/3 Wheelers &gt; Technology shift</v>
      </c>
      <c r="M206" s="10" t="s">
        <v>742</v>
      </c>
      <c r="N206" s="6"/>
      <c r="O206" s="6"/>
      <c r="P206" s="6"/>
      <c r="Q206" s="6"/>
      <c r="R206" s="6"/>
      <c r="S206" s="6"/>
      <c r="T206" s="6"/>
      <c r="U206" s="6"/>
      <c r="V206" s="6"/>
      <c r="W206" s="6"/>
      <c r="X206" s="6"/>
      <c r="Y206" s="6"/>
      <c r="Z206" s="6"/>
      <c r="AA206" s="6"/>
      <c r="AB206" s="6"/>
      <c r="AC206" s="6"/>
      <c r="AD206" s="6"/>
      <c r="AE206" s="6"/>
      <c r="AF206" s="6"/>
    </row>
    <row r="207">
      <c r="A207" s="10" t="s">
        <v>35</v>
      </c>
      <c r="B207" s="10" t="s">
        <v>28</v>
      </c>
      <c r="C207" s="14" t="s">
        <v>109</v>
      </c>
      <c r="D207" s="10" t="s">
        <v>813</v>
      </c>
      <c r="E207" s="10" t="s">
        <v>814</v>
      </c>
      <c r="F207" s="10" t="s">
        <v>332</v>
      </c>
      <c r="G207" s="10" t="s">
        <v>60</v>
      </c>
      <c r="H207" s="10" t="s">
        <v>830</v>
      </c>
      <c r="I207" s="10" t="s">
        <v>60</v>
      </c>
      <c r="J207" s="10" t="s">
        <v>65</v>
      </c>
      <c r="K207" s="10" t="str">
        <f t="shared" si="29"/>
        <v>Road &gt; Public transit &gt; Buses &gt; Technology shift</v>
      </c>
      <c r="L207" s="10" t="str">
        <f t="shared" si="30"/>
        <v>Road &gt; Public transit &gt; Buses &gt; Technology shift</v>
      </c>
      <c r="M207" s="10" t="s">
        <v>742</v>
      </c>
      <c r="N207" s="6"/>
      <c r="O207" s="6"/>
      <c r="P207" s="6"/>
      <c r="Q207" s="6"/>
      <c r="R207" s="6"/>
      <c r="S207" s="6"/>
      <c r="T207" s="6"/>
      <c r="U207" s="6"/>
      <c r="V207" s="6"/>
      <c r="W207" s="6"/>
      <c r="X207" s="6"/>
      <c r="Y207" s="6"/>
      <c r="Z207" s="6"/>
      <c r="AA207" s="6"/>
      <c r="AB207" s="6"/>
      <c r="AC207" s="6"/>
      <c r="AD207" s="6"/>
      <c r="AE207" s="6"/>
      <c r="AF207" s="6"/>
    </row>
    <row r="208">
      <c r="A208" s="10" t="s">
        <v>35</v>
      </c>
      <c r="B208" s="10" t="s">
        <v>28</v>
      </c>
      <c r="C208" s="14" t="s">
        <v>111</v>
      </c>
      <c r="D208" s="10" t="s">
        <v>831</v>
      </c>
      <c r="E208" s="20"/>
      <c r="F208" s="44" t="s">
        <v>322</v>
      </c>
      <c r="G208" s="44" t="s">
        <v>832</v>
      </c>
      <c r="H208" s="44" t="s">
        <v>833</v>
      </c>
      <c r="I208" s="44" t="s">
        <v>834</v>
      </c>
      <c r="J208" s="44" t="s">
        <v>343</v>
      </c>
      <c r="K208" s="20"/>
      <c r="L208" s="10" t="s">
        <v>344</v>
      </c>
      <c r="M208" s="10" t="s">
        <v>60</v>
      </c>
      <c r="N208" s="6"/>
      <c r="O208" s="6"/>
      <c r="P208" s="6"/>
      <c r="Q208" s="6"/>
      <c r="R208" s="6"/>
      <c r="S208" s="6"/>
      <c r="T208" s="6"/>
      <c r="U208" s="6"/>
      <c r="V208" s="6"/>
      <c r="W208" s="6"/>
      <c r="X208" s="6"/>
      <c r="Y208" s="6"/>
      <c r="Z208" s="6"/>
      <c r="AA208" s="6"/>
      <c r="AB208" s="6"/>
      <c r="AC208" s="6"/>
      <c r="AD208" s="6"/>
      <c r="AE208" s="6"/>
      <c r="AF208" s="6"/>
    </row>
    <row r="209">
      <c r="A209" s="10" t="s">
        <v>35</v>
      </c>
      <c r="B209" s="10" t="s">
        <v>28</v>
      </c>
      <c r="C209" s="14" t="s">
        <v>111</v>
      </c>
      <c r="D209" s="10" t="s">
        <v>813</v>
      </c>
      <c r="E209" s="20"/>
      <c r="F209" s="44" t="s">
        <v>332</v>
      </c>
      <c r="G209" s="44" t="s">
        <v>835</v>
      </c>
      <c r="H209" s="44" t="s">
        <v>836</v>
      </c>
      <c r="I209" s="44" t="s">
        <v>837</v>
      </c>
      <c r="J209" s="44" t="s">
        <v>326</v>
      </c>
      <c r="K209" s="10" t="str">
        <f t="shared" ref="K209:K211" si="31">CONCATENATE(C209," &gt; ",D209," &gt; ",E209," &gt; ",F209)</f>
        <v>Aviation &gt; Public transit &gt;  &gt; Technology shift</v>
      </c>
      <c r="L209" s="10" t="str">
        <f t="shared" ref="L209:L211" si="32">CONCATENATE(C209," &gt; ",D209," &gt; ",E209," &gt; ",F209)</f>
        <v>Aviation &gt; Public transit &gt;  &gt; Technology shift</v>
      </c>
      <c r="M209" s="10" t="s">
        <v>60</v>
      </c>
      <c r="N209" s="6"/>
      <c r="O209" s="6"/>
      <c r="P209" s="6"/>
      <c r="Q209" s="6"/>
      <c r="R209" s="6"/>
      <c r="S209" s="6"/>
      <c r="T209" s="6"/>
      <c r="U209" s="6"/>
      <c r="V209" s="6"/>
      <c r="W209" s="6"/>
      <c r="X209" s="6"/>
      <c r="Y209" s="6"/>
      <c r="Z209" s="6"/>
      <c r="AA209" s="6"/>
      <c r="AB209" s="6"/>
      <c r="AC209" s="6"/>
      <c r="AD209" s="6"/>
      <c r="AE209" s="6"/>
      <c r="AF209" s="6"/>
    </row>
    <row r="210">
      <c r="A210" s="10" t="s">
        <v>35</v>
      </c>
      <c r="B210" s="10" t="s">
        <v>28</v>
      </c>
      <c r="C210" s="14" t="s">
        <v>111</v>
      </c>
      <c r="D210" s="10" t="s">
        <v>813</v>
      </c>
      <c r="E210" s="20"/>
      <c r="F210" s="44" t="s">
        <v>322</v>
      </c>
      <c r="G210" s="44" t="s">
        <v>838</v>
      </c>
      <c r="H210" s="44" t="s">
        <v>839</v>
      </c>
      <c r="I210" s="44" t="s">
        <v>840</v>
      </c>
      <c r="J210" s="44" t="s">
        <v>326</v>
      </c>
      <c r="K210" s="10" t="str">
        <f t="shared" si="31"/>
        <v>Aviation &gt; Public transit &gt;  &gt; Fuel shift</v>
      </c>
      <c r="L210" s="10" t="str">
        <f t="shared" si="32"/>
        <v>Aviation &gt; Public transit &gt;  &gt; Fuel shift</v>
      </c>
      <c r="M210" s="10" t="s">
        <v>60</v>
      </c>
      <c r="N210" s="6"/>
      <c r="O210" s="6"/>
      <c r="P210" s="6"/>
      <c r="Q210" s="6"/>
      <c r="R210" s="6"/>
      <c r="S210" s="6"/>
      <c r="T210" s="6"/>
      <c r="U210" s="6"/>
      <c r="V210" s="6"/>
      <c r="W210" s="6"/>
      <c r="X210" s="6"/>
      <c r="Y210" s="6"/>
      <c r="Z210" s="6"/>
      <c r="AA210" s="6"/>
      <c r="AB210" s="6"/>
      <c r="AC210" s="6"/>
      <c r="AD210" s="6"/>
      <c r="AE210" s="6"/>
      <c r="AF210" s="6"/>
    </row>
    <row r="211">
      <c r="A211" s="10" t="s">
        <v>35</v>
      </c>
      <c r="B211" s="10" t="s">
        <v>28</v>
      </c>
      <c r="C211" s="14" t="s">
        <v>111</v>
      </c>
      <c r="D211" s="10" t="s">
        <v>813</v>
      </c>
      <c r="E211" s="20"/>
      <c r="F211" s="10" t="s">
        <v>757</v>
      </c>
      <c r="G211" s="10" t="s">
        <v>841</v>
      </c>
      <c r="H211" s="10" t="s">
        <v>842</v>
      </c>
      <c r="I211" s="10" t="s">
        <v>843</v>
      </c>
      <c r="J211" s="10" t="s">
        <v>326</v>
      </c>
      <c r="K211" s="10" t="str">
        <f t="shared" si="31"/>
        <v>Aviation &gt; Public transit &gt;  &gt; Mode shift</v>
      </c>
      <c r="L211" s="10" t="str">
        <f t="shared" si="32"/>
        <v>Aviation &gt; Public transit &gt;  &gt; Mode shift</v>
      </c>
      <c r="M211" s="10" t="s">
        <v>60</v>
      </c>
      <c r="N211" s="6"/>
      <c r="O211" s="6"/>
      <c r="P211" s="6"/>
      <c r="Q211" s="6"/>
      <c r="R211" s="6"/>
      <c r="S211" s="6"/>
      <c r="T211" s="6"/>
      <c r="U211" s="6"/>
      <c r="V211" s="6"/>
      <c r="W211" s="6"/>
      <c r="X211" s="6"/>
      <c r="Y211" s="6"/>
      <c r="Z211" s="6"/>
      <c r="AA211" s="6"/>
      <c r="AB211" s="6"/>
      <c r="AC211" s="6"/>
      <c r="AD211" s="6"/>
      <c r="AE211" s="6"/>
      <c r="AF211" s="6"/>
    </row>
    <row r="212">
      <c r="A212" s="10" t="s">
        <v>35</v>
      </c>
      <c r="B212" s="10" t="s">
        <v>28</v>
      </c>
      <c r="C212" s="14" t="s">
        <v>111</v>
      </c>
      <c r="D212" s="10" t="s">
        <v>844</v>
      </c>
      <c r="E212" s="20"/>
      <c r="F212" s="10" t="s">
        <v>322</v>
      </c>
      <c r="G212" s="10" t="s">
        <v>845</v>
      </c>
      <c r="H212" s="10" t="s">
        <v>846</v>
      </c>
      <c r="I212" s="10" t="s">
        <v>834</v>
      </c>
      <c r="J212" s="10" t="s">
        <v>343</v>
      </c>
      <c r="K212" s="20"/>
      <c r="L212" s="10" t="s">
        <v>344</v>
      </c>
      <c r="M212" s="10" t="s">
        <v>60</v>
      </c>
      <c r="N212" s="6"/>
      <c r="O212" s="6"/>
      <c r="P212" s="6"/>
      <c r="Q212" s="6"/>
      <c r="R212" s="6"/>
      <c r="S212" s="6"/>
      <c r="T212" s="6"/>
      <c r="U212" s="6"/>
      <c r="V212" s="6"/>
      <c r="W212" s="6"/>
      <c r="X212" s="6"/>
      <c r="Y212" s="6"/>
      <c r="Z212" s="6"/>
      <c r="AA212" s="6"/>
      <c r="AB212" s="6"/>
      <c r="AC212" s="6"/>
      <c r="AD212" s="6"/>
      <c r="AE212" s="6"/>
      <c r="AF212" s="6"/>
    </row>
    <row r="213">
      <c r="A213" s="10" t="s">
        <v>35</v>
      </c>
      <c r="B213" s="10" t="s">
        <v>28</v>
      </c>
      <c r="C213" s="14" t="s">
        <v>111</v>
      </c>
      <c r="D213" s="10" t="s">
        <v>844</v>
      </c>
      <c r="E213" s="20"/>
      <c r="F213" s="10" t="s">
        <v>322</v>
      </c>
      <c r="G213" s="10" t="s">
        <v>847</v>
      </c>
      <c r="H213" s="10" t="s">
        <v>848</v>
      </c>
      <c r="I213" s="10" t="s">
        <v>849</v>
      </c>
      <c r="J213" s="10" t="s">
        <v>326</v>
      </c>
      <c r="K213" s="10" t="str">
        <f t="shared" ref="K213:K216" si="33">CONCATENATE(C213," &gt; ",D213," &gt; ",E213," &gt; ",F213)</f>
        <v>Aviation &gt; Freight &gt;  &gt; Fuel shift</v>
      </c>
      <c r="L213" s="10" t="str">
        <f t="shared" ref="L213:L216" si="34">CONCATENATE(C213," &gt; ",D213," &gt; ",E213," &gt; ",F213)</f>
        <v>Aviation &gt; Freight &gt;  &gt; Fuel shift</v>
      </c>
      <c r="M213" s="10" t="s">
        <v>60</v>
      </c>
      <c r="N213" s="6"/>
      <c r="O213" s="6"/>
      <c r="P213" s="6"/>
      <c r="Q213" s="6"/>
      <c r="R213" s="6"/>
      <c r="S213" s="6"/>
      <c r="T213" s="6"/>
      <c r="U213" s="6"/>
      <c r="V213" s="6"/>
      <c r="W213" s="6"/>
      <c r="X213" s="6"/>
      <c r="Y213" s="6"/>
      <c r="Z213" s="6"/>
      <c r="AA213" s="6"/>
      <c r="AB213" s="6"/>
      <c r="AC213" s="6"/>
      <c r="AD213" s="6"/>
      <c r="AE213" s="6"/>
      <c r="AF213" s="6"/>
    </row>
    <row r="214">
      <c r="A214" s="10" t="s">
        <v>35</v>
      </c>
      <c r="B214" s="10" t="s">
        <v>28</v>
      </c>
      <c r="C214" s="14" t="s">
        <v>111</v>
      </c>
      <c r="D214" s="10" t="s">
        <v>844</v>
      </c>
      <c r="E214" s="20"/>
      <c r="F214" s="10" t="s">
        <v>332</v>
      </c>
      <c r="G214" s="10" t="s">
        <v>850</v>
      </c>
      <c r="H214" s="10" t="s">
        <v>851</v>
      </c>
      <c r="I214" s="10" t="s">
        <v>852</v>
      </c>
      <c r="J214" s="10" t="s">
        <v>326</v>
      </c>
      <c r="K214" s="10" t="str">
        <f t="shared" si="33"/>
        <v>Aviation &gt; Freight &gt;  &gt; Technology shift</v>
      </c>
      <c r="L214" s="10" t="str">
        <f t="shared" si="34"/>
        <v>Aviation &gt; Freight &gt;  &gt; Technology shift</v>
      </c>
      <c r="M214" s="10" t="s">
        <v>60</v>
      </c>
      <c r="N214" s="6"/>
      <c r="O214" s="6"/>
      <c r="P214" s="6"/>
      <c r="Q214" s="6"/>
      <c r="R214" s="6"/>
      <c r="S214" s="6"/>
      <c r="T214" s="6"/>
      <c r="U214" s="6"/>
      <c r="V214" s="6"/>
      <c r="W214" s="6"/>
      <c r="X214" s="6"/>
      <c r="Y214" s="6"/>
      <c r="Z214" s="6"/>
      <c r="AA214" s="6"/>
      <c r="AB214" s="6"/>
      <c r="AC214" s="6"/>
      <c r="AD214" s="6"/>
      <c r="AE214" s="6"/>
      <c r="AF214" s="6"/>
    </row>
    <row r="215">
      <c r="A215" s="10" t="s">
        <v>35</v>
      </c>
      <c r="B215" s="10" t="s">
        <v>28</v>
      </c>
      <c r="C215" s="14" t="s">
        <v>111</v>
      </c>
      <c r="D215" s="10" t="s">
        <v>844</v>
      </c>
      <c r="E215" s="20"/>
      <c r="F215" s="10" t="s">
        <v>757</v>
      </c>
      <c r="G215" s="10" t="s">
        <v>853</v>
      </c>
      <c r="H215" s="10" t="s">
        <v>854</v>
      </c>
      <c r="I215" s="10" t="s">
        <v>855</v>
      </c>
      <c r="J215" s="10" t="s">
        <v>326</v>
      </c>
      <c r="K215" s="10" t="str">
        <f t="shared" si="33"/>
        <v>Aviation &gt; Freight &gt;  &gt; Mode shift</v>
      </c>
      <c r="L215" s="10" t="str">
        <f t="shared" si="34"/>
        <v>Aviation &gt; Freight &gt;  &gt; Mode shift</v>
      </c>
      <c r="M215" s="10" t="s">
        <v>742</v>
      </c>
      <c r="N215" s="6"/>
      <c r="O215" s="6"/>
      <c r="P215" s="6"/>
      <c r="Q215" s="6"/>
      <c r="R215" s="6"/>
      <c r="S215" s="6"/>
      <c r="T215" s="6"/>
      <c r="U215" s="6"/>
      <c r="V215" s="6"/>
      <c r="W215" s="6"/>
      <c r="X215" s="6"/>
      <c r="Y215" s="6"/>
      <c r="Z215" s="6"/>
      <c r="AA215" s="6"/>
      <c r="AB215" s="6"/>
      <c r="AC215" s="6"/>
      <c r="AD215" s="6"/>
      <c r="AE215" s="6"/>
      <c r="AF215" s="6"/>
    </row>
    <row r="216">
      <c r="A216" s="10" t="s">
        <v>35</v>
      </c>
      <c r="B216" s="10" t="s">
        <v>28</v>
      </c>
      <c r="C216" s="14" t="s">
        <v>109</v>
      </c>
      <c r="D216" s="10" t="s">
        <v>844</v>
      </c>
      <c r="E216" s="10" t="s">
        <v>856</v>
      </c>
      <c r="F216" s="10" t="s">
        <v>322</v>
      </c>
      <c r="G216" s="10" t="s">
        <v>857</v>
      </c>
      <c r="H216" s="10" t="s">
        <v>858</v>
      </c>
      <c r="I216" s="10" t="s">
        <v>859</v>
      </c>
      <c r="J216" s="10" t="s">
        <v>326</v>
      </c>
      <c r="K216" s="10" t="str">
        <f t="shared" si="33"/>
        <v>Road &gt; Freight &gt; Heavy trucks &gt; Fuel shift</v>
      </c>
      <c r="L216" s="10" t="str">
        <f t="shared" si="34"/>
        <v>Road &gt; Freight &gt; Heavy trucks &gt; Fuel shift</v>
      </c>
      <c r="M216" s="10" t="s">
        <v>742</v>
      </c>
      <c r="N216" s="6"/>
      <c r="O216" s="6"/>
      <c r="P216" s="6"/>
      <c r="Q216" s="6"/>
      <c r="R216" s="6"/>
      <c r="S216" s="6"/>
      <c r="T216" s="6"/>
      <c r="U216" s="6"/>
      <c r="V216" s="6"/>
      <c r="W216" s="6"/>
      <c r="X216" s="6"/>
      <c r="Y216" s="6"/>
      <c r="Z216" s="6"/>
      <c r="AA216" s="6"/>
      <c r="AB216" s="6"/>
      <c r="AC216" s="6"/>
      <c r="AD216" s="6"/>
      <c r="AE216" s="6"/>
      <c r="AF216" s="6"/>
    </row>
    <row r="217">
      <c r="A217" s="10" t="s">
        <v>35</v>
      </c>
      <c r="B217" s="10" t="s">
        <v>28</v>
      </c>
      <c r="C217" s="14" t="s">
        <v>109</v>
      </c>
      <c r="D217" s="10" t="s">
        <v>844</v>
      </c>
      <c r="E217" s="10" t="s">
        <v>856</v>
      </c>
      <c r="F217" s="10" t="s">
        <v>322</v>
      </c>
      <c r="G217" s="10" t="s">
        <v>860</v>
      </c>
      <c r="H217" s="10" t="s">
        <v>861</v>
      </c>
      <c r="I217" s="10" t="s">
        <v>805</v>
      </c>
      <c r="J217" s="10" t="s">
        <v>343</v>
      </c>
      <c r="K217" s="20"/>
      <c r="L217" s="10" t="s">
        <v>344</v>
      </c>
      <c r="M217" s="10" t="s">
        <v>60</v>
      </c>
      <c r="N217" s="6"/>
      <c r="O217" s="6"/>
      <c r="P217" s="6"/>
      <c r="Q217" s="6"/>
      <c r="R217" s="6"/>
      <c r="S217" s="6"/>
      <c r="T217" s="6"/>
      <c r="U217" s="6"/>
      <c r="V217" s="6"/>
      <c r="W217" s="6"/>
      <c r="X217" s="6"/>
      <c r="Y217" s="6"/>
      <c r="Z217" s="6"/>
      <c r="AA217" s="6"/>
      <c r="AB217" s="6"/>
      <c r="AC217" s="6"/>
      <c r="AD217" s="6"/>
      <c r="AE217" s="6"/>
      <c r="AF217" s="6"/>
    </row>
    <row r="218">
      <c r="A218" s="10" t="s">
        <v>35</v>
      </c>
      <c r="B218" s="10" t="s">
        <v>28</v>
      </c>
      <c r="C218" s="14" t="s">
        <v>109</v>
      </c>
      <c r="D218" s="10" t="s">
        <v>844</v>
      </c>
      <c r="E218" s="10" t="s">
        <v>856</v>
      </c>
      <c r="F218" s="10" t="s">
        <v>322</v>
      </c>
      <c r="G218" s="10" t="s">
        <v>862</v>
      </c>
      <c r="H218" s="10" t="s">
        <v>863</v>
      </c>
      <c r="I218" s="10" t="s">
        <v>769</v>
      </c>
      <c r="J218" s="10" t="s">
        <v>343</v>
      </c>
      <c r="K218" s="20"/>
      <c r="L218" s="10" t="s">
        <v>344</v>
      </c>
      <c r="M218" s="10" t="s">
        <v>60</v>
      </c>
      <c r="N218" s="6"/>
      <c r="O218" s="6"/>
      <c r="P218" s="6"/>
      <c r="Q218" s="6"/>
      <c r="R218" s="6"/>
      <c r="S218" s="6"/>
      <c r="T218" s="6"/>
      <c r="U218" s="6"/>
      <c r="V218" s="6"/>
      <c r="W218" s="6"/>
      <c r="X218" s="6"/>
      <c r="Y218" s="6"/>
      <c r="Z218" s="6"/>
      <c r="AA218" s="6"/>
      <c r="AB218" s="6"/>
      <c r="AC218" s="6"/>
      <c r="AD218" s="6"/>
      <c r="AE218" s="6"/>
      <c r="AF218" s="6"/>
    </row>
    <row r="219">
      <c r="A219" s="10" t="s">
        <v>35</v>
      </c>
      <c r="B219" s="10" t="s">
        <v>28</v>
      </c>
      <c r="C219" s="14" t="s">
        <v>109</v>
      </c>
      <c r="D219" s="10" t="s">
        <v>844</v>
      </c>
      <c r="E219" s="10" t="s">
        <v>856</v>
      </c>
      <c r="F219" s="10" t="s">
        <v>322</v>
      </c>
      <c r="G219" s="10" t="s">
        <v>864</v>
      </c>
      <c r="H219" s="10" t="s">
        <v>865</v>
      </c>
      <c r="I219" s="10" t="s">
        <v>866</v>
      </c>
      <c r="J219" s="10" t="s">
        <v>343</v>
      </c>
      <c r="K219" s="20"/>
      <c r="L219" s="10" t="s">
        <v>640</v>
      </c>
      <c r="M219" s="10" t="s">
        <v>60</v>
      </c>
      <c r="N219" s="6"/>
      <c r="O219" s="6"/>
      <c r="P219" s="6"/>
      <c r="Q219" s="6"/>
      <c r="R219" s="6"/>
      <c r="S219" s="6"/>
      <c r="T219" s="6"/>
      <c r="U219" s="6"/>
      <c r="V219" s="6"/>
      <c r="W219" s="6"/>
      <c r="X219" s="6"/>
      <c r="Y219" s="6"/>
      <c r="Z219" s="6"/>
      <c r="AA219" s="6"/>
      <c r="AB219" s="6"/>
      <c r="AC219" s="6"/>
      <c r="AD219" s="6"/>
      <c r="AE219" s="6"/>
      <c r="AF219" s="6"/>
    </row>
    <row r="220">
      <c r="A220" s="10" t="s">
        <v>35</v>
      </c>
      <c r="B220" s="10" t="s">
        <v>28</v>
      </c>
      <c r="C220" s="14" t="s">
        <v>109</v>
      </c>
      <c r="D220" s="10" t="s">
        <v>844</v>
      </c>
      <c r="E220" s="10" t="s">
        <v>856</v>
      </c>
      <c r="F220" s="10" t="s">
        <v>348</v>
      </c>
      <c r="G220" s="10" t="s">
        <v>867</v>
      </c>
      <c r="H220" s="10" t="s">
        <v>868</v>
      </c>
      <c r="I220" s="10" t="s">
        <v>869</v>
      </c>
      <c r="J220" s="10" t="s">
        <v>343</v>
      </c>
      <c r="K220" s="20"/>
      <c r="L220" s="10" t="s">
        <v>749</v>
      </c>
      <c r="M220" s="10" t="s">
        <v>60</v>
      </c>
      <c r="N220" s="6"/>
      <c r="O220" s="6"/>
      <c r="P220" s="6"/>
      <c r="Q220" s="6"/>
      <c r="R220" s="6"/>
      <c r="S220" s="6"/>
      <c r="T220" s="6"/>
      <c r="U220" s="6"/>
      <c r="V220" s="6"/>
      <c r="W220" s="6"/>
      <c r="X220" s="6"/>
      <c r="Y220" s="6"/>
      <c r="Z220" s="6"/>
      <c r="AA220" s="6"/>
      <c r="AB220" s="6"/>
      <c r="AC220" s="6"/>
      <c r="AD220" s="6"/>
      <c r="AE220" s="6"/>
      <c r="AF220" s="6"/>
    </row>
    <row r="221">
      <c r="A221" s="10" t="s">
        <v>35</v>
      </c>
      <c r="B221" s="10" t="s">
        <v>28</v>
      </c>
      <c r="C221" s="14" t="s">
        <v>109</v>
      </c>
      <c r="D221" s="10" t="s">
        <v>844</v>
      </c>
      <c r="E221" s="10" t="s">
        <v>856</v>
      </c>
      <c r="F221" s="10" t="s">
        <v>322</v>
      </c>
      <c r="G221" s="10" t="s">
        <v>870</v>
      </c>
      <c r="H221" s="10" t="s">
        <v>871</v>
      </c>
      <c r="I221" s="10" t="s">
        <v>872</v>
      </c>
      <c r="J221" s="10" t="s">
        <v>326</v>
      </c>
      <c r="K221" s="10" t="str">
        <f t="shared" ref="K221:K222" si="35">CONCATENATE(C221," &gt; ",D221," &gt; ",E221," &gt; ",F221)</f>
        <v>Road &gt; Freight &gt; Heavy trucks &gt; Fuel shift</v>
      </c>
      <c r="L221" s="10" t="str">
        <f t="shared" ref="L221:L222" si="36">CONCATENATE(C221," &gt; ",D221," &gt; ",E221," &gt; ",F221)</f>
        <v>Road &gt; Freight &gt; Heavy trucks &gt; Fuel shift</v>
      </c>
      <c r="M221" s="10" t="s">
        <v>742</v>
      </c>
      <c r="N221" s="6"/>
      <c r="O221" s="6"/>
      <c r="P221" s="6"/>
      <c r="Q221" s="6"/>
      <c r="R221" s="6"/>
      <c r="S221" s="6"/>
      <c r="T221" s="6"/>
      <c r="U221" s="6"/>
      <c r="V221" s="6"/>
      <c r="W221" s="6"/>
      <c r="X221" s="6"/>
      <c r="Y221" s="6"/>
      <c r="Z221" s="6"/>
      <c r="AA221" s="6"/>
      <c r="AB221" s="6"/>
      <c r="AC221" s="6"/>
      <c r="AD221" s="6"/>
      <c r="AE221" s="6"/>
      <c r="AF221" s="6"/>
    </row>
    <row r="222">
      <c r="A222" s="10" t="s">
        <v>35</v>
      </c>
      <c r="B222" s="10" t="s">
        <v>28</v>
      </c>
      <c r="C222" s="14" t="s">
        <v>109</v>
      </c>
      <c r="D222" s="10" t="s">
        <v>844</v>
      </c>
      <c r="E222" s="10" t="s">
        <v>856</v>
      </c>
      <c r="F222" s="10" t="s">
        <v>332</v>
      </c>
      <c r="G222" s="10" t="s">
        <v>873</v>
      </c>
      <c r="H222" s="10" t="s">
        <v>874</v>
      </c>
      <c r="I222" s="10" t="s">
        <v>875</v>
      </c>
      <c r="J222" s="10" t="s">
        <v>326</v>
      </c>
      <c r="K222" s="10" t="str">
        <f t="shared" si="35"/>
        <v>Road &gt; Freight &gt; Heavy trucks &gt; Technology shift</v>
      </c>
      <c r="L222" s="10" t="str">
        <f t="shared" si="36"/>
        <v>Road &gt; Freight &gt; Heavy trucks &gt; Technology shift</v>
      </c>
      <c r="M222" s="10" t="s">
        <v>742</v>
      </c>
      <c r="N222" s="6"/>
      <c r="O222" s="6"/>
      <c r="P222" s="6"/>
      <c r="Q222" s="6"/>
      <c r="R222" s="6"/>
      <c r="S222" s="6"/>
      <c r="T222" s="6"/>
      <c r="U222" s="6"/>
      <c r="V222" s="6"/>
      <c r="W222" s="6"/>
      <c r="X222" s="6"/>
      <c r="Y222" s="6"/>
      <c r="Z222" s="6"/>
      <c r="AA222" s="6"/>
      <c r="AB222" s="6"/>
      <c r="AC222" s="6"/>
      <c r="AD222" s="6"/>
      <c r="AE222" s="6"/>
      <c r="AF222" s="6"/>
    </row>
    <row r="223">
      <c r="A223" s="10" t="s">
        <v>35</v>
      </c>
      <c r="B223" s="10" t="s">
        <v>28</v>
      </c>
      <c r="C223" s="14" t="s">
        <v>109</v>
      </c>
      <c r="D223" s="10" t="s">
        <v>844</v>
      </c>
      <c r="E223" s="10" t="s">
        <v>856</v>
      </c>
      <c r="F223" s="10" t="s">
        <v>348</v>
      </c>
      <c r="G223" s="10" t="s">
        <v>876</v>
      </c>
      <c r="H223" s="10" t="s">
        <v>877</v>
      </c>
      <c r="I223" s="10" t="s">
        <v>878</v>
      </c>
      <c r="J223" s="10" t="s">
        <v>343</v>
      </c>
      <c r="K223" s="20"/>
      <c r="L223" s="10" t="s">
        <v>749</v>
      </c>
      <c r="M223" s="10" t="s">
        <v>60</v>
      </c>
      <c r="N223" s="6"/>
      <c r="O223" s="6"/>
      <c r="P223" s="6"/>
      <c r="Q223" s="6"/>
      <c r="R223" s="6"/>
      <c r="S223" s="6"/>
      <c r="T223" s="6"/>
      <c r="U223" s="6"/>
      <c r="V223" s="6"/>
      <c r="W223" s="6"/>
      <c r="X223" s="6"/>
      <c r="Y223" s="6"/>
      <c r="Z223" s="6"/>
      <c r="AA223" s="6"/>
      <c r="AB223" s="6"/>
      <c r="AC223" s="6"/>
      <c r="AD223" s="6"/>
      <c r="AE223" s="6"/>
      <c r="AF223" s="6"/>
    </row>
    <row r="224">
      <c r="A224" s="10" t="s">
        <v>35</v>
      </c>
      <c r="B224" s="10" t="s">
        <v>28</v>
      </c>
      <c r="C224" s="14" t="s">
        <v>109</v>
      </c>
      <c r="D224" s="10" t="s">
        <v>844</v>
      </c>
      <c r="E224" s="10" t="s">
        <v>856</v>
      </c>
      <c r="F224" s="10" t="s">
        <v>757</v>
      </c>
      <c r="G224" s="10" t="s">
        <v>879</v>
      </c>
      <c r="H224" s="10" t="s">
        <v>880</v>
      </c>
      <c r="I224" s="10" t="s">
        <v>881</v>
      </c>
      <c r="J224" s="10" t="s">
        <v>326</v>
      </c>
      <c r="K224" s="10" t="str">
        <f t="shared" ref="K224:K227" si="37">CONCATENATE(C224," &gt; ",D224," &gt; ",E224," &gt; ",F224)</f>
        <v>Road &gt; Freight &gt; Heavy trucks &gt; Mode shift</v>
      </c>
      <c r="L224" s="10" t="str">
        <f t="shared" ref="L224:L227" si="38">CONCATENATE(C224," &gt; ",D224," &gt; ",E224," &gt; ",F224)</f>
        <v>Road &gt; Freight &gt; Heavy trucks &gt; Mode shift</v>
      </c>
      <c r="M224" s="10" t="s">
        <v>742</v>
      </c>
      <c r="N224" s="6"/>
      <c r="O224" s="6"/>
      <c r="P224" s="6"/>
      <c r="Q224" s="6"/>
      <c r="R224" s="6"/>
      <c r="S224" s="6"/>
      <c r="T224" s="6"/>
      <c r="U224" s="6"/>
      <c r="V224" s="6"/>
      <c r="W224" s="6"/>
      <c r="X224" s="6"/>
      <c r="Y224" s="6"/>
      <c r="Z224" s="6"/>
      <c r="AA224" s="6"/>
      <c r="AB224" s="6"/>
      <c r="AC224" s="6"/>
      <c r="AD224" s="6"/>
      <c r="AE224" s="6"/>
      <c r="AF224" s="6"/>
    </row>
    <row r="225">
      <c r="A225" s="10" t="s">
        <v>35</v>
      </c>
      <c r="B225" s="10" t="s">
        <v>28</v>
      </c>
      <c r="C225" s="14" t="s">
        <v>109</v>
      </c>
      <c r="D225" s="10" t="s">
        <v>844</v>
      </c>
      <c r="E225" s="10" t="s">
        <v>856</v>
      </c>
      <c r="F225" s="10" t="s">
        <v>757</v>
      </c>
      <c r="G225" s="10" t="s">
        <v>882</v>
      </c>
      <c r="H225" s="10" t="s">
        <v>883</v>
      </c>
      <c r="I225" s="10" t="s">
        <v>884</v>
      </c>
      <c r="J225" s="10" t="s">
        <v>326</v>
      </c>
      <c r="K225" s="10" t="str">
        <f t="shared" si="37"/>
        <v>Road &gt; Freight &gt; Heavy trucks &gt; Mode shift</v>
      </c>
      <c r="L225" s="10" t="str">
        <f t="shared" si="38"/>
        <v>Road &gt; Freight &gt; Heavy trucks &gt; Mode shift</v>
      </c>
      <c r="M225" s="10" t="s">
        <v>742</v>
      </c>
      <c r="N225" s="6"/>
      <c r="O225" s="6"/>
      <c r="P225" s="6"/>
      <c r="Q225" s="6"/>
      <c r="R225" s="6"/>
      <c r="S225" s="6"/>
      <c r="T225" s="6"/>
      <c r="U225" s="6"/>
      <c r="V225" s="6"/>
      <c r="W225" s="6"/>
      <c r="X225" s="6"/>
      <c r="Y225" s="6"/>
      <c r="Z225" s="6"/>
      <c r="AA225" s="6"/>
      <c r="AB225" s="6"/>
      <c r="AC225" s="6"/>
      <c r="AD225" s="6"/>
      <c r="AE225" s="6"/>
      <c r="AF225" s="6"/>
    </row>
    <row r="226">
      <c r="A226" s="10" t="s">
        <v>35</v>
      </c>
      <c r="B226" s="10" t="s">
        <v>28</v>
      </c>
      <c r="C226" s="14" t="s">
        <v>109</v>
      </c>
      <c r="D226" s="10" t="s">
        <v>844</v>
      </c>
      <c r="E226" s="10" t="s">
        <v>856</v>
      </c>
      <c r="F226" s="10" t="s">
        <v>59</v>
      </c>
      <c r="G226" s="10" t="s">
        <v>60</v>
      </c>
      <c r="H226" s="10" t="s">
        <v>885</v>
      </c>
      <c r="I226" s="10" t="s">
        <v>60</v>
      </c>
      <c r="J226" s="10" t="s">
        <v>65</v>
      </c>
      <c r="K226" s="10" t="str">
        <f t="shared" si="37"/>
        <v>Road &gt; Freight &gt; Heavy trucks &gt; Activity shift</v>
      </c>
      <c r="L226" s="10" t="str">
        <f t="shared" si="38"/>
        <v>Road &gt; Freight &gt; Heavy trucks &gt; Activity shift</v>
      </c>
      <c r="M226" s="10" t="s">
        <v>742</v>
      </c>
      <c r="N226" s="6"/>
      <c r="O226" s="6"/>
      <c r="P226" s="6"/>
      <c r="Q226" s="6"/>
      <c r="R226" s="6"/>
      <c r="S226" s="6"/>
      <c r="T226" s="6"/>
      <c r="U226" s="6"/>
      <c r="V226" s="6"/>
      <c r="W226" s="6"/>
      <c r="X226" s="6"/>
      <c r="Y226" s="6"/>
      <c r="Z226" s="6"/>
      <c r="AA226" s="6"/>
      <c r="AB226" s="6"/>
      <c r="AC226" s="6"/>
      <c r="AD226" s="6"/>
      <c r="AE226" s="6"/>
      <c r="AF226" s="6"/>
    </row>
    <row r="227">
      <c r="A227" s="10" t="s">
        <v>35</v>
      </c>
      <c r="B227" s="10" t="s">
        <v>28</v>
      </c>
      <c r="C227" s="14" t="s">
        <v>109</v>
      </c>
      <c r="D227" s="10" t="s">
        <v>844</v>
      </c>
      <c r="E227" s="10" t="s">
        <v>856</v>
      </c>
      <c r="F227" s="10" t="s">
        <v>332</v>
      </c>
      <c r="G227" s="10" t="s">
        <v>60</v>
      </c>
      <c r="H227" s="10" t="s">
        <v>886</v>
      </c>
      <c r="I227" s="10" t="s">
        <v>60</v>
      </c>
      <c r="J227" s="10" t="s">
        <v>65</v>
      </c>
      <c r="K227" s="10" t="str">
        <f t="shared" si="37"/>
        <v>Road &gt; Freight &gt; Heavy trucks &gt; Technology shift</v>
      </c>
      <c r="L227" s="10" t="str">
        <f t="shared" si="38"/>
        <v>Road &gt; Freight &gt; Heavy trucks &gt; Technology shift</v>
      </c>
      <c r="M227" s="10" t="s">
        <v>742</v>
      </c>
      <c r="N227" s="6"/>
      <c r="O227" s="6"/>
      <c r="P227" s="6"/>
      <c r="Q227" s="6"/>
      <c r="R227" s="6"/>
      <c r="S227" s="6"/>
      <c r="T227" s="6"/>
      <c r="U227" s="6"/>
      <c r="V227" s="6"/>
      <c r="W227" s="6"/>
      <c r="X227" s="6"/>
      <c r="Y227" s="6"/>
      <c r="Z227" s="6"/>
      <c r="AA227" s="6"/>
      <c r="AB227" s="6"/>
      <c r="AC227" s="6"/>
      <c r="AD227" s="6"/>
      <c r="AE227" s="6"/>
      <c r="AF227" s="6"/>
    </row>
    <row r="228">
      <c r="A228" s="10" t="s">
        <v>35</v>
      </c>
      <c r="B228" s="10" t="s">
        <v>28</v>
      </c>
      <c r="C228" s="14" t="s">
        <v>114</v>
      </c>
      <c r="D228" s="10" t="s">
        <v>831</v>
      </c>
      <c r="E228" s="20"/>
      <c r="F228" s="10" t="s">
        <v>322</v>
      </c>
      <c r="G228" s="10" t="s">
        <v>887</v>
      </c>
      <c r="H228" s="10" t="s">
        <v>888</v>
      </c>
      <c r="I228" s="10" t="s">
        <v>805</v>
      </c>
      <c r="J228" s="10" t="s">
        <v>343</v>
      </c>
      <c r="K228" s="20"/>
      <c r="L228" s="10" t="s">
        <v>344</v>
      </c>
      <c r="M228" s="10" t="s">
        <v>60</v>
      </c>
      <c r="N228" s="6"/>
      <c r="O228" s="6"/>
      <c r="P228" s="6"/>
      <c r="Q228" s="6"/>
      <c r="R228" s="6"/>
      <c r="S228" s="6"/>
      <c r="T228" s="6"/>
      <c r="U228" s="6"/>
      <c r="V228" s="6"/>
      <c r="W228" s="6"/>
      <c r="X228" s="6"/>
      <c r="Y228" s="6"/>
      <c r="Z228" s="6"/>
      <c r="AA228" s="6"/>
      <c r="AB228" s="6"/>
      <c r="AC228" s="6"/>
      <c r="AD228" s="6"/>
      <c r="AE228" s="6"/>
      <c r="AF228" s="6"/>
    </row>
    <row r="229">
      <c r="A229" s="10" t="s">
        <v>35</v>
      </c>
      <c r="B229" s="10" t="s">
        <v>28</v>
      </c>
      <c r="C229" s="14" t="s">
        <v>114</v>
      </c>
      <c r="D229" s="10" t="s">
        <v>813</v>
      </c>
      <c r="E229" s="20"/>
      <c r="F229" s="10" t="s">
        <v>322</v>
      </c>
      <c r="G229" s="10" t="s">
        <v>889</v>
      </c>
      <c r="H229" s="10" t="s">
        <v>890</v>
      </c>
      <c r="I229" s="10" t="s">
        <v>891</v>
      </c>
      <c r="J229" s="10" t="s">
        <v>326</v>
      </c>
      <c r="K229" s="10" t="str">
        <f t="shared" ref="K229:K230" si="39">CONCATENATE(C229," &gt; ",D229," &gt; ",E229," &gt; ",F229)</f>
        <v>Rail &gt; Public transit &gt;  &gt; Fuel shift</v>
      </c>
      <c r="L229" s="10" t="str">
        <f t="shared" ref="L229:L230" si="40">CONCATENATE(C229," &gt; ",D229," &gt; ",E229," &gt; ",F229)</f>
        <v>Rail &gt; Public transit &gt;  &gt; Fuel shift</v>
      </c>
      <c r="M229" s="10" t="s">
        <v>60</v>
      </c>
      <c r="N229" s="6"/>
      <c r="O229" s="6"/>
      <c r="P229" s="6"/>
      <c r="Q229" s="6"/>
      <c r="R229" s="6"/>
      <c r="S229" s="6"/>
      <c r="T229" s="6"/>
      <c r="U229" s="6"/>
      <c r="V229" s="6"/>
      <c r="W229" s="6"/>
      <c r="X229" s="6"/>
      <c r="Y229" s="6"/>
      <c r="Z229" s="6"/>
      <c r="AA229" s="6"/>
      <c r="AB229" s="6"/>
      <c r="AC229" s="6"/>
      <c r="AD229" s="6"/>
      <c r="AE229" s="6"/>
      <c r="AF229" s="6"/>
    </row>
    <row r="230">
      <c r="A230" s="10" t="s">
        <v>35</v>
      </c>
      <c r="B230" s="10" t="s">
        <v>28</v>
      </c>
      <c r="C230" s="14" t="s">
        <v>114</v>
      </c>
      <c r="D230" s="10" t="s">
        <v>813</v>
      </c>
      <c r="E230" s="20"/>
      <c r="F230" s="10" t="s">
        <v>59</v>
      </c>
      <c r="G230" s="10" t="s">
        <v>60</v>
      </c>
      <c r="H230" s="10" t="s">
        <v>892</v>
      </c>
      <c r="I230" s="10" t="s">
        <v>60</v>
      </c>
      <c r="J230" s="10" t="s">
        <v>65</v>
      </c>
      <c r="K230" s="10" t="str">
        <f t="shared" si="39"/>
        <v>Rail &gt; Public transit &gt;  &gt; Activity shift</v>
      </c>
      <c r="L230" s="10" t="str">
        <f t="shared" si="40"/>
        <v>Rail &gt; Public transit &gt;  &gt; Activity shift</v>
      </c>
      <c r="M230" s="10" t="s">
        <v>60</v>
      </c>
      <c r="N230" s="6"/>
      <c r="O230" s="6"/>
      <c r="P230" s="6"/>
      <c r="Q230" s="6"/>
      <c r="R230" s="6"/>
      <c r="S230" s="6"/>
      <c r="T230" s="6"/>
      <c r="U230" s="6"/>
      <c r="V230" s="6"/>
      <c r="W230" s="6"/>
      <c r="X230" s="6"/>
      <c r="Y230" s="6"/>
      <c r="Z230" s="6"/>
      <c r="AA230" s="6"/>
      <c r="AB230" s="6"/>
      <c r="AC230" s="6"/>
      <c r="AD230" s="6"/>
      <c r="AE230" s="6"/>
      <c r="AF230" s="6"/>
    </row>
    <row r="231">
      <c r="A231" s="10" t="s">
        <v>35</v>
      </c>
      <c r="B231" s="10" t="s">
        <v>28</v>
      </c>
      <c r="C231" s="14" t="s">
        <v>114</v>
      </c>
      <c r="D231" s="10" t="s">
        <v>831</v>
      </c>
      <c r="E231" s="20"/>
      <c r="F231" s="10" t="s">
        <v>322</v>
      </c>
      <c r="G231" s="10" t="s">
        <v>893</v>
      </c>
      <c r="H231" s="10" t="s">
        <v>894</v>
      </c>
      <c r="I231" s="10" t="s">
        <v>895</v>
      </c>
      <c r="J231" s="10" t="s">
        <v>343</v>
      </c>
      <c r="K231" s="20"/>
      <c r="L231" s="10" t="s">
        <v>640</v>
      </c>
      <c r="M231" s="10" t="s">
        <v>60</v>
      </c>
      <c r="N231" s="6"/>
      <c r="O231" s="6"/>
      <c r="P231" s="6"/>
      <c r="Q231" s="6"/>
      <c r="R231" s="6"/>
      <c r="S231" s="6"/>
      <c r="T231" s="6"/>
      <c r="U231" s="6"/>
      <c r="V231" s="6"/>
      <c r="W231" s="6"/>
      <c r="X231" s="6"/>
      <c r="Y231" s="6"/>
      <c r="Z231" s="6"/>
      <c r="AA231" s="6"/>
      <c r="AB231" s="6"/>
      <c r="AC231" s="6"/>
      <c r="AD231" s="6"/>
      <c r="AE231" s="6"/>
      <c r="AF231" s="6"/>
    </row>
    <row r="232">
      <c r="A232" s="10" t="s">
        <v>35</v>
      </c>
      <c r="B232" s="10" t="s">
        <v>28</v>
      </c>
      <c r="C232" s="14" t="s">
        <v>114</v>
      </c>
      <c r="D232" s="10" t="s">
        <v>844</v>
      </c>
      <c r="E232" s="20"/>
      <c r="F232" s="10" t="s">
        <v>322</v>
      </c>
      <c r="G232" s="10" t="s">
        <v>896</v>
      </c>
      <c r="H232" s="10" t="s">
        <v>897</v>
      </c>
      <c r="I232" s="10" t="s">
        <v>805</v>
      </c>
      <c r="J232" s="10" t="s">
        <v>343</v>
      </c>
      <c r="K232" s="20"/>
      <c r="L232" s="10" t="s">
        <v>344</v>
      </c>
      <c r="M232" s="10" t="s">
        <v>60</v>
      </c>
      <c r="N232" s="6"/>
      <c r="O232" s="6"/>
      <c r="P232" s="6"/>
      <c r="Q232" s="6"/>
      <c r="R232" s="6"/>
      <c r="S232" s="6"/>
      <c r="T232" s="6"/>
      <c r="U232" s="6"/>
      <c r="V232" s="6"/>
      <c r="W232" s="6"/>
      <c r="X232" s="6"/>
      <c r="Y232" s="6"/>
      <c r="Z232" s="6"/>
      <c r="AA232" s="6"/>
      <c r="AB232" s="6"/>
      <c r="AC232" s="6"/>
      <c r="AD232" s="6"/>
      <c r="AE232" s="6"/>
      <c r="AF232" s="6"/>
    </row>
    <row r="233">
      <c r="A233" s="10" t="s">
        <v>35</v>
      </c>
      <c r="B233" s="10" t="s">
        <v>28</v>
      </c>
      <c r="C233" s="14" t="s">
        <v>114</v>
      </c>
      <c r="D233" s="10" t="s">
        <v>844</v>
      </c>
      <c r="E233" s="20"/>
      <c r="F233" s="10" t="s">
        <v>322</v>
      </c>
      <c r="G233" s="10" t="s">
        <v>898</v>
      </c>
      <c r="H233" s="10" t="s">
        <v>899</v>
      </c>
      <c r="I233" s="10" t="s">
        <v>900</v>
      </c>
      <c r="J233" s="10" t="s">
        <v>326</v>
      </c>
      <c r="K233" s="10" t="str">
        <f>CONCATENATE(C233," &gt; ",D233," &gt; ",E233," &gt; ",F233)</f>
        <v>Rail &gt; Freight &gt;  &gt; Fuel shift</v>
      </c>
      <c r="L233" s="10" t="str">
        <f>CONCATENATE(C233," &gt; ",D233," &gt; ",E233," &gt; ",F233)</f>
        <v>Rail &gt; Freight &gt;  &gt; Fuel shift</v>
      </c>
      <c r="M233" s="10" t="s">
        <v>60</v>
      </c>
      <c r="N233" s="6"/>
      <c r="O233" s="6"/>
      <c r="P233" s="6"/>
      <c r="Q233" s="6"/>
      <c r="R233" s="6"/>
      <c r="S233" s="6"/>
      <c r="T233" s="6"/>
      <c r="U233" s="6"/>
      <c r="V233" s="6"/>
      <c r="W233" s="6"/>
      <c r="X233" s="6"/>
      <c r="Y233" s="6"/>
      <c r="Z233" s="6"/>
      <c r="AA233" s="6"/>
      <c r="AB233" s="6"/>
      <c r="AC233" s="6"/>
      <c r="AD233" s="6"/>
      <c r="AE233" s="6"/>
      <c r="AF233" s="6"/>
    </row>
    <row r="234">
      <c r="A234" s="10" t="s">
        <v>35</v>
      </c>
      <c r="B234" s="10" t="s">
        <v>28</v>
      </c>
      <c r="C234" s="14" t="s">
        <v>114</v>
      </c>
      <c r="D234" s="10" t="s">
        <v>844</v>
      </c>
      <c r="E234" s="20"/>
      <c r="F234" s="10" t="s">
        <v>322</v>
      </c>
      <c r="G234" s="10" t="s">
        <v>901</v>
      </c>
      <c r="H234" s="10" t="s">
        <v>902</v>
      </c>
      <c r="I234" s="10" t="s">
        <v>903</v>
      </c>
      <c r="J234" s="10" t="s">
        <v>343</v>
      </c>
      <c r="K234" s="20"/>
      <c r="L234" s="10" t="s">
        <v>640</v>
      </c>
      <c r="M234" s="10" t="s">
        <v>60</v>
      </c>
      <c r="N234" s="6"/>
      <c r="O234" s="6"/>
      <c r="P234" s="6"/>
      <c r="Q234" s="6"/>
      <c r="R234" s="6"/>
      <c r="S234" s="6"/>
      <c r="T234" s="6"/>
      <c r="U234" s="6"/>
      <c r="V234" s="6"/>
      <c r="W234" s="6"/>
      <c r="X234" s="6"/>
      <c r="Y234" s="6"/>
      <c r="Z234" s="6"/>
      <c r="AA234" s="6"/>
      <c r="AB234" s="6"/>
      <c r="AC234" s="6"/>
      <c r="AD234" s="6"/>
      <c r="AE234" s="6"/>
      <c r="AF234" s="6"/>
    </row>
    <row r="235">
      <c r="A235" s="10" t="s">
        <v>35</v>
      </c>
      <c r="B235" s="10" t="s">
        <v>28</v>
      </c>
      <c r="C235" s="14" t="s">
        <v>109</v>
      </c>
      <c r="D235" s="10" t="s">
        <v>844</v>
      </c>
      <c r="E235" s="10" t="s">
        <v>904</v>
      </c>
      <c r="F235" s="10" t="s">
        <v>322</v>
      </c>
      <c r="G235" s="27" t="s">
        <v>905</v>
      </c>
      <c r="H235" s="10" t="s">
        <v>906</v>
      </c>
      <c r="I235" s="10" t="s">
        <v>907</v>
      </c>
      <c r="J235" s="10" t="s">
        <v>326</v>
      </c>
      <c r="K235" s="10" t="str">
        <f>CONCATENATE(C235," &gt; ",D235," &gt; ",E235," &gt; ",F235)</f>
        <v>Road &gt; Freight &gt; Trucks &gt; Fuel shift</v>
      </c>
      <c r="L235" s="10" t="str">
        <f>CONCATENATE(C235," &gt; ",D235," &gt; ",E235," &gt; ",F235)</f>
        <v>Road &gt; Freight &gt; Trucks &gt; Fuel shift</v>
      </c>
      <c r="M235" s="10" t="s">
        <v>742</v>
      </c>
      <c r="N235" s="6"/>
      <c r="O235" s="6"/>
      <c r="P235" s="6"/>
      <c r="Q235" s="6"/>
      <c r="R235" s="6"/>
      <c r="S235" s="6"/>
      <c r="T235" s="6"/>
      <c r="U235" s="6"/>
      <c r="V235" s="6"/>
      <c r="W235" s="6"/>
      <c r="X235" s="6"/>
      <c r="Y235" s="6"/>
      <c r="Z235" s="6"/>
      <c r="AA235" s="6"/>
      <c r="AB235" s="6"/>
      <c r="AC235" s="6"/>
      <c r="AD235" s="6"/>
      <c r="AE235" s="6"/>
      <c r="AF235" s="6"/>
    </row>
    <row r="236">
      <c r="A236" s="10" t="s">
        <v>35</v>
      </c>
      <c r="B236" s="10" t="s">
        <v>28</v>
      </c>
      <c r="C236" s="14" t="s">
        <v>109</v>
      </c>
      <c r="D236" s="10" t="s">
        <v>844</v>
      </c>
      <c r="E236" s="10" t="s">
        <v>904</v>
      </c>
      <c r="F236" s="10" t="s">
        <v>322</v>
      </c>
      <c r="G236" s="27" t="s">
        <v>908</v>
      </c>
      <c r="H236" s="10" t="s">
        <v>909</v>
      </c>
      <c r="I236" s="10" t="s">
        <v>805</v>
      </c>
      <c r="J236" s="10" t="s">
        <v>343</v>
      </c>
      <c r="K236" s="20"/>
      <c r="L236" s="10" t="s">
        <v>344</v>
      </c>
      <c r="M236" s="10" t="s">
        <v>60</v>
      </c>
      <c r="N236" s="6"/>
      <c r="O236" s="6"/>
      <c r="P236" s="6"/>
      <c r="Q236" s="6"/>
      <c r="R236" s="6"/>
      <c r="S236" s="6"/>
      <c r="T236" s="6"/>
      <c r="U236" s="6"/>
      <c r="V236" s="6"/>
      <c r="W236" s="6"/>
      <c r="X236" s="6"/>
      <c r="Y236" s="6"/>
      <c r="Z236" s="6"/>
      <c r="AA236" s="6"/>
      <c r="AB236" s="6"/>
      <c r="AC236" s="6"/>
      <c r="AD236" s="6"/>
      <c r="AE236" s="6"/>
      <c r="AF236" s="6"/>
    </row>
    <row r="237">
      <c r="A237" s="10" t="s">
        <v>35</v>
      </c>
      <c r="B237" s="10" t="s">
        <v>28</v>
      </c>
      <c r="C237" s="14" t="s">
        <v>109</v>
      </c>
      <c r="D237" s="10" t="s">
        <v>844</v>
      </c>
      <c r="E237" s="10" t="s">
        <v>904</v>
      </c>
      <c r="F237" s="10" t="s">
        <v>322</v>
      </c>
      <c r="G237" s="27" t="s">
        <v>910</v>
      </c>
      <c r="H237" s="10" t="s">
        <v>911</v>
      </c>
      <c r="I237" s="10" t="s">
        <v>769</v>
      </c>
      <c r="J237" s="10" t="s">
        <v>343</v>
      </c>
      <c r="K237" s="20"/>
      <c r="L237" s="10" t="s">
        <v>344</v>
      </c>
      <c r="M237" s="10" t="s">
        <v>60</v>
      </c>
      <c r="N237" s="6"/>
      <c r="O237" s="6"/>
      <c r="P237" s="6"/>
      <c r="Q237" s="6"/>
      <c r="R237" s="6"/>
      <c r="S237" s="6"/>
      <c r="T237" s="6"/>
      <c r="U237" s="6"/>
      <c r="V237" s="6"/>
      <c r="W237" s="6"/>
      <c r="X237" s="6"/>
      <c r="Y237" s="6"/>
      <c r="Z237" s="6"/>
      <c r="AA237" s="6"/>
      <c r="AB237" s="6"/>
      <c r="AC237" s="6"/>
      <c r="AD237" s="6"/>
      <c r="AE237" s="6"/>
      <c r="AF237" s="6"/>
    </row>
    <row r="238">
      <c r="A238" s="10" t="s">
        <v>35</v>
      </c>
      <c r="B238" s="10" t="s">
        <v>28</v>
      </c>
      <c r="C238" s="14" t="s">
        <v>109</v>
      </c>
      <c r="D238" s="10" t="s">
        <v>844</v>
      </c>
      <c r="E238" s="10" t="s">
        <v>904</v>
      </c>
      <c r="F238" s="10" t="s">
        <v>322</v>
      </c>
      <c r="G238" s="27" t="s">
        <v>912</v>
      </c>
      <c r="H238" s="10" t="s">
        <v>913</v>
      </c>
      <c r="I238" s="10" t="s">
        <v>914</v>
      </c>
      <c r="J238" s="10" t="s">
        <v>343</v>
      </c>
      <c r="K238" s="20"/>
      <c r="L238" s="10" t="s">
        <v>640</v>
      </c>
      <c r="M238" s="10" t="s">
        <v>60</v>
      </c>
      <c r="N238" s="6"/>
      <c r="O238" s="6"/>
      <c r="P238" s="6"/>
      <c r="Q238" s="6"/>
      <c r="R238" s="6"/>
      <c r="S238" s="6"/>
      <c r="T238" s="6"/>
      <c r="U238" s="6"/>
      <c r="V238" s="6"/>
      <c r="W238" s="6"/>
      <c r="X238" s="6"/>
      <c r="Y238" s="6"/>
      <c r="Z238" s="6"/>
      <c r="AA238" s="6"/>
      <c r="AB238" s="6"/>
      <c r="AC238" s="6"/>
      <c r="AD238" s="6"/>
      <c r="AE238" s="6"/>
      <c r="AF238" s="6"/>
    </row>
    <row r="239">
      <c r="A239" s="10" t="s">
        <v>35</v>
      </c>
      <c r="B239" s="10" t="s">
        <v>28</v>
      </c>
      <c r="C239" s="14" t="s">
        <v>109</v>
      </c>
      <c r="D239" s="10" t="s">
        <v>844</v>
      </c>
      <c r="E239" s="10" t="s">
        <v>904</v>
      </c>
      <c r="F239" s="10" t="s">
        <v>348</v>
      </c>
      <c r="G239" s="27" t="s">
        <v>915</v>
      </c>
      <c r="H239" s="10" t="s">
        <v>916</v>
      </c>
      <c r="I239" s="10" t="s">
        <v>917</v>
      </c>
      <c r="J239" s="10" t="s">
        <v>343</v>
      </c>
      <c r="K239" s="20"/>
      <c r="L239" s="10" t="s">
        <v>749</v>
      </c>
      <c r="M239" s="10" t="s">
        <v>60</v>
      </c>
      <c r="N239" s="6"/>
      <c r="O239" s="6"/>
      <c r="P239" s="6"/>
      <c r="Q239" s="6"/>
      <c r="R239" s="6"/>
      <c r="S239" s="6"/>
      <c r="T239" s="6"/>
      <c r="U239" s="6"/>
      <c r="V239" s="6"/>
      <c r="W239" s="6"/>
      <c r="X239" s="6"/>
      <c r="Y239" s="6"/>
      <c r="Z239" s="6"/>
      <c r="AA239" s="6"/>
      <c r="AB239" s="6"/>
      <c r="AC239" s="6"/>
      <c r="AD239" s="6"/>
      <c r="AE239" s="6"/>
      <c r="AF239" s="6"/>
    </row>
    <row r="240">
      <c r="A240" s="10" t="s">
        <v>35</v>
      </c>
      <c r="B240" s="10" t="s">
        <v>28</v>
      </c>
      <c r="C240" s="14" t="s">
        <v>109</v>
      </c>
      <c r="D240" s="10" t="s">
        <v>844</v>
      </c>
      <c r="E240" s="10" t="s">
        <v>904</v>
      </c>
      <c r="F240" s="10" t="s">
        <v>322</v>
      </c>
      <c r="G240" s="27" t="s">
        <v>918</v>
      </c>
      <c r="H240" s="10" t="s">
        <v>919</v>
      </c>
      <c r="I240" s="10" t="s">
        <v>920</v>
      </c>
      <c r="J240" s="10" t="s">
        <v>326</v>
      </c>
      <c r="K240" s="10" t="str">
        <f t="shared" ref="K240:K242" si="41">CONCATENATE(C240," &gt; ",D240," &gt; ",E240," &gt; ",F240)</f>
        <v>Road &gt; Freight &gt; Trucks &gt; Fuel shift</v>
      </c>
      <c r="L240" s="10" t="str">
        <f t="shared" ref="L240:L242" si="42">CONCATENATE(C240," &gt; ",D240," &gt; ",E240," &gt; ",F240)</f>
        <v>Road &gt; Freight &gt; Trucks &gt; Fuel shift</v>
      </c>
      <c r="M240" s="10" t="s">
        <v>742</v>
      </c>
      <c r="N240" s="6"/>
      <c r="O240" s="6"/>
      <c r="P240" s="6"/>
      <c r="Q240" s="6"/>
      <c r="R240" s="6"/>
      <c r="S240" s="6"/>
      <c r="T240" s="6"/>
      <c r="U240" s="6"/>
      <c r="V240" s="6"/>
      <c r="W240" s="6"/>
      <c r="X240" s="6"/>
      <c r="Y240" s="6"/>
      <c r="Z240" s="6"/>
      <c r="AA240" s="6"/>
      <c r="AB240" s="6"/>
      <c r="AC240" s="6"/>
      <c r="AD240" s="6"/>
      <c r="AE240" s="6"/>
      <c r="AF240" s="6"/>
    </row>
    <row r="241">
      <c r="A241" s="10" t="s">
        <v>35</v>
      </c>
      <c r="B241" s="10" t="s">
        <v>28</v>
      </c>
      <c r="C241" s="14" t="s">
        <v>109</v>
      </c>
      <c r="D241" s="10" t="s">
        <v>844</v>
      </c>
      <c r="E241" s="10" t="s">
        <v>904</v>
      </c>
      <c r="F241" s="10" t="s">
        <v>59</v>
      </c>
      <c r="G241" s="27" t="s">
        <v>921</v>
      </c>
      <c r="H241" s="10" t="s">
        <v>922</v>
      </c>
      <c r="I241" s="10" t="s">
        <v>923</v>
      </c>
      <c r="J241" s="10" t="s">
        <v>326</v>
      </c>
      <c r="K241" s="10" t="str">
        <f t="shared" si="41"/>
        <v>Road &gt; Freight &gt; Trucks &gt; Activity shift</v>
      </c>
      <c r="L241" s="10" t="str">
        <f t="shared" si="42"/>
        <v>Road &gt; Freight &gt; Trucks &gt; Activity shift</v>
      </c>
      <c r="M241" s="10" t="s">
        <v>742</v>
      </c>
      <c r="N241" s="6"/>
      <c r="O241" s="6"/>
      <c r="P241" s="6"/>
      <c r="Q241" s="6"/>
      <c r="R241" s="6"/>
      <c r="S241" s="6"/>
      <c r="T241" s="6"/>
      <c r="U241" s="6"/>
      <c r="V241" s="6"/>
      <c r="W241" s="6"/>
      <c r="X241" s="6"/>
      <c r="Y241" s="6"/>
      <c r="Z241" s="6"/>
      <c r="AA241" s="6"/>
      <c r="AB241" s="6"/>
      <c r="AC241" s="6"/>
      <c r="AD241" s="6"/>
      <c r="AE241" s="6"/>
      <c r="AF241" s="6"/>
    </row>
    <row r="242">
      <c r="A242" s="10" t="s">
        <v>35</v>
      </c>
      <c r="B242" s="10" t="s">
        <v>28</v>
      </c>
      <c r="C242" s="14" t="s">
        <v>109</v>
      </c>
      <c r="D242" s="10" t="s">
        <v>844</v>
      </c>
      <c r="E242" s="10" t="s">
        <v>904</v>
      </c>
      <c r="F242" s="10" t="s">
        <v>332</v>
      </c>
      <c r="G242" s="10" t="s">
        <v>924</v>
      </c>
      <c r="H242" s="10" t="s">
        <v>925</v>
      </c>
      <c r="I242" s="10" t="s">
        <v>926</v>
      </c>
      <c r="J242" s="10" t="s">
        <v>326</v>
      </c>
      <c r="K242" s="10" t="str">
        <f t="shared" si="41"/>
        <v>Road &gt; Freight &gt; Trucks &gt; Technology shift</v>
      </c>
      <c r="L242" s="10" t="str">
        <f t="shared" si="42"/>
        <v>Road &gt; Freight &gt; Trucks &gt; Technology shift</v>
      </c>
      <c r="M242" s="10" t="s">
        <v>742</v>
      </c>
      <c r="N242" s="6"/>
      <c r="O242" s="6"/>
      <c r="P242" s="6"/>
      <c r="Q242" s="6"/>
      <c r="R242" s="6"/>
      <c r="S242" s="6"/>
      <c r="T242" s="6"/>
      <c r="U242" s="6"/>
      <c r="V242" s="6"/>
      <c r="W242" s="6"/>
      <c r="X242" s="6"/>
      <c r="Y242" s="6"/>
      <c r="Z242" s="6"/>
      <c r="AA242" s="6"/>
      <c r="AB242" s="6"/>
      <c r="AC242" s="6"/>
      <c r="AD242" s="6"/>
      <c r="AE242" s="6"/>
      <c r="AF242" s="6"/>
    </row>
    <row r="243">
      <c r="A243" s="10" t="s">
        <v>35</v>
      </c>
      <c r="B243" s="10" t="s">
        <v>28</v>
      </c>
      <c r="C243" s="14" t="s">
        <v>109</v>
      </c>
      <c r="D243" s="10" t="s">
        <v>844</v>
      </c>
      <c r="E243" s="10" t="s">
        <v>904</v>
      </c>
      <c r="F243" s="10" t="s">
        <v>348</v>
      </c>
      <c r="G243" s="10" t="s">
        <v>927</v>
      </c>
      <c r="H243" s="10" t="s">
        <v>928</v>
      </c>
      <c r="I243" s="10" t="s">
        <v>929</v>
      </c>
      <c r="J243" s="10" t="s">
        <v>343</v>
      </c>
      <c r="K243" s="20"/>
      <c r="L243" s="10" t="s">
        <v>749</v>
      </c>
      <c r="M243" s="10" t="s">
        <v>60</v>
      </c>
      <c r="N243" s="6"/>
      <c r="O243" s="6"/>
      <c r="P243" s="6"/>
      <c r="Q243" s="6"/>
      <c r="R243" s="6"/>
      <c r="S243" s="6"/>
      <c r="T243" s="6"/>
      <c r="U243" s="6"/>
      <c r="V243" s="6"/>
      <c r="W243" s="6"/>
      <c r="X243" s="6"/>
      <c r="Y243" s="6"/>
      <c r="Z243" s="6"/>
      <c r="AA243" s="6"/>
      <c r="AB243" s="6"/>
      <c r="AC243" s="6"/>
      <c r="AD243" s="6"/>
      <c r="AE243" s="6"/>
      <c r="AF243" s="6"/>
    </row>
    <row r="244">
      <c r="A244" s="10" t="s">
        <v>35</v>
      </c>
      <c r="B244" s="10" t="s">
        <v>28</v>
      </c>
      <c r="C244" s="14" t="s">
        <v>109</v>
      </c>
      <c r="D244" s="10" t="s">
        <v>844</v>
      </c>
      <c r="E244" s="10" t="s">
        <v>904</v>
      </c>
      <c r="F244" s="10" t="s">
        <v>757</v>
      </c>
      <c r="G244" s="10" t="s">
        <v>930</v>
      </c>
      <c r="H244" s="10" t="s">
        <v>931</v>
      </c>
      <c r="I244" s="10" t="s">
        <v>932</v>
      </c>
      <c r="J244" s="10" t="s">
        <v>326</v>
      </c>
      <c r="K244" s="10" t="str">
        <f t="shared" ref="K244:K245" si="43">CONCATENATE(C244," &gt; ",D244," &gt; ",E244," &gt; ",F244)</f>
        <v>Road &gt; Freight &gt; Trucks &gt; Mode shift</v>
      </c>
      <c r="L244" s="10" t="str">
        <f t="shared" ref="L244:L245" si="44">CONCATENATE(C244," &gt; ",D244," &gt; ",E244," &gt; ",F244)</f>
        <v>Road &gt; Freight &gt; Trucks &gt; Mode shift</v>
      </c>
      <c r="M244" s="10" t="s">
        <v>742</v>
      </c>
      <c r="N244" s="6"/>
      <c r="O244" s="6"/>
      <c r="P244" s="6"/>
      <c r="Q244" s="6"/>
      <c r="R244" s="6"/>
      <c r="S244" s="6"/>
      <c r="T244" s="6"/>
      <c r="U244" s="6"/>
      <c r="V244" s="6"/>
      <c r="W244" s="6"/>
      <c r="X244" s="6"/>
      <c r="Y244" s="6"/>
      <c r="Z244" s="6"/>
      <c r="AA244" s="6"/>
      <c r="AB244" s="6"/>
      <c r="AC244" s="6"/>
      <c r="AD244" s="6"/>
      <c r="AE244" s="6"/>
      <c r="AF244" s="6"/>
    </row>
    <row r="245">
      <c r="A245" s="10" t="s">
        <v>35</v>
      </c>
      <c r="B245" s="10" t="s">
        <v>28</v>
      </c>
      <c r="C245" s="14" t="s">
        <v>109</v>
      </c>
      <c r="D245" s="10" t="s">
        <v>844</v>
      </c>
      <c r="E245" s="10" t="s">
        <v>904</v>
      </c>
      <c r="F245" s="10" t="s">
        <v>332</v>
      </c>
      <c r="G245" s="10" t="s">
        <v>60</v>
      </c>
      <c r="H245" s="10" t="s">
        <v>933</v>
      </c>
      <c r="I245" s="10" t="s">
        <v>60</v>
      </c>
      <c r="J245" s="10" t="s">
        <v>65</v>
      </c>
      <c r="K245" s="10" t="str">
        <f t="shared" si="43"/>
        <v>Road &gt; Freight &gt; Trucks &gt; Technology shift</v>
      </c>
      <c r="L245" s="10" t="str">
        <f t="shared" si="44"/>
        <v>Road &gt; Freight &gt; Trucks &gt; Technology shift</v>
      </c>
      <c r="M245" s="10" t="s">
        <v>742</v>
      </c>
      <c r="N245" s="6"/>
      <c r="O245" s="6"/>
      <c r="P245" s="6"/>
      <c r="Q245" s="6"/>
      <c r="R245" s="6"/>
      <c r="S245" s="6"/>
      <c r="T245" s="6"/>
      <c r="U245" s="6"/>
      <c r="V245" s="6"/>
      <c r="W245" s="6"/>
      <c r="X245" s="6"/>
      <c r="Y245" s="6"/>
      <c r="Z245" s="6"/>
      <c r="AA245" s="6"/>
      <c r="AB245" s="6"/>
      <c r="AC245" s="6"/>
      <c r="AD245" s="6"/>
      <c r="AE245" s="6"/>
      <c r="AF245" s="6"/>
    </row>
    <row r="246">
      <c r="A246" s="10" t="s">
        <v>35</v>
      </c>
      <c r="B246" s="10" t="s">
        <v>28</v>
      </c>
      <c r="C246" s="14" t="s">
        <v>115</v>
      </c>
      <c r="D246" s="10" t="s">
        <v>831</v>
      </c>
      <c r="E246" s="20"/>
      <c r="F246" s="10" t="s">
        <v>322</v>
      </c>
      <c r="G246" s="10" t="s">
        <v>934</v>
      </c>
      <c r="H246" s="10" t="s">
        <v>935</v>
      </c>
      <c r="I246" s="10" t="s">
        <v>936</v>
      </c>
      <c r="J246" s="10" t="s">
        <v>343</v>
      </c>
      <c r="K246" s="20"/>
      <c r="L246" s="10" t="s">
        <v>937</v>
      </c>
      <c r="M246" s="10" t="s">
        <v>60</v>
      </c>
      <c r="N246" s="6"/>
      <c r="O246" s="6"/>
      <c r="P246" s="6"/>
      <c r="Q246" s="6"/>
      <c r="R246" s="6"/>
      <c r="S246" s="6"/>
      <c r="T246" s="6"/>
      <c r="U246" s="6"/>
      <c r="V246" s="6"/>
      <c r="W246" s="6"/>
      <c r="X246" s="6"/>
      <c r="Y246" s="6"/>
      <c r="Z246" s="6"/>
      <c r="AA246" s="6"/>
      <c r="AB246" s="6"/>
      <c r="AC246" s="6"/>
      <c r="AD246" s="6"/>
      <c r="AE246" s="6"/>
      <c r="AF246" s="6"/>
    </row>
    <row r="247">
      <c r="A247" s="10" t="s">
        <v>35</v>
      </c>
      <c r="B247" s="10" t="s">
        <v>28</v>
      </c>
      <c r="C247" s="14" t="s">
        <v>115</v>
      </c>
      <c r="D247" s="10" t="s">
        <v>813</v>
      </c>
      <c r="E247" s="20"/>
      <c r="F247" s="10" t="s">
        <v>332</v>
      </c>
      <c r="G247" s="10" t="s">
        <v>938</v>
      </c>
      <c r="H247" s="10" t="s">
        <v>939</v>
      </c>
      <c r="I247" s="10" t="s">
        <v>940</v>
      </c>
      <c r="J247" s="10" t="s">
        <v>326</v>
      </c>
      <c r="K247" s="10" t="str">
        <f>CONCATENATE(C247," &gt; ",D247," &gt; ",E247," &gt; ",F247)</f>
        <v>Water &gt; Public transit &gt;  &gt; Technology shift</v>
      </c>
      <c r="L247" s="10" t="str">
        <f>CONCATENATE(C247," &gt; ",D247," &gt; ",E247," &gt; ",F247)</f>
        <v>Water &gt; Public transit &gt;  &gt; Technology shift</v>
      </c>
      <c r="M247" s="10" t="s">
        <v>60</v>
      </c>
      <c r="N247" s="6"/>
      <c r="O247" s="6"/>
      <c r="P247" s="6"/>
      <c r="Q247" s="6"/>
      <c r="R247" s="6"/>
      <c r="S247" s="6"/>
      <c r="T247" s="6"/>
      <c r="U247" s="6"/>
      <c r="V247" s="6"/>
      <c r="W247" s="6"/>
      <c r="X247" s="6"/>
      <c r="Y247" s="6"/>
      <c r="Z247" s="6"/>
      <c r="AA247" s="6"/>
      <c r="AB247" s="6"/>
      <c r="AC247" s="6"/>
      <c r="AD247" s="6"/>
      <c r="AE247" s="6"/>
      <c r="AF247" s="6"/>
    </row>
    <row r="248">
      <c r="A248" s="10" t="s">
        <v>35</v>
      </c>
      <c r="B248" s="10" t="s">
        <v>28</v>
      </c>
      <c r="C248" s="14" t="s">
        <v>115</v>
      </c>
      <c r="D248" s="10" t="s">
        <v>831</v>
      </c>
      <c r="E248" s="20"/>
      <c r="F248" s="10" t="s">
        <v>322</v>
      </c>
      <c r="G248" s="10" t="s">
        <v>941</v>
      </c>
      <c r="H248" s="10" t="s">
        <v>942</v>
      </c>
      <c r="I248" s="10" t="s">
        <v>943</v>
      </c>
      <c r="J248" s="10" t="s">
        <v>343</v>
      </c>
      <c r="K248" s="20"/>
      <c r="L248" s="10" t="s">
        <v>344</v>
      </c>
      <c r="M248" s="10" t="s">
        <v>60</v>
      </c>
      <c r="N248" s="6"/>
      <c r="O248" s="6"/>
      <c r="P248" s="6"/>
      <c r="Q248" s="6"/>
      <c r="R248" s="6"/>
      <c r="S248" s="6"/>
      <c r="T248" s="6"/>
      <c r="U248" s="6"/>
      <c r="V248" s="6"/>
      <c r="W248" s="6"/>
      <c r="X248" s="6"/>
      <c r="Y248" s="6"/>
      <c r="Z248" s="6"/>
      <c r="AA248" s="6"/>
      <c r="AB248" s="6"/>
      <c r="AC248" s="6"/>
      <c r="AD248" s="6"/>
      <c r="AE248" s="6"/>
      <c r="AF248" s="6"/>
    </row>
    <row r="249">
      <c r="A249" s="10" t="s">
        <v>35</v>
      </c>
      <c r="B249" s="10" t="s">
        <v>28</v>
      </c>
      <c r="C249" s="14" t="s">
        <v>115</v>
      </c>
      <c r="D249" s="10" t="s">
        <v>831</v>
      </c>
      <c r="E249" s="20"/>
      <c r="F249" s="10" t="s">
        <v>322</v>
      </c>
      <c r="G249" s="10" t="s">
        <v>944</v>
      </c>
      <c r="H249" s="10" t="s">
        <v>945</v>
      </c>
      <c r="I249" s="10" t="s">
        <v>946</v>
      </c>
      <c r="J249" s="10" t="s">
        <v>343</v>
      </c>
      <c r="K249" s="20"/>
      <c r="L249" s="10" t="s">
        <v>937</v>
      </c>
      <c r="M249" s="10" t="s">
        <v>60</v>
      </c>
      <c r="N249" s="6"/>
      <c r="O249" s="6"/>
      <c r="P249" s="6"/>
      <c r="Q249" s="6"/>
      <c r="R249" s="6"/>
      <c r="S249" s="6"/>
      <c r="T249" s="6"/>
      <c r="U249" s="6"/>
      <c r="V249" s="6"/>
      <c r="W249" s="6"/>
      <c r="X249" s="6"/>
      <c r="Y249" s="6"/>
      <c r="Z249" s="6"/>
      <c r="AA249" s="6"/>
      <c r="AB249" s="6"/>
      <c r="AC249" s="6"/>
      <c r="AD249" s="6"/>
      <c r="AE249" s="6"/>
      <c r="AF249" s="6"/>
    </row>
    <row r="250">
      <c r="A250" s="10" t="s">
        <v>35</v>
      </c>
      <c r="B250" s="10" t="s">
        <v>28</v>
      </c>
      <c r="C250" s="14" t="s">
        <v>115</v>
      </c>
      <c r="D250" s="10" t="s">
        <v>813</v>
      </c>
      <c r="E250" s="20"/>
      <c r="F250" s="10" t="s">
        <v>322</v>
      </c>
      <c r="G250" s="10" t="s">
        <v>947</v>
      </c>
      <c r="H250" s="10" t="s">
        <v>948</v>
      </c>
      <c r="I250" s="10" t="s">
        <v>949</v>
      </c>
      <c r="J250" s="10" t="s">
        <v>326</v>
      </c>
      <c r="K250" s="10" t="str">
        <f t="shared" ref="K250:K251" si="45">CONCATENATE(C250," &gt; ",D250," &gt; ",E250," &gt; ",F250)</f>
        <v>Water &gt; Public transit &gt;  &gt; Fuel shift</v>
      </c>
      <c r="L250" s="10" t="str">
        <f t="shared" ref="L250:L251" si="46">CONCATENATE(C250," &gt; ",D250," &gt; ",E250," &gt; ",F250)</f>
        <v>Water &gt; Public transit &gt;  &gt; Fuel shift</v>
      </c>
      <c r="M250" s="10" t="s">
        <v>60</v>
      </c>
      <c r="N250" s="6"/>
      <c r="O250" s="6"/>
      <c r="P250" s="6"/>
      <c r="Q250" s="6"/>
      <c r="R250" s="6"/>
      <c r="S250" s="6"/>
      <c r="T250" s="6"/>
      <c r="U250" s="6"/>
      <c r="V250" s="6"/>
      <c r="W250" s="6"/>
      <c r="X250" s="6"/>
      <c r="Y250" s="6"/>
      <c r="Z250" s="6"/>
      <c r="AA250" s="6"/>
      <c r="AB250" s="6"/>
      <c r="AC250" s="6"/>
      <c r="AD250" s="6"/>
      <c r="AE250" s="6"/>
      <c r="AF250" s="6"/>
    </row>
    <row r="251">
      <c r="A251" s="10" t="s">
        <v>35</v>
      </c>
      <c r="B251" s="10" t="s">
        <v>28</v>
      </c>
      <c r="C251" s="14" t="s">
        <v>115</v>
      </c>
      <c r="D251" s="10" t="s">
        <v>813</v>
      </c>
      <c r="E251" s="20"/>
      <c r="F251" s="10" t="s">
        <v>59</v>
      </c>
      <c r="G251" s="10" t="s">
        <v>60</v>
      </c>
      <c r="H251" s="10" t="s">
        <v>950</v>
      </c>
      <c r="I251" s="10" t="s">
        <v>60</v>
      </c>
      <c r="J251" s="10" t="s">
        <v>65</v>
      </c>
      <c r="K251" s="10" t="str">
        <f t="shared" si="45"/>
        <v>Water &gt; Public transit &gt;  &gt; Activity shift</v>
      </c>
      <c r="L251" s="10" t="str">
        <f t="shared" si="46"/>
        <v>Water &gt; Public transit &gt;  &gt; Activity shift</v>
      </c>
      <c r="M251" s="10" t="s">
        <v>60</v>
      </c>
      <c r="N251" s="6"/>
      <c r="O251" s="6"/>
      <c r="P251" s="6"/>
      <c r="Q251" s="6"/>
      <c r="R251" s="6"/>
      <c r="S251" s="6"/>
      <c r="T251" s="6"/>
      <c r="U251" s="6"/>
      <c r="V251" s="6"/>
      <c r="W251" s="6"/>
      <c r="X251" s="6"/>
      <c r="Y251" s="6"/>
      <c r="Z251" s="6"/>
      <c r="AA251" s="6"/>
      <c r="AB251" s="6"/>
      <c r="AC251" s="6"/>
      <c r="AD251" s="6"/>
      <c r="AE251" s="6"/>
      <c r="AF251" s="6"/>
    </row>
    <row r="252">
      <c r="A252" s="10" t="s">
        <v>35</v>
      </c>
      <c r="B252" s="10" t="s">
        <v>28</v>
      </c>
      <c r="C252" s="14" t="s">
        <v>115</v>
      </c>
      <c r="D252" s="10" t="s">
        <v>844</v>
      </c>
      <c r="E252" s="20"/>
      <c r="F252" s="10" t="s">
        <v>322</v>
      </c>
      <c r="G252" s="10" t="s">
        <v>951</v>
      </c>
      <c r="H252" s="10" t="s">
        <v>952</v>
      </c>
      <c r="I252" s="10" t="s">
        <v>953</v>
      </c>
      <c r="J252" s="10" t="s">
        <v>343</v>
      </c>
      <c r="K252" s="20"/>
      <c r="L252" s="10" t="s">
        <v>937</v>
      </c>
      <c r="M252" s="10" t="s">
        <v>60</v>
      </c>
      <c r="N252" s="6"/>
      <c r="O252" s="6"/>
      <c r="P252" s="6"/>
      <c r="Q252" s="6"/>
      <c r="R252" s="6"/>
      <c r="S252" s="6"/>
      <c r="T252" s="6"/>
      <c r="U252" s="6"/>
      <c r="V252" s="6"/>
      <c r="W252" s="6"/>
      <c r="X252" s="6"/>
      <c r="Y252" s="6"/>
      <c r="Z252" s="6"/>
      <c r="AA252" s="6"/>
      <c r="AB252" s="6"/>
      <c r="AC252" s="6"/>
      <c r="AD252" s="6"/>
      <c r="AE252" s="6"/>
      <c r="AF252" s="6"/>
    </row>
    <row r="253">
      <c r="A253" s="10" t="s">
        <v>35</v>
      </c>
      <c r="B253" s="10" t="s">
        <v>28</v>
      </c>
      <c r="C253" s="14" t="s">
        <v>115</v>
      </c>
      <c r="D253" s="10" t="s">
        <v>844</v>
      </c>
      <c r="E253" s="20"/>
      <c r="F253" s="10" t="s">
        <v>332</v>
      </c>
      <c r="G253" s="10" t="s">
        <v>954</v>
      </c>
      <c r="H253" s="10" t="s">
        <v>955</v>
      </c>
      <c r="I253" s="10" t="s">
        <v>956</v>
      </c>
      <c r="J253" s="10" t="s">
        <v>326</v>
      </c>
      <c r="K253" s="10" t="str">
        <f>CONCATENATE(C253," &gt; ",D253," &gt; ",E253," &gt; ",F253)</f>
        <v>Water &gt; Freight &gt;  &gt; Technology shift</v>
      </c>
      <c r="L253" s="10" t="str">
        <f>CONCATENATE(C253," &gt; ",D253," &gt; ",E253," &gt; ",F253)</f>
        <v>Water &gt; Freight &gt;  &gt; Technology shift</v>
      </c>
      <c r="M253" s="10" t="s">
        <v>60</v>
      </c>
      <c r="N253" s="6"/>
      <c r="O253" s="6"/>
      <c r="P253" s="6"/>
      <c r="Q253" s="6"/>
      <c r="R253" s="6"/>
      <c r="S253" s="6"/>
      <c r="T253" s="6"/>
      <c r="U253" s="6"/>
      <c r="V253" s="6"/>
      <c r="W253" s="6"/>
      <c r="X253" s="6"/>
      <c r="Y253" s="6"/>
      <c r="Z253" s="6"/>
      <c r="AA253" s="6"/>
      <c r="AB253" s="6"/>
      <c r="AC253" s="6"/>
      <c r="AD253" s="6"/>
      <c r="AE253" s="6"/>
      <c r="AF253" s="6"/>
    </row>
    <row r="254">
      <c r="A254" s="10" t="s">
        <v>35</v>
      </c>
      <c r="B254" s="10" t="s">
        <v>28</v>
      </c>
      <c r="C254" s="14" t="s">
        <v>115</v>
      </c>
      <c r="D254" s="10" t="s">
        <v>844</v>
      </c>
      <c r="E254" s="20"/>
      <c r="F254" s="10" t="s">
        <v>322</v>
      </c>
      <c r="G254" s="10" t="s">
        <v>957</v>
      </c>
      <c r="H254" s="10" t="s">
        <v>958</v>
      </c>
      <c r="I254" s="10" t="s">
        <v>943</v>
      </c>
      <c r="J254" s="10" t="s">
        <v>343</v>
      </c>
      <c r="K254" s="20"/>
      <c r="L254" s="10" t="s">
        <v>937</v>
      </c>
      <c r="M254" s="10" t="s">
        <v>60</v>
      </c>
      <c r="N254" s="6"/>
      <c r="O254" s="6"/>
      <c r="P254" s="6"/>
      <c r="Q254" s="6"/>
      <c r="R254" s="6"/>
      <c r="S254" s="6"/>
      <c r="T254" s="6"/>
      <c r="U254" s="6"/>
      <c r="V254" s="6"/>
      <c r="W254" s="6"/>
      <c r="X254" s="6"/>
      <c r="Y254" s="6"/>
      <c r="Z254" s="6"/>
      <c r="AA254" s="6"/>
      <c r="AB254" s="6"/>
      <c r="AC254" s="6"/>
      <c r="AD254" s="6"/>
      <c r="AE254" s="6"/>
      <c r="AF254" s="6"/>
    </row>
    <row r="255">
      <c r="A255" s="10" t="s">
        <v>35</v>
      </c>
      <c r="B255" s="10" t="s">
        <v>28</v>
      </c>
      <c r="C255" s="14" t="s">
        <v>115</v>
      </c>
      <c r="D255" s="10" t="s">
        <v>844</v>
      </c>
      <c r="E255" s="20"/>
      <c r="F255" s="10" t="s">
        <v>322</v>
      </c>
      <c r="G255" s="10" t="s">
        <v>959</v>
      </c>
      <c r="H255" s="10" t="s">
        <v>960</v>
      </c>
      <c r="I255" s="10" t="s">
        <v>946</v>
      </c>
      <c r="J255" s="10" t="s">
        <v>343</v>
      </c>
      <c r="K255" s="20"/>
      <c r="L255" s="10" t="s">
        <v>344</v>
      </c>
      <c r="M255" s="10" t="s">
        <v>60</v>
      </c>
      <c r="N255" s="6"/>
      <c r="O255" s="6"/>
      <c r="P255" s="6"/>
      <c r="Q255" s="6"/>
      <c r="R255" s="6"/>
      <c r="S255" s="6"/>
      <c r="T255" s="6"/>
      <c r="U255" s="6"/>
      <c r="V255" s="6"/>
      <c r="W255" s="6"/>
      <c r="X255" s="6"/>
      <c r="Y255" s="6"/>
      <c r="Z255" s="6"/>
      <c r="AA255" s="6"/>
      <c r="AB255" s="6"/>
      <c r="AC255" s="6"/>
      <c r="AD255" s="6"/>
      <c r="AE255" s="6"/>
      <c r="AF255" s="6"/>
    </row>
    <row r="256">
      <c r="A256" s="10" t="s">
        <v>35</v>
      </c>
      <c r="B256" s="10" t="s">
        <v>28</v>
      </c>
      <c r="C256" s="14" t="s">
        <v>115</v>
      </c>
      <c r="D256" s="10" t="s">
        <v>844</v>
      </c>
      <c r="E256" s="20"/>
      <c r="F256" s="10" t="s">
        <v>322</v>
      </c>
      <c r="G256" s="10" t="s">
        <v>961</v>
      </c>
      <c r="H256" s="10" t="s">
        <v>962</v>
      </c>
      <c r="I256" s="10" t="s">
        <v>963</v>
      </c>
      <c r="J256" s="10" t="s">
        <v>326</v>
      </c>
      <c r="K256" s="10" t="str">
        <f t="shared" ref="K256:K283" si="47">CONCATENATE(C256," &gt; ",D256," &gt; ",E256," &gt; ",F256)</f>
        <v>Water &gt; Freight &gt;  &gt; Fuel shift</v>
      </c>
      <c r="L256" s="10" t="str">
        <f t="shared" ref="L256:L258" si="48">CONCATENATE(C256," &gt; ",D256," &gt; ",E256," &gt; ",F256)</f>
        <v>Water &gt; Freight &gt;  &gt; Fuel shift</v>
      </c>
      <c r="M256" s="10" t="s">
        <v>60</v>
      </c>
      <c r="N256" s="6"/>
      <c r="O256" s="6"/>
      <c r="P256" s="6"/>
      <c r="Q256" s="6"/>
      <c r="R256" s="6"/>
      <c r="S256" s="6"/>
      <c r="T256" s="6"/>
      <c r="U256" s="6"/>
      <c r="V256" s="6"/>
      <c r="W256" s="6"/>
      <c r="X256" s="6"/>
      <c r="Y256" s="6"/>
      <c r="Z256" s="6"/>
      <c r="AA256" s="6"/>
      <c r="AB256" s="6"/>
      <c r="AC256" s="6"/>
      <c r="AD256" s="6"/>
      <c r="AE256" s="6"/>
      <c r="AF256" s="6"/>
    </row>
    <row r="257">
      <c r="A257" s="10" t="s">
        <v>35</v>
      </c>
      <c r="B257" s="48" t="s">
        <v>964</v>
      </c>
      <c r="C257" s="14" t="s">
        <v>109</v>
      </c>
      <c r="D257" s="10" t="s">
        <v>737</v>
      </c>
      <c r="E257" s="10" t="s">
        <v>738</v>
      </c>
      <c r="F257" s="10" t="s">
        <v>59</v>
      </c>
      <c r="G257" s="10" t="s">
        <v>965</v>
      </c>
      <c r="H257" s="43" t="s">
        <v>966</v>
      </c>
      <c r="I257" s="47" t="s">
        <v>967</v>
      </c>
      <c r="J257" s="10" t="s">
        <v>326</v>
      </c>
      <c r="K257" s="10" t="str">
        <f t="shared" si="47"/>
        <v>Road &gt; Private vehicle &gt; Car &gt; Activity shift</v>
      </c>
      <c r="L257" s="10" t="str">
        <f t="shared" si="48"/>
        <v>Road &gt; Private vehicle &gt; Car &gt; Activity shift</v>
      </c>
      <c r="M257" s="10" t="s">
        <v>742</v>
      </c>
      <c r="N257" s="6"/>
      <c r="O257" s="6"/>
      <c r="P257" s="6"/>
      <c r="Q257" s="6"/>
      <c r="R257" s="6"/>
      <c r="S257" s="6"/>
      <c r="T257" s="6"/>
      <c r="U257" s="6"/>
      <c r="V257" s="6"/>
      <c r="W257" s="6"/>
      <c r="X257" s="6"/>
      <c r="Y257" s="6"/>
      <c r="Z257" s="6"/>
      <c r="AA257" s="6"/>
      <c r="AB257" s="6"/>
      <c r="AC257" s="6"/>
      <c r="AD257" s="6"/>
      <c r="AE257" s="6"/>
      <c r="AF257" s="6"/>
    </row>
    <row r="258">
      <c r="A258" s="10" t="s">
        <v>35</v>
      </c>
      <c r="B258" s="48" t="s">
        <v>964</v>
      </c>
      <c r="C258" s="14" t="s">
        <v>109</v>
      </c>
      <c r="D258" s="10" t="s">
        <v>737</v>
      </c>
      <c r="E258" s="10" t="s">
        <v>806</v>
      </c>
      <c r="F258" s="10" t="s">
        <v>59</v>
      </c>
      <c r="G258" s="10" t="s">
        <v>60</v>
      </c>
      <c r="H258" s="10" t="s">
        <v>968</v>
      </c>
      <c r="I258" s="10" t="s">
        <v>60</v>
      </c>
      <c r="J258" s="10" t="s">
        <v>65</v>
      </c>
      <c r="K258" s="10" t="str">
        <f t="shared" si="47"/>
        <v>Road &gt; Private vehicle &gt; 2/3 Wheelers &gt; Activity shift</v>
      </c>
      <c r="L258" s="10" t="str">
        <f t="shared" si="48"/>
        <v>Road &gt; Private vehicle &gt; 2/3 Wheelers &gt; Activity shift</v>
      </c>
      <c r="M258" s="10" t="s">
        <v>742</v>
      </c>
      <c r="N258" s="6"/>
      <c r="O258" s="6"/>
      <c r="P258" s="6"/>
      <c r="Q258" s="6"/>
      <c r="R258" s="6"/>
      <c r="S258" s="6"/>
      <c r="T258" s="6"/>
      <c r="U258" s="6"/>
      <c r="V258" s="6"/>
      <c r="W258" s="6"/>
      <c r="X258" s="6"/>
      <c r="Y258" s="6"/>
      <c r="Z258" s="6"/>
      <c r="AA258" s="6"/>
      <c r="AB258" s="6"/>
      <c r="AC258" s="6"/>
      <c r="AD258" s="6"/>
      <c r="AE258" s="6"/>
      <c r="AF258" s="6"/>
    </row>
    <row r="259">
      <c r="A259" s="10" t="s">
        <v>35</v>
      </c>
      <c r="B259" s="10" t="s">
        <v>91</v>
      </c>
      <c r="C259" s="14" t="s">
        <v>106</v>
      </c>
      <c r="D259" s="10" t="s">
        <v>969</v>
      </c>
      <c r="E259" s="10" t="s">
        <v>155</v>
      </c>
      <c r="F259" s="10" t="s">
        <v>59</v>
      </c>
      <c r="G259" s="10" t="s">
        <v>970</v>
      </c>
      <c r="H259" s="10" t="s">
        <v>971</v>
      </c>
      <c r="I259" s="10" t="s">
        <v>972</v>
      </c>
      <c r="J259" s="10" t="s">
        <v>326</v>
      </c>
      <c r="K259" s="10" t="str">
        <f t="shared" si="47"/>
        <v>Solid Waste &gt; Waste diversion &gt; Recycling &gt; Activity shift</v>
      </c>
      <c r="L259" s="10" t="s">
        <v>973</v>
      </c>
      <c r="M259" s="10" t="s">
        <v>60</v>
      </c>
      <c r="N259" s="6"/>
      <c r="O259" s="6"/>
      <c r="P259" s="6"/>
      <c r="Q259" s="6"/>
      <c r="R259" s="6"/>
      <c r="S259" s="6"/>
      <c r="T259" s="6"/>
      <c r="U259" s="6"/>
      <c r="V259" s="6"/>
      <c r="W259" s="6"/>
      <c r="X259" s="6"/>
      <c r="Y259" s="6"/>
      <c r="Z259" s="6"/>
      <c r="AA259" s="6"/>
      <c r="AB259" s="6"/>
      <c r="AC259" s="6"/>
      <c r="AD259" s="6"/>
      <c r="AE259" s="6"/>
      <c r="AF259" s="6"/>
    </row>
    <row r="260">
      <c r="A260" s="10" t="s">
        <v>35</v>
      </c>
      <c r="B260" s="10" t="s">
        <v>91</v>
      </c>
      <c r="C260" s="14" t="s">
        <v>106</v>
      </c>
      <c r="D260" s="10" t="s">
        <v>969</v>
      </c>
      <c r="E260" s="10" t="s">
        <v>974</v>
      </c>
      <c r="F260" s="10" t="s">
        <v>59</v>
      </c>
      <c r="G260" s="10" t="s">
        <v>975</v>
      </c>
      <c r="H260" s="10" t="s">
        <v>976</v>
      </c>
      <c r="I260" s="10" t="s">
        <v>977</v>
      </c>
      <c r="J260" s="10" t="s">
        <v>326</v>
      </c>
      <c r="K260" s="10" t="str">
        <f t="shared" si="47"/>
        <v>Solid Waste &gt; Waste diversion &gt; Organic diversion &gt; Activity shift</v>
      </c>
      <c r="L260" s="10" t="s">
        <v>978</v>
      </c>
      <c r="M260" s="10" t="s">
        <v>60</v>
      </c>
      <c r="N260" s="6"/>
      <c r="O260" s="6"/>
      <c r="P260" s="6"/>
      <c r="Q260" s="6"/>
      <c r="R260" s="6"/>
      <c r="S260" s="6"/>
      <c r="T260" s="6"/>
      <c r="U260" s="6"/>
      <c r="V260" s="6"/>
      <c r="W260" s="6"/>
      <c r="X260" s="6"/>
      <c r="Y260" s="6"/>
      <c r="Z260" s="6"/>
      <c r="AA260" s="6"/>
      <c r="AB260" s="6"/>
      <c r="AC260" s="6"/>
      <c r="AD260" s="6"/>
      <c r="AE260" s="6"/>
      <c r="AF260" s="6"/>
    </row>
    <row r="261">
      <c r="A261" s="10" t="s">
        <v>35</v>
      </c>
      <c r="B261" s="10" t="s">
        <v>91</v>
      </c>
      <c r="C261" s="14" t="s">
        <v>106</v>
      </c>
      <c r="D261" s="10" t="s">
        <v>969</v>
      </c>
      <c r="E261" s="10" t="s">
        <v>974</v>
      </c>
      <c r="F261" s="10" t="s">
        <v>59</v>
      </c>
      <c r="G261" s="10" t="s">
        <v>979</v>
      </c>
      <c r="H261" s="10" t="s">
        <v>980</v>
      </c>
      <c r="I261" s="10" t="s">
        <v>981</v>
      </c>
      <c r="J261" s="10" t="s">
        <v>326</v>
      </c>
      <c r="K261" s="10" t="str">
        <f t="shared" si="47"/>
        <v>Solid Waste &gt; Waste diversion &gt; Organic diversion &gt; Activity shift</v>
      </c>
      <c r="L261" s="10" t="s">
        <v>978</v>
      </c>
      <c r="M261" s="10" t="s">
        <v>60</v>
      </c>
      <c r="N261" s="6"/>
      <c r="O261" s="6"/>
      <c r="P261" s="6"/>
      <c r="Q261" s="6"/>
      <c r="R261" s="6"/>
      <c r="S261" s="6"/>
      <c r="T261" s="6"/>
      <c r="U261" s="6"/>
      <c r="V261" s="6"/>
      <c r="W261" s="6"/>
      <c r="X261" s="6"/>
      <c r="Y261" s="6"/>
      <c r="Z261" s="6"/>
      <c r="AA261" s="6"/>
      <c r="AB261" s="6"/>
      <c r="AC261" s="6"/>
      <c r="AD261" s="6"/>
      <c r="AE261" s="6"/>
      <c r="AF261" s="6"/>
    </row>
    <row r="262">
      <c r="A262" s="10" t="s">
        <v>35</v>
      </c>
      <c r="B262" s="10" t="s">
        <v>91</v>
      </c>
      <c r="C262" s="14" t="s">
        <v>106</v>
      </c>
      <c r="D262" s="10" t="s">
        <v>969</v>
      </c>
      <c r="E262" s="10" t="s">
        <v>974</v>
      </c>
      <c r="F262" s="10" t="s">
        <v>59</v>
      </c>
      <c r="G262" s="10" t="s">
        <v>60</v>
      </c>
      <c r="H262" s="10" t="s">
        <v>982</v>
      </c>
      <c r="I262" s="10" t="s">
        <v>60</v>
      </c>
      <c r="J262" s="10" t="s">
        <v>65</v>
      </c>
      <c r="K262" s="10" t="str">
        <f t="shared" si="47"/>
        <v>Solid Waste &gt; Waste diversion &gt; Organic diversion &gt; Activity shift</v>
      </c>
      <c r="L262" s="10" t="s">
        <v>983</v>
      </c>
      <c r="M262" s="10" t="s">
        <v>60</v>
      </c>
      <c r="N262" s="6"/>
      <c r="O262" s="6"/>
      <c r="P262" s="6"/>
      <c r="Q262" s="6"/>
      <c r="R262" s="6"/>
      <c r="S262" s="6"/>
      <c r="T262" s="6"/>
      <c r="U262" s="6"/>
      <c r="V262" s="6"/>
      <c r="W262" s="6"/>
      <c r="X262" s="6"/>
      <c r="Y262" s="6"/>
      <c r="Z262" s="6"/>
      <c r="AA262" s="6"/>
      <c r="AB262" s="6"/>
      <c r="AC262" s="6"/>
      <c r="AD262" s="6"/>
      <c r="AE262" s="6"/>
      <c r="AF262" s="6"/>
    </row>
    <row r="263">
      <c r="A263" s="10" t="s">
        <v>35</v>
      </c>
      <c r="B263" s="10" t="s">
        <v>91</v>
      </c>
      <c r="C263" s="14" t="s">
        <v>106</v>
      </c>
      <c r="D263" s="10" t="s">
        <v>969</v>
      </c>
      <c r="E263" s="10" t="s">
        <v>974</v>
      </c>
      <c r="F263" s="10" t="s">
        <v>59</v>
      </c>
      <c r="G263" s="10" t="s">
        <v>60</v>
      </c>
      <c r="H263" s="10" t="s">
        <v>984</v>
      </c>
      <c r="I263" s="10" t="s">
        <v>60</v>
      </c>
      <c r="J263" s="10" t="s">
        <v>65</v>
      </c>
      <c r="K263" s="10" t="str">
        <f t="shared" si="47"/>
        <v>Solid Waste &gt; Waste diversion &gt; Organic diversion &gt; Activity shift</v>
      </c>
      <c r="L263" s="10" t="s">
        <v>985</v>
      </c>
      <c r="M263" s="10" t="s">
        <v>60</v>
      </c>
      <c r="N263" s="6"/>
      <c r="O263" s="6"/>
      <c r="P263" s="6"/>
      <c r="Q263" s="6"/>
      <c r="R263" s="6"/>
      <c r="S263" s="6"/>
      <c r="T263" s="6"/>
      <c r="U263" s="6"/>
      <c r="V263" s="6"/>
      <c r="W263" s="6"/>
      <c r="X263" s="6"/>
      <c r="Y263" s="6"/>
      <c r="Z263" s="6"/>
      <c r="AA263" s="6"/>
      <c r="AB263" s="6"/>
      <c r="AC263" s="6"/>
      <c r="AD263" s="6"/>
      <c r="AE263" s="6"/>
      <c r="AF263" s="6"/>
    </row>
    <row r="264">
      <c r="A264" s="10" t="s">
        <v>35</v>
      </c>
      <c r="B264" s="10" t="s">
        <v>91</v>
      </c>
      <c r="C264" s="14" t="s">
        <v>106</v>
      </c>
      <c r="D264" s="10" t="s">
        <v>969</v>
      </c>
      <c r="E264" s="10" t="s">
        <v>986</v>
      </c>
      <c r="F264" s="10" t="s">
        <v>59</v>
      </c>
      <c r="G264" s="10" t="s">
        <v>60</v>
      </c>
      <c r="H264" s="10" t="s">
        <v>987</v>
      </c>
      <c r="I264" s="10" t="s">
        <v>60</v>
      </c>
      <c r="J264" s="10" t="s">
        <v>65</v>
      </c>
      <c r="K264" s="10" t="str">
        <f t="shared" si="47"/>
        <v>Solid Waste &gt; Waste diversion &gt; Landfill management &gt; Activity shift</v>
      </c>
      <c r="L264" s="10" t="s">
        <v>988</v>
      </c>
      <c r="M264" s="10" t="s">
        <v>60</v>
      </c>
      <c r="N264" s="6"/>
      <c r="O264" s="6"/>
      <c r="P264" s="6"/>
      <c r="Q264" s="6"/>
      <c r="R264" s="6"/>
      <c r="S264" s="6"/>
      <c r="T264" s="6"/>
      <c r="U264" s="6"/>
      <c r="V264" s="6"/>
      <c r="W264" s="6"/>
      <c r="X264" s="6"/>
      <c r="Y264" s="6"/>
      <c r="Z264" s="6"/>
      <c r="AA264" s="6"/>
      <c r="AB264" s="6"/>
      <c r="AC264" s="6"/>
      <c r="AD264" s="6"/>
      <c r="AE264" s="6"/>
      <c r="AF264" s="6"/>
    </row>
    <row r="265">
      <c r="A265" s="10" t="s">
        <v>35</v>
      </c>
      <c r="B265" s="10" t="s">
        <v>91</v>
      </c>
      <c r="C265" s="14" t="s">
        <v>106</v>
      </c>
      <c r="D265" s="10" t="s">
        <v>989</v>
      </c>
      <c r="E265" s="10" t="s">
        <v>990</v>
      </c>
      <c r="F265" s="10" t="s">
        <v>59</v>
      </c>
      <c r="G265" s="10" t="s">
        <v>60</v>
      </c>
      <c r="H265" s="10" t="s">
        <v>991</v>
      </c>
      <c r="I265" s="10" t="s">
        <v>60</v>
      </c>
      <c r="J265" s="10" t="s">
        <v>65</v>
      </c>
      <c r="K265" s="10" t="str">
        <f t="shared" si="47"/>
        <v>Solid Waste &gt; Waste collection &gt; Dumping &gt; Activity shift</v>
      </c>
      <c r="L265" s="10" t="s">
        <v>992</v>
      </c>
      <c r="M265" s="10" t="s">
        <v>60</v>
      </c>
      <c r="N265" s="6"/>
      <c r="O265" s="6"/>
      <c r="P265" s="6"/>
      <c r="Q265" s="6"/>
      <c r="R265" s="6"/>
      <c r="S265" s="6"/>
      <c r="T265" s="6"/>
      <c r="U265" s="6"/>
      <c r="V265" s="6"/>
      <c r="W265" s="6"/>
      <c r="X265" s="6"/>
      <c r="Y265" s="6"/>
      <c r="Z265" s="6"/>
      <c r="AA265" s="6"/>
      <c r="AB265" s="6"/>
      <c r="AC265" s="6"/>
      <c r="AD265" s="6"/>
      <c r="AE265" s="6"/>
      <c r="AF265" s="6"/>
    </row>
    <row r="266">
      <c r="A266" s="10" t="s">
        <v>35</v>
      </c>
      <c r="B266" s="10" t="s">
        <v>91</v>
      </c>
      <c r="C266" s="14" t="s">
        <v>106</v>
      </c>
      <c r="D266" s="10" t="s">
        <v>989</v>
      </c>
      <c r="E266" s="10" t="s">
        <v>990</v>
      </c>
      <c r="F266" s="10" t="s">
        <v>59</v>
      </c>
      <c r="G266" s="10" t="s">
        <v>60</v>
      </c>
      <c r="H266" s="10" t="s">
        <v>993</v>
      </c>
      <c r="I266" s="10" t="s">
        <v>60</v>
      </c>
      <c r="J266" s="10" t="s">
        <v>65</v>
      </c>
      <c r="K266" s="10" t="str">
        <f t="shared" si="47"/>
        <v>Solid Waste &gt; Waste collection &gt; Dumping &gt; Activity shift</v>
      </c>
      <c r="L266" s="10" t="s">
        <v>994</v>
      </c>
      <c r="M266" s="10" t="s">
        <v>60</v>
      </c>
      <c r="N266" s="6"/>
      <c r="O266" s="6"/>
      <c r="P266" s="6"/>
      <c r="Q266" s="6"/>
      <c r="R266" s="6"/>
      <c r="S266" s="6"/>
      <c r="T266" s="6"/>
      <c r="U266" s="6"/>
      <c r="V266" s="6"/>
      <c r="W266" s="6"/>
      <c r="X266" s="6"/>
      <c r="Y266" s="6"/>
      <c r="Z266" s="6"/>
      <c r="AA266" s="6"/>
      <c r="AB266" s="6"/>
      <c r="AC266" s="6"/>
      <c r="AD266" s="6"/>
      <c r="AE266" s="6"/>
      <c r="AF266" s="6"/>
    </row>
    <row r="267">
      <c r="A267" s="10" t="s">
        <v>35</v>
      </c>
      <c r="B267" s="10" t="s">
        <v>91</v>
      </c>
      <c r="C267" s="14" t="s">
        <v>106</v>
      </c>
      <c r="D267" s="10" t="s">
        <v>989</v>
      </c>
      <c r="E267" s="10" t="s">
        <v>990</v>
      </c>
      <c r="F267" s="10" t="s">
        <v>59</v>
      </c>
      <c r="G267" s="10" t="s">
        <v>60</v>
      </c>
      <c r="H267" s="10" t="s">
        <v>995</v>
      </c>
      <c r="I267" s="10" t="s">
        <v>60</v>
      </c>
      <c r="J267" s="10" t="s">
        <v>65</v>
      </c>
      <c r="K267" s="10" t="str">
        <f t="shared" si="47"/>
        <v>Solid Waste &gt; Waste collection &gt; Dumping &gt; Activity shift</v>
      </c>
      <c r="L267" s="10" t="s">
        <v>996</v>
      </c>
      <c r="M267" s="10" t="s">
        <v>60</v>
      </c>
      <c r="N267" s="6"/>
      <c r="O267" s="6"/>
      <c r="P267" s="6"/>
      <c r="Q267" s="6"/>
      <c r="R267" s="6"/>
      <c r="S267" s="6"/>
      <c r="T267" s="6"/>
      <c r="U267" s="6"/>
      <c r="V267" s="6"/>
      <c r="W267" s="6"/>
      <c r="X267" s="6"/>
      <c r="Y267" s="6"/>
      <c r="Z267" s="6"/>
      <c r="AA267" s="6"/>
      <c r="AB267" s="6"/>
      <c r="AC267" s="6"/>
      <c r="AD267" s="6"/>
      <c r="AE267" s="6"/>
      <c r="AF267" s="6"/>
    </row>
    <row r="268">
      <c r="A268" s="10" t="s">
        <v>35</v>
      </c>
      <c r="B268" s="10" t="s">
        <v>91</v>
      </c>
      <c r="C268" s="14" t="s">
        <v>106</v>
      </c>
      <c r="D268" s="10" t="s">
        <v>989</v>
      </c>
      <c r="E268" s="10" t="s">
        <v>990</v>
      </c>
      <c r="F268" s="10" t="s">
        <v>59</v>
      </c>
      <c r="G268" s="10" t="s">
        <v>60</v>
      </c>
      <c r="H268" s="10" t="s">
        <v>997</v>
      </c>
      <c r="I268" s="10" t="s">
        <v>60</v>
      </c>
      <c r="J268" s="10" t="s">
        <v>65</v>
      </c>
      <c r="K268" s="10" t="str">
        <f t="shared" si="47"/>
        <v>Solid Waste &gt; Waste collection &gt; Dumping &gt; Activity shift</v>
      </c>
      <c r="L268" s="10" t="s">
        <v>998</v>
      </c>
      <c r="M268" s="10" t="s">
        <v>60</v>
      </c>
      <c r="N268" s="6"/>
      <c r="O268" s="6"/>
      <c r="P268" s="6"/>
      <c r="Q268" s="6"/>
      <c r="R268" s="6"/>
      <c r="S268" s="6"/>
      <c r="T268" s="6"/>
      <c r="U268" s="6"/>
      <c r="V268" s="6"/>
      <c r="W268" s="6"/>
      <c r="X268" s="6"/>
      <c r="Y268" s="6"/>
      <c r="Z268" s="6"/>
      <c r="AA268" s="6"/>
      <c r="AB268" s="6"/>
      <c r="AC268" s="6"/>
      <c r="AD268" s="6"/>
      <c r="AE268" s="6"/>
      <c r="AF268" s="6"/>
    </row>
    <row r="269">
      <c r="A269" s="10" t="s">
        <v>35</v>
      </c>
      <c r="B269" s="10" t="s">
        <v>91</v>
      </c>
      <c r="C269" s="14" t="s">
        <v>106</v>
      </c>
      <c r="D269" s="10" t="s">
        <v>989</v>
      </c>
      <c r="E269" s="10" t="s">
        <v>990</v>
      </c>
      <c r="F269" s="10" t="s">
        <v>59</v>
      </c>
      <c r="G269" s="44" t="s">
        <v>60</v>
      </c>
      <c r="H269" s="44" t="s">
        <v>999</v>
      </c>
      <c r="I269" s="44" t="s">
        <v>60</v>
      </c>
      <c r="J269" s="44" t="s">
        <v>65</v>
      </c>
      <c r="K269" s="10" t="str">
        <f t="shared" si="47"/>
        <v>Solid Waste &gt; Waste collection &gt; Dumping &gt; Activity shift</v>
      </c>
      <c r="L269" s="44" t="s">
        <v>1000</v>
      </c>
      <c r="M269" s="10" t="s">
        <v>60</v>
      </c>
      <c r="N269" s="6"/>
      <c r="O269" s="6"/>
      <c r="P269" s="6"/>
      <c r="Q269" s="6"/>
      <c r="R269" s="6"/>
      <c r="S269" s="6"/>
      <c r="T269" s="6"/>
      <c r="U269" s="6"/>
      <c r="V269" s="6"/>
      <c r="W269" s="6"/>
      <c r="X269" s="6"/>
      <c r="Y269" s="6"/>
      <c r="Z269" s="6"/>
      <c r="AA269" s="6"/>
      <c r="AB269" s="6"/>
      <c r="AC269" s="6"/>
      <c r="AD269" s="6"/>
      <c r="AE269" s="6"/>
      <c r="AF269" s="6"/>
    </row>
    <row r="270">
      <c r="A270" s="10" t="s">
        <v>35</v>
      </c>
      <c r="B270" s="10" t="s">
        <v>91</v>
      </c>
      <c r="C270" s="14" t="s">
        <v>106</v>
      </c>
      <c r="D270" s="10" t="s">
        <v>989</v>
      </c>
      <c r="E270" s="10" t="s">
        <v>990</v>
      </c>
      <c r="F270" s="10" t="s">
        <v>59</v>
      </c>
      <c r="G270" s="10" t="s">
        <v>60</v>
      </c>
      <c r="H270" s="10" t="s">
        <v>1001</v>
      </c>
      <c r="I270" s="10" t="s">
        <v>60</v>
      </c>
      <c r="J270" s="10" t="s">
        <v>65</v>
      </c>
      <c r="K270" s="10" t="str">
        <f t="shared" si="47"/>
        <v>Solid Waste &gt; Waste collection &gt; Dumping &gt; Activity shift</v>
      </c>
      <c r="L270" s="10" t="s">
        <v>1002</v>
      </c>
      <c r="M270" s="10" t="s">
        <v>60</v>
      </c>
      <c r="N270" s="6"/>
      <c r="O270" s="6"/>
      <c r="P270" s="6"/>
      <c r="Q270" s="6"/>
      <c r="R270" s="6"/>
      <c r="S270" s="6"/>
      <c r="T270" s="6"/>
      <c r="U270" s="6"/>
      <c r="V270" s="6"/>
      <c r="W270" s="6"/>
      <c r="X270" s="6"/>
      <c r="Y270" s="6"/>
      <c r="Z270" s="6"/>
      <c r="AA270" s="6"/>
      <c r="AB270" s="6"/>
      <c r="AC270" s="6"/>
      <c r="AD270" s="6"/>
      <c r="AE270" s="6"/>
      <c r="AF270" s="6"/>
    </row>
    <row r="271">
      <c r="A271" s="10" t="s">
        <v>35</v>
      </c>
      <c r="B271" s="10" t="s">
        <v>91</v>
      </c>
      <c r="C271" s="14" t="s">
        <v>106</v>
      </c>
      <c r="D271" s="10" t="s">
        <v>989</v>
      </c>
      <c r="E271" s="10" t="s">
        <v>1003</v>
      </c>
      <c r="F271" s="10" t="s">
        <v>59</v>
      </c>
      <c r="G271" s="10" t="s">
        <v>60</v>
      </c>
      <c r="H271" s="10" t="s">
        <v>1004</v>
      </c>
      <c r="I271" s="10" t="s">
        <v>60</v>
      </c>
      <c r="J271" s="10" t="s">
        <v>65</v>
      </c>
      <c r="K271" s="10" t="str">
        <f t="shared" si="47"/>
        <v>Solid Waste &gt; Waste collection &gt; Open fire &gt; Activity shift</v>
      </c>
      <c r="L271" s="10" t="s">
        <v>1005</v>
      </c>
      <c r="M271" s="10" t="s">
        <v>60</v>
      </c>
      <c r="N271" s="6"/>
      <c r="O271" s="6"/>
      <c r="P271" s="6"/>
      <c r="Q271" s="6"/>
      <c r="R271" s="6"/>
      <c r="S271" s="6"/>
      <c r="T271" s="6"/>
      <c r="U271" s="6"/>
      <c r="V271" s="6"/>
      <c r="W271" s="6"/>
      <c r="X271" s="6"/>
      <c r="Y271" s="6"/>
      <c r="Z271" s="6"/>
      <c r="AA271" s="6"/>
      <c r="AB271" s="6"/>
      <c r="AC271" s="6"/>
      <c r="AD271" s="6"/>
      <c r="AE271" s="6"/>
      <c r="AF271" s="6"/>
    </row>
    <row r="272">
      <c r="A272" s="10" t="s">
        <v>35</v>
      </c>
      <c r="B272" s="10" t="s">
        <v>91</v>
      </c>
      <c r="C272" s="14" t="s">
        <v>106</v>
      </c>
      <c r="D272" s="10" t="s">
        <v>989</v>
      </c>
      <c r="E272" s="10" t="s">
        <v>1003</v>
      </c>
      <c r="F272" s="10" t="s">
        <v>59</v>
      </c>
      <c r="G272" s="10" t="s">
        <v>60</v>
      </c>
      <c r="H272" s="10" t="s">
        <v>1006</v>
      </c>
      <c r="I272" s="10" t="s">
        <v>60</v>
      </c>
      <c r="J272" s="10" t="s">
        <v>65</v>
      </c>
      <c r="K272" s="10" t="str">
        <f t="shared" si="47"/>
        <v>Solid Waste &gt; Waste collection &gt; Open fire &gt; Activity shift</v>
      </c>
      <c r="L272" s="10" t="s">
        <v>1007</v>
      </c>
      <c r="M272" s="10" t="s">
        <v>60</v>
      </c>
      <c r="N272" s="6"/>
      <c r="O272" s="6"/>
      <c r="P272" s="6"/>
      <c r="Q272" s="6"/>
      <c r="R272" s="6"/>
      <c r="S272" s="6"/>
      <c r="T272" s="6"/>
      <c r="U272" s="6"/>
      <c r="V272" s="6"/>
      <c r="W272" s="6"/>
      <c r="X272" s="6"/>
      <c r="Y272" s="6"/>
      <c r="Z272" s="6"/>
      <c r="AA272" s="6"/>
      <c r="AB272" s="6"/>
      <c r="AC272" s="6"/>
      <c r="AD272" s="6"/>
      <c r="AE272" s="6"/>
      <c r="AF272" s="6"/>
    </row>
    <row r="273">
      <c r="A273" s="10" t="s">
        <v>35</v>
      </c>
      <c r="B273" s="10" t="s">
        <v>91</v>
      </c>
      <c r="C273" s="14" t="s">
        <v>106</v>
      </c>
      <c r="D273" s="10" t="s">
        <v>989</v>
      </c>
      <c r="E273" s="10" t="s">
        <v>1003</v>
      </c>
      <c r="F273" s="10" t="s">
        <v>59</v>
      </c>
      <c r="G273" s="10" t="s">
        <v>60</v>
      </c>
      <c r="H273" s="10" t="s">
        <v>1008</v>
      </c>
      <c r="I273" s="10" t="s">
        <v>60</v>
      </c>
      <c r="J273" s="10" t="s">
        <v>65</v>
      </c>
      <c r="K273" s="10" t="str">
        <f t="shared" si="47"/>
        <v>Solid Waste &gt; Waste collection &gt; Open fire &gt; Activity shift</v>
      </c>
      <c r="L273" s="10" t="s">
        <v>1009</v>
      </c>
      <c r="M273" s="10" t="s">
        <v>60</v>
      </c>
      <c r="N273" s="6"/>
      <c r="O273" s="6"/>
      <c r="P273" s="6"/>
      <c r="Q273" s="6"/>
      <c r="R273" s="6"/>
      <c r="S273" s="6"/>
      <c r="T273" s="6"/>
      <c r="U273" s="6"/>
      <c r="V273" s="6"/>
      <c r="W273" s="6"/>
      <c r="X273" s="6"/>
      <c r="Y273" s="6"/>
      <c r="Z273" s="6"/>
      <c r="AA273" s="6"/>
      <c r="AB273" s="6"/>
      <c r="AC273" s="6"/>
      <c r="AD273" s="6"/>
      <c r="AE273" s="6"/>
      <c r="AF273" s="6"/>
    </row>
    <row r="274">
      <c r="A274" s="10" t="s">
        <v>35</v>
      </c>
      <c r="B274" s="10" t="s">
        <v>91</v>
      </c>
      <c r="C274" s="14" t="s">
        <v>106</v>
      </c>
      <c r="D274" s="10" t="s">
        <v>989</v>
      </c>
      <c r="E274" s="10" t="s">
        <v>1003</v>
      </c>
      <c r="F274" s="10" t="s">
        <v>59</v>
      </c>
      <c r="G274" s="10" t="s">
        <v>60</v>
      </c>
      <c r="H274" s="10" t="s">
        <v>1010</v>
      </c>
      <c r="I274" s="10" t="s">
        <v>60</v>
      </c>
      <c r="J274" s="10" t="s">
        <v>65</v>
      </c>
      <c r="K274" s="10" t="str">
        <f t="shared" si="47"/>
        <v>Solid Waste &gt; Waste collection &gt; Open fire &gt; Activity shift</v>
      </c>
      <c r="L274" s="10" t="s">
        <v>1011</v>
      </c>
      <c r="M274" s="10" t="s">
        <v>60</v>
      </c>
      <c r="N274" s="6"/>
      <c r="O274" s="6"/>
      <c r="P274" s="6"/>
      <c r="Q274" s="6"/>
      <c r="R274" s="6"/>
      <c r="S274" s="6"/>
      <c r="T274" s="6"/>
      <c r="U274" s="6"/>
      <c r="V274" s="6"/>
      <c r="W274" s="6"/>
      <c r="X274" s="6"/>
      <c r="Y274" s="6"/>
      <c r="Z274" s="6"/>
      <c r="AA274" s="6"/>
      <c r="AB274" s="6"/>
      <c r="AC274" s="6"/>
      <c r="AD274" s="6"/>
      <c r="AE274" s="6"/>
      <c r="AF274" s="6"/>
    </row>
    <row r="275">
      <c r="A275" s="10" t="s">
        <v>35</v>
      </c>
      <c r="B275" s="10" t="s">
        <v>91</v>
      </c>
      <c r="C275" s="14" t="s">
        <v>106</v>
      </c>
      <c r="D275" s="10" t="s">
        <v>989</v>
      </c>
      <c r="E275" s="10" t="s">
        <v>1003</v>
      </c>
      <c r="F275" s="10" t="s">
        <v>59</v>
      </c>
      <c r="G275" s="10" t="s">
        <v>60</v>
      </c>
      <c r="H275" s="10" t="s">
        <v>1012</v>
      </c>
      <c r="I275" s="10" t="s">
        <v>60</v>
      </c>
      <c r="J275" s="10" t="s">
        <v>65</v>
      </c>
      <c r="K275" s="10" t="str">
        <f t="shared" si="47"/>
        <v>Solid Waste &gt; Waste collection &gt; Open fire &gt; Activity shift</v>
      </c>
      <c r="L275" s="10" t="s">
        <v>1013</v>
      </c>
      <c r="M275" s="10" t="s">
        <v>60</v>
      </c>
      <c r="N275" s="6"/>
      <c r="O275" s="6"/>
      <c r="P275" s="6"/>
      <c r="Q275" s="6"/>
      <c r="R275" s="6"/>
      <c r="S275" s="6"/>
      <c r="T275" s="6"/>
      <c r="U275" s="6"/>
      <c r="V275" s="6"/>
      <c r="W275" s="6"/>
      <c r="X275" s="6"/>
      <c r="Y275" s="6"/>
      <c r="Z275" s="6"/>
      <c r="AA275" s="6"/>
      <c r="AB275" s="6"/>
      <c r="AC275" s="6"/>
      <c r="AD275" s="6"/>
      <c r="AE275" s="6"/>
      <c r="AF275" s="6"/>
    </row>
    <row r="276">
      <c r="A276" s="10" t="s">
        <v>35</v>
      </c>
      <c r="B276" s="10" t="s">
        <v>91</v>
      </c>
      <c r="C276" s="14" t="s">
        <v>106</v>
      </c>
      <c r="D276" s="10" t="s">
        <v>989</v>
      </c>
      <c r="E276" s="10" t="s">
        <v>1003</v>
      </c>
      <c r="F276" s="10" t="s">
        <v>59</v>
      </c>
      <c r="G276" s="10" t="s">
        <v>60</v>
      </c>
      <c r="H276" s="10" t="s">
        <v>1014</v>
      </c>
      <c r="I276" s="10" t="s">
        <v>60</v>
      </c>
      <c r="J276" s="10" t="s">
        <v>65</v>
      </c>
      <c r="K276" s="10" t="str">
        <f t="shared" si="47"/>
        <v>Solid Waste &gt; Waste collection &gt; Open fire &gt; Activity shift</v>
      </c>
      <c r="L276" s="10" t="s">
        <v>1015</v>
      </c>
      <c r="M276" s="10" t="s">
        <v>60</v>
      </c>
      <c r="N276" s="6"/>
      <c r="O276" s="6"/>
      <c r="P276" s="6"/>
      <c r="Q276" s="6"/>
      <c r="R276" s="6"/>
      <c r="S276" s="6"/>
      <c r="T276" s="6"/>
      <c r="U276" s="6"/>
      <c r="V276" s="6"/>
      <c r="W276" s="6"/>
      <c r="X276" s="6"/>
      <c r="Y276" s="6"/>
      <c r="Z276" s="6"/>
      <c r="AA276" s="6"/>
      <c r="AB276" s="6"/>
      <c r="AC276" s="6"/>
      <c r="AD276" s="6"/>
      <c r="AE276" s="6"/>
      <c r="AF276" s="6"/>
    </row>
    <row r="277">
      <c r="A277" s="10" t="s">
        <v>35</v>
      </c>
      <c r="B277" s="10" t="s">
        <v>91</v>
      </c>
      <c r="C277" s="14" t="s">
        <v>106</v>
      </c>
      <c r="D277" s="10" t="s">
        <v>969</v>
      </c>
      <c r="E277" s="10" t="s">
        <v>1016</v>
      </c>
      <c r="F277" s="10" t="s">
        <v>59</v>
      </c>
      <c r="G277" s="10" t="s">
        <v>60</v>
      </c>
      <c r="H277" s="10" t="s">
        <v>1017</v>
      </c>
      <c r="I277" s="10" t="s">
        <v>60</v>
      </c>
      <c r="J277" s="10" t="s">
        <v>65</v>
      </c>
      <c r="K277" s="10" t="str">
        <f t="shared" si="47"/>
        <v>Solid Waste &gt; Waste diversion &gt; Incineration &gt; Activity shift</v>
      </c>
      <c r="L277" s="10" t="s">
        <v>1018</v>
      </c>
      <c r="M277" s="10" t="s">
        <v>60</v>
      </c>
      <c r="N277" s="6"/>
      <c r="O277" s="6"/>
      <c r="P277" s="6"/>
      <c r="Q277" s="6"/>
      <c r="R277" s="6"/>
      <c r="S277" s="6"/>
      <c r="T277" s="6"/>
      <c r="U277" s="6"/>
      <c r="V277" s="6"/>
      <c r="W277" s="6"/>
      <c r="X277" s="6"/>
      <c r="Y277" s="6"/>
      <c r="Z277" s="6"/>
      <c r="AA277" s="6"/>
      <c r="AB277" s="6"/>
      <c r="AC277" s="6"/>
      <c r="AD277" s="6"/>
      <c r="AE277" s="6"/>
      <c r="AF277" s="6"/>
    </row>
    <row r="278">
      <c r="A278" s="10" t="s">
        <v>35</v>
      </c>
      <c r="B278" s="10" t="s">
        <v>91</v>
      </c>
      <c r="C278" s="14" t="s">
        <v>106</v>
      </c>
      <c r="D278" s="10" t="s">
        <v>1019</v>
      </c>
      <c r="E278" s="20"/>
      <c r="F278" s="10" t="s">
        <v>59</v>
      </c>
      <c r="G278" s="10" t="s">
        <v>60</v>
      </c>
      <c r="H278" s="10" t="s">
        <v>1020</v>
      </c>
      <c r="I278" s="10" t="s">
        <v>60</v>
      </c>
      <c r="J278" s="10" t="s">
        <v>65</v>
      </c>
      <c r="K278" s="10" t="str">
        <f t="shared" si="47"/>
        <v>Solid Waste &gt; Waste prevention &gt;  &gt; Activity shift</v>
      </c>
      <c r="L278" s="10" t="s">
        <v>1021</v>
      </c>
      <c r="M278" s="10" t="s">
        <v>60</v>
      </c>
      <c r="N278" s="6"/>
      <c r="O278" s="6"/>
      <c r="P278" s="6"/>
      <c r="Q278" s="6"/>
      <c r="R278" s="6"/>
      <c r="S278" s="6"/>
      <c r="T278" s="6"/>
      <c r="U278" s="6"/>
      <c r="V278" s="6"/>
      <c r="W278" s="6"/>
      <c r="X278" s="6"/>
      <c r="Y278" s="6"/>
      <c r="Z278" s="6"/>
      <c r="AA278" s="6"/>
      <c r="AB278" s="6"/>
      <c r="AC278" s="6"/>
      <c r="AD278" s="6"/>
      <c r="AE278" s="6"/>
      <c r="AF278" s="6"/>
    </row>
    <row r="279">
      <c r="A279" s="10" t="s">
        <v>35</v>
      </c>
      <c r="B279" s="10" t="s">
        <v>91</v>
      </c>
      <c r="C279" s="14" t="s">
        <v>106</v>
      </c>
      <c r="D279" s="10" t="s">
        <v>1019</v>
      </c>
      <c r="E279" s="20"/>
      <c r="F279" s="10" t="s">
        <v>59</v>
      </c>
      <c r="G279" s="10" t="s">
        <v>60</v>
      </c>
      <c r="H279" s="10" t="s">
        <v>1022</v>
      </c>
      <c r="I279" s="10" t="s">
        <v>60</v>
      </c>
      <c r="J279" s="10" t="s">
        <v>65</v>
      </c>
      <c r="K279" s="10" t="str">
        <f t="shared" si="47"/>
        <v>Solid Waste &gt; Waste prevention &gt;  &gt; Activity shift</v>
      </c>
      <c r="L279" s="10" t="s">
        <v>1023</v>
      </c>
      <c r="M279" s="10" t="s">
        <v>60</v>
      </c>
      <c r="N279" s="6"/>
      <c r="O279" s="6"/>
      <c r="P279" s="6"/>
      <c r="Q279" s="6"/>
      <c r="R279" s="6"/>
      <c r="S279" s="6"/>
      <c r="T279" s="6"/>
      <c r="U279" s="6"/>
      <c r="V279" s="6"/>
      <c r="W279" s="6"/>
      <c r="X279" s="6"/>
      <c r="Y279" s="6"/>
      <c r="Z279" s="6"/>
      <c r="AA279" s="6"/>
      <c r="AB279" s="6"/>
      <c r="AC279" s="6"/>
      <c r="AD279" s="6"/>
      <c r="AE279" s="6"/>
      <c r="AF279" s="6"/>
    </row>
    <row r="280">
      <c r="A280" s="10" t="s">
        <v>35</v>
      </c>
      <c r="B280" s="10" t="s">
        <v>91</v>
      </c>
      <c r="C280" s="14" t="s">
        <v>106</v>
      </c>
      <c r="D280" s="10" t="s">
        <v>1019</v>
      </c>
      <c r="E280" s="20"/>
      <c r="F280" s="10" t="s">
        <v>59</v>
      </c>
      <c r="G280" s="10" t="s">
        <v>60</v>
      </c>
      <c r="H280" s="10" t="s">
        <v>1024</v>
      </c>
      <c r="I280" s="10" t="s">
        <v>60</v>
      </c>
      <c r="J280" s="10" t="s">
        <v>65</v>
      </c>
      <c r="K280" s="10" t="str">
        <f t="shared" si="47"/>
        <v>Solid Waste &gt; Waste prevention &gt;  &gt; Activity shift</v>
      </c>
      <c r="L280" s="10" t="s">
        <v>1025</v>
      </c>
      <c r="M280" s="10" t="s">
        <v>60</v>
      </c>
      <c r="N280" s="6"/>
      <c r="O280" s="6"/>
      <c r="P280" s="6"/>
      <c r="Q280" s="6"/>
      <c r="R280" s="6"/>
      <c r="S280" s="6"/>
      <c r="T280" s="6"/>
      <c r="U280" s="6"/>
      <c r="V280" s="6"/>
      <c r="W280" s="6"/>
      <c r="X280" s="6"/>
      <c r="Y280" s="6"/>
      <c r="Z280" s="6"/>
      <c r="AA280" s="6"/>
      <c r="AB280" s="6"/>
      <c r="AC280" s="6"/>
      <c r="AD280" s="6"/>
      <c r="AE280" s="6"/>
      <c r="AF280" s="6"/>
    </row>
    <row r="281">
      <c r="A281" s="10" t="s">
        <v>35</v>
      </c>
      <c r="B281" s="10" t="s">
        <v>91</v>
      </c>
      <c r="C281" s="14" t="s">
        <v>1026</v>
      </c>
      <c r="D281" s="10" t="s">
        <v>1027</v>
      </c>
      <c r="E281" s="10" t="s">
        <v>1028</v>
      </c>
      <c r="F281" s="10" t="s">
        <v>59</v>
      </c>
      <c r="G281" s="10" t="s">
        <v>60</v>
      </c>
      <c r="H281" s="10" t="s">
        <v>1029</v>
      </c>
      <c r="I281" s="10" t="s">
        <v>60</v>
      </c>
      <c r="J281" s="10" t="s">
        <v>65</v>
      </c>
      <c r="K281" s="10" t="str">
        <f t="shared" si="47"/>
        <v>Wastewater &gt; Wastewater treatment &gt; Treatment &gt; Activity shift</v>
      </c>
      <c r="L281" s="10" t="s">
        <v>1030</v>
      </c>
      <c r="M281" s="10" t="s">
        <v>60</v>
      </c>
      <c r="N281" s="6"/>
      <c r="O281" s="6"/>
      <c r="P281" s="6"/>
      <c r="Q281" s="6"/>
      <c r="R281" s="6"/>
      <c r="S281" s="6"/>
      <c r="T281" s="6"/>
      <c r="U281" s="6"/>
      <c r="V281" s="6"/>
      <c r="W281" s="6"/>
      <c r="X281" s="6"/>
      <c r="Y281" s="6"/>
      <c r="Z281" s="6"/>
      <c r="AA281" s="6"/>
      <c r="AB281" s="6"/>
      <c r="AC281" s="6"/>
      <c r="AD281" s="6"/>
      <c r="AE281" s="6"/>
      <c r="AF281" s="6"/>
    </row>
    <row r="282">
      <c r="A282" s="10" t="s">
        <v>35</v>
      </c>
      <c r="B282" s="10" t="s">
        <v>91</v>
      </c>
      <c r="C282" s="14" t="s">
        <v>1026</v>
      </c>
      <c r="D282" s="10" t="s">
        <v>1027</v>
      </c>
      <c r="E282" s="10" t="s">
        <v>1028</v>
      </c>
      <c r="F282" s="10" t="s">
        <v>59</v>
      </c>
      <c r="G282" s="10" t="s">
        <v>60</v>
      </c>
      <c r="H282" s="10" t="s">
        <v>1031</v>
      </c>
      <c r="I282" s="10" t="s">
        <v>60</v>
      </c>
      <c r="J282" s="10" t="s">
        <v>65</v>
      </c>
      <c r="K282" s="10" t="str">
        <f t="shared" si="47"/>
        <v>Wastewater &gt; Wastewater treatment &gt; Treatment &gt; Activity shift</v>
      </c>
      <c r="L282" s="10" t="s">
        <v>1032</v>
      </c>
      <c r="M282" s="10" t="s">
        <v>60</v>
      </c>
      <c r="N282" s="6"/>
      <c r="O282" s="6"/>
      <c r="P282" s="6"/>
      <c r="Q282" s="6"/>
      <c r="R282" s="6"/>
      <c r="S282" s="6"/>
      <c r="T282" s="6"/>
      <c r="U282" s="6"/>
      <c r="V282" s="6"/>
      <c r="W282" s="6"/>
      <c r="X282" s="6"/>
      <c r="Y282" s="6"/>
      <c r="Z282" s="6"/>
      <c r="AA282" s="6"/>
      <c r="AB282" s="6"/>
      <c r="AC282" s="6"/>
      <c r="AD282" s="6"/>
      <c r="AE282" s="6"/>
      <c r="AF282" s="6"/>
    </row>
    <row r="283">
      <c r="A283" s="10" t="s">
        <v>35</v>
      </c>
      <c r="B283" s="10" t="s">
        <v>91</v>
      </c>
      <c r="C283" s="14" t="s">
        <v>106</v>
      </c>
      <c r="D283" s="10" t="s">
        <v>969</v>
      </c>
      <c r="E283" s="10" t="s">
        <v>986</v>
      </c>
      <c r="F283" s="10" t="s">
        <v>332</v>
      </c>
      <c r="G283" s="10" t="s">
        <v>1033</v>
      </c>
      <c r="H283" s="10" t="s">
        <v>1034</v>
      </c>
      <c r="I283" s="10" t="s">
        <v>1035</v>
      </c>
      <c r="J283" s="10" t="s">
        <v>326</v>
      </c>
      <c r="K283" s="10" t="str">
        <f t="shared" si="47"/>
        <v>Solid Waste &gt; Waste diversion &gt; Landfill management &gt; Technology shift</v>
      </c>
      <c r="L283" s="10" t="s">
        <v>1036</v>
      </c>
      <c r="M283" s="10" t="s">
        <v>60</v>
      </c>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row>
    <row r="1027">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row>
    <row r="1028">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row>
    <row r="1029">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row>
    <row r="1030">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row>
    <row r="1031">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row>
    <row r="10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row>
    <row r="1033">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row>
    <row r="1034">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row>
    <row r="103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row>
    <row r="1036">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row>
    <row r="1037">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row>
    <row r="1038">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row>
    <row r="1039">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row>
    <row r="1040">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row>
    <row r="1041">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row>
    <row r="1042">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row>
    <row r="1043">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row>
    <row r="1044">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row>
    <row r="104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row>
    <row r="1046">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row>
    <row r="1047">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row>
    <row r="1048">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row>
    <row r="1049">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row>
    <row r="1050">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row>
    <row r="1051">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row>
    <row r="1052">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row>
    <row r="1053">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row>
    <row r="1054">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row>
    <row r="105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row>
    <row r="1056">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row>
    <row r="1057">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row>
    <row r="1058">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row>
    <row r="1059">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row>
    <row r="1060">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row>
    <row r="1061">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row>
    <row r="1062">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row>
    <row r="1063">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row>
    <row r="1064">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row>
    <row r="106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row>
    <row r="1066">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row>
    <row r="1067">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row>
    <row r="1068">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row>
    <row r="1069">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row>
    <row r="1070">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row>
    <row r="1071">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row>
    <row r="1072">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row>
    <row r="1073">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row>
    <row r="1074">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row>
  </sheetData>
  <autoFilter ref="$A$1:$H$280"/>
  <dataValidations>
    <dataValidation type="list" allowBlank="1" showErrorMessage="1" sqref="D2:D283">
      <formula1>"CHP,Commercial,Construction,Electricity,Flat,Freight,Generators,Heat,House,Hydrogen,Industry,Informal settlement,Institutional,Land,Livestock,Nuclear,Passenger,Private vehicle,Public ligh,Public transit,Waste collection,Waste diversion,Waste prevention,So"&amp;"urce,Storage,Wastewater treatment"</formula1>
    </dataValidation>
    <dataValidation type="list" allowBlank="1" showErrorMessage="1" sqref="B2:B256 B259:B283">
      <formula1>"AFOLU,Stationary (Buildings),Transport,Waste,Stationary (Energy),Stationary (Industrial processes)"</formula1>
    </dataValidation>
    <dataValidation type="list" allowBlank="1" showErrorMessage="1" sqref="B257:B258">
      <formula1>"AFOLU,Stationary (Buildings),Transport,Waste &amp; Water,Stationary (Energy),Stationary (Industrial processes),Food,Flooding and storms,Heat,Drought,X-hazards,Landslide,Monitoring,Urban planning,Clean investment,Emergency response and planning"</formula1>
    </dataValidation>
    <dataValidation type="list" allowBlank="1" showErrorMessage="1" sqref="A2:A283">
      <formula1>"Mitigation,Adaptation,Air Quality"</formula1>
    </dataValidation>
    <dataValidation type="list" allowBlank="1" showErrorMessage="1" sqref="J2:J283">
      <formula1>"Include,Remove,unsure,Add shift"</formula1>
    </dataValidation>
    <dataValidation type="list" allowBlank="1" showErrorMessage="1" sqref="C2:C283">
      <formula1>"Road Commercial,Generation,Industrial,Non residential,Residential,Road,Solid Waste,Wastewater,Rail,Aviation,Water,AFOLU,Construction"</formula1>
    </dataValidation>
    <dataValidation type="list" allowBlank="1" showErrorMessage="1" sqref="F2:F283">
      <formula1>"Activity shift,Behaviour shift,Carbon storage,Fuel shift,Mode shift,Technology shift"</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H41"/>
    <hyperlink r:id="rId26" ref="H42"/>
    <hyperlink r:id="rId27" ref="H44"/>
    <hyperlink r:id="rId28" ref="H45"/>
    <hyperlink r:id="rId29" ref="D147"/>
    <hyperlink r:id="rId30" ref="D148"/>
    <hyperlink r:id="rId31" ref="H175"/>
    <hyperlink r:id="rId32" ref="H176"/>
    <hyperlink r:id="rId33" ref="H177"/>
    <hyperlink r:id="rId34" ref="H178"/>
    <hyperlink r:id="rId35" ref="H179"/>
    <hyperlink r:id="rId36" ref="H180"/>
    <hyperlink r:id="rId37" ref="H181"/>
    <hyperlink r:id="rId38" ref="H182"/>
    <hyperlink r:id="rId39" ref="H183"/>
    <hyperlink r:id="rId40" ref="H184"/>
    <hyperlink r:id="rId41" ref="H185"/>
    <hyperlink r:id="rId42" ref="H186"/>
    <hyperlink r:id="rId43" ref="H187"/>
    <hyperlink r:id="rId44" ref="H188"/>
    <hyperlink r:id="rId45" ref="H189"/>
    <hyperlink r:id="rId46" ref="H190"/>
    <hyperlink r:id="rId47" ref="H191"/>
    <hyperlink r:id="rId48" ref="H192"/>
    <hyperlink r:id="rId49" ref="H193"/>
    <hyperlink r:id="rId50" ref="H194"/>
    <hyperlink r:id="rId51" ref="H195"/>
    <hyperlink r:id="rId52" ref="H196"/>
    <hyperlink r:id="rId53" ref="H197"/>
    <hyperlink r:id="rId54" ref="H257"/>
  </hyperlinks>
  <drawing r:id="rId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88"/>
    <col customWidth="1" min="6" max="6" width="9.0"/>
    <col customWidth="1" min="7" max="7" width="7.63"/>
    <col customWidth="1" min="8" max="8" width="7.38"/>
    <col customWidth="1" min="9" max="9" width="22.38"/>
    <col customWidth="1" min="10" max="10" width="19.13"/>
  </cols>
  <sheetData>
    <row r="1">
      <c r="A1" s="3" t="s">
        <v>1</v>
      </c>
      <c r="B1" s="3" t="s">
        <v>6</v>
      </c>
      <c r="C1" s="3" t="s">
        <v>9</v>
      </c>
      <c r="D1" s="3" t="s">
        <v>11</v>
      </c>
      <c r="E1" s="3" t="s">
        <v>12</v>
      </c>
      <c r="F1" s="3" t="s">
        <v>13</v>
      </c>
      <c r="G1" s="3" t="s">
        <v>15</v>
      </c>
      <c r="H1" s="3" t="s">
        <v>16</v>
      </c>
      <c r="I1" s="3" t="s">
        <v>19</v>
      </c>
      <c r="J1" s="3" t="s">
        <v>25</v>
      </c>
    </row>
    <row r="2">
      <c r="A2" s="8" t="s">
        <v>26</v>
      </c>
      <c r="B2" s="8" t="s">
        <v>28</v>
      </c>
      <c r="C2" s="8" t="s">
        <v>29</v>
      </c>
      <c r="D2" s="8" t="s">
        <v>30</v>
      </c>
      <c r="E2" s="8" t="s">
        <v>31</v>
      </c>
      <c r="F2" s="8" t="s">
        <v>32</v>
      </c>
      <c r="G2" s="8" t="s">
        <v>33</v>
      </c>
      <c r="H2" s="8" t="s">
        <v>34</v>
      </c>
      <c r="I2" s="12" t="s">
        <v>39</v>
      </c>
      <c r="J2" s="15" t="s">
        <v>41</v>
      </c>
    </row>
    <row r="3">
      <c r="A3" s="8" t="s">
        <v>43</v>
      </c>
      <c r="B3" s="8" t="s">
        <v>28</v>
      </c>
      <c r="C3" s="8" t="s">
        <v>44</v>
      </c>
      <c r="D3" s="8" t="s">
        <v>30</v>
      </c>
      <c r="E3" s="8" t="s">
        <v>45</v>
      </c>
      <c r="F3" s="8" t="s">
        <v>48</v>
      </c>
      <c r="G3" s="8" t="s">
        <v>50</v>
      </c>
      <c r="H3" s="8" t="s">
        <v>34</v>
      </c>
      <c r="I3" s="16"/>
      <c r="J3" s="16"/>
    </row>
    <row r="4">
      <c r="A4" s="8" t="s">
        <v>51</v>
      </c>
      <c r="B4" s="8" t="s">
        <v>28</v>
      </c>
      <c r="C4" s="8" t="s">
        <v>52</v>
      </c>
      <c r="D4" s="8" t="s">
        <v>30</v>
      </c>
      <c r="E4" s="8" t="s">
        <v>31</v>
      </c>
      <c r="F4" s="8" t="s">
        <v>53</v>
      </c>
      <c r="G4" s="8" t="s">
        <v>54</v>
      </c>
      <c r="H4" s="8" t="s">
        <v>34</v>
      </c>
      <c r="I4" s="17"/>
      <c r="J4" s="17"/>
    </row>
    <row r="5">
      <c r="A5" s="8" t="s">
        <v>55</v>
      </c>
      <c r="B5" s="8" t="s">
        <v>28</v>
      </c>
      <c r="C5" s="8" t="s">
        <v>56</v>
      </c>
      <c r="D5" s="8" t="s">
        <v>57</v>
      </c>
      <c r="E5" s="8" t="s">
        <v>45</v>
      </c>
      <c r="F5" s="21" t="s">
        <v>58</v>
      </c>
      <c r="G5" s="22"/>
      <c r="H5" s="8" t="s">
        <v>34</v>
      </c>
      <c r="I5" s="12" t="s">
        <v>64</v>
      </c>
      <c r="J5" s="23" t="s">
        <v>60</v>
      </c>
    </row>
    <row r="6">
      <c r="A6" s="8" t="s">
        <v>66</v>
      </c>
      <c r="B6" s="8" t="s">
        <v>28</v>
      </c>
      <c r="C6" s="8" t="s">
        <v>67</v>
      </c>
      <c r="D6" s="8" t="s">
        <v>57</v>
      </c>
      <c r="E6" s="8" t="s">
        <v>45</v>
      </c>
      <c r="F6" s="21" t="s">
        <v>68</v>
      </c>
      <c r="G6" s="22"/>
      <c r="H6" s="8" t="s">
        <v>34</v>
      </c>
      <c r="I6" s="25" t="s">
        <v>71</v>
      </c>
      <c r="J6" s="23" t="s">
        <v>60</v>
      </c>
    </row>
    <row r="7">
      <c r="A7" s="8" t="s">
        <v>72</v>
      </c>
      <c r="B7" s="8" t="s">
        <v>28</v>
      </c>
      <c r="C7" s="8" t="s">
        <v>73</v>
      </c>
      <c r="D7" s="8" t="s">
        <v>74</v>
      </c>
      <c r="E7" s="8" t="s">
        <v>45</v>
      </c>
      <c r="F7" s="21" t="s">
        <v>77</v>
      </c>
      <c r="G7" s="22"/>
      <c r="H7" s="8" t="s">
        <v>34</v>
      </c>
      <c r="I7" s="26" t="s">
        <v>78</v>
      </c>
      <c r="J7" s="23" t="s">
        <v>60</v>
      </c>
    </row>
    <row r="8">
      <c r="A8" s="8" t="s">
        <v>80</v>
      </c>
      <c r="B8" s="8" t="s">
        <v>28</v>
      </c>
      <c r="C8" s="8" t="s">
        <v>81</v>
      </c>
      <c r="D8" s="8" t="s">
        <v>57</v>
      </c>
      <c r="E8" s="8" t="s">
        <v>45</v>
      </c>
      <c r="F8" s="21" t="s">
        <v>82</v>
      </c>
      <c r="G8" s="22"/>
      <c r="H8" s="8" t="s">
        <v>34</v>
      </c>
      <c r="I8" s="26" t="s">
        <v>83</v>
      </c>
      <c r="J8" s="23" t="s">
        <v>60</v>
      </c>
    </row>
    <row r="9">
      <c r="A9" s="8" t="s">
        <v>84</v>
      </c>
      <c r="B9" s="8" t="s">
        <v>28</v>
      </c>
      <c r="C9" s="8" t="s">
        <v>85</v>
      </c>
      <c r="D9" s="8" t="s">
        <v>57</v>
      </c>
      <c r="E9" s="8" t="s">
        <v>45</v>
      </c>
      <c r="F9" s="8" t="s">
        <v>86</v>
      </c>
      <c r="G9" s="8" t="s">
        <v>87</v>
      </c>
      <c r="H9" s="28"/>
      <c r="I9" s="25" t="s">
        <v>71</v>
      </c>
      <c r="J9" s="23" t="s">
        <v>60</v>
      </c>
    </row>
    <row r="10">
      <c r="A10" s="8" t="s">
        <v>90</v>
      </c>
      <c r="B10" s="8" t="s">
        <v>91</v>
      </c>
      <c r="C10" s="8" t="s">
        <v>92</v>
      </c>
      <c r="D10" s="8" t="s">
        <v>57</v>
      </c>
      <c r="E10" s="8" t="s">
        <v>45</v>
      </c>
      <c r="F10" s="8" t="s">
        <v>94</v>
      </c>
      <c r="G10" s="8" t="s">
        <v>95</v>
      </c>
      <c r="H10" s="8" t="s">
        <v>96</v>
      </c>
      <c r="I10" s="25" t="s">
        <v>60</v>
      </c>
      <c r="J10" s="23" t="s">
        <v>98</v>
      </c>
    </row>
    <row r="11">
      <c r="A11" s="8" t="s">
        <v>100</v>
      </c>
      <c r="B11" s="8" t="s">
        <v>91</v>
      </c>
      <c r="C11" s="8" t="s">
        <v>102</v>
      </c>
      <c r="D11" s="8" t="s">
        <v>57</v>
      </c>
      <c r="E11" s="8" t="s">
        <v>31</v>
      </c>
      <c r="F11" s="8" t="s">
        <v>105</v>
      </c>
      <c r="G11" s="8" t="s">
        <v>107</v>
      </c>
      <c r="H11" s="8" t="s">
        <v>108</v>
      </c>
      <c r="I11" s="25" t="s">
        <v>60</v>
      </c>
      <c r="J11" s="23" t="s">
        <v>98</v>
      </c>
    </row>
    <row r="12">
      <c r="A12" s="8" t="s">
        <v>110</v>
      </c>
      <c r="B12" s="8" t="s">
        <v>91</v>
      </c>
      <c r="C12" s="8" t="s">
        <v>113</v>
      </c>
      <c r="D12" s="8" t="s">
        <v>30</v>
      </c>
      <c r="E12" s="8" t="s">
        <v>31</v>
      </c>
      <c r="F12" s="21" t="s">
        <v>117</v>
      </c>
      <c r="G12" s="22"/>
      <c r="H12" s="8" t="s">
        <v>108</v>
      </c>
      <c r="I12" s="25" t="s">
        <v>60</v>
      </c>
      <c r="J12" s="23" t="s">
        <v>120</v>
      </c>
    </row>
    <row r="13">
      <c r="A13" s="8" t="s">
        <v>121</v>
      </c>
      <c r="B13" s="8" t="s">
        <v>91</v>
      </c>
      <c r="C13" s="8" t="s">
        <v>122</v>
      </c>
      <c r="D13" s="8" t="s">
        <v>57</v>
      </c>
      <c r="E13" s="8" t="s">
        <v>45</v>
      </c>
      <c r="F13" s="8" t="s">
        <v>123</v>
      </c>
      <c r="G13" s="8" t="s">
        <v>124</v>
      </c>
      <c r="H13" s="8" t="s">
        <v>108</v>
      </c>
      <c r="I13" s="25" t="s">
        <v>60</v>
      </c>
      <c r="J13" s="23" t="s">
        <v>60</v>
      </c>
    </row>
    <row r="14">
      <c r="A14" s="8" t="s">
        <v>125</v>
      </c>
      <c r="B14" s="8" t="s">
        <v>91</v>
      </c>
      <c r="C14" s="8" t="s">
        <v>126</v>
      </c>
      <c r="D14" s="8" t="s">
        <v>57</v>
      </c>
      <c r="E14" s="8" t="s">
        <v>45</v>
      </c>
      <c r="F14" s="8" t="s">
        <v>127</v>
      </c>
      <c r="G14" s="8" t="s">
        <v>128</v>
      </c>
      <c r="H14" s="8" t="s">
        <v>108</v>
      </c>
      <c r="I14" s="25" t="s">
        <v>60</v>
      </c>
      <c r="J14" s="23" t="s">
        <v>60</v>
      </c>
    </row>
    <row r="15">
      <c r="A15" s="8" t="s">
        <v>129</v>
      </c>
      <c r="B15" s="8" t="s">
        <v>91</v>
      </c>
      <c r="C15" s="8" t="s">
        <v>130</v>
      </c>
      <c r="D15" s="8" t="s">
        <v>57</v>
      </c>
      <c r="E15" s="8" t="s">
        <v>45</v>
      </c>
      <c r="F15" s="8" t="s">
        <v>132</v>
      </c>
      <c r="G15" s="8" t="s">
        <v>133</v>
      </c>
      <c r="H15" s="8" t="s">
        <v>96</v>
      </c>
      <c r="I15" s="25" t="s">
        <v>60</v>
      </c>
      <c r="J15" s="23" t="s">
        <v>60</v>
      </c>
    </row>
    <row r="16">
      <c r="A16" s="8" t="s">
        <v>135</v>
      </c>
      <c r="B16" s="8" t="s">
        <v>91</v>
      </c>
      <c r="C16" s="8" t="s">
        <v>136</v>
      </c>
      <c r="D16" s="8" t="s">
        <v>57</v>
      </c>
      <c r="E16" s="8" t="s">
        <v>31</v>
      </c>
      <c r="F16" s="8" t="s">
        <v>137</v>
      </c>
      <c r="G16" s="8" t="s">
        <v>138</v>
      </c>
      <c r="H16" s="8" t="s">
        <v>139</v>
      </c>
      <c r="I16" s="25" t="s">
        <v>60</v>
      </c>
      <c r="J16" s="23" t="s">
        <v>60</v>
      </c>
    </row>
    <row r="17">
      <c r="A17" s="8" t="s">
        <v>140</v>
      </c>
      <c r="B17" s="8" t="s">
        <v>91</v>
      </c>
      <c r="C17" s="8" t="s">
        <v>141</v>
      </c>
      <c r="D17" s="8" t="s">
        <v>57</v>
      </c>
      <c r="E17" s="8" t="s">
        <v>45</v>
      </c>
      <c r="F17" s="8" t="s">
        <v>143</v>
      </c>
      <c r="G17" s="8" t="s">
        <v>144</v>
      </c>
      <c r="H17" s="8" t="s">
        <v>96</v>
      </c>
      <c r="I17" s="25" t="s">
        <v>60</v>
      </c>
      <c r="J17" s="23" t="s">
        <v>60</v>
      </c>
    </row>
    <row r="18">
      <c r="A18" s="8" t="s">
        <v>145</v>
      </c>
      <c r="B18" s="8" t="s">
        <v>91</v>
      </c>
      <c r="C18" s="8" t="s">
        <v>147</v>
      </c>
      <c r="D18" s="8" t="s">
        <v>57</v>
      </c>
      <c r="E18" s="8" t="s">
        <v>45</v>
      </c>
      <c r="F18" s="21" t="s">
        <v>149</v>
      </c>
      <c r="G18" s="22"/>
      <c r="H18" s="8" t="s">
        <v>96</v>
      </c>
      <c r="I18" s="25" t="s">
        <v>60</v>
      </c>
      <c r="J18" s="23" t="s">
        <v>60</v>
      </c>
    </row>
    <row r="19">
      <c r="A19" s="8" t="s">
        <v>150</v>
      </c>
      <c r="B19" s="8" t="s">
        <v>91</v>
      </c>
      <c r="C19" s="8" t="s">
        <v>151</v>
      </c>
      <c r="D19" s="8" t="s">
        <v>57</v>
      </c>
      <c r="E19" s="8" t="s">
        <v>31</v>
      </c>
      <c r="F19" s="8" t="s">
        <v>152</v>
      </c>
      <c r="G19" s="8" t="s">
        <v>153</v>
      </c>
      <c r="H19" s="8" t="s">
        <v>154</v>
      </c>
      <c r="I19" s="25" t="s">
        <v>155</v>
      </c>
      <c r="J19" s="23" t="s">
        <v>156</v>
      </c>
    </row>
    <row r="20">
      <c r="A20" s="8" t="s">
        <v>157</v>
      </c>
      <c r="B20" s="8" t="s">
        <v>158</v>
      </c>
      <c r="C20" s="8" t="s">
        <v>159</v>
      </c>
      <c r="D20" s="8" t="s">
        <v>57</v>
      </c>
      <c r="E20" s="8" t="s">
        <v>45</v>
      </c>
      <c r="F20" s="8" t="s">
        <v>160</v>
      </c>
      <c r="G20" s="8" t="s">
        <v>161</v>
      </c>
      <c r="H20" s="8" t="s">
        <v>162</v>
      </c>
      <c r="I20" s="25" t="s">
        <v>163</v>
      </c>
      <c r="J20" s="23" t="s">
        <v>60</v>
      </c>
    </row>
    <row r="21">
      <c r="A21" s="8" t="s">
        <v>164</v>
      </c>
      <c r="B21" s="8" t="s">
        <v>158</v>
      </c>
      <c r="C21" s="8" t="s">
        <v>165</v>
      </c>
      <c r="D21" s="8" t="s">
        <v>57</v>
      </c>
      <c r="E21" s="8" t="s">
        <v>31</v>
      </c>
      <c r="F21" s="8" t="s">
        <v>166</v>
      </c>
      <c r="G21" s="8" t="s">
        <v>167</v>
      </c>
      <c r="H21" s="8" t="s">
        <v>169</v>
      </c>
      <c r="I21" s="25" t="s">
        <v>163</v>
      </c>
      <c r="J21" s="23" t="s">
        <v>60</v>
      </c>
    </row>
    <row r="22">
      <c r="A22" s="8" t="s">
        <v>170</v>
      </c>
      <c r="B22" s="8" t="s">
        <v>158</v>
      </c>
      <c r="C22" s="8" t="s">
        <v>172</v>
      </c>
      <c r="D22" s="8" t="s">
        <v>74</v>
      </c>
      <c r="E22" s="8" t="s">
        <v>45</v>
      </c>
      <c r="F22" s="21" t="s">
        <v>173</v>
      </c>
      <c r="G22" s="22"/>
      <c r="H22" s="8" t="s">
        <v>174</v>
      </c>
      <c r="I22" s="25" t="s">
        <v>175</v>
      </c>
      <c r="J22" s="23" t="s">
        <v>60</v>
      </c>
    </row>
    <row r="23">
      <c r="A23" s="8" t="s">
        <v>176</v>
      </c>
      <c r="B23" s="8" t="s">
        <v>158</v>
      </c>
      <c r="C23" s="8" t="s">
        <v>177</v>
      </c>
      <c r="D23" s="8" t="s">
        <v>57</v>
      </c>
      <c r="E23" s="8" t="s">
        <v>45</v>
      </c>
      <c r="F23" s="8" t="s">
        <v>178</v>
      </c>
      <c r="G23" s="8" t="s">
        <v>179</v>
      </c>
      <c r="H23" s="8" t="s">
        <v>162</v>
      </c>
      <c r="I23" s="25" t="s">
        <v>163</v>
      </c>
      <c r="J23" s="23" t="s">
        <v>60</v>
      </c>
    </row>
    <row r="24">
      <c r="A24" s="8" t="s">
        <v>180</v>
      </c>
      <c r="B24" s="8" t="s">
        <v>158</v>
      </c>
      <c r="C24" s="8" t="s">
        <v>181</v>
      </c>
      <c r="D24" s="8" t="s">
        <v>57</v>
      </c>
      <c r="E24" s="8" t="s">
        <v>45</v>
      </c>
      <c r="F24" s="8" t="s">
        <v>182</v>
      </c>
      <c r="G24" s="8" t="s">
        <v>183</v>
      </c>
      <c r="H24" s="8" t="s">
        <v>184</v>
      </c>
      <c r="I24" s="25" t="s">
        <v>163</v>
      </c>
      <c r="J24" s="23" t="s">
        <v>60</v>
      </c>
    </row>
    <row r="25">
      <c r="A25" s="8" t="s">
        <v>185</v>
      </c>
      <c r="B25" s="8" t="s">
        <v>158</v>
      </c>
      <c r="C25" s="8" t="s">
        <v>186</v>
      </c>
      <c r="D25" s="8" t="s">
        <v>57</v>
      </c>
      <c r="E25" s="8" t="s">
        <v>31</v>
      </c>
      <c r="F25" s="8" t="s">
        <v>187</v>
      </c>
      <c r="G25" s="8" t="s">
        <v>188</v>
      </c>
      <c r="H25" s="8" t="s">
        <v>184</v>
      </c>
      <c r="I25" s="25" t="s">
        <v>163</v>
      </c>
      <c r="J25" s="23" t="s">
        <v>60</v>
      </c>
    </row>
    <row r="26">
      <c r="A26" s="8" t="s">
        <v>191</v>
      </c>
      <c r="B26" s="8" t="s">
        <v>158</v>
      </c>
      <c r="C26" s="8" t="s">
        <v>192</v>
      </c>
      <c r="D26" s="8" t="s">
        <v>57</v>
      </c>
      <c r="E26" s="8" t="s">
        <v>45</v>
      </c>
      <c r="F26" s="8" t="s">
        <v>194</v>
      </c>
      <c r="G26" s="8" t="s">
        <v>195</v>
      </c>
      <c r="H26" s="8" t="s">
        <v>174</v>
      </c>
      <c r="I26" s="25" t="s">
        <v>196</v>
      </c>
      <c r="J26" s="23" t="s">
        <v>60</v>
      </c>
    </row>
    <row r="27">
      <c r="A27" s="8" t="s">
        <v>197</v>
      </c>
      <c r="B27" s="8" t="s">
        <v>158</v>
      </c>
      <c r="C27" s="8" t="s">
        <v>198</v>
      </c>
      <c r="D27" s="8" t="s">
        <v>74</v>
      </c>
      <c r="E27" s="8" t="s">
        <v>45</v>
      </c>
      <c r="F27" s="8" t="s">
        <v>199</v>
      </c>
      <c r="G27" s="8" t="s">
        <v>200</v>
      </c>
      <c r="H27" s="28"/>
      <c r="I27" s="25" t="s">
        <v>201</v>
      </c>
      <c r="J27" s="23" t="s">
        <v>202</v>
      </c>
    </row>
    <row r="28">
      <c r="A28" s="8" t="s">
        <v>203</v>
      </c>
      <c r="B28" s="8" t="s">
        <v>158</v>
      </c>
      <c r="C28" s="8" t="s">
        <v>204</v>
      </c>
      <c r="D28" s="8" t="s">
        <v>57</v>
      </c>
      <c r="E28" s="8" t="s">
        <v>45</v>
      </c>
      <c r="F28" s="8" t="s">
        <v>205</v>
      </c>
      <c r="G28" s="8" t="s">
        <v>206</v>
      </c>
      <c r="H28" s="8" t="s">
        <v>162</v>
      </c>
      <c r="I28" s="25" t="s">
        <v>175</v>
      </c>
      <c r="J28" s="23" t="s">
        <v>60</v>
      </c>
    </row>
    <row r="29">
      <c r="A29" s="8" t="s">
        <v>207</v>
      </c>
      <c r="B29" s="8" t="s">
        <v>158</v>
      </c>
      <c r="C29" s="8" t="s">
        <v>208</v>
      </c>
      <c r="D29" s="8" t="s">
        <v>57</v>
      </c>
      <c r="E29" s="8" t="s">
        <v>45</v>
      </c>
      <c r="F29" s="8" t="s">
        <v>209</v>
      </c>
      <c r="G29" s="8" t="s">
        <v>210</v>
      </c>
      <c r="H29" s="8" t="s">
        <v>211</v>
      </c>
      <c r="I29" s="25" t="s">
        <v>212</v>
      </c>
      <c r="J29" s="23" t="s">
        <v>213</v>
      </c>
    </row>
    <row r="30">
      <c r="A30" s="8" t="s">
        <v>214</v>
      </c>
      <c r="B30" s="8" t="s">
        <v>158</v>
      </c>
      <c r="C30" s="8" t="s">
        <v>215</v>
      </c>
      <c r="D30" s="8" t="s">
        <v>57</v>
      </c>
      <c r="E30" s="8" t="s">
        <v>45</v>
      </c>
      <c r="F30" s="8" t="s">
        <v>217</v>
      </c>
      <c r="G30" s="8" t="s">
        <v>218</v>
      </c>
      <c r="H30" s="8" t="s">
        <v>219</v>
      </c>
      <c r="I30" s="25" t="s">
        <v>212</v>
      </c>
      <c r="J30" s="23" t="s">
        <v>213</v>
      </c>
    </row>
    <row r="31">
      <c r="A31" s="8" t="s">
        <v>220</v>
      </c>
      <c r="B31" s="8" t="s">
        <v>158</v>
      </c>
      <c r="C31" s="8" t="s">
        <v>221</v>
      </c>
      <c r="D31" s="28"/>
      <c r="E31" s="8" t="s">
        <v>45</v>
      </c>
      <c r="F31" s="21" t="s">
        <v>222</v>
      </c>
      <c r="G31" s="22"/>
      <c r="H31" s="8" t="s">
        <v>174</v>
      </c>
      <c r="I31" s="25" t="s">
        <v>224</v>
      </c>
      <c r="J31" s="23" t="s">
        <v>225</v>
      </c>
    </row>
    <row r="32">
      <c r="A32" s="8" t="s">
        <v>227</v>
      </c>
      <c r="B32" s="8" t="s">
        <v>158</v>
      </c>
      <c r="C32" s="8" t="s">
        <v>228</v>
      </c>
      <c r="D32" s="28"/>
      <c r="E32" s="8" t="s">
        <v>45</v>
      </c>
      <c r="F32" s="21" t="s">
        <v>229</v>
      </c>
      <c r="G32" s="22"/>
      <c r="H32" s="8" t="s">
        <v>162</v>
      </c>
      <c r="I32" s="25" t="s">
        <v>163</v>
      </c>
      <c r="J32" s="23" t="s">
        <v>60</v>
      </c>
    </row>
    <row r="33">
      <c r="A33" s="8" t="s">
        <v>230</v>
      </c>
      <c r="B33" s="8" t="s">
        <v>158</v>
      </c>
      <c r="C33" s="8" t="s">
        <v>231</v>
      </c>
      <c r="D33" s="28"/>
      <c r="E33" s="8" t="s">
        <v>31</v>
      </c>
      <c r="F33" s="8" t="s">
        <v>232</v>
      </c>
      <c r="G33" s="8" t="s">
        <v>233</v>
      </c>
      <c r="H33" s="8" t="s">
        <v>211</v>
      </c>
      <c r="I33" s="25" t="s">
        <v>212</v>
      </c>
      <c r="J33" s="23" t="s">
        <v>213</v>
      </c>
    </row>
    <row r="34">
      <c r="A34" s="8" t="s">
        <v>234</v>
      </c>
      <c r="B34" s="8" t="s">
        <v>158</v>
      </c>
      <c r="C34" s="8" t="s">
        <v>235</v>
      </c>
      <c r="D34" s="28"/>
      <c r="E34" s="8" t="s">
        <v>45</v>
      </c>
      <c r="F34" s="21" t="s">
        <v>236</v>
      </c>
      <c r="G34" s="22"/>
      <c r="H34" s="8" t="s">
        <v>211</v>
      </c>
      <c r="I34" s="25" t="s">
        <v>237</v>
      </c>
      <c r="J34" s="23" t="s">
        <v>213</v>
      </c>
    </row>
    <row r="35">
      <c r="A35" s="8" t="s">
        <v>239</v>
      </c>
      <c r="B35" s="8" t="s">
        <v>158</v>
      </c>
      <c r="C35" s="21" t="s">
        <v>240</v>
      </c>
      <c r="D35" s="22"/>
      <c r="E35" s="8" t="s">
        <v>45</v>
      </c>
      <c r="F35" s="8" t="s">
        <v>241</v>
      </c>
      <c r="G35" s="8" t="s">
        <v>242</v>
      </c>
      <c r="H35" s="8" t="s">
        <v>162</v>
      </c>
      <c r="I35" s="25" t="s">
        <v>244</v>
      </c>
      <c r="J35" s="23" t="s">
        <v>245</v>
      </c>
    </row>
    <row r="36">
      <c r="A36" s="8" t="s">
        <v>246</v>
      </c>
      <c r="B36" s="8" t="s">
        <v>158</v>
      </c>
      <c r="C36" s="8" t="s">
        <v>247</v>
      </c>
      <c r="D36" s="28"/>
      <c r="E36" s="8" t="s">
        <v>45</v>
      </c>
      <c r="F36" s="21" t="s">
        <v>248</v>
      </c>
      <c r="G36" s="22"/>
      <c r="H36" s="8" t="s">
        <v>219</v>
      </c>
      <c r="I36" s="25" t="s">
        <v>60</v>
      </c>
      <c r="J36" s="23" t="s">
        <v>60</v>
      </c>
    </row>
    <row r="37">
      <c r="A37" s="8" t="s">
        <v>249</v>
      </c>
      <c r="B37" s="8" t="s">
        <v>158</v>
      </c>
      <c r="C37" s="8" t="s">
        <v>250</v>
      </c>
      <c r="D37" s="28"/>
      <c r="E37" s="8" t="s">
        <v>31</v>
      </c>
      <c r="F37" s="21" t="s">
        <v>251</v>
      </c>
      <c r="G37" s="22"/>
      <c r="H37" s="8" t="s">
        <v>211</v>
      </c>
      <c r="I37" s="25" t="s">
        <v>212</v>
      </c>
      <c r="J37" s="23" t="s">
        <v>60</v>
      </c>
    </row>
    <row r="38">
      <c r="A38" s="8" t="s">
        <v>252</v>
      </c>
      <c r="B38" s="8" t="s">
        <v>158</v>
      </c>
      <c r="C38" s="8" t="s">
        <v>253</v>
      </c>
      <c r="D38" s="28"/>
      <c r="E38" s="8" t="s">
        <v>45</v>
      </c>
      <c r="F38" s="8" t="s">
        <v>254</v>
      </c>
      <c r="G38" s="8" t="s">
        <v>255</v>
      </c>
      <c r="H38" s="8" t="s">
        <v>162</v>
      </c>
      <c r="I38" s="25" t="s">
        <v>163</v>
      </c>
      <c r="J38" s="23" t="s">
        <v>60</v>
      </c>
    </row>
    <row r="39">
      <c r="A39" s="8" t="s">
        <v>258</v>
      </c>
      <c r="B39" s="8" t="s">
        <v>158</v>
      </c>
      <c r="C39" s="8" t="s">
        <v>259</v>
      </c>
      <c r="D39" s="28"/>
      <c r="E39" s="8" t="s">
        <v>45</v>
      </c>
      <c r="F39" s="8" t="s">
        <v>260</v>
      </c>
      <c r="G39" s="8" t="s">
        <v>261</v>
      </c>
      <c r="H39" s="8" t="s">
        <v>219</v>
      </c>
      <c r="I39" s="25" t="s">
        <v>60</v>
      </c>
      <c r="J39" s="23" t="s">
        <v>60</v>
      </c>
    </row>
    <row r="40">
      <c r="A40" s="8" t="s">
        <v>264</v>
      </c>
      <c r="B40" s="8" t="s">
        <v>158</v>
      </c>
      <c r="C40" s="8" t="s">
        <v>265</v>
      </c>
      <c r="D40" s="28"/>
      <c r="E40" s="8" t="s">
        <v>45</v>
      </c>
      <c r="F40" s="8" t="s">
        <v>266</v>
      </c>
      <c r="G40" s="8" t="s">
        <v>269</v>
      </c>
      <c r="H40" s="8" t="s">
        <v>219</v>
      </c>
      <c r="I40" s="25" t="s">
        <v>60</v>
      </c>
      <c r="J40" s="23" t="s">
        <v>60</v>
      </c>
    </row>
    <row r="41">
      <c r="A41" s="8" t="s">
        <v>270</v>
      </c>
      <c r="B41" s="8" t="s">
        <v>158</v>
      </c>
      <c r="C41" s="21" t="s">
        <v>271</v>
      </c>
      <c r="D41" s="22"/>
      <c r="E41" s="8" t="s">
        <v>31</v>
      </c>
      <c r="F41" s="8" t="s">
        <v>272</v>
      </c>
      <c r="G41" s="8" t="s">
        <v>273</v>
      </c>
      <c r="H41" s="8" t="s">
        <v>162</v>
      </c>
      <c r="I41" s="25" t="s">
        <v>163</v>
      </c>
      <c r="J41" s="23" t="s">
        <v>213</v>
      </c>
    </row>
    <row r="42">
      <c r="A42" s="8" t="s">
        <v>274</v>
      </c>
      <c r="B42" s="8" t="s">
        <v>158</v>
      </c>
      <c r="C42" s="8" t="s">
        <v>275</v>
      </c>
      <c r="D42" s="8" t="s">
        <v>57</v>
      </c>
      <c r="E42" s="8" t="s">
        <v>31</v>
      </c>
      <c r="F42" s="21" t="s">
        <v>276</v>
      </c>
      <c r="G42" s="22"/>
      <c r="H42" s="8" t="s">
        <v>277</v>
      </c>
      <c r="I42" s="25" t="s">
        <v>60</v>
      </c>
      <c r="J42" s="23" t="s">
        <v>60</v>
      </c>
    </row>
    <row r="43">
      <c r="A43" s="8" t="s">
        <v>278</v>
      </c>
      <c r="B43" s="8" t="s">
        <v>158</v>
      </c>
      <c r="C43" s="8" t="s">
        <v>280</v>
      </c>
      <c r="D43" s="8" t="s">
        <v>57</v>
      </c>
      <c r="E43" s="8" t="s">
        <v>45</v>
      </c>
      <c r="F43" s="21" t="s">
        <v>281</v>
      </c>
      <c r="G43" s="22"/>
      <c r="H43" s="8" t="s">
        <v>282</v>
      </c>
      <c r="I43" s="25" t="s">
        <v>284</v>
      </c>
      <c r="J43" s="23" t="s">
        <v>60</v>
      </c>
    </row>
    <row r="44">
      <c r="A44" s="8" t="s">
        <v>285</v>
      </c>
      <c r="B44" s="8" t="s">
        <v>158</v>
      </c>
      <c r="C44" s="8" t="s">
        <v>286</v>
      </c>
      <c r="D44" s="8" t="s">
        <v>57</v>
      </c>
      <c r="E44" s="8" t="s">
        <v>31</v>
      </c>
      <c r="F44" s="21" t="s">
        <v>287</v>
      </c>
      <c r="G44" s="22"/>
      <c r="H44" s="8" t="s">
        <v>174</v>
      </c>
      <c r="I44" s="25" t="s">
        <v>196</v>
      </c>
      <c r="J44" s="23" t="s">
        <v>60</v>
      </c>
    </row>
    <row r="45">
      <c r="A45" s="8" t="s">
        <v>288</v>
      </c>
      <c r="B45" s="8" t="s">
        <v>158</v>
      </c>
      <c r="C45" s="8" t="s">
        <v>289</v>
      </c>
      <c r="D45" s="8" t="s">
        <v>57</v>
      </c>
      <c r="E45" s="8" t="s">
        <v>31</v>
      </c>
      <c r="F45" s="8" t="s">
        <v>290</v>
      </c>
      <c r="G45" s="8" t="s">
        <v>291</v>
      </c>
      <c r="H45" s="8" t="s">
        <v>162</v>
      </c>
      <c r="I45" s="25" t="s">
        <v>292</v>
      </c>
      <c r="J45" s="23" t="s">
        <v>60</v>
      </c>
    </row>
    <row r="46">
      <c r="A46" s="8" t="s">
        <v>293</v>
      </c>
      <c r="B46" s="8" t="s">
        <v>158</v>
      </c>
      <c r="C46" s="8" t="s">
        <v>294</v>
      </c>
      <c r="D46" s="8" t="s">
        <v>57</v>
      </c>
      <c r="E46" s="8" t="s">
        <v>31</v>
      </c>
      <c r="F46" s="21" t="s">
        <v>295</v>
      </c>
      <c r="G46" s="22"/>
      <c r="H46" s="8" t="s">
        <v>211</v>
      </c>
      <c r="I46" s="25" t="s">
        <v>60</v>
      </c>
      <c r="J46" s="23" t="s">
        <v>60</v>
      </c>
    </row>
    <row r="47">
      <c r="A47" s="8" t="s">
        <v>296</v>
      </c>
      <c r="B47" s="8" t="s">
        <v>158</v>
      </c>
      <c r="C47" s="8" t="s">
        <v>298</v>
      </c>
      <c r="D47" s="8" t="s">
        <v>57</v>
      </c>
      <c r="E47" s="8" t="s">
        <v>31</v>
      </c>
      <c r="F47" s="21" t="s">
        <v>299</v>
      </c>
      <c r="G47" s="22"/>
      <c r="H47" s="8" t="s">
        <v>211</v>
      </c>
      <c r="I47" s="25" t="s">
        <v>60</v>
      </c>
      <c r="J47" s="23" t="s">
        <v>60</v>
      </c>
    </row>
    <row r="48">
      <c r="A48" s="8" t="s">
        <v>301</v>
      </c>
      <c r="B48" s="8" t="s">
        <v>158</v>
      </c>
      <c r="C48" s="8" t="s">
        <v>302</v>
      </c>
      <c r="D48" s="8" t="s">
        <v>57</v>
      </c>
      <c r="E48" s="8" t="s">
        <v>31</v>
      </c>
      <c r="F48" s="21" t="s">
        <v>303</v>
      </c>
      <c r="G48" s="22"/>
      <c r="H48" s="8" t="s">
        <v>219</v>
      </c>
      <c r="I48" s="25" t="s">
        <v>60</v>
      </c>
      <c r="J48" s="23" t="s">
        <v>60</v>
      </c>
    </row>
    <row r="49">
      <c r="A49" s="8" t="s">
        <v>304</v>
      </c>
      <c r="B49" s="8" t="s">
        <v>158</v>
      </c>
      <c r="C49" s="21" t="s">
        <v>305</v>
      </c>
      <c r="D49" s="22"/>
      <c r="E49" s="8" t="s">
        <v>45</v>
      </c>
      <c r="F49" s="8" t="s">
        <v>306</v>
      </c>
      <c r="G49" s="8" t="s">
        <v>307</v>
      </c>
      <c r="H49" s="8" t="s">
        <v>308</v>
      </c>
      <c r="I49" s="25" t="s">
        <v>60</v>
      </c>
      <c r="J49" s="23" t="s">
        <v>60</v>
      </c>
    </row>
    <row r="50">
      <c r="A50" s="8" t="s">
        <v>309</v>
      </c>
      <c r="B50" s="8" t="s">
        <v>158</v>
      </c>
      <c r="C50" s="8" t="s">
        <v>310</v>
      </c>
      <c r="D50" s="8" t="s">
        <v>57</v>
      </c>
      <c r="E50" s="8" t="s">
        <v>31</v>
      </c>
      <c r="F50" s="21" t="s">
        <v>311</v>
      </c>
      <c r="G50" s="22"/>
      <c r="H50" s="8" t="s">
        <v>184</v>
      </c>
      <c r="I50" s="25" t="s">
        <v>292</v>
      </c>
      <c r="J50" s="23" t="s">
        <v>60</v>
      </c>
    </row>
    <row r="51">
      <c r="A51" s="8" t="s">
        <v>312</v>
      </c>
      <c r="B51" s="8" t="s">
        <v>158</v>
      </c>
      <c r="C51" s="8" t="s">
        <v>313</v>
      </c>
      <c r="D51" s="28"/>
      <c r="E51" s="8" t="s">
        <v>45</v>
      </c>
      <c r="F51" s="21" t="s">
        <v>314</v>
      </c>
      <c r="G51" s="22"/>
      <c r="H51" s="8" t="s">
        <v>184</v>
      </c>
      <c r="I51" s="25" t="s">
        <v>83</v>
      </c>
      <c r="J51" s="23" t="s">
        <v>60</v>
      </c>
    </row>
  </sheetData>
  <mergeCells count="25">
    <mergeCell ref="I2:I4"/>
    <mergeCell ref="J2:J4"/>
    <mergeCell ref="F5:G5"/>
    <mergeCell ref="F6:G6"/>
    <mergeCell ref="F7:G7"/>
    <mergeCell ref="F8:G8"/>
    <mergeCell ref="F12:G12"/>
    <mergeCell ref="C35:D35"/>
    <mergeCell ref="C41:D41"/>
    <mergeCell ref="C49:D49"/>
    <mergeCell ref="F42:G42"/>
    <mergeCell ref="F43:G43"/>
    <mergeCell ref="F44:G44"/>
    <mergeCell ref="F46:G46"/>
    <mergeCell ref="F47:G47"/>
    <mergeCell ref="F48:G48"/>
    <mergeCell ref="F50:G50"/>
    <mergeCell ref="F51:G51"/>
    <mergeCell ref="F18:G18"/>
    <mergeCell ref="F22:G22"/>
    <mergeCell ref="F31:G31"/>
    <mergeCell ref="F32:G32"/>
    <mergeCell ref="F34:G34"/>
    <mergeCell ref="F36:G36"/>
    <mergeCell ref="F37:G37"/>
  </mergeCells>
  <dataValidations>
    <dataValidation type="list" allowBlank="1" showErrorMessage="1" sqref="I2 I5:I51">
      <formula1>"Cooking - fuel switch,Distributed renewables,District heating decarbonisation,Envelope (insulation, window, roof),Equipement - efficiency,Grid decarbonisation,Industrial - efficiency,Industrial - fuel switch,Informatl settlement energy switch,Landfill gas"&amp;" capture,Lighting - efficiency,Mode shift - transit,Mode shift - walk/bike,NA,Organic waste diversion (composting / anaerobic digestion),Other building energy reduction,Vehicle - fuel switch/efficiency,Recycling,Space cooling - efficiency,Space heating: e"&amp;"fficiency / fuel switch,Transit oriented development - reduction in activity,Transit vehicle - efficiency,Transit vehicle - fuel switch,Wastewater treatment,Water delivery/treatment - efficiency,Water heating: efficiency / fuel switch"</formula1>
    </dataValidation>
    <dataValidation type="list" allowBlank="1" showErrorMessage="1" sqref="J2 J5:J51">
      <formula1>"Alternative fuel usage,Aviation: Sustainable Aviation Fuel,Diversion and biocover (controlled dumpsite),Diversion and biocover (sanitary landfill),Diversion and daily/intermediate cover (controlled dumpsite),Diversion and daily/intermediate cover (sanitar"&amp;"y landfill),Diversion and gas capture (controlled dumpsite),Diversion and gas capture (sanitary landfill),Diversion and improve gas capture,Diversion and Management,Diversion and shut down,Domestic-shipping: Alternative fuel and energy sources,Domestic-sh"&amp;"ipping: Just in time arrivals,domestic-wastewater-treatment-and-discharge: intelligent management,domestic-wastewater-treatment-and-discharge: Primary Treatment to Secondary Treatment,Domestic: Treat untreated wastewater,Flow control,Industrial: Secondary"&amp;" Treatment to Advanced Treatment,NA,Reduce methane flaring,Replace activity with solar generation,Shut down plant,Technology retrofit (cooking),Technology retrofit (Heating),Technology retrofit (water-heating),Transition to EVs,Withdrawal Height Adjustmen"&amp;"t"</formula1>
    </dataValidation>
  </dataValidations>
  <drawing r:id="rId1"/>
</worksheet>
</file>