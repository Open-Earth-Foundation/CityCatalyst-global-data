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1.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be4you-my.sharepoint.com/personal/ce-arthur_albaz_bearingpoint_com/Documents/"/>
    </mc:Choice>
  </mc:AlternateContent>
  <xr:revisionPtr revIDLastSave="0" documentId="8_{EB37CD38-FFD6-4832-BAAF-DE4CD6ADE731}" xr6:coauthVersionLast="47" xr6:coauthVersionMax="47" xr10:uidLastSave="{00000000-0000-0000-0000-000000000000}"/>
  <bookViews>
    <workbookView xWindow="-108" yWindow="-108" windowWidth="23256" windowHeight="12456" xr2:uid="{00000000-000D-0000-FFFF-FFFF00000000}"/>
  </bookViews>
  <sheets>
    <sheet name="Home" sheetId="41" r:id="rId1"/>
    <sheet name="Summary Matrix" sheetId="42" r:id="rId2"/>
    <sheet name="Water Resources x actions" sheetId="46" r:id="rId3"/>
    <sheet name="Score assessments" sheetId="18" state="hidden" r:id="rId4"/>
    <sheet name="Impact scoring - detailed test" sheetId="31" state="hidden" r:id="rId5"/>
    <sheet name="99_Source_Backup" sheetId="40" state="hidden" r:id="rId6"/>
    <sheet name="Sectors_Adaptabrasil (old)" sheetId="7" state="hidden" r:id="rId7"/>
    <sheet name="Tab Google drive &gt;&gt;&gt;" sheetId="14" state="hidden" r:id="rId8"/>
    <sheet name="Bank of actions" sheetId="3" state="hidden" r:id="rId9"/>
    <sheet name="sector_risk" sheetId="1" state="hidden" r:id="rId10"/>
    <sheet name="all_indicators" sheetId="2" state="hidden" r:id="rId11"/>
    <sheet name="Finance data catalog" sheetId="4" state="hidden" r:id="rId12"/>
    <sheet name="Legal feasibility" sheetId="5" state="hidden" r:id="rId13"/>
    <sheet name="Policy documents" sheetId="6" state="hidden" r:id="rId14"/>
    <sheet name="Old &gt;&gt;" sheetId="39" state="hidden" r:id="rId15"/>
    <sheet name="Food Security x actions" sheetId="54" r:id="rId16"/>
    <sheet name="Biodiversity x actions" sheetId="58" r:id="rId17"/>
    <sheet name="Geohydrological disas x actions" sheetId="59" r:id="rId18"/>
    <sheet name="Health x actions" sheetId="57" r:id="rId19"/>
    <sheet name="Energy Security x actions" sheetId="56" r:id="rId20"/>
    <sheet name="all_indicators_bank" sheetId="47" r:id="rId21"/>
    <sheet name="Lists" sheetId="48" r:id="rId22"/>
  </sheets>
  <externalReferences>
    <externalReference r:id="rId23"/>
    <externalReference r:id="rId24"/>
  </externalReferences>
  <definedNames>
    <definedName name="_xlnm._FilterDatabase" localSheetId="10" hidden="1">all_indicators!$A$1:$O$246</definedName>
    <definedName name="_xlnm._FilterDatabase" localSheetId="20" hidden="1">all_indicators_bank!$A$1:$O$246</definedName>
    <definedName name="_xlnm._FilterDatabase" localSheetId="8" hidden="1">'Bank of actions'!$A$2:$J$55</definedName>
    <definedName name="AcoesRecursosHidricos_IDs">"MAPEAMENTO_ACOES!$A$5#"</definedName>
    <definedName name="Actions">[2]Lists!$L$2:$L$61</definedName>
    <definedName name="Diroconnector_">#REF!</definedName>
    <definedName name="ImpactActionIDs">'Bank of actions'!$A$3:$A$55</definedName>
    <definedName name="ImpactScaledActionIDs" localSheetId="5">Table24[ActionID]</definedName>
    <definedName name="ImpactScaledActionIDs" localSheetId="20">[1]!Table24[ActionID]</definedName>
    <definedName name="ImpactScaledActionIDs" localSheetId="16">Table24[ActionID]</definedName>
    <definedName name="ImpactScaledActionIDs" localSheetId="19">Table24[ActionID]</definedName>
    <definedName name="ImpactScaledActionIDs" localSheetId="15">Table24[ActionID]</definedName>
    <definedName name="ImpactScaledActionIDs" localSheetId="17">Table24[ActionID]</definedName>
    <definedName name="ImpactScaledActionIDs" localSheetId="18">Table24[ActionID]</definedName>
    <definedName name="ImpactScaledActionIDs">Table24[ActionID]</definedName>
    <definedName name="Palm_indonesia">#REF!</definedName>
    <definedName name="Palm_malaysia">#REF!</definedName>
    <definedName name="WR_AccessStatus" localSheetId="16">tbl_Lists_AccessStatus[AccessStatus]</definedName>
    <definedName name="WR_AccessStatus" localSheetId="19">tbl_Lists_AccessStatus[AccessStatus]</definedName>
    <definedName name="WR_AccessStatus" localSheetId="15">tbl_Lists_AccessStatus[AccessStatus]</definedName>
    <definedName name="WR_AccessStatus" localSheetId="17">tbl_Lists_AccessStatus[AccessStatus]</definedName>
    <definedName name="WR_AccessStatus" localSheetId="18">tbl_Lists_AccessStatus[AccessStatus]</definedName>
    <definedName name="WR_AccessStatus">tbl_Lists_AccessStatus[AccessStatus]</definedName>
    <definedName name="WR_EffectivenessLevel" localSheetId="16">tbl_Lists_EffectivenessLevel[EffectivenessLevel]</definedName>
    <definedName name="WR_EffectivenessLevel" localSheetId="19">tbl_Lists_EffectivenessLevel[EffectivenessLevel]</definedName>
    <definedName name="WR_EffectivenessLevel" localSheetId="15">tbl_Lists_EffectivenessLevel[EffectivenessLevel]</definedName>
    <definedName name="WR_EffectivenessLevel" localSheetId="17">tbl_Lists_EffectivenessLevel[EffectivenessLevel]</definedName>
    <definedName name="WR_EffectivenessLevel" localSheetId="18">tbl_Lists_EffectivenessLevel[EffectivenessLevel]</definedName>
    <definedName name="WR_EffectivenessLevel">tbl_Lists_EffectivenessLevel[EffectivenessLevel]</definedName>
    <definedName name="WR_EvidenceStrength" localSheetId="16">tbl_Lists_EvidenceStrength[EvidenceStrength]</definedName>
    <definedName name="WR_EvidenceStrength" localSheetId="19">tbl_Lists_EvidenceStrength[EvidenceStrength]</definedName>
    <definedName name="WR_EvidenceStrength" localSheetId="15">tbl_Lists_EvidenceStrength[EvidenceStrength]</definedName>
    <definedName name="WR_EvidenceStrength" localSheetId="17">tbl_Lists_EvidenceStrength[EvidenceStrength]</definedName>
    <definedName name="WR_EvidenceStrength" localSheetId="18">tbl_Lists_EvidenceStrength[EvidenceStrength]</definedName>
    <definedName name="WR_EvidenceStrength">tbl_Lists_EvidenceStrength[EvidenceStrength]</definedName>
    <definedName name="WR_ExposureComponents">_xlfn.ANCHORARRAY(Lists!$E$22)</definedName>
    <definedName name="WR_ExposureSectors">_xlfn.ANCHORARRAY(Lists!$D$22)</definedName>
    <definedName name="WR_HumanValidated" localSheetId="16">tbl_Lists_HumanValidated[HumanValidated]</definedName>
    <definedName name="WR_HumanValidated" localSheetId="19">tbl_Lists_HumanValidated[HumanValidated]</definedName>
    <definedName name="WR_HumanValidated" localSheetId="15">tbl_Lists_HumanValidated[HumanValidated]</definedName>
    <definedName name="WR_HumanValidated" localSheetId="17">tbl_Lists_HumanValidated[HumanValidated]</definedName>
    <definedName name="WR_HumanValidated" localSheetId="18">tbl_Lists_HumanValidated[HumanValidated]</definedName>
    <definedName name="WR_HumanValidated">tbl_Lists_HumanValidated[HumanValidated]</definedName>
    <definedName name="WR_RelevantComponent" localSheetId="16">tbl_Lists_RelevantComponent[RelevantComponent]</definedName>
    <definedName name="WR_RelevantComponent" localSheetId="19">tbl_Lists_RelevantComponent[RelevantComponent]</definedName>
    <definedName name="WR_RelevantComponent" localSheetId="15">tbl_Lists_RelevantComponent[RelevantComponent]</definedName>
    <definedName name="WR_RelevantComponent" localSheetId="17">tbl_Lists_RelevantComponent[RelevantComponent]</definedName>
    <definedName name="WR_RelevantComponent" localSheetId="18">tbl_Lists_RelevantComponent[RelevantComponent]</definedName>
    <definedName name="WR_RelevantComponent">tbl_Lists_RelevantComponent[RelevantComponent]</definedName>
    <definedName name="WR_ReviewStatus" localSheetId="16">tbl_Lists_ReviewStatus[ReviewStatus]</definedName>
    <definedName name="WR_ReviewStatus" localSheetId="19">tbl_Lists_ReviewStatus[ReviewStatus]</definedName>
    <definedName name="WR_ReviewStatus" localSheetId="15">tbl_Lists_ReviewStatus[ReviewStatus]</definedName>
    <definedName name="WR_ReviewStatus" localSheetId="17">tbl_Lists_ReviewStatus[ReviewStatus]</definedName>
    <definedName name="WR_ReviewStatus" localSheetId="18">tbl_Lists_ReviewStatus[ReviewStatus]</definedName>
    <definedName name="WR_ReviewStatus">tbl_Lists_ReviewStatus[ReviewStatus]</definedName>
    <definedName name="WR_SourceScope" localSheetId="16">tbl_Lists_SourceScope[SourceScope]</definedName>
    <definedName name="WR_SourceScope" localSheetId="19">tbl_Lists_SourceScope[SourceScope]</definedName>
    <definedName name="WR_SourceScope" localSheetId="15">tbl_Lists_SourceScope[SourceScope]</definedName>
    <definedName name="WR_SourceScope" localSheetId="17">tbl_Lists_SourceScope[SourceScope]</definedName>
    <definedName name="WR_SourceScope" localSheetId="18">tbl_Lists_SourceScope[SourceScope]</definedName>
    <definedName name="WR_SourceScope">tbl_Lists_SourceScope[SourceScope]</definedName>
    <definedName name="WR_VulnerabilityComponents">_xlfn.ANCHORARRAY(Lists!$B$22)</definedName>
    <definedName name="WR_VulnerabilitySectors">_xlfn.ANCHORARRAY(Lists!$A$22)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58" l="1" a="1"/>
  <c r="B61" i="58" s="1"/>
  <c r="B62" i="58" a="1"/>
  <c r="B62" i="58" s="1"/>
  <c r="B63" i="58" a="1"/>
  <c r="B63" i="58" s="1"/>
  <c r="B64" i="58" a="1"/>
  <c r="B64" i="58" s="1"/>
  <c r="B65" i="58" a="1"/>
  <c r="B65" i="58" s="1"/>
  <c r="B66" i="58" a="1"/>
  <c r="B66" i="58" s="1"/>
  <c r="B67" i="58" a="1"/>
  <c r="B67" i="58" s="1"/>
  <c r="B68" i="58" a="1"/>
  <c r="B68" i="58" s="1"/>
  <c r="B69" i="58" a="1"/>
  <c r="B69" i="58" s="1"/>
  <c r="B70" i="58" a="1"/>
  <c r="B70" i="58" s="1"/>
  <c r="I56" i="42"/>
  <c r="I55" i="42"/>
  <c r="I54" i="42"/>
  <c r="I53" i="42"/>
  <c r="I52" i="42"/>
  <c r="I51" i="42"/>
  <c r="I50" i="42"/>
  <c r="I49" i="42"/>
  <c r="I48" i="42"/>
  <c r="I47" i="42"/>
  <c r="I46" i="42"/>
  <c r="I45" i="42"/>
  <c r="I44" i="42"/>
  <c r="I43" i="42"/>
  <c r="I42" i="42"/>
  <c r="I41" i="42"/>
  <c r="I40" i="42"/>
  <c r="I39" i="42"/>
  <c r="I38" i="42"/>
  <c r="I37" i="42"/>
  <c r="I36" i="42"/>
  <c r="I35" i="42"/>
  <c r="I34" i="42"/>
  <c r="I33" i="42"/>
  <c r="I32" i="42"/>
  <c r="I31" i="42"/>
  <c r="I30" i="42"/>
  <c r="I29" i="42"/>
  <c r="I28" i="42"/>
  <c r="I27" i="42"/>
  <c r="I26" i="42"/>
  <c r="I25" i="42"/>
  <c r="I24" i="42"/>
  <c r="I23" i="42"/>
  <c r="I22" i="42"/>
  <c r="I21" i="42"/>
  <c r="I20" i="42"/>
  <c r="I19" i="42"/>
  <c r="I18" i="42"/>
  <c r="I17" i="42"/>
  <c r="I16" i="42"/>
  <c r="I15" i="42"/>
  <c r="I14" i="42"/>
  <c r="I13" i="42"/>
  <c r="I12" i="42"/>
  <c r="I11" i="42"/>
  <c r="I10" i="42"/>
  <c r="I9" i="42"/>
  <c r="I8" i="42"/>
  <c r="I7" i="42"/>
  <c r="I6" i="42"/>
  <c r="I5" i="42"/>
  <c r="I4" i="42"/>
  <c r="M112" i="42"/>
  <c r="M96" i="42"/>
  <c r="M80" i="42"/>
  <c r="L117" i="42"/>
  <c r="L101" i="42"/>
  <c r="L85" i="42"/>
  <c r="H56" i="42"/>
  <c r="H55" i="42"/>
  <c r="H54" i="42"/>
  <c r="H53" i="42"/>
  <c r="H52" i="42"/>
  <c r="H51" i="42"/>
  <c r="H50" i="42"/>
  <c r="H49" i="42"/>
  <c r="H48" i="42"/>
  <c r="H47" i="42"/>
  <c r="H46" i="42"/>
  <c r="H45" i="42"/>
  <c r="H44" i="42"/>
  <c r="H43" i="42"/>
  <c r="H42" i="42"/>
  <c r="H41" i="42"/>
  <c r="H40" i="42"/>
  <c r="H39" i="42"/>
  <c r="H38" i="42"/>
  <c r="H37" i="42"/>
  <c r="H36" i="42"/>
  <c r="H35" i="42"/>
  <c r="H34" i="42"/>
  <c r="H33" i="42"/>
  <c r="H32" i="42"/>
  <c r="H31" i="42"/>
  <c r="H30" i="42"/>
  <c r="H29" i="42"/>
  <c r="H28" i="42"/>
  <c r="H27" i="42"/>
  <c r="H26" i="42"/>
  <c r="H25" i="42"/>
  <c r="H24" i="42"/>
  <c r="H23" i="42"/>
  <c r="H22" i="42"/>
  <c r="H21" i="42"/>
  <c r="H20" i="42"/>
  <c r="H19" i="42"/>
  <c r="H18" i="42"/>
  <c r="H17" i="42"/>
  <c r="H16" i="42"/>
  <c r="H15" i="42"/>
  <c r="H14" i="42"/>
  <c r="H13" i="42"/>
  <c r="H12" i="42"/>
  <c r="H11" i="42"/>
  <c r="H10" i="42"/>
  <c r="H9" i="42"/>
  <c r="H8" i="42"/>
  <c r="H7" i="42"/>
  <c r="H6" i="42"/>
  <c r="H5" i="42"/>
  <c r="H4" i="42"/>
  <c r="G56" i="42"/>
  <c r="G55" i="42"/>
  <c r="G54" i="42"/>
  <c r="G53" i="42"/>
  <c r="G52" i="42"/>
  <c r="G51" i="42"/>
  <c r="G50" i="42"/>
  <c r="G49" i="42"/>
  <c r="G48" i="42"/>
  <c r="G47" i="42"/>
  <c r="G46" i="42"/>
  <c r="G45" i="42"/>
  <c r="G44" i="42"/>
  <c r="G43" i="42"/>
  <c r="G42" i="42"/>
  <c r="G41" i="42"/>
  <c r="G40" i="42"/>
  <c r="G39" i="42"/>
  <c r="G38" i="42"/>
  <c r="G37" i="42"/>
  <c r="G36" i="42"/>
  <c r="G35" i="42"/>
  <c r="G34" i="42"/>
  <c r="G33" i="42"/>
  <c r="G32" i="42"/>
  <c r="G31" i="42"/>
  <c r="G30" i="42"/>
  <c r="G29" i="42"/>
  <c r="G28" i="42"/>
  <c r="G27" i="42"/>
  <c r="G26" i="42"/>
  <c r="G25" i="42"/>
  <c r="G24" i="42"/>
  <c r="G23" i="42"/>
  <c r="G22" i="42"/>
  <c r="G21" i="42"/>
  <c r="G20" i="42"/>
  <c r="G19" i="42"/>
  <c r="G18" i="42"/>
  <c r="G17" i="42"/>
  <c r="G16" i="42"/>
  <c r="G15" i="42"/>
  <c r="G14" i="42"/>
  <c r="G13" i="42"/>
  <c r="G12" i="42"/>
  <c r="G11" i="42"/>
  <c r="G10" i="42"/>
  <c r="G9" i="42"/>
  <c r="G8" i="42"/>
  <c r="G7" i="42"/>
  <c r="G6" i="42"/>
  <c r="G5" i="42"/>
  <c r="G4" i="42"/>
  <c r="F56" i="42"/>
  <c r="F55" i="42"/>
  <c r="F54" i="42"/>
  <c r="F53" i="42"/>
  <c r="F52" i="42"/>
  <c r="F51" i="42"/>
  <c r="F50" i="42"/>
  <c r="F49" i="42"/>
  <c r="F48" i="42"/>
  <c r="F47" i="42"/>
  <c r="F46" i="42"/>
  <c r="F45" i="42"/>
  <c r="F44" i="42"/>
  <c r="F43" i="42"/>
  <c r="F42" i="42"/>
  <c r="F41" i="42"/>
  <c r="F40" i="42"/>
  <c r="F39" i="42"/>
  <c r="F38" i="42"/>
  <c r="F37" i="42"/>
  <c r="F36" i="42"/>
  <c r="F35" i="42"/>
  <c r="F34" i="42"/>
  <c r="F33" i="42"/>
  <c r="F32" i="42"/>
  <c r="F31" i="42"/>
  <c r="F30" i="42"/>
  <c r="F29" i="42"/>
  <c r="F28" i="42"/>
  <c r="F27" i="42"/>
  <c r="F26" i="42"/>
  <c r="F25" i="42"/>
  <c r="F24" i="42"/>
  <c r="F23" i="42"/>
  <c r="F22" i="42"/>
  <c r="F21" i="42"/>
  <c r="F20" i="42"/>
  <c r="F19" i="42"/>
  <c r="F18" i="42"/>
  <c r="F17" i="42"/>
  <c r="F16" i="42"/>
  <c r="F15" i="42"/>
  <c r="F14" i="42"/>
  <c r="F13" i="42"/>
  <c r="F12" i="42"/>
  <c r="F11" i="42"/>
  <c r="F10" i="42"/>
  <c r="F9" i="42"/>
  <c r="F8" i="42"/>
  <c r="F7" i="42"/>
  <c r="F6" i="42"/>
  <c r="F5" i="42"/>
  <c r="F4"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4" i="42"/>
  <c r="E13" i="42"/>
  <c r="E12" i="42"/>
  <c r="E11" i="42"/>
  <c r="E10" i="42"/>
  <c r="E9" i="42"/>
  <c r="E8" i="42"/>
  <c r="E7" i="42"/>
  <c r="E6" i="42"/>
  <c r="E5" i="42"/>
  <c r="E4" i="42"/>
  <c r="D56" i="42"/>
  <c r="D55" i="42"/>
  <c r="D54" i="42"/>
  <c r="D53" i="42"/>
  <c r="D52" i="42"/>
  <c r="D51" i="42"/>
  <c r="D50" i="42"/>
  <c r="D49" i="42"/>
  <c r="D48" i="42"/>
  <c r="D47" i="42"/>
  <c r="D46" i="42"/>
  <c r="D45" i="42"/>
  <c r="D44" i="42"/>
  <c r="D43" i="42"/>
  <c r="D42" i="42"/>
  <c r="D41" i="42"/>
  <c r="D40" i="42"/>
  <c r="D39" i="42"/>
  <c r="D38" i="42"/>
  <c r="D37" i="42"/>
  <c r="D36" i="42"/>
  <c r="D35" i="42"/>
  <c r="D34" i="42"/>
  <c r="D33" i="42"/>
  <c r="D32" i="42"/>
  <c r="D31" i="42"/>
  <c r="D30" i="42"/>
  <c r="D29" i="42"/>
  <c r="D28" i="42"/>
  <c r="D27" i="42"/>
  <c r="D26" i="42"/>
  <c r="D25" i="42"/>
  <c r="D24" i="42"/>
  <c r="D23" i="42"/>
  <c r="D22" i="42"/>
  <c r="D21" i="42"/>
  <c r="D20" i="42"/>
  <c r="D19" i="42"/>
  <c r="D18" i="42"/>
  <c r="D17" i="42"/>
  <c r="D16" i="42"/>
  <c r="D15" i="42"/>
  <c r="D14" i="42"/>
  <c r="D13" i="42"/>
  <c r="D12" i="42"/>
  <c r="D11" i="42"/>
  <c r="D10" i="42"/>
  <c r="D9" i="42"/>
  <c r="D8" i="42"/>
  <c r="D7" i="42"/>
  <c r="D6" i="42"/>
  <c r="D5" i="42"/>
  <c r="D4" i="42"/>
  <c r="C83" i="59" a="1"/>
  <c r="C83" i="59" s="1"/>
  <c r="C110" i="59" s="1"/>
  <c r="C78" i="59" a="1"/>
  <c r="C78" i="59" s="1"/>
  <c r="C88" i="59" s="1"/>
  <c r="B70" i="59" a="1"/>
  <c r="B70" i="59" s="1"/>
  <c r="B69" i="59" a="1"/>
  <c r="B69" i="59" s="1"/>
  <c r="B68" i="59" a="1"/>
  <c r="B68" i="59" s="1"/>
  <c r="B67" i="59" a="1"/>
  <c r="B67" i="59" s="1"/>
  <c r="B66" i="59" a="1"/>
  <c r="B66" i="59" s="1"/>
  <c r="B65" i="59" a="1"/>
  <c r="B65" i="59" s="1"/>
  <c r="B64" i="59" a="1"/>
  <c r="B64" i="59" s="1"/>
  <c r="B63" i="59" a="1"/>
  <c r="B63" i="59" s="1"/>
  <c r="B62" i="59" a="1"/>
  <c r="B62" i="59" s="1"/>
  <c r="B61" i="59" a="1"/>
  <c r="B61" i="59" s="1"/>
  <c r="K60" i="59" a="1"/>
  <c r="K60" i="59" s="1"/>
  <c r="I60" i="59" a="1"/>
  <c r="I60" i="59" s="1"/>
  <c r="H60" i="59" a="1"/>
  <c r="H60" i="59" s="1"/>
  <c r="J60" i="59" s="1" a="1"/>
  <c r="J60" i="59" s="1"/>
  <c r="F60" i="59" a="1"/>
  <c r="F60" i="59" s="1"/>
  <c r="E60" i="59" a="1"/>
  <c r="E60" i="59" s="1"/>
  <c r="G60" i="59" s="1" a="1"/>
  <c r="G60" i="59" s="1"/>
  <c r="D60" i="59" a="1"/>
  <c r="D60" i="59" s="1"/>
  <c r="C60" i="59" a="1"/>
  <c r="C60" i="59" s="1"/>
  <c r="B60" i="59" a="1"/>
  <c r="B60" i="59" s="1"/>
  <c r="K59" i="59" a="1"/>
  <c r="K59" i="59" s="1"/>
  <c r="I59" i="59" a="1"/>
  <c r="I59" i="59" s="1"/>
  <c r="H59" i="59" a="1"/>
  <c r="H59" i="59" s="1"/>
  <c r="J59" i="59" s="1" a="1"/>
  <c r="J59" i="59" s="1"/>
  <c r="F59" i="59" a="1"/>
  <c r="F59" i="59" s="1"/>
  <c r="E59" i="59" a="1"/>
  <c r="E59" i="59" s="1"/>
  <c r="G59" i="59" s="1" a="1"/>
  <c r="G59" i="59" s="1"/>
  <c r="D59" i="59" a="1"/>
  <c r="D59" i="59" s="1"/>
  <c r="C59" i="59" a="1"/>
  <c r="C59" i="59" s="1"/>
  <c r="B59" i="59" a="1"/>
  <c r="B59" i="59" s="1"/>
  <c r="K58" i="59" a="1"/>
  <c r="K58" i="59" s="1"/>
  <c r="I58" i="59" a="1"/>
  <c r="I58" i="59" s="1"/>
  <c r="H58" i="59" a="1"/>
  <c r="H58" i="59" s="1"/>
  <c r="J58" i="59" s="1" a="1"/>
  <c r="J58" i="59" s="1"/>
  <c r="F58" i="59" a="1"/>
  <c r="F58" i="59" s="1"/>
  <c r="E58" i="59" a="1"/>
  <c r="E58" i="59" s="1"/>
  <c r="G58" i="59" s="1" a="1"/>
  <c r="G58" i="59" s="1"/>
  <c r="D58" i="59" a="1"/>
  <c r="D58" i="59" s="1"/>
  <c r="C58" i="59" a="1"/>
  <c r="C58" i="59" s="1"/>
  <c r="B58" i="59" a="1"/>
  <c r="B58" i="59" s="1"/>
  <c r="K57" i="59" a="1"/>
  <c r="K57" i="59" s="1"/>
  <c r="I57" i="59" a="1"/>
  <c r="I57" i="59" s="1"/>
  <c r="H57" i="59" a="1"/>
  <c r="H57" i="59" s="1"/>
  <c r="J57" i="59" s="1" a="1"/>
  <c r="J57" i="59" s="1"/>
  <c r="F57" i="59" a="1"/>
  <c r="F57" i="59" s="1"/>
  <c r="E57" i="59" a="1"/>
  <c r="E57" i="59" s="1"/>
  <c r="G57" i="59" s="1" a="1"/>
  <c r="G57" i="59" s="1"/>
  <c r="D57" i="59" a="1"/>
  <c r="D57" i="59" s="1"/>
  <c r="C57" i="59" a="1"/>
  <c r="C57" i="59" s="1"/>
  <c r="B57" i="59" a="1"/>
  <c r="B57" i="59" s="1"/>
  <c r="K56" i="59" a="1"/>
  <c r="K56" i="59" s="1"/>
  <c r="I56" i="59" a="1"/>
  <c r="I56" i="59" s="1"/>
  <c r="H56" i="59" a="1"/>
  <c r="H56" i="59" s="1"/>
  <c r="J56" i="59" s="1" a="1"/>
  <c r="J56" i="59" s="1"/>
  <c r="F56" i="59" a="1"/>
  <c r="F56" i="59" s="1"/>
  <c r="E56" i="59" a="1"/>
  <c r="E56" i="59" s="1"/>
  <c r="G56" i="59" s="1" a="1"/>
  <c r="G56" i="59" s="1"/>
  <c r="D56" i="59" a="1"/>
  <c r="D56" i="59" s="1"/>
  <c r="C56" i="59" a="1"/>
  <c r="C56" i="59" s="1"/>
  <c r="B56" i="59" a="1"/>
  <c r="B56" i="59" s="1"/>
  <c r="K55" i="59" a="1"/>
  <c r="K55" i="59" s="1"/>
  <c r="I55" i="59" a="1"/>
  <c r="I55" i="59" s="1"/>
  <c r="H55" i="59" a="1"/>
  <c r="H55" i="59" s="1"/>
  <c r="J55" i="59" s="1" a="1"/>
  <c r="J55" i="59" s="1"/>
  <c r="F55" i="59" a="1"/>
  <c r="F55" i="59" s="1"/>
  <c r="E55" i="59" a="1"/>
  <c r="E55" i="59" s="1"/>
  <c r="G55" i="59" s="1" a="1"/>
  <c r="G55" i="59" s="1"/>
  <c r="D55" i="59" a="1"/>
  <c r="D55" i="59" s="1"/>
  <c r="C55" i="59" a="1"/>
  <c r="C55" i="59" s="1"/>
  <c r="B55" i="59" a="1"/>
  <c r="B55" i="59" s="1"/>
  <c r="K54" i="59" a="1"/>
  <c r="K54" i="59" s="1"/>
  <c r="I54" i="59" a="1"/>
  <c r="I54" i="59" s="1"/>
  <c r="H54" i="59" a="1"/>
  <c r="H54" i="59" s="1"/>
  <c r="J54" i="59" s="1" a="1"/>
  <c r="J54" i="59" s="1"/>
  <c r="F54" i="59" a="1"/>
  <c r="F54" i="59" s="1"/>
  <c r="E54" i="59" a="1"/>
  <c r="E54" i="59" s="1"/>
  <c r="G54" i="59" s="1" a="1"/>
  <c r="G54" i="59" s="1"/>
  <c r="D54" i="59" a="1"/>
  <c r="D54" i="59" s="1"/>
  <c r="C54" i="59" a="1"/>
  <c r="C54" i="59" s="1"/>
  <c r="B54" i="59" a="1"/>
  <c r="B54" i="59" s="1"/>
  <c r="K53" i="59" a="1"/>
  <c r="K53" i="59" s="1"/>
  <c r="I53" i="59" a="1"/>
  <c r="I53" i="59" s="1"/>
  <c r="H53" i="59" a="1"/>
  <c r="H53" i="59" s="1"/>
  <c r="J53" i="59" s="1" a="1"/>
  <c r="J53" i="59" s="1"/>
  <c r="F53" i="59" a="1"/>
  <c r="F53" i="59" s="1"/>
  <c r="E53" i="59" a="1"/>
  <c r="E53" i="59" s="1"/>
  <c r="G53" i="59" s="1" a="1"/>
  <c r="G53" i="59" s="1"/>
  <c r="D53" i="59" a="1"/>
  <c r="D53" i="59" s="1"/>
  <c r="C53" i="59" a="1"/>
  <c r="C53" i="59" s="1"/>
  <c r="B53" i="59" a="1"/>
  <c r="B53" i="59" s="1"/>
  <c r="K52" i="59" a="1"/>
  <c r="K52" i="59" s="1"/>
  <c r="I52" i="59" a="1"/>
  <c r="I52" i="59" s="1"/>
  <c r="H52" i="59" a="1"/>
  <c r="H52" i="59" s="1"/>
  <c r="J52" i="59" s="1" a="1"/>
  <c r="J52" i="59" s="1"/>
  <c r="F52" i="59" a="1"/>
  <c r="F52" i="59" s="1"/>
  <c r="E52" i="59" a="1"/>
  <c r="E52" i="59" s="1"/>
  <c r="G52" i="59" s="1" a="1"/>
  <c r="G52" i="59" s="1"/>
  <c r="D52" i="59" a="1"/>
  <c r="D52" i="59" s="1"/>
  <c r="C52" i="59" a="1"/>
  <c r="C52" i="59" s="1"/>
  <c r="B52" i="59" a="1"/>
  <c r="B52" i="59" s="1"/>
  <c r="K51" i="59" a="1"/>
  <c r="K51" i="59" s="1"/>
  <c r="I51" i="59" a="1"/>
  <c r="I51" i="59" s="1"/>
  <c r="H51" i="59" a="1"/>
  <c r="H51" i="59" s="1"/>
  <c r="J51" i="59" s="1" a="1"/>
  <c r="J51" i="59" s="1"/>
  <c r="F51" i="59" a="1"/>
  <c r="F51" i="59" s="1"/>
  <c r="E51" i="59" a="1"/>
  <c r="E51" i="59" s="1"/>
  <c r="G51" i="59" s="1" a="1"/>
  <c r="G51" i="59" s="1"/>
  <c r="D51" i="59" a="1"/>
  <c r="D51" i="59" s="1"/>
  <c r="C51" i="59" a="1"/>
  <c r="C51" i="59" s="1"/>
  <c r="B51" i="59" a="1"/>
  <c r="B51" i="59" s="1"/>
  <c r="K50" i="59" a="1"/>
  <c r="K50" i="59" s="1"/>
  <c r="I50" i="59" a="1"/>
  <c r="I50" i="59" s="1"/>
  <c r="H50" i="59" a="1"/>
  <c r="H50" i="59" s="1"/>
  <c r="J50" i="59" s="1" a="1"/>
  <c r="J50" i="59" s="1"/>
  <c r="F50" i="59" a="1"/>
  <c r="F50" i="59" s="1"/>
  <c r="E50" i="59" a="1"/>
  <c r="E50" i="59" s="1"/>
  <c r="G50" i="59" s="1" a="1"/>
  <c r="G50" i="59" s="1"/>
  <c r="D50" i="59" a="1"/>
  <c r="D50" i="59" s="1"/>
  <c r="C50" i="59" a="1"/>
  <c r="C50" i="59" s="1"/>
  <c r="B50" i="59" a="1"/>
  <c r="B50" i="59" s="1"/>
  <c r="K49" i="59" a="1"/>
  <c r="K49" i="59" s="1"/>
  <c r="I49" i="59" a="1"/>
  <c r="I49" i="59" s="1"/>
  <c r="H49" i="59" a="1"/>
  <c r="H49" i="59" s="1"/>
  <c r="J49" i="59" s="1" a="1"/>
  <c r="J49" i="59" s="1"/>
  <c r="F49" i="59" a="1"/>
  <c r="F49" i="59" s="1"/>
  <c r="E49" i="59" a="1"/>
  <c r="E49" i="59" s="1"/>
  <c r="G49" i="59" s="1" a="1"/>
  <c r="G49" i="59" s="1"/>
  <c r="D49" i="59" a="1"/>
  <c r="D49" i="59" s="1"/>
  <c r="C49" i="59" a="1"/>
  <c r="C49" i="59" s="1"/>
  <c r="B49" i="59" a="1"/>
  <c r="B49" i="59" s="1"/>
  <c r="K48" i="59" a="1"/>
  <c r="K48" i="59" s="1"/>
  <c r="I48" i="59" a="1"/>
  <c r="I48" i="59" s="1"/>
  <c r="H48" i="59" a="1"/>
  <c r="H48" i="59" s="1"/>
  <c r="J48" i="59" s="1" a="1"/>
  <c r="J48" i="59" s="1"/>
  <c r="F48" i="59" a="1"/>
  <c r="F48" i="59" s="1"/>
  <c r="E48" i="59" a="1"/>
  <c r="E48" i="59" s="1"/>
  <c r="G48" i="59" s="1" a="1"/>
  <c r="G48" i="59" s="1"/>
  <c r="D48" i="59" a="1"/>
  <c r="D48" i="59" s="1"/>
  <c r="C48" i="59" a="1"/>
  <c r="C48" i="59" s="1"/>
  <c r="B48" i="59" a="1"/>
  <c r="B48" i="59" s="1"/>
  <c r="K47" i="59" a="1"/>
  <c r="K47" i="59" s="1"/>
  <c r="I47" i="59" a="1"/>
  <c r="I47" i="59" s="1"/>
  <c r="H47" i="59" a="1"/>
  <c r="H47" i="59" s="1"/>
  <c r="J47" i="59" s="1" a="1"/>
  <c r="J47" i="59" s="1"/>
  <c r="F47" i="59" a="1"/>
  <c r="F47" i="59" s="1"/>
  <c r="E47" i="59" a="1"/>
  <c r="E47" i="59" s="1"/>
  <c r="G47" i="59" s="1" a="1"/>
  <c r="G47" i="59" s="1"/>
  <c r="D47" i="59" a="1"/>
  <c r="D47" i="59" s="1"/>
  <c r="C47" i="59" a="1"/>
  <c r="C47" i="59" s="1"/>
  <c r="B47" i="59" a="1"/>
  <c r="B47" i="59" s="1"/>
  <c r="K46" i="59" a="1"/>
  <c r="K46" i="59" s="1"/>
  <c r="I46" i="59" a="1"/>
  <c r="I46" i="59" s="1"/>
  <c r="H46" i="59" a="1"/>
  <c r="H46" i="59" s="1"/>
  <c r="J46" i="59" s="1" a="1"/>
  <c r="J46" i="59" s="1"/>
  <c r="F46" i="59" a="1"/>
  <c r="F46" i="59" s="1"/>
  <c r="E46" i="59" a="1"/>
  <c r="E46" i="59" s="1"/>
  <c r="G46" i="59" s="1" a="1"/>
  <c r="G46" i="59" s="1"/>
  <c r="D46" i="59" a="1"/>
  <c r="D46" i="59" s="1"/>
  <c r="C46" i="59" a="1"/>
  <c r="C46" i="59" s="1"/>
  <c r="B46" i="59" a="1"/>
  <c r="B46" i="59" s="1"/>
  <c r="K45" i="59" a="1"/>
  <c r="K45" i="59" s="1"/>
  <c r="I45" i="59" a="1"/>
  <c r="I45" i="59" s="1"/>
  <c r="H45" i="59" a="1"/>
  <c r="H45" i="59" s="1"/>
  <c r="J45" i="59" s="1" a="1"/>
  <c r="J45" i="59" s="1"/>
  <c r="F45" i="59" a="1"/>
  <c r="F45" i="59" s="1"/>
  <c r="E45" i="59" a="1"/>
  <c r="E45" i="59" s="1"/>
  <c r="G45" i="59" s="1" a="1"/>
  <c r="G45" i="59" s="1"/>
  <c r="D45" i="59" a="1"/>
  <c r="D45" i="59" s="1"/>
  <c r="C45" i="59" a="1"/>
  <c r="C45" i="59" s="1"/>
  <c r="B45" i="59" a="1"/>
  <c r="B45" i="59" s="1"/>
  <c r="K44" i="59" a="1"/>
  <c r="K44" i="59" s="1"/>
  <c r="I44" i="59" a="1"/>
  <c r="I44" i="59" s="1"/>
  <c r="H44" i="59" a="1"/>
  <c r="H44" i="59" s="1"/>
  <c r="J44" i="59" s="1" a="1"/>
  <c r="J44" i="59" s="1"/>
  <c r="F44" i="59" a="1"/>
  <c r="F44" i="59" s="1"/>
  <c r="E44" i="59" a="1"/>
  <c r="E44" i="59" s="1"/>
  <c r="G44" i="59" s="1" a="1"/>
  <c r="G44" i="59" s="1"/>
  <c r="D44" i="59" a="1"/>
  <c r="D44" i="59" s="1"/>
  <c r="C44" i="59" a="1"/>
  <c r="C44" i="59" s="1"/>
  <c r="B44" i="59" a="1"/>
  <c r="B44" i="59" s="1"/>
  <c r="K43" i="59" a="1"/>
  <c r="K43" i="59" s="1"/>
  <c r="I43" i="59" a="1"/>
  <c r="I43" i="59" s="1"/>
  <c r="H43" i="59" a="1"/>
  <c r="H43" i="59" s="1"/>
  <c r="J43" i="59" s="1" a="1"/>
  <c r="J43" i="59" s="1"/>
  <c r="F43" i="59" a="1"/>
  <c r="F43" i="59" s="1"/>
  <c r="E43" i="59" a="1"/>
  <c r="E43" i="59" s="1"/>
  <c r="G43" i="59" s="1" a="1"/>
  <c r="G43" i="59" s="1"/>
  <c r="D43" i="59" a="1"/>
  <c r="D43" i="59" s="1"/>
  <c r="C43" i="59" a="1"/>
  <c r="C43" i="59" s="1"/>
  <c r="B43" i="59" a="1"/>
  <c r="B43" i="59" s="1"/>
  <c r="K42" i="59" a="1"/>
  <c r="K42" i="59" s="1"/>
  <c r="I42" i="59" a="1"/>
  <c r="I42" i="59" s="1"/>
  <c r="H42" i="59" a="1"/>
  <c r="H42" i="59" s="1"/>
  <c r="J42" i="59" s="1" a="1"/>
  <c r="J42" i="59" s="1"/>
  <c r="F42" i="59" a="1"/>
  <c r="F42" i="59" s="1"/>
  <c r="E42" i="59" a="1"/>
  <c r="E42" i="59" s="1"/>
  <c r="G42" i="59" s="1" a="1"/>
  <c r="G42" i="59" s="1"/>
  <c r="D42" i="59" a="1"/>
  <c r="D42" i="59" s="1"/>
  <c r="C42" i="59" a="1"/>
  <c r="C42" i="59" s="1"/>
  <c r="B42" i="59" a="1"/>
  <c r="B42" i="59" s="1"/>
  <c r="K41" i="59" a="1"/>
  <c r="K41" i="59" s="1"/>
  <c r="I41" i="59" a="1"/>
  <c r="I41" i="59" s="1"/>
  <c r="H41" i="59" a="1"/>
  <c r="H41" i="59" s="1"/>
  <c r="J41" i="59" s="1" a="1"/>
  <c r="J41" i="59" s="1"/>
  <c r="F41" i="59" a="1"/>
  <c r="F41" i="59" s="1"/>
  <c r="E41" i="59" a="1"/>
  <c r="E41" i="59" s="1"/>
  <c r="G41" i="59" s="1" a="1"/>
  <c r="G41" i="59" s="1"/>
  <c r="D41" i="59" a="1"/>
  <c r="D41" i="59" s="1"/>
  <c r="C41" i="59" a="1"/>
  <c r="C41" i="59" s="1"/>
  <c r="B41" i="59" a="1"/>
  <c r="B41" i="59" s="1"/>
  <c r="K40" i="59" a="1"/>
  <c r="K40" i="59" s="1"/>
  <c r="I40" i="59" a="1"/>
  <c r="I40" i="59" s="1"/>
  <c r="H40" i="59" a="1"/>
  <c r="H40" i="59" s="1"/>
  <c r="J40" i="59" s="1" a="1"/>
  <c r="J40" i="59" s="1"/>
  <c r="F40" i="59" a="1"/>
  <c r="F40" i="59" s="1"/>
  <c r="E40" i="59" a="1"/>
  <c r="E40" i="59" s="1"/>
  <c r="G40" i="59" s="1" a="1"/>
  <c r="G40" i="59" s="1"/>
  <c r="D40" i="59" a="1"/>
  <c r="D40" i="59" s="1"/>
  <c r="C40" i="59" a="1"/>
  <c r="C40" i="59" s="1"/>
  <c r="B40" i="59" a="1"/>
  <c r="B40" i="59" s="1"/>
  <c r="K39" i="59" a="1"/>
  <c r="K39" i="59" s="1"/>
  <c r="I39" i="59" a="1"/>
  <c r="I39" i="59" s="1"/>
  <c r="H39" i="59" a="1"/>
  <c r="H39" i="59" s="1"/>
  <c r="J39" i="59" s="1" a="1"/>
  <c r="J39" i="59" s="1"/>
  <c r="F39" i="59" a="1"/>
  <c r="F39" i="59" s="1"/>
  <c r="E39" i="59" a="1"/>
  <c r="E39" i="59" s="1"/>
  <c r="G39" i="59" s="1" a="1"/>
  <c r="G39" i="59" s="1"/>
  <c r="D39" i="59" a="1"/>
  <c r="D39" i="59" s="1"/>
  <c r="C39" i="59" a="1"/>
  <c r="C39" i="59" s="1"/>
  <c r="B39" i="59" a="1"/>
  <c r="B39" i="59" s="1"/>
  <c r="K38" i="59" a="1"/>
  <c r="K38" i="59" s="1"/>
  <c r="I38" i="59" a="1"/>
  <c r="I38" i="59" s="1"/>
  <c r="H38" i="59" a="1"/>
  <c r="H38" i="59" s="1"/>
  <c r="J38" i="59" s="1" a="1"/>
  <c r="J38" i="59" s="1"/>
  <c r="F38" i="59" a="1"/>
  <c r="F38" i="59" s="1"/>
  <c r="E38" i="59" a="1"/>
  <c r="E38" i="59" s="1"/>
  <c r="G38" i="59" s="1" a="1"/>
  <c r="G38" i="59" s="1"/>
  <c r="D38" i="59" a="1"/>
  <c r="D38" i="59" s="1"/>
  <c r="C38" i="59" a="1"/>
  <c r="C38" i="59" s="1"/>
  <c r="B38" i="59" a="1"/>
  <c r="B38" i="59" s="1"/>
  <c r="K37" i="59" a="1"/>
  <c r="K37" i="59" s="1"/>
  <c r="I37" i="59" a="1"/>
  <c r="I37" i="59" s="1"/>
  <c r="H37" i="59" a="1"/>
  <c r="H37" i="59" s="1"/>
  <c r="J37" i="59" s="1" a="1"/>
  <c r="J37" i="59" s="1"/>
  <c r="F37" i="59" a="1"/>
  <c r="F37" i="59" s="1"/>
  <c r="E37" i="59" a="1"/>
  <c r="E37" i="59" s="1"/>
  <c r="G37" i="59" s="1" a="1"/>
  <c r="G37" i="59" s="1"/>
  <c r="D37" i="59" a="1"/>
  <c r="D37" i="59" s="1"/>
  <c r="C37" i="59" a="1"/>
  <c r="C37" i="59" s="1"/>
  <c r="B37" i="59" a="1"/>
  <c r="B37" i="59" s="1"/>
  <c r="K36" i="59" a="1"/>
  <c r="K36" i="59" s="1"/>
  <c r="I36" i="59" a="1"/>
  <c r="I36" i="59" s="1"/>
  <c r="H36" i="59" a="1"/>
  <c r="H36" i="59" s="1"/>
  <c r="J36" i="59" s="1" a="1"/>
  <c r="J36" i="59" s="1"/>
  <c r="F36" i="59" a="1"/>
  <c r="F36" i="59" s="1"/>
  <c r="E36" i="59" a="1"/>
  <c r="E36" i="59" s="1"/>
  <c r="G36" i="59" s="1" a="1"/>
  <c r="G36" i="59" s="1"/>
  <c r="D36" i="59" a="1"/>
  <c r="D36" i="59" s="1"/>
  <c r="C36" i="59" a="1"/>
  <c r="C36" i="59" s="1"/>
  <c r="B36" i="59" a="1"/>
  <c r="B36" i="59" s="1"/>
  <c r="K35" i="59" a="1"/>
  <c r="K35" i="59" s="1"/>
  <c r="I35" i="59" a="1"/>
  <c r="I35" i="59" s="1"/>
  <c r="H35" i="59" a="1"/>
  <c r="H35" i="59" s="1"/>
  <c r="J35" i="59" s="1" a="1"/>
  <c r="J35" i="59" s="1"/>
  <c r="F35" i="59" a="1"/>
  <c r="F35" i="59" s="1"/>
  <c r="E35" i="59" a="1"/>
  <c r="E35" i="59" s="1"/>
  <c r="G35" i="59" s="1" a="1"/>
  <c r="G35" i="59" s="1"/>
  <c r="D35" i="59" a="1"/>
  <c r="D35" i="59" s="1"/>
  <c r="C35" i="59" a="1"/>
  <c r="C35" i="59" s="1"/>
  <c r="B35" i="59" a="1"/>
  <c r="B35" i="59" s="1"/>
  <c r="K34" i="59" a="1"/>
  <c r="K34" i="59" s="1"/>
  <c r="I34" i="59" a="1"/>
  <c r="I34" i="59" s="1"/>
  <c r="H34" i="59" a="1"/>
  <c r="H34" i="59" s="1"/>
  <c r="J34" i="59" s="1" a="1"/>
  <c r="J34" i="59" s="1"/>
  <c r="F34" i="59" a="1"/>
  <c r="F34" i="59" s="1"/>
  <c r="E34" i="59" a="1"/>
  <c r="E34" i="59" s="1"/>
  <c r="G34" i="59" s="1" a="1"/>
  <c r="G34" i="59" s="1"/>
  <c r="D34" i="59" a="1"/>
  <c r="D34" i="59" s="1"/>
  <c r="C34" i="59" a="1"/>
  <c r="C34" i="59" s="1"/>
  <c r="B34" i="59" a="1"/>
  <c r="B34" i="59" s="1"/>
  <c r="K33" i="59" a="1"/>
  <c r="K33" i="59" s="1"/>
  <c r="I33" i="59" a="1"/>
  <c r="I33" i="59" s="1"/>
  <c r="H33" i="59" a="1"/>
  <c r="H33" i="59" s="1"/>
  <c r="J33" i="59" s="1" a="1"/>
  <c r="J33" i="59" s="1"/>
  <c r="F33" i="59" a="1"/>
  <c r="F33" i="59" s="1"/>
  <c r="E33" i="59" a="1"/>
  <c r="E33" i="59" s="1"/>
  <c r="G33" i="59" s="1" a="1"/>
  <c r="G33" i="59" s="1"/>
  <c r="D33" i="59" a="1"/>
  <c r="D33" i="59" s="1"/>
  <c r="C33" i="59" a="1"/>
  <c r="C33" i="59" s="1"/>
  <c r="B33" i="59" a="1"/>
  <c r="B33" i="59" s="1"/>
  <c r="K32" i="59" a="1"/>
  <c r="K32" i="59" s="1"/>
  <c r="I32" i="59" a="1"/>
  <c r="I32" i="59" s="1"/>
  <c r="H32" i="59" a="1"/>
  <c r="H32" i="59" s="1"/>
  <c r="J32" i="59" s="1" a="1"/>
  <c r="J32" i="59" s="1"/>
  <c r="F32" i="59" a="1"/>
  <c r="F32" i="59" s="1"/>
  <c r="E32" i="59" a="1"/>
  <c r="E32" i="59" s="1"/>
  <c r="G32" i="59" s="1" a="1"/>
  <c r="G32" i="59" s="1"/>
  <c r="D32" i="59" a="1"/>
  <c r="D32" i="59" s="1"/>
  <c r="C32" i="59" a="1"/>
  <c r="C32" i="59" s="1"/>
  <c r="B32" i="59" a="1"/>
  <c r="B32" i="59" s="1"/>
  <c r="K31" i="59" a="1"/>
  <c r="K31" i="59" s="1"/>
  <c r="I31" i="59" a="1"/>
  <c r="I31" i="59" s="1"/>
  <c r="H31" i="59" a="1"/>
  <c r="H31" i="59" s="1"/>
  <c r="J31" i="59" s="1" a="1"/>
  <c r="J31" i="59" s="1"/>
  <c r="F31" i="59" a="1"/>
  <c r="F31" i="59" s="1"/>
  <c r="E31" i="59" a="1"/>
  <c r="E31" i="59" s="1"/>
  <c r="G31" i="59" s="1" a="1"/>
  <c r="G31" i="59" s="1"/>
  <c r="D31" i="59" a="1"/>
  <c r="D31" i="59" s="1"/>
  <c r="C31" i="59" a="1"/>
  <c r="C31" i="59" s="1"/>
  <c r="B31" i="59" a="1"/>
  <c r="B31" i="59" s="1"/>
  <c r="K30" i="59" a="1"/>
  <c r="K30" i="59" s="1"/>
  <c r="I30" i="59" a="1"/>
  <c r="I30" i="59" s="1"/>
  <c r="H30" i="59" a="1"/>
  <c r="H30" i="59" s="1"/>
  <c r="J30" i="59" s="1" a="1"/>
  <c r="J30" i="59" s="1"/>
  <c r="F30" i="59" a="1"/>
  <c r="F30" i="59" s="1"/>
  <c r="E30" i="59" a="1"/>
  <c r="E30" i="59" s="1"/>
  <c r="G30" i="59" s="1" a="1"/>
  <c r="G30" i="59" s="1"/>
  <c r="D30" i="59" a="1"/>
  <c r="D30" i="59" s="1"/>
  <c r="C30" i="59" a="1"/>
  <c r="C30" i="59" s="1"/>
  <c r="B30" i="59" a="1"/>
  <c r="B30" i="59" s="1"/>
  <c r="K29" i="59" a="1"/>
  <c r="K29" i="59" s="1"/>
  <c r="I29" i="59" a="1"/>
  <c r="I29" i="59" s="1"/>
  <c r="H29" i="59" a="1"/>
  <c r="H29" i="59" s="1"/>
  <c r="J29" i="59" s="1" a="1"/>
  <c r="J29" i="59" s="1"/>
  <c r="F29" i="59" a="1"/>
  <c r="F29" i="59" s="1"/>
  <c r="E29" i="59" a="1"/>
  <c r="E29" i="59" s="1"/>
  <c r="G29" i="59" s="1" a="1"/>
  <c r="G29" i="59" s="1"/>
  <c r="D29" i="59" a="1"/>
  <c r="D29" i="59" s="1"/>
  <c r="C29" i="59" a="1"/>
  <c r="C29" i="59" s="1"/>
  <c r="B29" i="59" a="1"/>
  <c r="B29" i="59" s="1"/>
  <c r="K28" i="59" a="1"/>
  <c r="K28" i="59" s="1"/>
  <c r="I28" i="59" a="1"/>
  <c r="I28" i="59" s="1"/>
  <c r="H28" i="59" a="1"/>
  <c r="H28" i="59" s="1"/>
  <c r="J28" i="59" s="1" a="1"/>
  <c r="J28" i="59" s="1"/>
  <c r="F28" i="59" a="1"/>
  <c r="F28" i="59" s="1"/>
  <c r="E28" i="59" a="1"/>
  <c r="E28" i="59" s="1"/>
  <c r="G28" i="59" s="1" a="1"/>
  <c r="G28" i="59" s="1"/>
  <c r="D28" i="59" a="1"/>
  <c r="D28" i="59" s="1"/>
  <c r="C28" i="59" a="1"/>
  <c r="C28" i="59" s="1"/>
  <c r="B28" i="59" a="1"/>
  <c r="B28" i="59" s="1"/>
  <c r="K27" i="59" a="1"/>
  <c r="K27" i="59" s="1"/>
  <c r="I27" i="59" a="1"/>
  <c r="I27" i="59" s="1"/>
  <c r="H27" i="59" a="1"/>
  <c r="H27" i="59" s="1"/>
  <c r="J27" i="59" s="1" a="1"/>
  <c r="J27" i="59" s="1"/>
  <c r="F27" i="59" a="1"/>
  <c r="F27" i="59" s="1"/>
  <c r="E27" i="59" a="1"/>
  <c r="E27" i="59" s="1"/>
  <c r="G27" i="59" s="1" a="1"/>
  <c r="G27" i="59" s="1"/>
  <c r="D27" i="59" a="1"/>
  <c r="D27" i="59" s="1"/>
  <c r="C27" i="59" a="1"/>
  <c r="C27" i="59" s="1"/>
  <c r="B27" i="59" a="1"/>
  <c r="B27" i="59" s="1"/>
  <c r="K26" i="59" a="1"/>
  <c r="K26" i="59" s="1"/>
  <c r="I26" i="59" a="1"/>
  <c r="I26" i="59" s="1"/>
  <c r="H26" i="59" a="1"/>
  <c r="H26" i="59" s="1"/>
  <c r="J26" i="59" s="1" a="1"/>
  <c r="J26" i="59" s="1"/>
  <c r="F26" i="59" a="1"/>
  <c r="F26" i="59" s="1"/>
  <c r="E26" i="59" a="1"/>
  <c r="E26" i="59" s="1"/>
  <c r="G26" i="59" s="1" a="1"/>
  <c r="G26" i="59" s="1"/>
  <c r="D26" i="59" a="1"/>
  <c r="D26" i="59" s="1"/>
  <c r="C26" i="59" a="1"/>
  <c r="C26" i="59" s="1"/>
  <c r="B26" i="59" a="1"/>
  <c r="B26" i="59" s="1"/>
  <c r="K25" i="59" a="1"/>
  <c r="K25" i="59" s="1"/>
  <c r="I25" i="59" a="1"/>
  <c r="I25" i="59" s="1"/>
  <c r="H25" i="59" a="1"/>
  <c r="H25" i="59" s="1"/>
  <c r="J25" i="59" s="1" a="1"/>
  <c r="J25" i="59" s="1"/>
  <c r="F25" i="59" a="1"/>
  <c r="F25" i="59" s="1"/>
  <c r="E25" i="59" a="1"/>
  <c r="E25" i="59" s="1"/>
  <c r="G25" i="59" s="1" a="1"/>
  <c r="G25" i="59" s="1"/>
  <c r="D25" i="59" a="1"/>
  <c r="D25" i="59" s="1"/>
  <c r="C25" i="59" a="1"/>
  <c r="C25" i="59" s="1"/>
  <c r="B25" i="59" a="1"/>
  <c r="B25" i="59" s="1"/>
  <c r="K24" i="59" a="1"/>
  <c r="K24" i="59" s="1"/>
  <c r="I24" i="59" a="1"/>
  <c r="I24" i="59" s="1"/>
  <c r="H24" i="59" a="1"/>
  <c r="H24" i="59" s="1"/>
  <c r="J24" i="59" s="1" a="1"/>
  <c r="J24" i="59" s="1"/>
  <c r="F24" i="59" a="1"/>
  <c r="F24" i="59" s="1"/>
  <c r="E24" i="59" a="1"/>
  <c r="E24" i="59" s="1"/>
  <c r="G24" i="59" s="1" a="1"/>
  <c r="G24" i="59" s="1"/>
  <c r="D24" i="59" a="1"/>
  <c r="D24" i="59" s="1"/>
  <c r="C24" i="59" a="1"/>
  <c r="C24" i="59" s="1"/>
  <c r="B24" i="59" a="1"/>
  <c r="B24" i="59" s="1"/>
  <c r="K23" i="59" a="1"/>
  <c r="K23" i="59" s="1"/>
  <c r="I23" i="59" a="1"/>
  <c r="I23" i="59" s="1"/>
  <c r="H23" i="59" a="1"/>
  <c r="H23" i="59" s="1"/>
  <c r="J23" i="59" s="1" a="1"/>
  <c r="J23" i="59" s="1"/>
  <c r="F23" i="59" a="1"/>
  <c r="F23" i="59" s="1"/>
  <c r="E23" i="59" a="1"/>
  <c r="E23" i="59" s="1"/>
  <c r="G23" i="59" s="1" a="1"/>
  <c r="G23" i="59" s="1"/>
  <c r="D23" i="59" a="1"/>
  <c r="D23" i="59" s="1"/>
  <c r="C23" i="59" a="1"/>
  <c r="C23" i="59" s="1"/>
  <c r="B23" i="59" a="1"/>
  <c r="B23" i="59" s="1"/>
  <c r="K22" i="59" a="1"/>
  <c r="K22" i="59" s="1"/>
  <c r="I22" i="59" a="1"/>
  <c r="I22" i="59" s="1"/>
  <c r="H22" i="59" a="1"/>
  <c r="H22" i="59" s="1"/>
  <c r="J22" i="59" s="1" a="1"/>
  <c r="J22" i="59" s="1"/>
  <c r="F22" i="59" a="1"/>
  <c r="F22" i="59" s="1"/>
  <c r="E22" i="59" a="1"/>
  <c r="E22" i="59" s="1"/>
  <c r="G22" i="59" s="1" a="1"/>
  <c r="G22" i="59" s="1"/>
  <c r="D22" i="59" a="1"/>
  <c r="D22" i="59" s="1"/>
  <c r="C22" i="59" a="1"/>
  <c r="C22" i="59" s="1"/>
  <c r="B22" i="59" a="1"/>
  <c r="B22" i="59" s="1"/>
  <c r="K21" i="59" a="1"/>
  <c r="K21" i="59" s="1"/>
  <c r="I21" i="59" a="1"/>
  <c r="I21" i="59" s="1"/>
  <c r="H21" i="59" a="1"/>
  <c r="H21" i="59" s="1"/>
  <c r="J21" i="59" s="1" a="1"/>
  <c r="J21" i="59" s="1"/>
  <c r="F21" i="59" a="1"/>
  <c r="F21" i="59" s="1"/>
  <c r="E21" i="59" a="1"/>
  <c r="E21" i="59" s="1"/>
  <c r="G21" i="59" s="1" a="1"/>
  <c r="G21" i="59" s="1"/>
  <c r="D21" i="59" a="1"/>
  <c r="D21" i="59" s="1"/>
  <c r="C21" i="59" a="1"/>
  <c r="C21" i="59" s="1"/>
  <c r="B21" i="59" a="1"/>
  <c r="B21" i="59" s="1"/>
  <c r="K20" i="59" a="1"/>
  <c r="K20" i="59" s="1"/>
  <c r="I20" i="59" a="1"/>
  <c r="I20" i="59" s="1"/>
  <c r="H20" i="59" a="1"/>
  <c r="H20" i="59" s="1"/>
  <c r="J20" i="59" s="1" a="1"/>
  <c r="J20" i="59" s="1"/>
  <c r="F20" i="59" a="1"/>
  <c r="F20" i="59" s="1"/>
  <c r="E20" i="59" a="1"/>
  <c r="E20" i="59" s="1"/>
  <c r="G20" i="59" s="1" a="1"/>
  <c r="G20" i="59" s="1"/>
  <c r="D20" i="59" a="1"/>
  <c r="D20" i="59" s="1"/>
  <c r="C20" i="59" a="1"/>
  <c r="C20" i="59" s="1"/>
  <c r="B20" i="59" a="1"/>
  <c r="B20" i="59" s="1"/>
  <c r="K19" i="59" a="1"/>
  <c r="K19" i="59" s="1"/>
  <c r="I19" i="59" a="1"/>
  <c r="I19" i="59" s="1"/>
  <c r="H19" i="59" a="1"/>
  <c r="H19" i="59" s="1"/>
  <c r="J19" i="59" s="1" a="1"/>
  <c r="J19" i="59" s="1"/>
  <c r="F19" i="59" a="1"/>
  <c r="F19" i="59" s="1"/>
  <c r="E19" i="59" a="1"/>
  <c r="E19" i="59" s="1"/>
  <c r="G19" i="59" s="1" a="1"/>
  <c r="G19" i="59" s="1"/>
  <c r="D19" i="59" a="1"/>
  <c r="D19" i="59" s="1"/>
  <c r="C19" i="59" a="1"/>
  <c r="C19" i="59" s="1"/>
  <c r="B19" i="59" a="1"/>
  <c r="B19" i="59" s="1"/>
  <c r="K18" i="59" a="1"/>
  <c r="K18" i="59" s="1"/>
  <c r="I18" i="59" a="1"/>
  <c r="I18" i="59" s="1"/>
  <c r="H18" i="59" a="1"/>
  <c r="H18" i="59" s="1"/>
  <c r="J18" i="59" s="1" a="1"/>
  <c r="J18" i="59" s="1"/>
  <c r="F18" i="59" a="1"/>
  <c r="F18" i="59" s="1"/>
  <c r="E18" i="59" a="1"/>
  <c r="E18" i="59" s="1"/>
  <c r="G18" i="59" s="1" a="1"/>
  <c r="G18" i="59" s="1"/>
  <c r="D18" i="59" a="1"/>
  <c r="D18" i="59" s="1"/>
  <c r="C18" i="59" a="1"/>
  <c r="C18" i="59" s="1"/>
  <c r="B18" i="59" a="1"/>
  <c r="B18" i="59" s="1"/>
  <c r="K17" i="59" a="1"/>
  <c r="K17" i="59" s="1"/>
  <c r="I17" i="59" a="1"/>
  <c r="I17" i="59" s="1"/>
  <c r="H17" i="59" a="1"/>
  <c r="H17" i="59" s="1"/>
  <c r="J17" i="59" s="1" a="1"/>
  <c r="J17" i="59" s="1"/>
  <c r="F17" i="59" a="1"/>
  <c r="F17" i="59" s="1"/>
  <c r="E17" i="59" a="1"/>
  <c r="E17" i="59" s="1"/>
  <c r="G17" i="59" s="1" a="1"/>
  <c r="G17" i="59" s="1"/>
  <c r="D17" i="59" a="1"/>
  <c r="D17" i="59" s="1"/>
  <c r="C17" i="59" a="1"/>
  <c r="C17" i="59" s="1"/>
  <c r="B17" i="59" a="1"/>
  <c r="B17" i="59" s="1"/>
  <c r="K16" i="59" a="1"/>
  <c r="K16" i="59" s="1"/>
  <c r="I16" i="59" a="1"/>
  <c r="I16" i="59" s="1"/>
  <c r="H16" i="59" a="1"/>
  <c r="H16" i="59" s="1"/>
  <c r="J16" i="59" s="1" a="1"/>
  <c r="J16" i="59" s="1"/>
  <c r="F16" i="59" a="1"/>
  <c r="F16" i="59" s="1"/>
  <c r="E16" i="59" a="1"/>
  <c r="E16" i="59" s="1"/>
  <c r="G16" i="59" s="1" a="1"/>
  <c r="G16" i="59" s="1"/>
  <c r="D16" i="59" a="1"/>
  <c r="D16" i="59" s="1"/>
  <c r="C16" i="59" a="1"/>
  <c r="C16" i="59" s="1"/>
  <c r="B16" i="59" a="1"/>
  <c r="B16" i="59" s="1"/>
  <c r="K15" i="59" a="1"/>
  <c r="K15" i="59" s="1"/>
  <c r="I15" i="59" a="1"/>
  <c r="I15" i="59" s="1"/>
  <c r="H15" i="59" a="1"/>
  <c r="H15" i="59" s="1"/>
  <c r="J15" i="59" s="1" a="1"/>
  <c r="J15" i="59" s="1"/>
  <c r="F15" i="59" a="1"/>
  <c r="F15" i="59" s="1"/>
  <c r="E15" i="59" a="1"/>
  <c r="E15" i="59" s="1"/>
  <c r="G15" i="59" s="1" a="1"/>
  <c r="G15" i="59" s="1"/>
  <c r="D15" i="59" a="1"/>
  <c r="D15" i="59" s="1"/>
  <c r="C15" i="59" a="1"/>
  <c r="C15" i="59" s="1"/>
  <c r="B15" i="59" a="1"/>
  <c r="B15" i="59" s="1"/>
  <c r="K14" i="59" a="1"/>
  <c r="K14" i="59" s="1"/>
  <c r="I14" i="59" a="1"/>
  <c r="I14" i="59" s="1"/>
  <c r="H14" i="59" a="1"/>
  <c r="H14" i="59" s="1"/>
  <c r="J14" i="59" s="1" a="1"/>
  <c r="J14" i="59" s="1"/>
  <c r="F14" i="59" a="1"/>
  <c r="F14" i="59" s="1"/>
  <c r="E14" i="59" a="1"/>
  <c r="E14" i="59" s="1"/>
  <c r="G14" i="59" s="1" a="1"/>
  <c r="G14" i="59" s="1"/>
  <c r="D14" i="59" a="1"/>
  <c r="D14" i="59" s="1"/>
  <c r="C14" i="59" a="1"/>
  <c r="C14" i="59" s="1"/>
  <c r="B14" i="59" a="1"/>
  <c r="B14" i="59" s="1"/>
  <c r="K13" i="59" a="1"/>
  <c r="K13" i="59" s="1"/>
  <c r="I13" i="59" a="1"/>
  <c r="I13" i="59" s="1"/>
  <c r="H13" i="59" a="1"/>
  <c r="H13" i="59" s="1"/>
  <c r="J13" i="59" s="1" a="1"/>
  <c r="J13" i="59" s="1"/>
  <c r="F13" i="59" a="1"/>
  <c r="F13" i="59" s="1"/>
  <c r="E13" i="59" a="1"/>
  <c r="E13" i="59" s="1"/>
  <c r="G13" i="59" s="1" a="1"/>
  <c r="G13" i="59" s="1"/>
  <c r="D13" i="59" a="1"/>
  <c r="D13" i="59" s="1"/>
  <c r="C13" i="59" a="1"/>
  <c r="C13" i="59" s="1"/>
  <c r="B13" i="59" a="1"/>
  <c r="B13" i="59" s="1"/>
  <c r="K12" i="59" a="1"/>
  <c r="K12" i="59" s="1"/>
  <c r="I12" i="59" a="1"/>
  <c r="I12" i="59" s="1"/>
  <c r="H12" i="59" a="1"/>
  <c r="H12" i="59" s="1"/>
  <c r="J12" i="59" s="1" a="1"/>
  <c r="J12" i="59" s="1"/>
  <c r="F12" i="59" a="1"/>
  <c r="F12" i="59" s="1"/>
  <c r="E12" i="59" a="1"/>
  <c r="E12" i="59" s="1"/>
  <c r="G12" i="59" s="1" a="1"/>
  <c r="G12" i="59" s="1"/>
  <c r="D12" i="59" a="1"/>
  <c r="D12" i="59" s="1"/>
  <c r="C12" i="59" a="1"/>
  <c r="C12" i="59" s="1"/>
  <c r="B12" i="59" a="1"/>
  <c r="B12" i="59" s="1"/>
  <c r="K11" i="59" a="1"/>
  <c r="K11" i="59" s="1"/>
  <c r="I11" i="59" a="1"/>
  <c r="I11" i="59" s="1"/>
  <c r="H11" i="59" a="1"/>
  <c r="H11" i="59" s="1"/>
  <c r="J11" i="59" s="1" a="1"/>
  <c r="J11" i="59" s="1"/>
  <c r="F11" i="59" a="1"/>
  <c r="F11" i="59" s="1"/>
  <c r="E11" i="59" a="1"/>
  <c r="E11" i="59" s="1"/>
  <c r="G11" i="59" s="1" a="1"/>
  <c r="G11" i="59" s="1"/>
  <c r="D11" i="59" a="1"/>
  <c r="D11" i="59" s="1"/>
  <c r="C11" i="59" a="1"/>
  <c r="C11" i="59" s="1"/>
  <c r="B11" i="59" a="1"/>
  <c r="B11" i="59" s="1"/>
  <c r="K10" i="59" a="1"/>
  <c r="K10" i="59" s="1"/>
  <c r="I10" i="59" a="1"/>
  <c r="I10" i="59" s="1"/>
  <c r="H10" i="59" a="1"/>
  <c r="H10" i="59" s="1"/>
  <c r="J10" i="59" s="1" a="1"/>
  <c r="J10" i="59" s="1"/>
  <c r="F10" i="59" a="1"/>
  <c r="F10" i="59" s="1"/>
  <c r="E10" i="59" a="1"/>
  <c r="E10" i="59" s="1"/>
  <c r="G10" i="59" s="1" a="1"/>
  <c r="G10" i="59" s="1"/>
  <c r="D10" i="59" a="1"/>
  <c r="D10" i="59" s="1"/>
  <c r="C10" i="59" a="1"/>
  <c r="C10" i="59" s="1"/>
  <c r="B10" i="59" a="1"/>
  <c r="B10" i="59" s="1"/>
  <c r="K9" i="59" a="1"/>
  <c r="K9" i="59" s="1"/>
  <c r="I9" i="59" a="1"/>
  <c r="I9" i="59" s="1"/>
  <c r="H9" i="59" a="1"/>
  <c r="H9" i="59" s="1"/>
  <c r="J9" i="59" s="1" a="1"/>
  <c r="J9" i="59" s="1"/>
  <c r="F9" i="59" a="1"/>
  <c r="F9" i="59" s="1"/>
  <c r="E9" i="59" a="1"/>
  <c r="E9" i="59" s="1"/>
  <c r="G9" i="59" s="1" a="1"/>
  <c r="G9" i="59" s="1"/>
  <c r="D9" i="59" a="1"/>
  <c r="D9" i="59" s="1"/>
  <c r="C9" i="59" a="1"/>
  <c r="C9" i="59" s="1"/>
  <c r="B9" i="59" a="1"/>
  <c r="B9" i="59" s="1"/>
  <c r="K8" i="59" a="1"/>
  <c r="K8" i="59" s="1"/>
  <c r="I8" i="59" a="1"/>
  <c r="I8" i="59" s="1"/>
  <c r="H8" i="59" a="1"/>
  <c r="H8" i="59" s="1"/>
  <c r="J8" i="59" s="1" a="1"/>
  <c r="J8" i="59" s="1"/>
  <c r="F8" i="59" a="1"/>
  <c r="F8" i="59" s="1"/>
  <c r="E8" i="59" a="1"/>
  <c r="E8" i="59" s="1"/>
  <c r="G8" i="59" s="1" a="1"/>
  <c r="G8" i="59" s="1"/>
  <c r="D8" i="59" a="1"/>
  <c r="D8" i="59" s="1"/>
  <c r="C8" i="59" a="1"/>
  <c r="C8" i="59" s="1"/>
  <c r="M110" i="42" s="1"/>
  <c r="B8" i="59" a="1"/>
  <c r="B8" i="59" s="1"/>
  <c r="C83" i="58" a="1"/>
  <c r="C83" i="58" s="1"/>
  <c r="C110" i="58" s="1"/>
  <c r="C78" i="58" a="1"/>
  <c r="C78" i="58" s="1"/>
  <c r="K60" i="58" a="1"/>
  <c r="K60" i="58" s="1"/>
  <c r="I60" i="58" a="1"/>
  <c r="I60" i="58" s="1"/>
  <c r="H60" i="58" a="1"/>
  <c r="H60" i="58" s="1"/>
  <c r="J60" i="58" s="1" a="1"/>
  <c r="J60" i="58" s="1"/>
  <c r="F60" i="58" a="1"/>
  <c r="F60" i="58" s="1"/>
  <c r="E60" i="58" a="1"/>
  <c r="E60" i="58" s="1"/>
  <c r="G60" i="58" s="1" a="1"/>
  <c r="G60" i="58" s="1"/>
  <c r="D60" i="58" a="1"/>
  <c r="D60" i="58" s="1"/>
  <c r="C60" i="58" a="1"/>
  <c r="C60" i="58" s="1"/>
  <c r="B60" i="58" a="1"/>
  <c r="B60" i="58" s="1"/>
  <c r="K59" i="58" a="1"/>
  <c r="K59" i="58" s="1"/>
  <c r="I59" i="58" a="1"/>
  <c r="I59" i="58" s="1"/>
  <c r="H59" i="58" a="1"/>
  <c r="H59" i="58" s="1"/>
  <c r="J59" i="58" s="1" a="1"/>
  <c r="J59" i="58" s="1"/>
  <c r="F59" i="58" a="1"/>
  <c r="F59" i="58" s="1"/>
  <c r="E59" i="58" a="1"/>
  <c r="E59" i="58" s="1"/>
  <c r="G59" i="58" s="1" a="1"/>
  <c r="G59" i="58" s="1"/>
  <c r="D59" i="58" a="1"/>
  <c r="D59" i="58" s="1"/>
  <c r="C59" i="58" a="1"/>
  <c r="C59" i="58" s="1"/>
  <c r="B59" i="58" a="1"/>
  <c r="B59" i="58" s="1"/>
  <c r="K58" i="58" a="1"/>
  <c r="K58" i="58" s="1"/>
  <c r="I58" i="58" a="1"/>
  <c r="I58" i="58" s="1"/>
  <c r="H58" i="58" a="1"/>
  <c r="H58" i="58" s="1"/>
  <c r="J58" i="58" s="1" a="1"/>
  <c r="J58" i="58" s="1"/>
  <c r="F58" i="58" a="1"/>
  <c r="F58" i="58" s="1"/>
  <c r="E58" i="58" a="1"/>
  <c r="E58" i="58" s="1"/>
  <c r="G58" i="58" s="1" a="1"/>
  <c r="G58" i="58" s="1"/>
  <c r="D58" i="58" a="1"/>
  <c r="D58" i="58" s="1"/>
  <c r="C58" i="58" a="1"/>
  <c r="C58" i="58" s="1"/>
  <c r="B58" i="58" a="1"/>
  <c r="B58" i="58" s="1"/>
  <c r="K57" i="58" a="1"/>
  <c r="K57" i="58" s="1"/>
  <c r="I57" i="58" a="1"/>
  <c r="I57" i="58" s="1"/>
  <c r="H57" i="58" a="1"/>
  <c r="H57" i="58" s="1"/>
  <c r="J57" i="58" s="1" a="1"/>
  <c r="J57" i="58" s="1"/>
  <c r="F57" i="58" a="1"/>
  <c r="F57" i="58" s="1"/>
  <c r="E57" i="58" a="1"/>
  <c r="E57" i="58" s="1"/>
  <c r="G57" i="58" s="1" a="1"/>
  <c r="G57" i="58" s="1"/>
  <c r="D57" i="58" a="1"/>
  <c r="D57" i="58" s="1"/>
  <c r="C57" i="58" a="1"/>
  <c r="C57" i="58" s="1"/>
  <c r="B57" i="58" a="1"/>
  <c r="B57" i="58" s="1"/>
  <c r="K56" i="58" a="1"/>
  <c r="K56" i="58" s="1"/>
  <c r="I56" i="58" a="1"/>
  <c r="I56" i="58" s="1"/>
  <c r="H56" i="58" a="1"/>
  <c r="H56" i="58" s="1"/>
  <c r="J56" i="58" s="1" a="1"/>
  <c r="J56" i="58" s="1"/>
  <c r="F56" i="58" a="1"/>
  <c r="F56" i="58" s="1"/>
  <c r="E56" i="58" a="1"/>
  <c r="E56" i="58" s="1"/>
  <c r="G56" i="58" s="1" a="1"/>
  <c r="G56" i="58" s="1"/>
  <c r="D56" i="58" a="1"/>
  <c r="D56" i="58" s="1"/>
  <c r="C56" i="58" a="1"/>
  <c r="C56" i="58" s="1"/>
  <c r="B56" i="58" a="1"/>
  <c r="B56" i="58" s="1"/>
  <c r="K55" i="58" a="1"/>
  <c r="K55" i="58" s="1"/>
  <c r="I55" i="58" a="1"/>
  <c r="I55" i="58" s="1"/>
  <c r="H55" i="58" a="1"/>
  <c r="H55" i="58" s="1"/>
  <c r="J55" i="58" s="1" a="1"/>
  <c r="J55" i="58" s="1"/>
  <c r="F55" i="58" a="1"/>
  <c r="F55" i="58" s="1"/>
  <c r="E55" i="58" a="1"/>
  <c r="E55" i="58" s="1"/>
  <c r="G55" i="58" s="1" a="1"/>
  <c r="G55" i="58" s="1"/>
  <c r="D55" i="58" a="1"/>
  <c r="D55" i="58" s="1"/>
  <c r="C55" i="58" a="1"/>
  <c r="C55" i="58" s="1"/>
  <c r="B55" i="58" a="1"/>
  <c r="B55" i="58" s="1"/>
  <c r="K54" i="58" a="1"/>
  <c r="K54" i="58" s="1"/>
  <c r="I54" i="58" a="1"/>
  <c r="I54" i="58" s="1"/>
  <c r="H54" i="58" a="1"/>
  <c r="H54" i="58" s="1"/>
  <c r="J54" i="58" s="1" a="1"/>
  <c r="J54" i="58" s="1"/>
  <c r="F54" i="58" a="1"/>
  <c r="F54" i="58" s="1"/>
  <c r="E54" i="58" a="1"/>
  <c r="E54" i="58" s="1"/>
  <c r="G54" i="58" s="1" a="1"/>
  <c r="G54" i="58" s="1"/>
  <c r="D54" i="58" a="1"/>
  <c r="D54" i="58" s="1"/>
  <c r="C54" i="58" a="1"/>
  <c r="C54" i="58" s="1"/>
  <c r="B54" i="58" a="1"/>
  <c r="B54" i="58" s="1"/>
  <c r="K53" i="58" a="1"/>
  <c r="K53" i="58" s="1"/>
  <c r="I53" i="58" a="1"/>
  <c r="I53" i="58" s="1"/>
  <c r="H53" i="58" a="1"/>
  <c r="H53" i="58" s="1"/>
  <c r="J53" i="58" s="1" a="1"/>
  <c r="J53" i="58" s="1"/>
  <c r="F53" i="58" a="1"/>
  <c r="F53" i="58" s="1"/>
  <c r="E53" i="58" a="1"/>
  <c r="E53" i="58" s="1"/>
  <c r="G53" i="58" s="1" a="1"/>
  <c r="G53" i="58" s="1"/>
  <c r="D53" i="58" a="1"/>
  <c r="D53" i="58" s="1"/>
  <c r="C53" i="58" a="1"/>
  <c r="C53" i="58" s="1"/>
  <c r="B53" i="58" a="1"/>
  <c r="B53" i="58" s="1"/>
  <c r="K52" i="58" a="1"/>
  <c r="K52" i="58" s="1"/>
  <c r="I52" i="58" a="1"/>
  <c r="I52" i="58" s="1"/>
  <c r="H52" i="58" a="1"/>
  <c r="H52" i="58" s="1"/>
  <c r="J52" i="58" s="1" a="1"/>
  <c r="J52" i="58" s="1"/>
  <c r="F52" i="58" a="1"/>
  <c r="F52" i="58" s="1"/>
  <c r="E52" i="58" a="1"/>
  <c r="E52" i="58" s="1"/>
  <c r="G52" i="58" s="1" a="1"/>
  <c r="G52" i="58" s="1"/>
  <c r="D52" i="58" a="1"/>
  <c r="D52" i="58" s="1"/>
  <c r="C52" i="58" a="1"/>
  <c r="C52" i="58" s="1"/>
  <c r="B52" i="58" a="1"/>
  <c r="B52" i="58" s="1"/>
  <c r="K51" i="58" a="1"/>
  <c r="K51" i="58" s="1"/>
  <c r="I51" i="58" a="1"/>
  <c r="I51" i="58" s="1"/>
  <c r="H51" i="58" a="1"/>
  <c r="H51" i="58" s="1"/>
  <c r="J51" i="58" s="1" a="1"/>
  <c r="J51" i="58" s="1"/>
  <c r="F51" i="58" a="1"/>
  <c r="F51" i="58" s="1"/>
  <c r="E51" i="58" a="1"/>
  <c r="E51" i="58" s="1"/>
  <c r="G51" i="58" s="1" a="1"/>
  <c r="G51" i="58" s="1"/>
  <c r="D51" i="58" a="1"/>
  <c r="D51" i="58" s="1"/>
  <c r="C51" i="58" a="1"/>
  <c r="C51" i="58" s="1"/>
  <c r="B51" i="58" a="1"/>
  <c r="B51" i="58" s="1"/>
  <c r="K50" i="58" a="1"/>
  <c r="K50" i="58" s="1"/>
  <c r="I50" i="58" a="1"/>
  <c r="I50" i="58" s="1"/>
  <c r="H50" i="58" a="1"/>
  <c r="H50" i="58" s="1"/>
  <c r="J50" i="58" s="1" a="1"/>
  <c r="J50" i="58" s="1"/>
  <c r="F50" i="58" a="1"/>
  <c r="F50" i="58" s="1"/>
  <c r="E50" i="58" a="1"/>
  <c r="E50" i="58" s="1"/>
  <c r="G50" i="58" s="1" a="1"/>
  <c r="G50" i="58" s="1"/>
  <c r="D50" i="58" a="1"/>
  <c r="D50" i="58" s="1"/>
  <c r="C50" i="58" a="1"/>
  <c r="C50" i="58" s="1"/>
  <c r="B50" i="58" a="1"/>
  <c r="B50" i="58" s="1"/>
  <c r="K49" i="58" a="1"/>
  <c r="K49" i="58" s="1"/>
  <c r="I49" i="58" a="1"/>
  <c r="I49" i="58" s="1"/>
  <c r="H49" i="58" a="1"/>
  <c r="H49" i="58" s="1"/>
  <c r="J49" i="58" s="1" a="1"/>
  <c r="J49" i="58" s="1"/>
  <c r="F49" i="58" a="1"/>
  <c r="F49" i="58" s="1"/>
  <c r="E49" i="58" a="1"/>
  <c r="E49" i="58" s="1"/>
  <c r="G49" i="58" s="1" a="1"/>
  <c r="G49" i="58" s="1"/>
  <c r="D49" i="58" a="1"/>
  <c r="D49" i="58" s="1"/>
  <c r="C49" i="58" a="1"/>
  <c r="C49" i="58" s="1"/>
  <c r="B49" i="58" a="1"/>
  <c r="B49" i="58" s="1"/>
  <c r="K48" i="58" a="1"/>
  <c r="K48" i="58" s="1"/>
  <c r="I48" i="58" a="1"/>
  <c r="I48" i="58" s="1"/>
  <c r="H48" i="58" a="1"/>
  <c r="H48" i="58" s="1"/>
  <c r="J48" i="58" s="1" a="1"/>
  <c r="J48" i="58" s="1"/>
  <c r="F48" i="58" a="1"/>
  <c r="F48" i="58" s="1"/>
  <c r="E48" i="58" a="1"/>
  <c r="E48" i="58" s="1"/>
  <c r="G48" i="58" s="1" a="1"/>
  <c r="G48" i="58" s="1"/>
  <c r="D48" i="58" a="1"/>
  <c r="D48" i="58" s="1"/>
  <c r="C48" i="58" a="1"/>
  <c r="C48" i="58" s="1"/>
  <c r="B48" i="58" a="1"/>
  <c r="B48" i="58" s="1"/>
  <c r="K47" i="58" a="1"/>
  <c r="K47" i="58" s="1"/>
  <c r="I47" i="58" a="1"/>
  <c r="I47" i="58" s="1"/>
  <c r="H47" i="58" a="1"/>
  <c r="H47" i="58" s="1"/>
  <c r="J47" i="58" s="1" a="1"/>
  <c r="J47" i="58" s="1"/>
  <c r="F47" i="58" a="1"/>
  <c r="F47" i="58" s="1"/>
  <c r="E47" i="58" a="1"/>
  <c r="E47" i="58" s="1"/>
  <c r="G47" i="58" s="1" a="1"/>
  <c r="G47" i="58" s="1"/>
  <c r="D47" i="58" a="1"/>
  <c r="D47" i="58" s="1"/>
  <c r="C47" i="58" a="1"/>
  <c r="C47" i="58" s="1"/>
  <c r="B47" i="58" a="1"/>
  <c r="B47" i="58" s="1"/>
  <c r="K46" i="58" a="1"/>
  <c r="K46" i="58" s="1"/>
  <c r="I46" i="58" a="1"/>
  <c r="I46" i="58" s="1"/>
  <c r="H46" i="58" a="1"/>
  <c r="H46" i="58" s="1"/>
  <c r="J46" i="58" s="1" a="1"/>
  <c r="J46" i="58" s="1"/>
  <c r="F46" i="58" a="1"/>
  <c r="F46" i="58" s="1"/>
  <c r="E46" i="58" a="1"/>
  <c r="E46" i="58" s="1"/>
  <c r="G46" i="58" s="1" a="1"/>
  <c r="G46" i="58" s="1"/>
  <c r="D46" i="58" a="1"/>
  <c r="D46" i="58" s="1"/>
  <c r="C46" i="58" a="1"/>
  <c r="C46" i="58" s="1"/>
  <c r="B46" i="58" a="1"/>
  <c r="B46" i="58" s="1"/>
  <c r="K45" i="58" a="1"/>
  <c r="K45" i="58" s="1"/>
  <c r="I45" i="58" a="1"/>
  <c r="I45" i="58" s="1"/>
  <c r="H45" i="58" a="1"/>
  <c r="H45" i="58" s="1"/>
  <c r="J45" i="58" s="1" a="1"/>
  <c r="J45" i="58" s="1"/>
  <c r="F45" i="58" a="1"/>
  <c r="F45" i="58" s="1"/>
  <c r="E45" i="58" a="1"/>
  <c r="E45" i="58" s="1"/>
  <c r="G45" i="58" s="1" a="1"/>
  <c r="G45" i="58" s="1"/>
  <c r="D45" i="58" a="1"/>
  <c r="D45" i="58" s="1"/>
  <c r="C45" i="58" a="1"/>
  <c r="C45" i="58" s="1"/>
  <c r="B45" i="58" a="1"/>
  <c r="B45" i="58" s="1"/>
  <c r="K44" i="58" a="1"/>
  <c r="K44" i="58" s="1"/>
  <c r="I44" i="58" a="1"/>
  <c r="I44" i="58" s="1"/>
  <c r="H44" i="58" a="1"/>
  <c r="H44" i="58" s="1"/>
  <c r="J44" i="58" s="1" a="1"/>
  <c r="J44" i="58" s="1"/>
  <c r="F44" i="58" a="1"/>
  <c r="F44" i="58" s="1"/>
  <c r="E44" i="58" a="1"/>
  <c r="E44" i="58" s="1"/>
  <c r="G44" i="58" s="1" a="1"/>
  <c r="G44" i="58" s="1"/>
  <c r="D44" i="58" a="1"/>
  <c r="D44" i="58" s="1"/>
  <c r="C44" i="58" a="1"/>
  <c r="C44" i="58" s="1"/>
  <c r="B44" i="58" a="1"/>
  <c r="B44" i="58" s="1"/>
  <c r="K43" i="58" a="1"/>
  <c r="K43" i="58" s="1"/>
  <c r="I43" i="58" a="1"/>
  <c r="I43" i="58" s="1"/>
  <c r="H43" i="58" a="1"/>
  <c r="H43" i="58" s="1"/>
  <c r="J43" i="58" s="1" a="1"/>
  <c r="J43" i="58" s="1"/>
  <c r="F43" i="58" a="1"/>
  <c r="F43" i="58" s="1"/>
  <c r="E43" i="58" a="1"/>
  <c r="E43" i="58" s="1"/>
  <c r="G43" i="58" s="1" a="1"/>
  <c r="G43" i="58" s="1"/>
  <c r="D43" i="58" a="1"/>
  <c r="D43" i="58" s="1"/>
  <c r="C43" i="58" a="1"/>
  <c r="C43" i="58" s="1"/>
  <c r="B43" i="58" a="1"/>
  <c r="B43" i="58" s="1"/>
  <c r="K42" i="58" a="1"/>
  <c r="K42" i="58" s="1"/>
  <c r="I42" i="58" a="1"/>
  <c r="I42" i="58" s="1"/>
  <c r="H42" i="58" a="1"/>
  <c r="H42" i="58" s="1"/>
  <c r="J42" i="58" s="1" a="1"/>
  <c r="J42" i="58" s="1"/>
  <c r="F42" i="58" a="1"/>
  <c r="F42" i="58" s="1"/>
  <c r="E42" i="58" a="1"/>
  <c r="E42" i="58" s="1"/>
  <c r="G42" i="58" s="1" a="1"/>
  <c r="G42" i="58" s="1"/>
  <c r="D42" i="58" a="1"/>
  <c r="D42" i="58" s="1"/>
  <c r="C42" i="58" a="1"/>
  <c r="C42" i="58" s="1"/>
  <c r="B42" i="58" a="1"/>
  <c r="B42" i="58" s="1"/>
  <c r="K41" i="58" a="1"/>
  <c r="K41" i="58" s="1"/>
  <c r="I41" i="58" a="1"/>
  <c r="I41" i="58" s="1"/>
  <c r="H41" i="58" a="1"/>
  <c r="H41" i="58" s="1"/>
  <c r="J41" i="58" s="1" a="1"/>
  <c r="J41" i="58" s="1"/>
  <c r="F41" i="58" a="1"/>
  <c r="F41" i="58" s="1"/>
  <c r="E41" i="58" a="1"/>
  <c r="E41" i="58" s="1"/>
  <c r="G41" i="58" s="1" a="1"/>
  <c r="G41" i="58" s="1"/>
  <c r="D41" i="58" a="1"/>
  <c r="D41" i="58" s="1"/>
  <c r="C41" i="58" a="1"/>
  <c r="C41" i="58" s="1"/>
  <c r="B41" i="58" a="1"/>
  <c r="B41" i="58" s="1"/>
  <c r="K40" i="58" a="1"/>
  <c r="K40" i="58" s="1"/>
  <c r="I40" i="58" a="1"/>
  <c r="I40" i="58" s="1"/>
  <c r="H40" i="58" a="1"/>
  <c r="H40" i="58" s="1"/>
  <c r="J40" i="58" s="1" a="1"/>
  <c r="J40" i="58" s="1"/>
  <c r="F40" i="58" a="1"/>
  <c r="F40" i="58" s="1"/>
  <c r="E40" i="58" a="1"/>
  <c r="E40" i="58" s="1"/>
  <c r="G40" i="58" s="1" a="1"/>
  <c r="G40" i="58" s="1"/>
  <c r="D40" i="58" a="1"/>
  <c r="D40" i="58" s="1"/>
  <c r="C40" i="58" a="1"/>
  <c r="C40" i="58" s="1"/>
  <c r="B40" i="58" a="1"/>
  <c r="B40" i="58" s="1"/>
  <c r="K39" i="58" a="1"/>
  <c r="K39" i="58" s="1"/>
  <c r="I39" i="58" a="1"/>
  <c r="I39" i="58" s="1"/>
  <c r="H39" i="58" a="1"/>
  <c r="H39" i="58" s="1"/>
  <c r="J39" i="58" s="1" a="1"/>
  <c r="J39" i="58" s="1"/>
  <c r="F39" i="58" a="1"/>
  <c r="F39" i="58" s="1"/>
  <c r="E39" i="58" a="1"/>
  <c r="E39" i="58" s="1"/>
  <c r="G39" i="58" s="1" a="1"/>
  <c r="G39" i="58" s="1"/>
  <c r="D39" i="58" a="1"/>
  <c r="D39" i="58" s="1"/>
  <c r="C39" i="58" a="1"/>
  <c r="C39" i="58" s="1"/>
  <c r="B39" i="58" a="1"/>
  <c r="B39" i="58" s="1"/>
  <c r="K38" i="58" a="1"/>
  <c r="K38" i="58" s="1"/>
  <c r="I38" i="58" a="1"/>
  <c r="I38" i="58" s="1"/>
  <c r="H38" i="58" a="1"/>
  <c r="H38" i="58" s="1"/>
  <c r="J38" i="58" s="1" a="1"/>
  <c r="J38" i="58" s="1"/>
  <c r="F38" i="58" a="1"/>
  <c r="F38" i="58" s="1"/>
  <c r="E38" i="58" a="1"/>
  <c r="E38" i="58" s="1"/>
  <c r="G38" i="58" s="1" a="1"/>
  <c r="G38" i="58" s="1"/>
  <c r="D38" i="58" a="1"/>
  <c r="D38" i="58" s="1"/>
  <c r="C38" i="58" a="1"/>
  <c r="C38" i="58" s="1"/>
  <c r="B38" i="58" a="1"/>
  <c r="B38" i="58" s="1"/>
  <c r="K37" i="58" a="1"/>
  <c r="K37" i="58" s="1"/>
  <c r="I37" i="58" a="1"/>
  <c r="I37" i="58" s="1"/>
  <c r="H37" i="58" a="1"/>
  <c r="H37" i="58" s="1"/>
  <c r="J37" i="58" s="1" a="1"/>
  <c r="J37" i="58" s="1"/>
  <c r="F37" i="58" a="1"/>
  <c r="F37" i="58" s="1"/>
  <c r="E37" i="58" a="1"/>
  <c r="E37" i="58" s="1"/>
  <c r="G37" i="58" s="1" a="1"/>
  <c r="G37" i="58" s="1"/>
  <c r="D37" i="58" a="1"/>
  <c r="D37" i="58" s="1"/>
  <c r="C37" i="58" a="1"/>
  <c r="C37" i="58" s="1"/>
  <c r="B37" i="58" a="1"/>
  <c r="B37" i="58" s="1"/>
  <c r="K36" i="58" a="1"/>
  <c r="K36" i="58" s="1"/>
  <c r="I36" i="58" a="1"/>
  <c r="I36" i="58" s="1"/>
  <c r="H36" i="58" a="1"/>
  <c r="H36" i="58" s="1"/>
  <c r="J36" i="58" s="1" a="1"/>
  <c r="J36" i="58" s="1"/>
  <c r="F36" i="58" a="1"/>
  <c r="F36" i="58" s="1"/>
  <c r="E36" i="58" a="1"/>
  <c r="E36" i="58" s="1"/>
  <c r="G36" i="58" s="1" a="1"/>
  <c r="G36" i="58" s="1"/>
  <c r="D36" i="58" a="1"/>
  <c r="D36" i="58" s="1"/>
  <c r="C36" i="58" a="1"/>
  <c r="C36" i="58" s="1"/>
  <c r="B36" i="58" a="1"/>
  <c r="B36" i="58" s="1"/>
  <c r="K35" i="58" a="1"/>
  <c r="K35" i="58" s="1"/>
  <c r="I35" i="58" a="1"/>
  <c r="I35" i="58" s="1"/>
  <c r="H35" i="58" a="1"/>
  <c r="H35" i="58" s="1"/>
  <c r="J35" i="58" s="1" a="1"/>
  <c r="J35" i="58" s="1"/>
  <c r="F35" i="58" a="1"/>
  <c r="F35" i="58" s="1"/>
  <c r="E35" i="58" a="1"/>
  <c r="E35" i="58" s="1"/>
  <c r="G35" i="58" s="1" a="1"/>
  <c r="G35" i="58" s="1"/>
  <c r="D35" i="58" a="1"/>
  <c r="D35" i="58" s="1"/>
  <c r="C35" i="58" a="1"/>
  <c r="C35" i="58" s="1"/>
  <c r="B35" i="58" a="1"/>
  <c r="B35" i="58" s="1"/>
  <c r="K34" i="58" a="1"/>
  <c r="K34" i="58" s="1"/>
  <c r="I34" i="58" a="1"/>
  <c r="I34" i="58" s="1"/>
  <c r="H34" i="58" a="1"/>
  <c r="H34" i="58" s="1"/>
  <c r="J34" i="58" s="1" a="1"/>
  <c r="J34" i="58" s="1"/>
  <c r="F34" i="58" a="1"/>
  <c r="F34" i="58" s="1"/>
  <c r="E34" i="58" a="1"/>
  <c r="E34" i="58" s="1"/>
  <c r="G34" i="58" s="1" a="1"/>
  <c r="G34" i="58" s="1"/>
  <c r="D34" i="58" a="1"/>
  <c r="D34" i="58" s="1"/>
  <c r="C34" i="58" a="1"/>
  <c r="C34" i="58" s="1"/>
  <c r="B34" i="58" a="1"/>
  <c r="B34" i="58" s="1"/>
  <c r="K33" i="58" a="1"/>
  <c r="K33" i="58" s="1"/>
  <c r="I33" i="58" a="1"/>
  <c r="I33" i="58" s="1"/>
  <c r="H33" i="58" a="1"/>
  <c r="H33" i="58" s="1"/>
  <c r="J33" i="58" s="1" a="1"/>
  <c r="J33" i="58" s="1"/>
  <c r="F33" i="58" a="1"/>
  <c r="F33" i="58" s="1"/>
  <c r="E33" i="58" a="1"/>
  <c r="E33" i="58" s="1"/>
  <c r="G33" i="58" s="1" a="1"/>
  <c r="G33" i="58" s="1"/>
  <c r="D33" i="58" a="1"/>
  <c r="D33" i="58" s="1"/>
  <c r="C33" i="58" a="1"/>
  <c r="C33" i="58" s="1"/>
  <c r="B33" i="58" a="1"/>
  <c r="B33" i="58" s="1"/>
  <c r="K32" i="58" a="1"/>
  <c r="K32" i="58" s="1"/>
  <c r="I32" i="58" a="1"/>
  <c r="I32" i="58" s="1"/>
  <c r="H32" i="58" a="1"/>
  <c r="H32" i="58" s="1"/>
  <c r="J32" i="58" s="1" a="1"/>
  <c r="J32" i="58" s="1"/>
  <c r="F32" i="58" a="1"/>
  <c r="F32" i="58" s="1"/>
  <c r="E32" i="58" a="1"/>
  <c r="E32" i="58" s="1"/>
  <c r="G32" i="58" s="1" a="1"/>
  <c r="G32" i="58" s="1"/>
  <c r="D32" i="58" a="1"/>
  <c r="D32" i="58" s="1"/>
  <c r="C32" i="58" a="1"/>
  <c r="C32" i="58" s="1"/>
  <c r="B32" i="58" a="1"/>
  <c r="B32" i="58" s="1"/>
  <c r="K31" i="58" a="1"/>
  <c r="K31" i="58" s="1"/>
  <c r="I31" i="58" a="1"/>
  <c r="I31" i="58" s="1"/>
  <c r="H31" i="58" a="1"/>
  <c r="H31" i="58" s="1"/>
  <c r="J31" i="58" s="1" a="1"/>
  <c r="J31" i="58" s="1"/>
  <c r="F31" i="58" a="1"/>
  <c r="F31" i="58" s="1"/>
  <c r="E31" i="58" a="1"/>
  <c r="E31" i="58" s="1"/>
  <c r="G31" i="58" s="1" a="1"/>
  <c r="G31" i="58" s="1"/>
  <c r="D31" i="58" a="1"/>
  <c r="D31" i="58" s="1"/>
  <c r="C31" i="58" a="1"/>
  <c r="C31" i="58" s="1"/>
  <c r="B31" i="58" a="1"/>
  <c r="B31" i="58" s="1"/>
  <c r="K30" i="58" a="1"/>
  <c r="K30" i="58" s="1"/>
  <c r="I30" i="58" a="1"/>
  <c r="I30" i="58" s="1"/>
  <c r="H30" i="58" a="1"/>
  <c r="H30" i="58" s="1"/>
  <c r="J30" i="58" s="1" a="1"/>
  <c r="J30" i="58" s="1"/>
  <c r="F30" i="58" a="1"/>
  <c r="F30" i="58" s="1"/>
  <c r="E30" i="58" a="1"/>
  <c r="E30" i="58" s="1"/>
  <c r="G30" i="58" s="1" a="1"/>
  <c r="G30" i="58" s="1"/>
  <c r="D30" i="58" a="1"/>
  <c r="D30" i="58" s="1"/>
  <c r="C30" i="58" a="1"/>
  <c r="C30" i="58" s="1"/>
  <c r="B30" i="58" a="1"/>
  <c r="B30" i="58" s="1"/>
  <c r="K29" i="58" a="1"/>
  <c r="K29" i="58" s="1"/>
  <c r="I29" i="58" a="1"/>
  <c r="I29" i="58" s="1"/>
  <c r="H29" i="58" a="1"/>
  <c r="H29" i="58" s="1"/>
  <c r="J29" i="58" s="1" a="1"/>
  <c r="J29" i="58" s="1"/>
  <c r="F29" i="58" a="1"/>
  <c r="F29" i="58" s="1"/>
  <c r="E29" i="58" a="1"/>
  <c r="E29" i="58" s="1"/>
  <c r="G29" i="58" s="1" a="1"/>
  <c r="G29" i="58" s="1"/>
  <c r="D29" i="58" a="1"/>
  <c r="D29" i="58" s="1"/>
  <c r="C29" i="58" a="1"/>
  <c r="C29" i="58" s="1"/>
  <c r="B29" i="58" a="1"/>
  <c r="B29" i="58" s="1"/>
  <c r="K28" i="58" a="1"/>
  <c r="K28" i="58" s="1"/>
  <c r="I28" i="58" a="1"/>
  <c r="I28" i="58" s="1"/>
  <c r="H28" i="58" a="1"/>
  <c r="H28" i="58" s="1"/>
  <c r="J28" i="58" s="1" a="1"/>
  <c r="J28" i="58" s="1"/>
  <c r="F28" i="58" a="1"/>
  <c r="F28" i="58" s="1"/>
  <c r="E28" i="58" a="1"/>
  <c r="E28" i="58" s="1"/>
  <c r="G28" i="58" s="1" a="1"/>
  <c r="G28" i="58" s="1"/>
  <c r="D28" i="58" a="1"/>
  <c r="D28" i="58" s="1"/>
  <c r="C28" i="58" a="1"/>
  <c r="C28" i="58" s="1"/>
  <c r="B28" i="58" a="1"/>
  <c r="B28" i="58" s="1"/>
  <c r="K27" i="58" a="1"/>
  <c r="K27" i="58" s="1"/>
  <c r="I27" i="58" a="1"/>
  <c r="I27" i="58" s="1"/>
  <c r="H27" i="58" a="1"/>
  <c r="H27" i="58" s="1"/>
  <c r="J27" i="58" s="1" a="1"/>
  <c r="J27" i="58" s="1"/>
  <c r="F27" i="58" a="1"/>
  <c r="F27" i="58" s="1"/>
  <c r="E27" i="58" a="1"/>
  <c r="E27" i="58" s="1"/>
  <c r="G27" i="58" s="1" a="1"/>
  <c r="G27" i="58" s="1"/>
  <c r="D27" i="58" a="1"/>
  <c r="D27" i="58" s="1"/>
  <c r="C27" i="58" a="1"/>
  <c r="C27" i="58" s="1"/>
  <c r="B27" i="58" a="1"/>
  <c r="B27" i="58" s="1"/>
  <c r="K26" i="58" a="1"/>
  <c r="K26" i="58" s="1"/>
  <c r="I26" i="58" a="1"/>
  <c r="I26" i="58" s="1"/>
  <c r="H26" i="58" a="1"/>
  <c r="H26" i="58" s="1"/>
  <c r="J26" i="58" s="1" a="1"/>
  <c r="J26" i="58" s="1"/>
  <c r="F26" i="58" a="1"/>
  <c r="F26" i="58" s="1"/>
  <c r="E26" i="58" a="1"/>
  <c r="E26" i="58" s="1"/>
  <c r="G26" i="58" s="1" a="1"/>
  <c r="G26" i="58" s="1"/>
  <c r="D26" i="58" a="1"/>
  <c r="D26" i="58" s="1"/>
  <c r="C26" i="58" a="1"/>
  <c r="C26" i="58" s="1"/>
  <c r="B26" i="58" a="1"/>
  <c r="B26" i="58" s="1"/>
  <c r="K25" i="58" a="1"/>
  <c r="K25" i="58" s="1"/>
  <c r="I25" i="58" a="1"/>
  <c r="I25" i="58" s="1"/>
  <c r="H25" i="58" a="1"/>
  <c r="H25" i="58" s="1"/>
  <c r="J25" i="58" s="1" a="1"/>
  <c r="J25" i="58" s="1"/>
  <c r="F25" i="58" a="1"/>
  <c r="F25" i="58" s="1"/>
  <c r="E25" i="58" a="1"/>
  <c r="E25" i="58" s="1"/>
  <c r="G25" i="58" s="1" a="1"/>
  <c r="G25" i="58" s="1"/>
  <c r="D25" i="58" a="1"/>
  <c r="D25" i="58" s="1"/>
  <c r="C25" i="58" a="1"/>
  <c r="C25" i="58" s="1"/>
  <c r="B25" i="58" a="1"/>
  <c r="B25" i="58" s="1"/>
  <c r="K24" i="58" a="1"/>
  <c r="K24" i="58" s="1"/>
  <c r="I24" i="58" a="1"/>
  <c r="I24" i="58" s="1"/>
  <c r="H24" i="58" a="1"/>
  <c r="H24" i="58" s="1"/>
  <c r="J24" i="58" s="1" a="1"/>
  <c r="J24" i="58" s="1"/>
  <c r="F24" i="58" a="1"/>
  <c r="F24" i="58" s="1"/>
  <c r="E24" i="58" a="1"/>
  <c r="E24" i="58" s="1"/>
  <c r="G24" i="58" s="1" a="1"/>
  <c r="G24" i="58" s="1"/>
  <c r="D24" i="58" a="1"/>
  <c r="D24" i="58" s="1"/>
  <c r="C24" i="58" a="1"/>
  <c r="C24" i="58" s="1"/>
  <c r="B24" i="58" a="1"/>
  <c r="B24" i="58" s="1"/>
  <c r="K23" i="58" a="1"/>
  <c r="K23" i="58" s="1"/>
  <c r="I23" i="58" a="1"/>
  <c r="I23" i="58" s="1"/>
  <c r="H23" i="58" a="1"/>
  <c r="H23" i="58" s="1"/>
  <c r="J23" i="58" s="1" a="1"/>
  <c r="J23" i="58" s="1"/>
  <c r="F23" i="58" a="1"/>
  <c r="F23" i="58" s="1"/>
  <c r="E23" i="58" a="1"/>
  <c r="E23" i="58" s="1"/>
  <c r="G23" i="58" s="1" a="1"/>
  <c r="G23" i="58" s="1"/>
  <c r="D23" i="58" a="1"/>
  <c r="D23" i="58" s="1"/>
  <c r="C23" i="58" a="1"/>
  <c r="C23" i="58" s="1"/>
  <c r="B23" i="58" a="1"/>
  <c r="B23" i="58" s="1"/>
  <c r="K22" i="58" a="1"/>
  <c r="K22" i="58" s="1"/>
  <c r="I22" i="58" a="1"/>
  <c r="I22" i="58" s="1"/>
  <c r="H22" i="58" a="1"/>
  <c r="H22" i="58" s="1"/>
  <c r="J22" i="58" s="1" a="1"/>
  <c r="J22" i="58" s="1"/>
  <c r="F22" i="58" a="1"/>
  <c r="F22" i="58" s="1"/>
  <c r="E22" i="58" a="1"/>
  <c r="E22" i="58" s="1"/>
  <c r="G22" i="58" s="1" a="1"/>
  <c r="G22" i="58" s="1"/>
  <c r="D22" i="58" a="1"/>
  <c r="D22" i="58" s="1"/>
  <c r="C22" i="58" a="1"/>
  <c r="C22" i="58" s="1"/>
  <c r="B22" i="58" a="1"/>
  <c r="B22" i="58" s="1"/>
  <c r="K21" i="58" a="1"/>
  <c r="K21" i="58" s="1"/>
  <c r="I21" i="58" a="1"/>
  <c r="I21" i="58" s="1"/>
  <c r="H21" i="58" a="1"/>
  <c r="H21" i="58" s="1"/>
  <c r="J21" i="58" s="1" a="1"/>
  <c r="J21" i="58" s="1"/>
  <c r="F21" i="58" a="1"/>
  <c r="F21" i="58" s="1"/>
  <c r="E21" i="58" a="1"/>
  <c r="E21" i="58" s="1"/>
  <c r="G21" i="58" s="1" a="1"/>
  <c r="G21" i="58" s="1"/>
  <c r="D21" i="58" a="1"/>
  <c r="D21" i="58" s="1"/>
  <c r="C21" i="58" a="1"/>
  <c r="C21" i="58" s="1"/>
  <c r="B21" i="58" a="1"/>
  <c r="B21" i="58" s="1"/>
  <c r="K20" i="58" a="1"/>
  <c r="K20" i="58" s="1"/>
  <c r="I20" i="58" a="1"/>
  <c r="I20" i="58" s="1"/>
  <c r="H20" i="58" a="1"/>
  <c r="H20" i="58" s="1"/>
  <c r="J20" i="58" s="1" a="1"/>
  <c r="J20" i="58" s="1"/>
  <c r="F20" i="58" a="1"/>
  <c r="F20" i="58" s="1"/>
  <c r="E20" i="58" a="1"/>
  <c r="E20" i="58" s="1"/>
  <c r="G20" i="58" s="1" a="1"/>
  <c r="G20" i="58" s="1"/>
  <c r="D20" i="58" a="1"/>
  <c r="D20" i="58" s="1"/>
  <c r="C20" i="58" a="1"/>
  <c r="C20" i="58" s="1"/>
  <c r="B20" i="58" a="1"/>
  <c r="B20" i="58" s="1"/>
  <c r="K19" i="58" a="1"/>
  <c r="K19" i="58" s="1"/>
  <c r="I19" i="58" a="1"/>
  <c r="I19" i="58" s="1"/>
  <c r="H19" i="58" a="1"/>
  <c r="H19" i="58" s="1"/>
  <c r="J19" i="58" s="1" a="1"/>
  <c r="J19" i="58" s="1"/>
  <c r="F19" i="58" a="1"/>
  <c r="F19" i="58" s="1"/>
  <c r="E19" i="58" a="1"/>
  <c r="E19" i="58" s="1"/>
  <c r="G19" i="58" s="1" a="1"/>
  <c r="G19" i="58" s="1"/>
  <c r="D19" i="58" a="1"/>
  <c r="D19" i="58" s="1"/>
  <c r="C19" i="58" a="1"/>
  <c r="C19" i="58" s="1"/>
  <c r="B19" i="58" a="1"/>
  <c r="B19" i="58" s="1"/>
  <c r="K18" i="58" a="1"/>
  <c r="K18" i="58" s="1"/>
  <c r="I18" i="58" a="1"/>
  <c r="I18" i="58" s="1"/>
  <c r="H18" i="58" a="1"/>
  <c r="H18" i="58" s="1"/>
  <c r="J18" i="58" s="1" a="1"/>
  <c r="J18" i="58" s="1"/>
  <c r="F18" i="58" a="1"/>
  <c r="F18" i="58" s="1"/>
  <c r="E18" i="58" a="1"/>
  <c r="E18" i="58" s="1"/>
  <c r="G18" i="58" s="1" a="1"/>
  <c r="G18" i="58" s="1"/>
  <c r="D18" i="58" a="1"/>
  <c r="D18" i="58" s="1"/>
  <c r="C18" i="58" a="1"/>
  <c r="C18" i="58" s="1"/>
  <c r="B18" i="58" a="1"/>
  <c r="B18" i="58" s="1"/>
  <c r="K17" i="58" a="1"/>
  <c r="K17" i="58" s="1"/>
  <c r="I17" i="58" a="1"/>
  <c r="I17" i="58" s="1"/>
  <c r="H17" i="58" a="1"/>
  <c r="H17" i="58" s="1"/>
  <c r="J17" i="58" s="1" a="1"/>
  <c r="J17" i="58" s="1"/>
  <c r="F17" i="58" a="1"/>
  <c r="F17" i="58" s="1"/>
  <c r="E17" i="58" a="1"/>
  <c r="E17" i="58" s="1"/>
  <c r="G17" i="58" s="1" a="1"/>
  <c r="G17" i="58" s="1"/>
  <c r="D17" i="58" a="1"/>
  <c r="D17" i="58" s="1"/>
  <c r="C17" i="58" a="1"/>
  <c r="C17" i="58" s="1"/>
  <c r="B17" i="58" a="1"/>
  <c r="B17" i="58" s="1"/>
  <c r="K16" i="58" a="1"/>
  <c r="K16" i="58" s="1"/>
  <c r="I16" i="58" a="1"/>
  <c r="I16" i="58" s="1"/>
  <c r="H16" i="58" a="1"/>
  <c r="H16" i="58" s="1"/>
  <c r="J16" i="58" s="1" a="1"/>
  <c r="J16" i="58" s="1"/>
  <c r="F16" i="58" a="1"/>
  <c r="F16" i="58" s="1"/>
  <c r="E16" i="58" a="1"/>
  <c r="E16" i="58" s="1"/>
  <c r="G16" i="58" s="1" a="1"/>
  <c r="G16" i="58" s="1"/>
  <c r="D16" i="58" a="1"/>
  <c r="D16" i="58" s="1"/>
  <c r="C16" i="58" a="1"/>
  <c r="C16" i="58" s="1"/>
  <c r="B16" i="58" a="1"/>
  <c r="B16" i="58" s="1"/>
  <c r="K15" i="58" a="1"/>
  <c r="K15" i="58" s="1"/>
  <c r="I15" i="58" a="1"/>
  <c r="I15" i="58" s="1"/>
  <c r="H15" i="58" a="1"/>
  <c r="H15" i="58" s="1"/>
  <c r="J15" i="58" s="1" a="1"/>
  <c r="J15" i="58" s="1"/>
  <c r="F15" i="58" a="1"/>
  <c r="F15" i="58" s="1"/>
  <c r="E15" i="58" a="1"/>
  <c r="E15" i="58" s="1"/>
  <c r="G15" i="58" s="1" a="1"/>
  <c r="G15" i="58" s="1"/>
  <c r="D15" i="58" a="1"/>
  <c r="D15" i="58" s="1"/>
  <c r="C15" i="58" a="1"/>
  <c r="C15" i="58" s="1"/>
  <c r="B15" i="58" a="1"/>
  <c r="B15" i="58" s="1"/>
  <c r="K14" i="58" a="1"/>
  <c r="K14" i="58" s="1"/>
  <c r="I14" i="58" a="1"/>
  <c r="I14" i="58" s="1"/>
  <c r="H14" i="58" a="1"/>
  <c r="H14" i="58" s="1"/>
  <c r="J14" i="58" s="1" a="1"/>
  <c r="J14" i="58" s="1"/>
  <c r="F14" i="58" a="1"/>
  <c r="F14" i="58" s="1"/>
  <c r="E14" i="58" a="1"/>
  <c r="E14" i="58" s="1"/>
  <c r="G14" i="58" s="1" a="1"/>
  <c r="G14" i="58" s="1"/>
  <c r="D14" i="58" a="1"/>
  <c r="D14" i="58" s="1"/>
  <c r="C14" i="58" a="1"/>
  <c r="C14" i="58" s="1"/>
  <c r="B14" i="58" a="1"/>
  <c r="B14" i="58" s="1"/>
  <c r="K13" i="58" a="1"/>
  <c r="K13" i="58" s="1"/>
  <c r="I13" i="58" a="1"/>
  <c r="I13" i="58" s="1"/>
  <c r="H13" i="58" a="1"/>
  <c r="H13" i="58" s="1"/>
  <c r="J13" i="58" s="1" a="1"/>
  <c r="J13" i="58" s="1"/>
  <c r="F13" i="58" a="1"/>
  <c r="F13" i="58" s="1"/>
  <c r="E13" i="58" a="1"/>
  <c r="E13" i="58" s="1"/>
  <c r="G13" i="58" s="1" a="1"/>
  <c r="G13" i="58" s="1"/>
  <c r="D13" i="58" a="1"/>
  <c r="D13" i="58" s="1"/>
  <c r="C13" i="58" a="1"/>
  <c r="C13" i="58" s="1"/>
  <c r="B13" i="58" a="1"/>
  <c r="B13" i="58" s="1"/>
  <c r="K12" i="58" a="1"/>
  <c r="K12" i="58" s="1"/>
  <c r="I12" i="58" a="1"/>
  <c r="I12" i="58" s="1"/>
  <c r="H12" i="58" a="1"/>
  <c r="H12" i="58" s="1"/>
  <c r="J12" i="58" s="1" a="1"/>
  <c r="J12" i="58" s="1"/>
  <c r="F12" i="58" a="1"/>
  <c r="F12" i="58" s="1"/>
  <c r="E12" i="58" a="1"/>
  <c r="E12" i="58" s="1"/>
  <c r="G12" i="58" s="1" a="1"/>
  <c r="G12" i="58" s="1"/>
  <c r="D12" i="58" a="1"/>
  <c r="D12" i="58" s="1"/>
  <c r="C12" i="58" a="1"/>
  <c r="C12" i="58" s="1"/>
  <c r="B12" i="58" a="1"/>
  <c r="B12" i="58" s="1"/>
  <c r="K11" i="58" a="1"/>
  <c r="K11" i="58" s="1"/>
  <c r="I11" i="58" a="1"/>
  <c r="I11" i="58" s="1"/>
  <c r="H11" i="58" a="1"/>
  <c r="H11" i="58" s="1"/>
  <c r="J11" i="58" s="1" a="1"/>
  <c r="J11" i="58" s="1"/>
  <c r="F11" i="58" a="1"/>
  <c r="F11" i="58" s="1"/>
  <c r="E11" i="58" a="1"/>
  <c r="E11" i="58" s="1"/>
  <c r="G11" i="58" s="1" a="1"/>
  <c r="G11" i="58" s="1"/>
  <c r="D11" i="58" a="1"/>
  <c r="D11" i="58" s="1"/>
  <c r="C11" i="58" a="1"/>
  <c r="C11" i="58" s="1"/>
  <c r="B11" i="58" a="1"/>
  <c r="B11" i="58" s="1"/>
  <c r="K10" i="58" a="1"/>
  <c r="K10" i="58" s="1"/>
  <c r="I10" i="58" a="1"/>
  <c r="I10" i="58" s="1"/>
  <c r="H10" i="58" a="1"/>
  <c r="H10" i="58" s="1"/>
  <c r="J10" i="58" s="1" a="1"/>
  <c r="J10" i="58" s="1"/>
  <c r="F10" i="58" a="1"/>
  <c r="F10" i="58" s="1"/>
  <c r="E10" i="58" a="1"/>
  <c r="E10" i="58" s="1"/>
  <c r="G10" i="58" s="1" a="1"/>
  <c r="G10" i="58" s="1"/>
  <c r="D10" i="58" a="1"/>
  <c r="D10" i="58" s="1"/>
  <c r="C10" i="58" a="1"/>
  <c r="C10" i="58" s="1"/>
  <c r="B10" i="58" a="1"/>
  <c r="B10" i="58" s="1"/>
  <c r="K9" i="58" a="1"/>
  <c r="K9" i="58" s="1"/>
  <c r="I9" i="58" a="1"/>
  <c r="I9" i="58" s="1"/>
  <c r="H9" i="58" a="1"/>
  <c r="H9" i="58" s="1"/>
  <c r="J9" i="58" s="1" a="1"/>
  <c r="J9" i="58" s="1"/>
  <c r="F9" i="58" a="1"/>
  <c r="F9" i="58" s="1"/>
  <c r="E9" i="58" a="1"/>
  <c r="E9" i="58" s="1"/>
  <c r="G9" i="58" s="1" a="1"/>
  <c r="G9" i="58" s="1"/>
  <c r="D9" i="58" a="1"/>
  <c r="D9" i="58" s="1"/>
  <c r="C9" i="58" a="1"/>
  <c r="C9" i="58" s="1"/>
  <c r="B9" i="58" a="1"/>
  <c r="B9" i="58" s="1"/>
  <c r="K8" i="58" a="1"/>
  <c r="K8" i="58" s="1"/>
  <c r="I8" i="58" a="1"/>
  <c r="I8" i="58" s="1"/>
  <c r="H8" i="58" a="1"/>
  <c r="H8" i="58" s="1"/>
  <c r="J8" i="58" s="1" a="1"/>
  <c r="J8" i="58" s="1"/>
  <c r="F8" i="58" a="1"/>
  <c r="F8" i="58" s="1"/>
  <c r="E8" i="58" a="1"/>
  <c r="E8" i="58" s="1"/>
  <c r="G8" i="58" s="1" a="1"/>
  <c r="G8" i="58" s="1"/>
  <c r="D8" i="58" a="1"/>
  <c r="D8" i="58" s="1"/>
  <c r="C8" i="58" a="1"/>
  <c r="C8" i="58" s="1"/>
  <c r="B8" i="58" a="1"/>
  <c r="B8" i="58" s="1"/>
  <c r="C83" i="57" a="1"/>
  <c r="C83" i="57" s="1"/>
  <c r="C110" i="57" s="1"/>
  <c r="C78" i="57" a="1"/>
  <c r="C78" i="57" s="1"/>
  <c r="B70" i="57" a="1"/>
  <c r="B70" i="57" s="1"/>
  <c r="B69" i="57" a="1"/>
  <c r="B69" i="57" s="1"/>
  <c r="B68" i="57" a="1"/>
  <c r="B68" i="57" s="1"/>
  <c r="B67" i="57" a="1"/>
  <c r="B67" i="57" s="1"/>
  <c r="B66" i="57" a="1"/>
  <c r="B66" i="57" s="1"/>
  <c r="B65" i="57" a="1"/>
  <c r="B65" i="57" s="1"/>
  <c r="B64" i="57" a="1"/>
  <c r="B64" i="57" s="1"/>
  <c r="B63" i="57" a="1"/>
  <c r="B63" i="57" s="1"/>
  <c r="B62" i="57" a="1"/>
  <c r="B62" i="57" s="1"/>
  <c r="B61" i="57" a="1"/>
  <c r="B61" i="57" s="1"/>
  <c r="K60" i="57" a="1"/>
  <c r="K60" i="57" s="1"/>
  <c r="I60" i="57" a="1"/>
  <c r="I60" i="57" s="1"/>
  <c r="H60" i="57" a="1"/>
  <c r="H60" i="57" s="1"/>
  <c r="J60" i="57" s="1" a="1"/>
  <c r="J60" i="57" s="1"/>
  <c r="F60" i="57" a="1"/>
  <c r="F60" i="57" s="1"/>
  <c r="E60" i="57" a="1"/>
  <c r="E60" i="57" s="1"/>
  <c r="G60" i="57" s="1" a="1"/>
  <c r="G60" i="57" s="1"/>
  <c r="D60" i="57" a="1"/>
  <c r="D60" i="57" s="1"/>
  <c r="C60" i="57" a="1"/>
  <c r="C60" i="57" s="1"/>
  <c r="B60" i="57" a="1"/>
  <c r="B60" i="57" s="1"/>
  <c r="K59" i="57" a="1"/>
  <c r="K59" i="57" s="1"/>
  <c r="I59" i="57" a="1"/>
  <c r="I59" i="57" s="1"/>
  <c r="H59" i="57" a="1"/>
  <c r="H59" i="57" s="1"/>
  <c r="J59" i="57" s="1" a="1"/>
  <c r="J59" i="57" s="1"/>
  <c r="F59" i="57" a="1"/>
  <c r="F59" i="57" s="1"/>
  <c r="E59" i="57" a="1"/>
  <c r="E59" i="57" s="1"/>
  <c r="G59" i="57" s="1" a="1"/>
  <c r="G59" i="57" s="1"/>
  <c r="D59" i="57" a="1"/>
  <c r="D59" i="57" s="1"/>
  <c r="C59" i="57" a="1"/>
  <c r="C59" i="57" s="1"/>
  <c r="B59" i="57" a="1"/>
  <c r="B59" i="57" s="1"/>
  <c r="K58" i="57" a="1"/>
  <c r="K58" i="57" s="1"/>
  <c r="I58" i="57" a="1"/>
  <c r="I58" i="57" s="1"/>
  <c r="H58" i="57" a="1"/>
  <c r="H58" i="57" s="1"/>
  <c r="J58" i="57" s="1" a="1"/>
  <c r="J58" i="57" s="1"/>
  <c r="F58" i="57" a="1"/>
  <c r="F58" i="57" s="1"/>
  <c r="E58" i="57" a="1"/>
  <c r="E58" i="57" s="1"/>
  <c r="G58" i="57" s="1" a="1"/>
  <c r="G58" i="57" s="1"/>
  <c r="D58" i="57" a="1"/>
  <c r="D58" i="57" s="1"/>
  <c r="C58" i="57" a="1"/>
  <c r="C58" i="57" s="1"/>
  <c r="B58" i="57" a="1"/>
  <c r="B58" i="57" s="1"/>
  <c r="K57" i="57" a="1"/>
  <c r="K57" i="57" s="1"/>
  <c r="I57" i="57" a="1"/>
  <c r="I57" i="57" s="1"/>
  <c r="H57" i="57" a="1"/>
  <c r="H57" i="57" s="1"/>
  <c r="J57" i="57" s="1" a="1"/>
  <c r="J57" i="57" s="1"/>
  <c r="F57" i="57" a="1"/>
  <c r="F57" i="57" s="1"/>
  <c r="E57" i="57" a="1"/>
  <c r="E57" i="57" s="1"/>
  <c r="G57" i="57" s="1" a="1"/>
  <c r="G57" i="57" s="1"/>
  <c r="D57" i="57" a="1"/>
  <c r="D57" i="57" s="1"/>
  <c r="C57" i="57" a="1"/>
  <c r="C57" i="57" s="1"/>
  <c r="B57" i="57" a="1"/>
  <c r="B57" i="57" s="1"/>
  <c r="K56" i="57" a="1"/>
  <c r="K56" i="57" s="1"/>
  <c r="I56" i="57" a="1"/>
  <c r="I56" i="57" s="1"/>
  <c r="H56" i="57" a="1"/>
  <c r="H56" i="57" s="1"/>
  <c r="J56" i="57" s="1" a="1"/>
  <c r="J56" i="57" s="1"/>
  <c r="F56" i="57" a="1"/>
  <c r="F56" i="57" s="1"/>
  <c r="E56" i="57" a="1"/>
  <c r="E56" i="57" s="1"/>
  <c r="G56" i="57" s="1" a="1"/>
  <c r="G56" i="57" s="1"/>
  <c r="D56" i="57" a="1"/>
  <c r="D56" i="57" s="1"/>
  <c r="C56" i="57" a="1"/>
  <c r="C56" i="57" s="1"/>
  <c r="B56" i="57" a="1"/>
  <c r="B56" i="57" s="1"/>
  <c r="K55" i="57" a="1"/>
  <c r="K55" i="57" s="1"/>
  <c r="I55" i="57" a="1"/>
  <c r="I55" i="57" s="1"/>
  <c r="H55" i="57" a="1"/>
  <c r="H55" i="57" s="1"/>
  <c r="J55" i="57" s="1" a="1"/>
  <c r="J55" i="57" s="1"/>
  <c r="F55" i="57" a="1"/>
  <c r="F55" i="57" s="1"/>
  <c r="E55" i="57" a="1"/>
  <c r="E55" i="57" s="1"/>
  <c r="G55" i="57" s="1" a="1"/>
  <c r="G55" i="57" s="1"/>
  <c r="D55" i="57" a="1"/>
  <c r="D55" i="57" s="1"/>
  <c r="C55" i="57" a="1"/>
  <c r="C55" i="57" s="1"/>
  <c r="B55" i="57" a="1"/>
  <c r="B55" i="57" s="1"/>
  <c r="K54" i="57" a="1"/>
  <c r="K54" i="57" s="1"/>
  <c r="I54" i="57" a="1"/>
  <c r="I54" i="57" s="1"/>
  <c r="H54" i="57" a="1"/>
  <c r="H54" i="57" s="1"/>
  <c r="J54" i="57" s="1" a="1"/>
  <c r="J54" i="57" s="1"/>
  <c r="F54" i="57" a="1"/>
  <c r="F54" i="57" s="1"/>
  <c r="E54" i="57" a="1"/>
  <c r="E54" i="57" s="1"/>
  <c r="G54" i="57" s="1" a="1"/>
  <c r="G54" i="57" s="1"/>
  <c r="D54" i="57" a="1"/>
  <c r="D54" i="57" s="1"/>
  <c r="C54" i="57" a="1"/>
  <c r="C54" i="57" s="1"/>
  <c r="B54" i="57" a="1"/>
  <c r="B54" i="57" s="1"/>
  <c r="K53" i="57" a="1"/>
  <c r="K53" i="57" s="1"/>
  <c r="I53" i="57" a="1"/>
  <c r="I53" i="57" s="1"/>
  <c r="H53" i="57" a="1"/>
  <c r="H53" i="57" s="1"/>
  <c r="J53" i="57" s="1" a="1"/>
  <c r="J53" i="57" s="1"/>
  <c r="F53" i="57" a="1"/>
  <c r="F53" i="57" s="1"/>
  <c r="E53" i="57" a="1"/>
  <c r="E53" i="57" s="1"/>
  <c r="G53" i="57" s="1" a="1"/>
  <c r="G53" i="57" s="1"/>
  <c r="D53" i="57" a="1"/>
  <c r="D53" i="57" s="1"/>
  <c r="C53" i="57" a="1"/>
  <c r="C53" i="57" s="1"/>
  <c r="B53" i="57" a="1"/>
  <c r="B53" i="57" s="1"/>
  <c r="K52" i="57" a="1"/>
  <c r="K52" i="57" s="1"/>
  <c r="I52" i="57" a="1"/>
  <c r="I52" i="57" s="1"/>
  <c r="H52" i="57" a="1"/>
  <c r="H52" i="57" s="1"/>
  <c r="J52" i="57" s="1" a="1"/>
  <c r="J52" i="57" s="1"/>
  <c r="F52" i="57" a="1"/>
  <c r="F52" i="57" s="1"/>
  <c r="E52" i="57" a="1"/>
  <c r="E52" i="57" s="1"/>
  <c r="G52" i="57" s="1" a="1"/>
  <c r="G52" i="57" s="1"/>
  <c r="D52" i="57" a="1"/>
  <c r="D52" i="57" s="1"/>
  <c r="C52" i="57" a="1"/>
  <c r="C52" i="57" s="1"/>
  <c r="B52" i="57" a="1"/>
  <c r="B52" i="57" s="1"/>
  <c r="K51" i="57" a="1"/>
  <c r="K51" i="57" s="1"/>
  <c r="I51" i="57" a="1"/>
  <c r="I51" i="57" s="1"/>
  <c r="H51" i="57" a="1"/>
  <c r="H51" i="57" s="1"/>
  <c r="J51" i="57" s="1" a="1"/>
  <c r="J51" i="57" s="1"/>
  <c r="F51" i="57" a="1"/>
  <c r="F51" i="57" s="1"/>
  <c r="E51" i="57" a="1"/>
  <c r="E51" i="57" s="1"/>
  <c r="G51" i="57" s="1" a="1"/>
  <c r="G51" i="57" s="1"/>
  <c r="D51" i="57" a="1"/>
  <c r="D51" i="57" s="1"/>
  <c r="C51" i="57" a="1"/>
  <c r="C51" i="57" s="1"/>
  <c r="B51" i="57" a="1"/>
  <c r="B51" i="57" s="1"/>
  <c r="K50" i="57" a="1"/>
  <c r="K50" i="57" s="1"/>
  <c r="I50" i="57" a="1"/>
  <c r="I50" i="57" s="1"/>
  <c r="H50" i="57" a="1"/>
  <c r="H50" i="57" s="1"/>
  <c r="J50" i="57" s="1" a="1"/>
  <c r="J50" i="57" s="1"/>
  <c r="F50" i="57" a="1"/>
  <c r="F50" i="57" s="1"/>
  <c r="E50" i="57" a="1"/>
  <c r="E50" i="57" s="1"/>
  <c r="G50" i="57" s="1" a="1"/>
  <c r="G50" i="57" s="1"/>
  <c r="D50" i="57" a="1"/>
  <c r="D50" i="57" s="1"/>
  <c r="C50" i="57" a="1"/>
  <c r="C50" i="57" s="1"/>
  <c r="B50" i="57" a="1"/>
  <c r="B50" i="57" s="1"/>
  <c r="K49" i="57" a="1"/>
  <c r="K49" i="57" s="1"/>
  <c r="I49" i="57" a="1"/>
  <c r="I49" i="57" s="1"/>
  <c r="H49" i="57" a="1"/>
  <c r="H49" i="57" s="1"/>
  <c r="J49" i="57" s="1" a="1"/>
  <c r="J49" i="57" s="1"/>
  <c r="F49" i="57" a="1"/>
  <c r="F49" i="57" s="1"/>
  <c r="E49" i="57" a="1"/>
  <c r="E49" i="57" s="1"/>
  <c r="G49" i="57" s="1" a="1"/>
  <c r="G49" i="57" s="1"/>
  <c r="D49" i="57" a="1"/>
  <c r="D49" i="57" s="1"/>
  <c r="C49" i="57" a="1"/>
  <c r="C49" i="57" s="1"/>
  <c r="B49" i="57" a="1"/>
  <c r="B49" i="57" s="1"/>
  <c r="K48" i="57" a="1"/>
  <c r="K48" i="57" s="1"/>
  <c r="I48" i="57" a="1"/>
  <c r="I48" i="57" s="1"/>
  <c r="H48" i="57" a="1"/>
  <c r="H48" i="57" s="1"/>
  <c r="J48" i="57" s="1" a="1"/>
  <c r="J48" i="57" s="1"/>
  <c r="F48" i="57" a="1"/>
  <c r="F48" i="57" s="1"/>
  <c r="E48" i="57" a="1"/>
  <c r="E48" i="57" s="1"/>
  <c r="G48" i="57" s="1" a="1"/>
  <c r="G48" i="57" s="1"/>
  <c r="D48" i="57" a="1"/>
  <c r="D48" i="57" s="1"/>
  <c r="C48" i="57" a="1"/>
  <c r="C48" i="57" s="1"/>
  <c r="B48" i="57" a="1"/>
  <c r="B48" i="57" s="1"/>
  <c r="K47" i="57" a="1"/>
  <c r="K47" i="57" s="1"/>
  <c r="I47" i="57" a="1"/>
  <c r="I47" i="57" s="1"/>
  <c r="H47" i="57" a="1"/>
  <c r="H47" i="57" s="1"/>
  <c r="J47" i="57" s="1" a="1"/>
  <c r="J47" i="57" s="1"/>
  <c r="F47" i="57" a="1"/>
  <c r="F47" i="57" s="1"/>
  <c r="E47" i="57" a="1"/>
  <c r="E47" i="57" s="1"/>
  <c r="G47" i="57" s="1" a="1"/>
  <c r="G47" i="57" s="1"/>
  <c r="D47" i="57" a="1"/>
  <c r="D47" i="57" s="1"/>
  <c r="C47" i="57" a="1"/>
  <c r="C47" i="57" s="1"/>
  <c r="B47" i="57" a="1"/>
  <c r="B47" i="57" s="1"/>
  <c r="K46" i="57" a="1"/>
  <c r="K46" i="57" s="1"/>
  <c r="I46" i="57" a="1"/>
  <c r="I46" i="57" s="1"/>
  <c r="H46" i="57" a="1"/>
  <c r="H46" i="57" s="1"/>
  <c r="J46" i="57" s="1" a="1"/>
  <c r="J46" i="57" s="1"/>
  <c r="F46" i="57" a="1"/>
  <c r="F46" i="57" s="1"/>
  <c r="E46" i="57" a="1"/>
  <c r="E46" i="57" s="1"/>
  <c r="G46" i="57" s="1" a="1"/>
  <c r="G46" i="57" s="1"/>
  <c r="D46" i="57" a="1"/>
  <c r="D46" i="57" s="1"/>
  <c r="C46" i="57" a="1"/>
  <c r="C46" i="57" s="1"/>
  <c r="B46" i="57" a="1"/>
  <c r="B46" i="57" s="1"/>
  <c r="K45" i="57" a="1"/>
  <c r="K45" i="57" s="1"/>
  <c r="I45" i="57" a="1"/>
  <c r="I45" i="57" s="1"/>
  <c r="H45" i="57" a="1"/>
  <c r="H45" i="57" s="1"/>
  <c r="J45" i="57" s="1" a="1"/>
  <c r="J45" i="57" s="1"/>
  <c r="F45" i="57" a="1"/>
  <c r="F45" i="57" s="1"/>
  <c r="E45" i="57" a="1"/>
  <c r="E45" i="57" s="1"/>
  <c r="G45" i="57" s="1" a="1"/>
  <c r="G45" i="57" s="1"/>
  <c r="D45" i="57" a="1"/>
  <c r="D45" i="57" s="1"/>
  <c r="C45" i="57" a="1"/>
  <c r="C45" i="57" s="1"/>
  <c r="B45" i="57" a="1"/>
  <c r="B45" i="57" s="1"/>
  <c r="K44" i="57" a="1"/>
  <c r="K44" i="57" s="1"/>
  <c r="I44" i="57" a="1"/>
  <c r="I44" i="57" s="1"/>
  <c r="H44" i="57" a="1"/>
  <c r="H44" i="57" s="1"/>
  <c r="J44" i="57" s="1" a="1"/>
  <c r="J44" i="57" s="1"/>
  <c r="F44" i="57" a="1"/>
  <c r="F44" i="57" s="1"/>
  <c r="E44" i="57" a="1"/>
  <c r="E44" i="57" s="1"/>
  <c r="G44" i="57" s="1" a="1"/>
  <c r="G44" i="57" s="1"/>
  <c r="D44" i="57" a="1"/>
  <c r="D44" i="57" s="1"/>
  <c r="C44" i="57" a="1"/>
  <c r="C44" i="57" s="1"/>
  <c r="B44" i="57" a="1"/>
  <c r="B44" i="57" s="1"/>
  <c r="K43" i="57" a="1"/>
  <c r="K43" i="57" s="1"/>
  <c r="I43" i="57" a="1"/>
  <c r="I43" i="57" s="1"/>
  <c r="H43" i="57" a="1"/>
  <c r="H43" i="57" s="1"/>
  <c r="J43" i="57" s="1" a="1"/>
  <c r="J43" i="57" s="1"/>
  <c r="F43" i="57" a="1"/>
  <c r="F43" i="57" s="1"/>
  <c r="E43" i="57" a="1"/>
  <c r="E43" i="57" s="1"/>
  <c r="G43" i="57" s="1" a="1"/>
  <c r="G43" i="57" s="1"/>
  <c r="D43" i="57" a="1"/>
  <c r="D43" i="57" s="1"/>
  <c r="C43" i="57" a="1"/>
  <c r="C43" i="57" s="1"/>
  <c r="B43" i="57" a="1"/>
  <c r="B43" i="57" s="1"/>
  <c r="K42" i="57" a="1"/>
  <c r="K42" i="57" s="1"/>
  <c r="I42" i="57" a="1"/>
  <c r="I42" i="57" s="1"/>
  <c r="H42" i="57" a="1"/>
  <c r="H42" i="57" s="1"/>
  <c r="J42" i="57" s="1" a="1"/>
  <c r="J42" i="57" s="1"/>
  <c r="F42" i="57" a="1"/>
  <c r="F42" i="57" s="1"/>
  <c r="E42" i="57" a="1"/>
  <c r="E42" i="57" s="1"/>
  <c r="G42" i="57" s="1" a="1"/>
  <c r="G42" i="57" s="1"/>
  <c r="D42" i="57" a="1"/>
  <c r="D42" i="57" s="1"/>
  <c r="C42" i="57" a="1"/>
  <c r="C42" i="57" s="1"/>
  <c r="B42" i="57" a="1"/>
  <c r="B42" i="57" s="1"/>
  <c r="K41" i="57" a="1"/>
  <c r="K41" i="57" s="1"/>
  <c r="I41" i="57" a="1"/>
  <c r="I41" i="57" s="1"/>
  <c r="H41" i="57" a="1"/>
  <c r="H41" i="57" s="1"/>
  <c r="J41" i="57" s="1" a="1"/>
  <c r="J41" i="57" s="1"/>
  <c r="F41" i="57" a="1"/>
  <c r="F41" i="57" s="1"/>
  <c r="E41" i="57" a="1"/>
  <c r="E41" i="57" s="1"/>
  <c r="G41" i="57" s="1" a="1"/>
  <c r="G41" i="57" s="1"/>
  <c r="D41" i="57" a="1"/>
  <c r="D41" i="57" s="1"/>
  <c r="C41" i="57" a="1"/>
  <c r="C41" i="57" s="1"/>
  <c r="B41" i="57" a="1"/>
  <c r="B41" i="57" s="1"/>
  <c r="K40" i="57" a="1"/>
  <c r="K40" i="57" s="1"/>
  <c r="I40" i="57" a="1"/>
  <c r="I40" i="57" s="1"/>
  <c r="H40" i="57" a="1"/>
  <c r="H40" i="57" s="1"/>
  <c r="J40" i="57" s="1" a="1"/>
  <c r="J40" i="57" s="1"/>
  <c r="F40" i="57" a="1"/>
  <c r="F40" i="57" s="1"/>
  <c r="E40" i="57" a="1"/>
  <c r="E40" i="57" s="1"/>
  <c r="G40" i="57" s="1" a="1"/>
  <c r="G40" i="57" s="1"/>
  <c r="D40" i="57" a="1"/>
  <c r="D40" i="57" s="1"/>
  <c r="C40" i="57" a="1"/>
  <c r="C40" i="57" s="1"/>
  <c r="B40" i="57" a="1"/>
  <c r="B40" i="57" s="1"/>
  <c r="K39" i="57" a="1"/>
  <c r="K39" i="57" s="1"/>
  <c r="I39" i="57" a="1"/>
  <c r="I39" i="57" s="1"/>
  <c r="H39" i="57" a="1"/>
  <c r="H39" i="57" s="1"/>
  <c r="J39" i="57" s="1" a="1"/>
  <c r="J39" i="57" s="1"/>
  <c r="F39" i="57" a="1"/>
  <c r="F39" i="57" s="1"/>
  <c r="E39" i="57" a="1"/>
  <c r="E39" i="57" s="1"/>
  <c r="G39" i="57" s="1" a="1"/>
  <c r="G39" i="57" s="1"/>
  <c r="D39" i="57" a="1"/>
  <c r="D39" i="57" s="1"/>
  <c r="C39" i="57" a="1"/>
  <c r="C39" i="57" s="1"/>
  <c r="B39" i="57" a="1"/>
  <c r="B39" i="57" s="1"/>
  <c r="K38" i="57" a="1"/>
  <c r="K38" i="57" s="1"/>
  <c r="I38" i="57" a="1"/>
  <c r="I38" i="57" s="1"/>
  <c r="H38" i="57" a="1"/>
  <c r="H38" i="57" s="1"/>
  <c r="J38" i="57" s="1" a="1"/>
  <c r="J38" i="57" s="1"/>
  <c r="F38" i="57" a="1"/>
  <c r="F38" i="57" s="1"/>
  <c r="E38" i="57" a="1"/>
  <c r="E38" i="57" s="1"/>
  <c r="G38" i="57" s="1" a="1"/>
  <c r="G38" i="57" s="1"/>
  <c r="D38" i="57" a="1"/>
  <c r="D38" i="57" s="1"/>
  <c r="C38" i="57" a="1"/>
  <c r="C38" i="57" s="1"/>
  <c r="B38" i="57" a="1"/>
  <c r="B38" i="57" s="1"/>
  <c r="K37" i="57" a="1"/>
  <c r="K37" i="57" s="1"/>
  <c r="I37" i="57" a="1"/>
  <c r="I37" i="57" s="1"/>
  <c r="H37" i="57" a="1"/>
  <c r="H37" i="57" s="1"/>
  <c r="J37" i="57" s="1" a="1"/>
  <c r="J37" i="57" s="1"/>
  <c r="F37" i="57" a="1"/>
  <c r="F37" i="57" s="1"/>
  <c r="E37" i="57" a="1"/>
  <c r="E37" i="57" s="1"/>
  <c r="G37" i="57" s="1" a="1"/>
  <c r="G37" i="57" s="1"/>
  <c r="D37" i="57" a="1"/>
  <c r="D37" i="57" s="1"/>
  <c r="C37" i="57" a="1"/>
  <c r="C37" i="57" s="1"/>
  <c r="B37" i="57" a="1"/>
  <c r="B37" i="57" s="1"/>
  <c r="K36" i="57" a="1"/>
  <c r="K36" i="57" s="1"/>
  <c r="I36" i="57" a="1"/>
  <c r="I36" i="57" s="1"/>
  <c r="H36" i="57" a="1"/>
  <c r="H36" i="57" s="1"/>
  <c r="J36" i="57" s="1" a="1"/>
  <c r="J36" i="57" s="1"/>
  <c r="F36" i="57" a="1"/>
  <c r="F36" i="57" s="1"/>
  <c r="E36" i="57" a="1"/>
  <c r="E36" i="57" s="1"/>
  <c r="G36" i="57" s="1" a="1"/>
  <c r="G36" i="57" s="1"/>
  <c r="D36" i="57" a="1"/>
  <c r="D36" i="57" s="1"/>
  <c r="C36" i="57" a="1"/>
  <c r="C36" i="57" s="1"/>
  <c r="B36" i="57" a="1"/>
  <c r="B36" i="57" s="1"/>
  <c r="K35" i="57" a="1"/>
  <c r="K35" i="57" s="1"/>
  <c r="I35" i="57" a="1"/>
  <c r="I35" i="57" s="1"/>
  <c r="H35" i="57" a="1"/>
  <c r="H35" i="57" s="1"/>
  <c r="J35" i="57" s="1" a="1"/>
  <c r="J35" i="57" s="1"/>
  <c r="F35" i="57" a="1"/>
  <c r="F35" i="57" s="1"/>
  <c r="E35" i="57" a="1"/>
  <c r="E35" i="57" s="1"/>
  <c r="G35" i="57" s="1" a="1"/>
  <c r="G35" i="57" s="1"/>
  <c r="D35" i="57" a="1"/>
  <c r="D35" i="57" s="1"/>
  <c r="C35" i="57" a="1"/>
  <c r="C35" i="57" s="1"/>
  <c r="B35" i="57" a="1"/>
  <c r="B35" i="57" s="1"/>
  <c r="K34" i="57" a="1"/>
  <c r="K34" i="57" s="1"/>
  <c r="I34" i="57" a="1"/>
  <c r="I34" i="57" s="1"/>
  <c r="H34" i="57" a="1"/>
  <c r="H34" i="57" s="1"/>
  <c r="J34" i="57" s="1" a="1"/>
  <c r="J34" i="57" s="1"/>
  <c r="F34" i="57" a="1"/>
  <c r="F34" i="57" s="1"/>
  <c r="E34" i="57" a="1"/>
  <c r="E34" i="57" s="1"/>
  <c r="G34" i="57" s="1" a="1"/>
  <c r="G34" i="57" s="1"/>
  <c r="D34" i="57" a="1"/>
  <c r="D34" i="57" s="1"/>
  <c r="C34" i="57" a="1"/>
  <c r="C34" i="57" s="1"/>
  <c r="B34" i="57" a="1"/>
  <c r="B34" i="57" s="1"/>
  <c r="K33" i="57" a="1"/>
  <c r="K33" i="57" s="1"/>
  <c r="I33" i="57" a="1"/>
  <c r="I33" i="57" s="1"/>
  <c r="H33" i="57" a="1"/>
  <c r="H33" i="57" s="1"/>
  <c r="J33" i="57" s="1" a="1"/>
  <c r="J33" i="57" s="1"/>
  <c r="F33" i="57" a="1"/>
  <c r="F33" i="57" s="1"/>
  <c r="E33" i="57" a="1"/>
  <c r="E33" i="57" s="1"/>
  <c r="G33" i="57" s="1" a="1"/>
  <c r="G33" i="57" s="1"/>
  <c r="D33" i="57" a="1"/>
  <c r="D33" i="57" s="1"/>
  <c r="C33" i="57" a="1"/>
  <c r="C33" i="57" s="1"/>
  <c r="B33" i="57" a="1"/>
  <c r="B33" i="57" s="1"/>
  <c r="K32" i="57" a="1"/>
  <c r="K32" i="57" s="1"/>
  <c r="I32" i="57" a="1"/>
  <c r="I32" i="57" s="1"/>
  <c r="H32" i="57" a="1"/>
  <c r="H32" i="57" s="1"/>
  <c r="J32" i="57" s="1" a="1"/>
  <c r="J32" i="57" s="1"/>
  <c r="F32" i="57" a="1"/>
  <c r="F32" i="57" s="1"/>
  <c r="E32" i="57" a="1"/>
  <c r="E32" i="57" s="1"/>
  <c r="G32" i="57" s="1" a="1"/>
  <c r="G32" i="57" s="1"/>
  <c r="D32" i="57" a="1"/>
  <c r="D32" i="57" s="1"/>
  <c r="C32" i="57" a="1"/>
  <c r="C32" i="57" s="1"/>
  <c r="B32" i="57" a="1"/>
  <c r="B32" i="57" s="1"/>
  <c r="K31" i="57" a="1"/>
  <c r="K31" i="57" s="1"/>
  <c r="I31" i="57" a="1"/>
  <c r="I31" i="57" s="1"/>
  <c r="H31" i="57" a="1"/>
  <c r="H31" i="57" s="1"/>
  <c r="J31" i="57" s="1" a="1"/>
  <c r="J31" i="57" s="1"/>
  <c r="F31" i="57" a="1"/>
  <c r="F31" i="57" s="1"/>
  <c r="E31" i="57" a="1"/>
  <c r="E31" i="57" s="1"/>
  <c r="G31" i="57" s="1" a="1"/>
  <c r="G31" i="57" s="1"/>
  <c r="D31" i="57" a="1"/>
  <c r="D31" i="57" s="1"/>
  <c r="C31" i="57" a="1"/>
  <c r="C31" i="57" s="1"/>
  <c r="B31" i="57" a="1"/>
  <c r="B31" i="57" s="1"/>
  <c r="K30" i="57" a="1"/>
  <c r="K30" i="57" s="1"/>
  <c r="I30" i="57" a="1"/>
  <c r="I30" i="57" s="1"/>
  <c r="H30" i="57" a="1"/>
  <c r="H30" i="57" s="1"/>
  <c r="J30" i="57" s="1" a="1"/>
  <c r="J30" i="57" s="1"/>
  <c r="F30" i="57" a="1"/>
  <c r="F30" i="57" s="1"/>
  <c r="E30" i="57" a="1"/>
  <c r="E30" i="57" s="1"/>
  <c r="G30" i="57" s="1" a="1"/>
  <c r="G30" i="57" s="1"/>
  <c r="D30" i="57" a="1"/>
  <c r="D30" i="57" s="1"/>
  <c r="C30" i="57" a="1"/>
  <c r="C30" i="57" s="1"/>
  <c r="B30" i="57" a="1"/>
  <c r="B30" i="57" s="1"/>
  <c r="K29" i="57" a="1"/>
  <c r="K29" i="57" s="1"/>
  <c r="I29" i="57" a="1"/>
  <c r="I29" i="57" s="1"/>
  <c r="H29" i="57" a="1"/>
  <c r="H29" i="57" s="1"/>
  <c r="J29" i="57" s="1" a="1"/>
  <c r="J29" i="57" s="1"/>
  <c r="F29" i="57" a="1"/>
  <c r="F29" i="57" s="1"/>
  <c r="E29" i="57" a="1"/>
  <c r="E29" i="57" s="1"/>
  <c r="G29" i="57" s="1" a="1"/>
  <c r="G29" i="57" s="1"/>
  <c r="D29" i="57" a="1"/>
  <c r="D29" i="57" s="1"/>
  <c r="C29" i="57" a="1"/>
  <c r="C29" i="57" s="1"/>
  <c r="B29" i="57" a="1"/>
  <c r="B29" i="57" s="1"/>
  <c r="K28" i="57" a="1"/>
  <c r="K28" i="57" s="1"/>
  <c r="I28" i="57" a="1"/>
  <c r="I28" i="57" s="1"/>
  <c r="H28" i="57" a="1"/>
  <c r="H28" i="57" s="1"/>
  <c r="J28" i="57" s="1" a="1"/>
  <c r="J28" i="57" s="1"/>
  <c r="F28" i="57" a="1"/>
  <c r="F28" i="57" s="1"/>
  <c r="E28" i="57" a="1"/>
  <c r="E28" i="57" s="1"/>
  <c r="G28" i="57" s="1" a="1"/>
  <c r="G28" i="57" s="1"/>
  <c r="D28" i="57" a="1"/>
  <c r="D28" i="57" s="1"/>
  <c r="C28" i="57" a="1"/>
  <c r="C28" i="57" s="1"/>
  <c r="B28" i="57" a="1"/>
  <c r="B28" i="57" s="1"/>
  <c r="K27" i="57" a="1"/>
  <c r="K27" i="57" s="1"/>
  <c r="I27" i="57" a="1"/>
  <c r="I27" i="57" s="1"/>
  <c r="H27" i="57" a="1"/>
  <c r="H27" i="57" s="1"/>
  <c r="J27" i="57" s="1" a="1"/>
  <c r="J27" i="57" s="1"/>
  <c r="F27" i="57" a="1"/>
  <c r="F27" i="57" s="1"/>
  <c r="E27" i="57" a="1"/>
  <c r="E27" i="57" s="1"/>
  <c r="G27" i="57" s="1" a="1"/>
  <c r="G27" i="57" s="1"/>
  <c r="D27" i="57" a="1"/>
  <c r="D27" i="57" s="1"/>
  <c r="C27" i="57" a="1"/>
  <c r="C27" i="57" s="1"/>
  <c r="B27" i="57" a="1"/>
  <c r="B27" i="57" s="1"/>
  <c r="K26" i="57" a="1"/>
  <c r="K26" i="57" s="1"/>
  <c r="I26" i="57" a="1"/>
  <c r="I26" i="57" s="1"/>
  <c r="H26" i="57" a="1"/>
  <c r="H26" i="57" s="1"/>
  <c r="J26" i="57" s="1" a="1"/>
  <c r="J26" i="57" s="1"/>
  <c r="F26" i="57" a="1"/>
  <c r="F26" i="57" s="1"/>
  <c r="E26" i="57" a="1"/>
  <c r="E26" i="57" s="1"/>
  <c r="G26" i="57" s="1" a="1"/>
  <c r="G26" i="57" s="1"/>
  <c r="D26" i="57" a="1"/>
  <c r="D26" i="57" s="1"/>
  <c r="C26" i="57" a="1"/>
  <c r="C26" i="57" s="1"/>
  <c r="B26" i="57" a="1"/>
  <c r="B26" i="57" s="1"/>
  <c r="K25" i="57" a="1"/>
  <c r="K25" i="57" s="1"/>
  <c r="I25" i="57" a="1"/>
  <c r="I25" i="57" s="1"/>
  <c r="H25" i="57" a="1"/>
  <c r="H25" i="57" s="1"/>
  <c r="J25" i="57" s="1" a="1"/>
  <c r="J25" i="57" s="1"/>
  <c r="F25" i="57" a="1"/>
  <c r="F25" i="57" s="1"/>
  <c r="E25" i="57" a="1"/>
  <c r="E25" i="57" s="1"/>
  <c r="G25" i="57" s="1" a="1"/>
  <c r="G25" i="57" s="1"/>
  <c r="D25" i="57" a="1"/>
  <c r="D25" i="57" s="1"/>
  <c r="C25" i="57" a="1"/>
  <c r="C25" i="57" s="1"/>
  <c r="B25" i="57" a="1"/>
  <c r="B25" i="57" s="1"/>
  <c r="K24" i="57" a="1"/>
  <c r="K24" i="57" s="1"/>
  <c r="I24" i="57" a="1"/>
  <c r="I24" i="57" s="1"/>
  <c r="H24" i="57" a="1"/>
  <c r="H24" i="57" s="1"/>
  <c r="J24" i="57" s="1" a="1"/>
  <c r="J24" i="57" s="1"/>
  <c r="F24" i="57" a="1"/>
  <c r="F24" i="57" s="1"/>
  <c r="E24" i="57" a="1"/>
  <c r="E24" i="57" s="1"/>
  <c r="G24" i="57" s="1" a="1"/>
  <c r="G24" i="57" s="1"/>
  <c r="D24" i="57" a="1"/>
  <c r="D24" i="57" s="1"/>
  <c r="C24" i="57" a="1"/>
  <c r="C24" i="57" s="1"/>
  <c r="B24" i="57" a="1"/>
  <c r="B24" i="57" s="1"/>
  <c r="K23" i="57" a="1"/>
  <c r="K23" i="57" s="1"/>
  <c r="I23" i="57" a="1"/>
  <c r="I23" i="57" s="1"/>
  <c r="H23" i="57" a="1"/>
  <c r="H23" i="57" s="1"/>
  <c r="J23" i="57" s="1" a="1"/>
  <c r="J23" i="57" s="1"/>
  <c r="F23" i="57" a="1"/>
  <c r="F23" i="57" s="1"/>
  <c r="E23" i="57" a="1"/>
  <c r="E23" i="57" s="1"/>
  <c r="G23" i="57" s="1" a="1"/>
  <c r="G23" i="57" s="1"/>
  <c r="D23" i="57" a="1"/>
  <c r="D23" i="57" s="1"/>
  <c r="C23" i="57" a="1"/>
  <c r="C23" i="57" s="1"/>
  <c r="B23" i="57" a="1"/>
  <c r="B23" i="57" s="1"/>
  <c r="K22" i="57" a="1"/>
  <c r="K22" i="57" s="1"/>
  <c r="I22" i="57" a="1"/>
  <c r="I22" i="57" s="1"/>
  <c r="H22" i="57" a="1"/>
  <c r="H22" i="57" s="1"/>
  <c r="J22" i="57" s="1" a="1"/>
  <c r="J22" i="57" s="1"/>
  <c r="F22" i="57" a="1"/>
  <c r="F22" i="57" s="1"/>
  <c r="E22" i="57" a="1"/>
  <c r="E22" i="57" s="1"/>
  <c r="G22" i="57" s="1" a="1"/>
  <c r="G22" i="57" s="1"/>
  <c r="D22" i="57" a="1"/>
  <c r="D22" i="57" s="1"/>
  <c r="C22" i="57" a="1"/>
  <c r="C22" i="57" s="1"/>
  <c r="B22" i="57" a="1"/>
  <c r="B22" i="57" s="1"/>
  <c r="K21" i="57" a="1"/>
  <c r="K21" i="57" s="1"/>
  <c r="I21" i="57" a="1"/>
  <c r="I21" i="57" s="1"/>
  <c r="H21" i="57" a="1"/>
  <c r="H21" i="57" s="1"/>
  <c r="J21" i="57" s="1" a="1"/>
  <c r="J21" i="57" s="1"/>
  <c r="F21" i="57" a="1"/>
  <c r="F21" i="57" s="1"/>
  <c r="E21" i="57" a="1"/>
  <c r="E21" i="57" s="1"/>
  <c r="G21" i="57" s="1" a="1"/>
  <c r="G21" i="57" s="1"/>
  <c r="D21" i="57" a="1"/>
  <c r="D21" i="57" s="1"/>
  <c r="C21" i="57" a="1"/>
  <c r="C21" i="57" s="1"/>
  <c r="B21" i="57" a="1"/>
  <c r="B21" i="57" s="1"/>
  <c r="K20" i="57" a="1"/>
  <c r="K20" i="57" s="1"/>
  <c r="I20" i="57" a="1"/>
  <c r="I20" i="57" s="1"/>
  <c r="H20" i="57" a="1"/>
  <c r="H20" i="57" s="1"/>
  <c r="J20" i="57" s="1" a="1"/>
  <c r="J20" i="57" s="1"/>
  <c r="F20" i="57" a="1"/>
  <c r="F20" i="57" s="1"/>
  <c r="E20" i="57" a="1"/>
  <c r="E20" i="57" s="1"/>
  <c r="G20" i="57" s="1" a="1"/>
  <c r="G20" i="57" s="1"/>
  <c r="D20" i="57" a="1"/>
  <c r="D20" i="57" s="1"/>
  <c r="C20" i="57" a="1"/>
  <c r="C20" i="57" s="1"/>
  <c r="B20" i="57" a="1"/>
  <c r="B20" i="57" s="1"/>
  <c r="K19" i="57" a="1"/>
  <c r="K19" i="57" s="1"/>
  <c r="I19" i="57" a="1"/>
  <c r="I19" i="57" s="1"/>
  <c r="H19" i="57" a="1"/>
  <c r="H19" i="57" s="1"/>
  <c r="J19" i="57" s="1" a="1"/>
  <c r="J19" i="57" s="1"/>
  <c r="F19" i="57" a="1"/>
  <c r="F19" i="57" s="1"/>
  <c r="E19" i="57" a="1"/>
  <c r="E19" i="57" s="1"/>
  <c r="G19" i="57" s="1" a="1"/>
  <c r="G19" i="57" s="1"/>
  <c r="D19" i="57" a="1"/>
  <c r="D19" i="57" s="1"/>
  <c r="C19" i="57" a="1"/>
  <c r="C19" i="57" s="1"/>
  <c r="B19" i="57" a="1"/>
  <c r="B19" i="57" s="1"/>
  <c r="K18" i="57" a="1"/>
  <c r="K18" i="57" s="1"/>
  <c r="I18" i="57" a="1"/>
  <c r="I18" i="57" s="1"/>
  <c r="H18" i="57" a="1"/>
  <c r="H18" i="57" s="1"/>
  <c r="J18" i="57" s="1" a="1"/>
  <c r="J18" i="57" s="1"/>
  <c r="F18" i="57" a="1"/>
  <c r="F18" i="57" s="1"/>
  <c r="E18" i="57" a="1"/>
  <c r="E18" i="57" s="1"/>
  <c r="G18" i="57" s="1" a="1"/>
  <c r="G18" i="57" s="1"/>
  <c r="D18" i="57" a="1"/>
  <c r="D18" i="57" s="1"/>
  <c r="C18" i="57" a="1"/>
  <c r="C18" i="57" s="1"/>
  <c r="B18" i="57" a="1"/>
  <c r="B18" i="57" s="1"/>
  <c r="K17" i="57" a="1"/>
  <c r="K17" i="57" s="1"/>
  <c r="I17" i="57" a="1"/>
  <c r="I17" i="57" s="1"/>
  <c r="H17" i="57" a="1"/>
  <c r="H17" i="57" s="1"/>
  <c r="J17" i="57" s="1" a="1"/>
  <c r="J17" i="57" s="1"/>
  <c r="F17" i="57" a="1"/>
  <c r="F17" i="57" s="1"/>
  <c r="E17" i="57" a="1"/>
  <c r="E17" i="57" s="1"/>
  <c r="G17" i="57" s="1" a="1"/>
  <c r="G17" i="57" s="1"/>
  <c r="D17" i="57" a="1"/>
  <c r="D17" i="57" s="1"/>
  <c r="C17" i="57" a="1"/>
  <c r="C17" i="57" s="1"/>
  <c r="B17" i="57" a="1"/>
  <c r="B17" i="57" s="1"/>
  <c r="K16" i="57" a="1"/>
  <c r="K16" i="57" s="1"/>
  <c r="I16" i="57" a="1"/>
  <c r="I16" i="57" s="1"/>
  <c r="H16" i="57" a="1"/>
  <c r="H16" i="57" s="1"/>
  <c r="J16" i="57" s="1" a="1"/>
  <c r="J16" i="57" s="1"/>
  <c r="F16" i="57" a="1"/>
  <c r="F16" i="57" s="1"/>
  <c r="E16" i="57" a="1"/>
  <c r="E16" i="57" s="1"/>
  <c r="G16" i="57" s="1" a="1"/>
  <c r="G16" i="57" s="1"/>
  <c r="D16" i="57" a="1"/>
  <c r="D16" i="57" s="1"/>
  <c r="C16" i="57" a="1"/>
  <c r="C16" i="57" s="1"/>
  <c r="B16" i="57" a="1"/>
  <c r="B16" i="57" s="1"/>
  <c r="K15" i="57" a="1"/>
  <c r="K15" i="57" s="1"/>
  <c r="I15" i="57" a="1"/>
  <c r="I15" i="57" s="1"/>
  <c r="H15" i="57" a="1"/>
  <c r="H15" i="57" s="1"/>
  <c r="J15" i="57" s="1" a="1"/>
  <c r="J15" i="57" s="1"/>
  <c r="F15" i="57" a="1"/>
  <c r="F15" i="57" s="1"/>
  <c r="E15" i="57" a="1"/>
  <c r="E15" i="57" s="1"/>
  <c r="G15" i="57" s="1" a="1"/>
  <c r="G15" i="57" s="1"/>
  <c r="D15" i="57" a="1"/>
  <c r="D15" i="57" s="1"/>
  <c r="C15" i="57" a="1"/>
  <c r="C15" i="57" s="1"/>
  <c r="B15" i="57" a="1"/>
  <c r="B15" i="57" s="1"/>
  <c r="K14" i="57" a="1"/>
  <c r="K14" i="57" s="1"/>
  <c r="I14" i="57" a="1"/>
  <c r="I14" i="57" s="1"/>
  <c r="H14" i="57" a="1"/>
  <c r="H14" i="57" s="1"/>
  <c r="J14" i="57" s="1" a="1"/>
  <c r="J14" i="57" s="1"/>
  <c r="F14" i="57" a="1"/>
  <c r="F14" i="57" s="1"/>
  <c r="E14" i="57" a="1"/>
  <c r="E14" i="57" s="1"/>
  <c r="G14" i="57" s="1" a="1"/>
  <c r="G14" i="57" s="1"/>
  <c r="D14" i="57" a="1"/>
  <c r="D14" i="57" s="1"/>
  <c r="C14" i="57" a="1"/>
  <c r="C14" i="57" s="1"/>
  <c r="B14" i="57" a="1"/>
  <c r="B14" i="57" s="1"/>
  <c r="K13" i="57" a="1"/>
  <c r="K13" i="57" s="1"/>
  <c r="I13" i="57" a="1"/>
  <c r="I13" i="57" s="1"/>
  <c r="H13" i="57" a="1"/>
  <c r="H13" i="57" s="1"/>
  <c r="J13" i="57" s="1" a="1"/>
  <c r="J13" i="57" s="1"/>
  <c r="F13" i="57" a="1"/>
  <c r="F13" i="57" s="1"/>
  <c r="E13" i="57" a="1"/>
  <c r="E13" i="57" s="1"/>
  <c r="G13" i="57" s="1" a="1"/>
  <c r="G13" i="57" s="1"/>
  <c r="D13" i="57" a="1"/>
  <c r="D13" i="57" s="1"/>
  <c r="C13" i="57" a="1"/>
  <c r="C13" i="57" s="1"/>
  <c r="B13" i="57" a="1"/>
  <c r="B13" i="57" s="1"/>
  <c r="K12" i="57" a="1"/>
  <c r="K12" i="57" s="1"/>
  <c r="I12" i="57" a="1"/>
  <c r="I12" i="57" s="1"/>
  <c r="H12" i="57" a="1"/>
  <c r="H12" i="57" s="1"/>
  <c r="J12" i="57" s="1" a="1"/>
  <c r="J12" i="57" s="1"/>
  <c r="F12" i="57" a="1"/>
  <c r="F12" i="57" s="1"/>
  <c r="E12" i="57" a="1"/>
  <c r="E12" i="57" s="1"/>
  <c r="G12" i="57" s="1" a="1"/>
  <c r="G12" i="57" s="1"/>
  <c r="D12" i="57" a="1"/>
  <c r="D12" i="57" s="1"/>
  <c r="C12" i="57" a="1"/>
  <c r="C12" i="57" s="1"/>
  <c r="B12" i="57" a="1"/>
  <c r="B12" i="57" s="1"/>
  <c r="K11" i="57" a="1"/>
  <c r="K11" i="57" s="1"/>
  <c r="I11" i="57" a="1"/>
  <c r="I11" i="57" s="1"/>
  <c r="H11" i="57" a="1"/>
  <c r="H11" i="57" s="1"/>
  <c r="J11" i="57" s="1" a="1"/>
  <c r="J11" i="57" s="1"/>
  <c r="F11" i="57" a="1"/>
  <c r="F11" i="57" s="1"/>
  <c r="E11" i="57" a="1"/>
  <c r="E11" i="57" s="1"/>
  <c r="G11" i="57" s="1" a="1"/>
  <c r="G11" i="57" s="1"/>
  <c r="D11" i="57" a="1"/>
  <c r="D11" i="57" s="1"/>
  <c r="C11" i="57" a="1"/>
  <c r="C11" i="57" s="1"/>
  <c r="B11" i="57" a="1"/>
  <c r="B11" i="57" s="1"/>
  <c r="K10" i="57" a="1"/>
  <c r="K10" i="57" s="1"/>
  <c r="I10" i="57" a="1"/>
  <c r="I10" i="57" s="1"/>
  <c r="H10" i="57" a="1"/>
  <c r="H10" i="57" s="1"/>
  <c r="J10" i="57" s="1" a="1"/>
  <c r="J10" i="57" s="1"/>
  <c r="F10" i="57" a="1"/>
  <c r="F10" i="57" s="1"/>
  <c r="E10" i="57" a="1"/>
  <c r="E10" i="57" s="1"/>
  <c r="G10" i="57" s="1" a="1"/>
  <c r="G10" i="57" s="1"/>
  <c r="D10" i="57" a="1"/>
  <c r="D10" i="57" s="1"/>
  <c r="C10" i="57" a="1"/>
  <c r="C10" i="57" s="1"/>
  <c r="B10" i="57" a="1"/>
  <c r="B10" i="57" s="1"/>
  <c r="K9" i="57" a="1"/>
  <c r="K9" i="57" s="1"/>
  <c r="I9" i="57" a="1"/>
  <c r="I9" i="57" s="1"/>
  <c r="H9" i="57" a="1"/>
  <c r="H9" i="57" s="1"/>
  <c r="J9" i="57" s="1" a="1"/>
  <c r="J9" i="57" s="1"/>
  <c r="F9" i="57" a="1"/>
  <c r="F9" i="57" s="1"/>
  <c r="E9" i="57" a="1"/>
  <c r="E9" i="57" s="1"/>
  <c r="G9" i="57" s="1" a="1"/>
  <c r="G9" i="57" s="1"/>
  <c r="D9" i="57" a="1"/>
  <c r="D9" i="57" s="1"/>
  <c r="C9" i="57" a="1"/>
  <c r="C9" i="57" s="1"/>
  <c r="B9" i="57" a="1"/>
  <c r="B9" i="57" s="1"/>
  <c r="K8" i="57" a="1"/>
  <c r="K8" i="57" s="1"/>
  <c r="I8" i="57" a="1"/>
  <c r="I8" i="57" s="1"/>
  <c r="H8" i="57" a="1"/>
  <c r="H8" i="57" s="1"/>
  <c r="J8" i="57" s="1" a="1"/>
  <c r="J8" i="57" s="1"/>
  <c r="F8" i="57" a="1"/>
  <c r="F8" i="57" s="1"/>
  <c r="E8" i="57" a="1"/>
  <c r="E8" i="57" s="1"/>
  <c r="G8" i="57" s="1" a="1"/>
  <c r="G8" i="57" s="1"/>
  <c r="D8" i="57" a="1"/>
  <c r="D8" i="57" s="1"/>
  <c r="C8" i="57" a="1"/>
  <c r="C8" i="57" s="1"/>
  <c r="K109" i="42" s="1"/>
  <c r="B8" i="57" a="1"/>
  <c r="B8" i="57" s="1"/>
  <c r="B70" i="56" a="1"/>
  <c r="B70" i="56" s="1"/>
  <c r="B69" i="56" a="1"/>
  <c r="B69" i="56" s="1"/>
  <c r="B68" i="56" a="1"/>
  <c r="B68" i="56" s="1"/>
  <c r="B67" i="56" a="1"/>
  <c r="B67" i="56" s="1"/>
  <c r="B66" i="56" a="1"/>
  <c r="B66" i="56" s="1"/>
  <c r="B65" i="56" a="1"/>
  <c r="B65" i="56" s="1"/>
  <c r="B64" i="56" a="1"/>
  <c r="B64" i="56" s="1"/>
  <c r="B63" i="56" a="1"/>
  <c r="B63" i="56" s="1"/>
  <c r="B62" i="56" a="1"/>
  <c r="B62" i="56" s="1"/>
  <c r="B61" i="56" a="1"/>
  <c r="B61" i="56" s="1"/>
  <c r="K60" i="56" a="1"/>
  <c r="K60" i="56" s="1"/>
  <c r="I60" i="56" a="1"/>
  <c r="I60" i="56" s="1"/>
  <c r="H60" i="56" a="1"/>
  <c r="H60" i="56" s="1"/>
  <c r="J60" i="56" s="1" a="1"/>
  <c r="J60" i="56" s="1"/>
  <c r="F60" i="56" a="1"/>
  <c r="F60" i="56" s="1"/>
  <c r="E60" i="56" a="1"/>
  <c r="E60" i="56" s="1"/>
  <c r="G60" i="56" s="1" a="1"/>
  <c r="G60" i="56" s="1"/>
  <c r="D60" i="56" a="1"/>
  <c r="D60" i="56" s="1"/>
  <c r="C60" i="56" a="1"/>
  <c r="C60" i="56" s="1"/>
  <c r="B60" i="56" a="1"/>
  <c r="B60" i="56" s="1"/>
  <c r="K59" i="56" a="1"/>
  <c r="K59" i="56" s="1"/>
  <c r="I59" i="56" a="1"/>
  <c r="I59" i="56" s="1"/>
  <c r="H59" i="56" a="1"/>
  <c r="H59" i="56" s="1"/>
  <c r="J59" i="56" s="1" a="1"/>
  <c r="J59" i="56" s="1"/>
  <c r="F59" i="56" a="1"/>
  <c r="F59" i="56" s="1"/>
  <c r="E59" i="56" a="1"/>
  <c r="E59" i="56" s="1"/>
  <c r="G59" i="56" s="1" a="1"/>
  <c r="G59" i="56" s="1"/>
  <c r="D59" i="56" a="1"/>
  <c r="D59" i="56" s="1"/>
  <c r="C59" i="56" a="1"/>
  <c r="C59" i="56" s="1"/>
  <c r="B59" i="56" a="1"/>
  <c r="B59" i="56" s="1"/>
  <c r="K58" i="56" a="1"/>
  <c r="K58" i="56" s="1"/>
  <c r="I58" i="56" a="1"/>
  <c r="I58" i="56" s="1"/>
  <c r="H58" i="56" a="1"/>
  <c r="H58" i="56" s="1"/>
  <c r="J58" i="56" s="1" a="1"/>
  <c r="J58" i="56" s="1"/>
  <c r="F58" i="56" a="1"/>
  <c r="F58" i="56" s="1"/>
  <c r="E58" i="56" a="1"/>
  <c r="E58" i="56" s="1"/>
  <c r="G58" i="56" s="1" a="1"/>
  <c r="G58" i="56" s="1"/>
  <c r="D58" i="56" a="1"/>
  <c r="D58" i="56" s="1"/>
  <c r="C58" i="56" a="1"/>
  <c r="C58" i="56" s="1"/>
  <c r="B58" i="56" a="1"/>
  <c r="B58" i="56" s="1"/>
  <c r="K57" i="56" a="1"/>
  <c r="K57" i="56" s="1"/>
  <c r="I57" i="56" a="1"/>
  <c r="I57" i="56" s="1"/>
  <c r="H57" i="56" a="1"/>
  <c r="H57" i="56" s="1"/>
  <c r="J57" i="56" s="1" a="1"/>
  <c r="J57" i="56" s="1"/>
  <c r="F57" i="56" a="1"/>
  <c r="F57" i="56" s="1"/>
  <c r="E57" i="56" a="1"/>
  <c r="E57" i="56" s="1"/>
  <c r="G57" i="56" s="1" a="1"/>
  <c r="G57" i="56" s="1"/>
  <c r="D57" i="56" a="1"/>
  <c r="D57" i="56" s="1"/>
  <c r="C57" i="56" a="1"/>
  <c r="C57" i="56" s="1"/>
  <c r="B57" i="56" a="1"/>
  <c r="B57" i="56" s="1"/>
  <c r="K56" i="56" a="1"/>
  <c r="K56" i="56" s="1"/>
  <c r="I56" i="56" a="1"/>
  <c r="I56" i="56" s="1"/>
  <c r="H56" i="56" a="1"/>
  <c r="H56" i="56" s="1"/>
  <c r="J56" i="56" s="1" a="1"/>
  <c r="J56" i="56" s="1"/>
  <c r="F56" i="56" a="1"/>
  <c r="F56" i="56" s="1"/>
  <c r="E56" i="56" a="1"/>
  <c r="E56" i="56" s="1"/>
  <c r="G56" i="56" s="1" a="1"/>
  <c r="G56" i="56" s="1"/>
  <c r="D56" i="56" a="1"/>
  <c r="D56" i="56" s="1"/>
  <c r="C56" i="56" a="1"/>
  <c r="C56" i="56" s="1"/>
  <c r="B56" i="56" a="1"/>
  <c r="B56" i="56" s="1"/>
  <c r="K55" i="56" a="1"/>
  <c r="K55" i="56" s="1"/>
  <c r="I55" i="56" a="1"/>
  <c r="I55" i="56" s="1"/>
  <c r="H55" i="56" a="1"/>
  <c r="H55" i="56" s="1"/>
  <c r="J55" i="56" s="1" a="1"/>
  <c r="J55" i="56" s="1"/>
  <c r="F55" i="56" a="1"/>
  <c r="F55" i="56" s="1"/>
  <c r="E55" i="56" a="1"/>
  <c r="E55" i="56" s="1"/>
  <c r="G55" i="56" s="1" a="1"/>
  <c r="G55" i="56" s="1"/>
  <c r="D55" i="56" a="1"/>
  <c r="D55" i="56" s="1"/>
  <c r="C55" i="56" a="1"/>
  <c r="C55" i="56" s="1"/>
  <c r="B55" i="56" a="1"/>
  <c r="B55" i="56" s="1"/>
  <c r="K54" i="56" a="1"/>
  <c r="K54" i="56" s="1"/>
  <c r="I54" i="56" a="1"/>
  <c r="I54" i="56" s="1"/>
  <c r="H54" i="56" a="1"/>
  <c r="H54" i="56" s="1"/>
  <c r="J54" i="56" s="1" a="1"/>
  <c r="J54" i="56" s="1"/>
  <c r="F54" i="56" a="1"/>
  <c r="F54" i="56" s="1"/>
  <c r="E54" i="56" a="1"/>
  <c r="E54" i="56" s="1"/>
  <c r="G54" i="56" s="1" a="1"/>
  <c r="G54" i="56" s="1"/>
  <c r="D54" i="56" a="1"/>
  <c r="D54" i="56" s="1"/>
  <c r="C54" i="56" a="1"/>
  <c r="C54" i="56" s="1"/>
  <c r="B54" i="56" a="1"/>
  <c r="B54" i="56" s="1"/>
  <c r="K53" i="56" a="1"/>
  <c r="K53" i="56" s="1"/>
  <c r="I53" i="56" a="1"/>
  <c r="I53" i="56" s="1"/>
  <c r="H53" i="56" a="1"/>
  <c r="H53" i="56" s="1"/>
  <c r="J53" i="56" s="1" a="1"/>
  <c r="J53" i="56" s="1"/>
  <c r="F53" i="56" a="1"/>
  <c r="F53" i="56" s="1"/>
  <c r="E53" i="56" a="1"/>
  <c r="E53" i="56" s="1"/>
  <c r="G53" i="56" s="1" a="1"/>
  <c r="G53" i="56" s="1"/>
  <c r="D53" i="56" a="1"/>
  <c r="D53" i="56" s="1"/>
  <c r="C53" i="56" a="1"/>
  <c r="C53" i="56" s="1"/>
  <c r="B53" i="56" a="1"/>
  <c r="B53" i="56" s="1"/>
  <c r="K52" i="56" a="1"/>
  <c r="K52" i="56" s="1"/>
  <c r="I52" i="56" a="1"/>
  <c r="I52" i="56" s="1"/>
  <c r="H52" i="56" a="1"/>
  <c r="H52" i="56" s="1"/>
  <c r="J52" i="56" s="1" a="1"/>
  <c r="J52" i="56" s="1"/>
  <c r="F52" i="56" a="1"/>
  <c r="F52" i="56" s="1"/>
  <c r="E52" i="56" a="1"/>
  <c r="E52" i="56" s="1"/>
  <c r="G52" i="56" s="1" a="1"/>
  <c r="G52" i="56" s="1"/>
  <c r="D52" i="56" a="1"/>
  <c r="D52" i="56" s="1"/>
  <c r="C52" i="56" a="1"/>
  <c r="C52" i="56" s="1"/>
  <c r="B52" i="56" a="1"/>
  <c r="B52" i="56" s="1"/>
  <c r="K51" i="56" a="1"/>
  <c r="K51" i="56" s="1"/>
  <c r="I51" i="56" a="1"/>
  <c r="I51" i="56" s="1"/>
  <c r="H51" i="56" a="1"/>
  <c r="H51" i="56" s="1"/>
  <c r="J51" i="56" s="1" a="1"/>
  <c r="J51" i="56" s="1"/>
  <c r="F51" i="56" a="1"/>
  <c r="F51" i="56" s="1"/>
  <c r="E51" i="56" a="1"/>
  <c r="E51" i="56" s="1"/>
  <c r="G51" i="56" s="1" a="1"/>
  <c r="G51" i="56" s="1"/>
  <c r="D51" i="56" a="1"/>
  <c r="D51" i="56" s="1"/>
  <c r="C51" i="56" a="1"/>
  <c r="C51" i="56" s="1"/>
  <c r="B51" i="56" a="1"/>
  <c r="B51" i="56" s="1"/>
  <c r="K50" i="56" a="1"/>
  <c r="K50" i="56" s="1"/>
  <c r="I50" i="56" a="1"/>
  <c r="I50" i="56" s="1"/>
  <c r="H50" i="56" a="1"/>
  <c r="H50" i="56" s="1"/>
  <c r="J50" i="56" s="1" a="1"/>
  <c r="J50" i="56" s="1"/>
  <c r="F50" i="56" a="1"/>
  <c r="F50" i="56" s="1"/>
  <c r="E50" i="56" a="1"/>
  <c r="E50" i="56" s="1"/>
  <c r="G50" i="56" s="1" a="1"/>
  <c r="G50" i="56" s="1"/>
  <c r="D50" i="56" a="1"/>
  <c r="D50" i="56" s="1"/>
  <c r="C50" i="56" a="1"/>
  <c r="C50" i="56" s="1"/>
  <c r="B50" i="56" a="1"/>
  <c r="B50" i="56" s="1"/>
  <c r="K49" i="56" a="1"/>
  <c r="K49" i="56" s="1"/>
  <c r="I49" i="56" a="1"/>
  <c r="I49" i="56" s="1"/>
  <c r="H49" i="56" a="1"/>
  <c r="H49" i="56" s="1"/>
  <c r="J49" i="56" s="1" a="1"/>
  <c r="J49" i="56" s="1"/>
  <c r="F49" i="56" a="1"/>
  <c r="F49" i="56" s="1"/>
  <c r="E49" i="56" a="1"/>
  <c r="E49" i="56" s="1"/>
  <c r="G49" i="56" s="1" a="1"/>
  <c r="G49" i="56" s="1"/>
  <c r="D49" i="56" a="1"/>
  <c r="D49" i="56" s="1"/>
  <c r="C49" i="56" a="1"/>
  <c r="C49" i="56" s="1"/>
  <c r="B49" i="56" a="1"/>
  <c r="B49" i="56" s="1"/>
  <c r="K48" i="56" a="1"/>
  <c r="K48" i="56" s="1"/>
  <c r="I48" i="56" a="1"/>
  <c r="I48" i="56" s="1"/>
  <c r="H48" i="56" a="1"/>
  <c r="H48" i="56" s="1"/>
  <c r="J48" i="56" s="1" a="1"/>
  <c r="J48" i="56" s="1"/>
  <c r="F48" i="56" a="1"/>
  <c r="F48" i="56" s="1"/>
  <c r="E48" i="56" a="1"/>
  <c r="E48" i="56" s="1"/>
  <c r="G48" i="56" s="1" a="1"/>
  <c r="G48" i="56" s="1"/>
  <c r="D48" i="56" a="1"/>
  <c r="D48" i="56" s="1"/>
  <c r="C48" i="56" a="1"/>
  <c r="C48" i="56" s="1"/>
  <c r="B48" i="56" a="1"/>
  <c r="B48" i="56" s="1"/>
  <c r="K47" i="56" a="1"/>
  <c r="K47" i="56" s="1"/>
  <c r="I47" i="56" a="1"/>
  <c r="I47" i="56" s="1"/>
  <c r="H47" i="56" a="1"/>
  <c r="H47" i="56" s="1"/>
  <c r="J47" i="56" s="1" a="1"/>
  <c r="J47" i="56" s="1"/>
  <c r="F47" i="56" a="1"/>
  <c r="F47" i="56" s="1"/>
  <c r="E47" i="56" a="1"/>
  <c r="E47" i="56" s="1"/>
  <c r="G47" i="56" s="1" a="1"/>
  <c r="G47" i="56" s="1"/>
  <c r="D47" i="56" a="1"/>
  <c r="D47" i="56" s="1"/>
  <c r="C47" i="56" a="1"/>
  <c r="C47" i="56" s="1"/>
  <c r="B47" i="56" a="1"/>
  <c r="B47" i="56" s="1"/>
  <c r="K46" i="56" a="1"/>
  <c r="K46" i="56" s="1"/>
  <c r="I46" i="56" a="1"/>
  <c r="I46" i="56" s="1"/>
  <c r="H46" i="56" a="1"/>
  <c r="H46" i="56" s="1"/>
  <c r="J46" i="56" s="1" a="1"/>
  <c r="J46" i="56" s="1"/>
  <c r="F46" i="56" a="1"/>
  <c r="F46" i="56" s="1"/>
  <c r="E46" i="56" a="1"/>
  <c r="E46" i="56" s="1"/>
  <c r="G46" i="56" s="1" a="1"/>
  <c r="G46" i="56" s="1"/>
  <c r="D46" i="56" a="1"/>
  <c r="D46" i="56" s="1"/>
  <c r="C46" i="56" a="1"/>
  <c r="C46" i="56" s="1"/>
  <c r="B46" i="56" a="1"/>
  <c r="B46" i="56" s="1"/>
  <c r="K45" i="56" a="1"/>
  <c r="K45" i="56" s="1"/>
  <c r="I45" i="56" a="1"/>
  <c r="I45" i="56" s="1"/>
  <c r="H45" i="56" a="1"/>
  <c r="H45" i="56" s="1"/>
  <c r="J45" i="56" s="1" a="1"/>
  <c r="J45" i="56" s="1"/>
  <c r="F45" i="56" a="1"/>
  <c r="F45" i="56" s="1"/>
  <c r="E45" i="56" a="1"/>
  <c r="E45" i="56" s="1"/>
  <c r="G45" i="56" s="1" a="1"/>
  <c r="G45" i="56" s="1"/>
  <c r="D45" i="56" a="1"/>
  <c r="D45" i="56" s="1"/>
  <c r="C45" i="56" a="1"/>
  <c r="C45" i="56" s="1"/>
  <c r="B45" i="56" a="1"/>
  <c r="B45" i="56" s="1"/>
  <c r="K44" i="56" a="1"/>
  <c r="K44" i="56" s="1"/>
  <c r="I44" i="56" a="1"/>
  <c r="I44" i="56" s="1"/>
  <c r="H44" i="56" a="1"/>
  <c r="H44" i="56" s="1"/>
  <c r="J44" i="56" s="1" a="1"/>
  <c r="J44" i="56" s="1"/>
  <c r="F44" i="56" a="1"/>
  <c r="F44" i="56" s="1"/>
  <c r="E44" i="56" a="1"/>
  <c r="E44" i="56" s="1"/>
  <c r="G44" i="56" s="1" a="1"/>
  <c r="G44" i="56" s="1"/>
  <c r="D44" i="56" a="1"/>
  <c r="D44" i="56" s="1"/>
  <c r="C44" i="56" a="1"/>
  <c r="C44" i="56" s="1"/>
  <c r="B44" i="56" a="1"/>
  <c r="B44" i="56" s="1"/>
  <c r="K43" i="56" a="1"/>
  <c r="K43" i="56" s="1"/>
  <c r="I43" i="56" a="1"/>
  <c r="I43" i="56" s="1"/>
  <c r="H43" i="56" a="1"/>
  <c r="H43" i="56" s="1"/>
  <c r="J43" i="56" s="1" a="1"/>
  <c r="J43" i="56" s="1"/>
  <c r="F43" i="56" a="1"/>
  <c r="F43" i="56" s="1"/>
  <c r="E43" i="56" a="1"/>
  <c r="E43" i="56" s="1"/>
  <c r="G43" i="56" s="1" a="1"/>
  <c r="G43" i="56" s="1"/>
  <c r="D43" i="56" a="1"/>
  <c r="D43" i="56" s="1"/>
  <c r="C43" i="56" a="1"/>
  <c r="C43" i="56" s="1"/>
  <c r="B43" i="56" a="1"/>
  <c r="B43" i="56" s="1"/>
  <c r="K42" i="56" a="1"/>
  <c r="K42" i="56" s="1"/>
  <c r="I42" i="56" a="1"/>
  <c r="I42" i="56" s="1"/>
  <c r="H42" i="56" a="1"/>
  <c r="H42" i="56" s="1"/>
  <c r="J42" i="56" s="1" a="1"/>
  <c r="J42" i="56" s="1"/>
  <c r="F42" i="56" a="1"/>
  <c r="F42" i="56" s="1"/>
  <c r="E42" i="56" a="1"/>
  <c r="E42" i="56" s="1"/>
  <c r="G42" i="56" s="1" a="1"/>
  <c r="G42" i="56" s="1"/>
  <c r="D42" i="56" a="1"/>
  <c r="D42" i="56" s="1"/>
  <c r="C42" i="56" a="1"/>
  <c r="C42" i="56" s="1"/>
  <c r="B42" i="56" a="1"/>
  <c r="B42" i="56" s="1"/>
  <c r="K41" i="56" a="1"/>
  <c r="K41" i="56" s="1"/>
  <c r="I41" i="56" a="1"/>
  <c r="I41" i="56" s="1"/>
  <c r="H41" i="56" a="1"/>
  <c r="H41" i="56" s="1"/>
  <c r="J41" i="56" s="1" a="1"/>
  <c r="J41" i="56" s="1"/>
  <c r="F41" i="56" a="1"/>
  <c r="F41" i="56" s="1"/>
  <c r="E41" i="56" a="1"/>
  <c r="E41" i="56" s="1"/>
  <c r="G41" i="56" s="1" a="1"/>
  <c r="G41" i="56" s="1"/>
  <c r="D41" i="56" a="1"/>
  <c r="D41" i="56" s="1"/>
  <c r="C41" i="56" a="1"/>
  <c r="C41" i="56" s="1"/>
  <c r="B41" i="56" a="1"/>
  <c r="B41" i="56" s="1"/>
  <c r="K40" i="56" a="1"/>
  <c r="K40" i="56" s="1"/>
  <c r="I40" i="56" a="1"/>
  <c r="I40" i="56" s="1"/>
  <c r="H40" i="56" a="1"/>
  <c r="H40" i="56" s="1"/>
  <c r="J40" i="56" s="1" a="1"/>
  <c r="J40" i="56" s="1"/>
  <c r="F40" i="56" a="1"/>
  <c r="F40" i="56" s="1"/>
  <c r="E40" i="56" a="1"/>
  <c r="E40" i="56" s="1"/>
  <c r="G40" i="56" s="1" a="1"/>
  <c r="G40" i="56" s="1"/>
  <c r="D40" i="56" a="1"/>
  <c r="D40" i="56" s="1"/>
  <c r="C40" i="56" a="1"/>
  <c r="C40" i="56" s="1"/>
  <c r="B40" i="56" a="1"/>
  <c r="B40" i="56" s="1"/>
  <c r="K39" i="56" a="1"/>
  <c r="K39" i="56" s="1"/>
  <c r="I39" i="56" a="1"/>
  <c r="I39" i="56" s="1"/>
  <c r="H39" i="56" a="1"/>
  <c r="H39" i="56" s="1"/>
  <c r="J39" i="56" s="1" a="1"/>
  <c r="J39" i="56" s="1"/>
  <c r="F39" i="56" a="1"/>
  <c r="F39" i="56" s="1"/>
  <c r="E39" i="56" a="1"/>
  <c r="E39" i="56" s="1"/>
  <c r="G39" i="56" s="1" a="1"/>
  <c r="G39" i="56" s="1"/>
  <c r="D39" i="56" a="1"/>
  <c r="D39" i="56" s="1"/>
  <c r="C39" i="56" a="1"/>
  <c r="C39" i="56" s="1"/>
  <c r="B39" i="56" a="1"/>
  <c r="B39" i="56" s="1"/>
  <c r="K38" i="56" a="1"/>
  <c r="K38" i="56" s="1"/>
  <c r="I38" i="56" a="1"/>
  <c r="I38" i="56" s="1"/>
  <c r="H38" i="56" a="1"/>
  <c r="H38" i="56" s="1"/>
  <c r="J38" i="56" s="1" a="1"/>
  <c r="J38" i="56" s="1"/>
  <c r="F38" i="56" a="1"/>
  <c r="F38" i="56" s="1"/>
  <c r="E38" i="56" a="1"/>
  <c r="E38" i="56" s="1"/>
  <c r="G38" i="56" s="1" a="1"/>
  <c r="G38" i="56" s="1"/>
  <c r="D38" i="56" a="1"/>
  <c r="D38" i="56" s="1"/>
  <c r="C38" i="56" a="1"/>
  <c r="C38" i="56" s="1"/>
  <c r="B38" i="56" a="1"/>
  <c r="B38" i="56" s="1"/>
  <c r="K37" i="56" a="1"/>
  <c r="K37" i="56" s="1"/>
  <c r="I37" i="56" a="1"/>
  <c r="I37" i="56" s="1"/>
  <c r="H37" i="56" a="1"/>
  <c r="H37" i="56" s="1"/>
  <c r="J37" i="56" s="1" a="1"/>
  <c r="J37" i="56" s="1"/>
  <c r="F37" i="56" a="1"/>
  <c r="F37" i="56" s="1"/>
  <c r="E37" i="56" a="1"/>
  <c r="E37" i="56" s="1"/>
  <c r="G37" i="56" s="1" a="1"/>
  <c r="G37" i="56" s="1"/>
  <c r="D37" i="56" a="1"/>
  <c r="D37" i="56" s="1"/>
  <c r="C37" i="56" a="1"/>
  <c r="C37" i="56" s="1"/>
  <c r="B37" i="56" a="1"/>
  <c r="B37" i="56" s="1"/>
  <c r="K36" i="56" a="1"/>
  <c r="K36" i="56" s="1"/>
  <c r="I36" i="56" a="1"/>
  <c r="I36" i="56" s="1"/>
  <c r="H36" i="56" a="1"/>
  <c r="H36" i="56" s="1"/>
  <c r="J36" i="56" s="1" a="1"/>
  <c r="J36" i="56" s="1"/>
  <c r="F36" i="56" a="1"/>
  <c r="F36" i="56" s="1"/>
  <c r="E36" i="56" a="1"/>
  <c r="E36" i="56" s="1"/>
  <c r="G36" i="56" s="1" a="1"/>
  <c r="G36" i="56" s="1"/>
  <c r="D36" i="56" a="1"/>
  <c r="D36" i="56" s="1"/>
  <c r="C36" i="56" a="1"/>
  <c r="C36" i="56" s="1"/>
  <c r="B36" i="56" a="1"/>
  <c r="B36" i="56" s="1"/>
  <c r="K35" i="56" a="1"/>
  <c r="K35" i="56" s="1"/>
  <c r="I35" i="56" a="1"/>
  <c r="I35" i="56" s="1"/>
  <c r="H35" i="56" a="1"/>
  <c r="H35" i="56" s="1"/>
  <c r="J35" i="56" s="1" a="1"/>
  <c r="J35" i="56" s="1"/>
  <c r="F35" i="56" a="1"/>
  <c r="F35" i="56" s="1"/>
  <c r="E35" i="56" a="1"/>
  <c r="E35" i="56" s="1"/>
  <c r="G35" i="56" s="1" a="1"/>
  <c r="G35" i="56" s="1"/>
  <c r="D35" i="56" a="1"/>
  <c r="D35" i="56" s="1"/>
  <c r="C35" i="56" a="1"/>
  <c r="C35" i="56" s="1"/>
  <c r="B35" i="56" a="1"/>
  <c r="B35" i="56" s="1"/>
  <c r="K34" i="56" a="1"/>
  <c r="K34" i="56" s="1"/>
  <c r="I34" i="56" a="1"/>
  <c r="I34" i="56" s="1"/>
  <c r="H34" i="56" a="1"/>
  <c r="H34" i="56" s="1"/>
  <c r="J34" i="56" s="1" a="1"/>
  <c r="J34" i="56" s="1"/>
  <c r="F34" i="56" a="1"/>
  <c r="F34" i="56" s="1"/>
  <c r="E34" i="56" a="1"/>
  <c r="E34" i="56" s="1"/>
  <c r="G34" i="56" s="1" a="1"/>
  <c r="G34" i="56" s="1"/>
  <c r="D34" i="56" a="1"/>
  <c r="D34" i="56" s="1"/>
  <c r="C34" i="56" a="1"/>
  <c r="C34" i="56" s="1"/>
  <c r="B34" i="56" a="1"/>
  <c r="B34" i="56" s="1"/>
  <c r="K33" i="56" a="1"/>
  <c r="K33" i="56" s="1"/>
  <c r="I33" i="56" a="1"/>
  <c r="I33" i="56" s="1"/>
  <c r="H33" i="56" a="1"/>
  <c r="H33" i="56" s="1"/>
  <c r="J33" i="56" s="1" a="1"/>
  <c r="J33" i="56" s="1"/>
  <c r="F33" i="56" a="1"/>
  <c r="F33" i="56" s="1"/>
  <c r="E33" i="56" a="1"/>
  <c r="E33" i="56" s="1"/>
  <c r="G33" i="56" s="1" a="1"/>
  <c r="G33" i="56" s="1"/>
  <c r="D33" i="56" a="1"/>
  <c r="D33" i="56" s="1"/>
  <c r="C33" i="56" a="1"/>
  <c r="C33" i="56" s="1"/>
  <c r="B33" i="56" a="1"/>
  <c r="B33" i="56" s="1"/>
  <c r="K32" i="56" a="1"/>
  <c r="K32" i="56" s="1"/>
  <c r="I32" i="56" a="1"/>
  <c r="I32" i="56" s="1"/>
  <c r="H32" i="56" a="1"/>
  <c r="H32" i="56" s="1"/>
  <c r="J32" i="56" s="1" a="1"/>
  <c r="J32" i="56" s="1"/>
  <c r="F32" i="56" a="1"/>
  <c r="F32" i="56" s="1"/>
  <c r="E32" i="56" a="1"/>
  <c r="E32" i="56" s="1"/>
  <c r="G32" i="56" s="1" a="1"/>
  <c r="G32" i="56" s="1"/>
  <c r="D32" i="56" a="1"/>
  <c r="D32" i="56" s="1"/>
  <c r="C32" i="56" a="1"/>
  <c r="C32" i="56" s="1"/>
  <c r="B32" i="56" a="1"/>
  <c r="B32" i="56" s="1"/>
  <c r="K31" i="56" a="1"/>
  <c r="K31" i="56" s="1"/>
  <c r="I31" i="56" a="1"/>
  <c r="I31" i="56" s="1"/>
  <c r="H31" i="56" a="1"/>
  <c r="H31" i="56" s="1"/>
  <c r="J31" i="56" s="1" a="1"/>
  <c r="J31" i="56" s="1"/>
  <c r="F31" i="56" a="1"/>
  <c r="F31" i="56" s="1"/>
  <c r="E31" i="56" a="1"/>
  <c r="E31" i="56" s="1"/>
  <c r="G31" i="56" s="1" a="1"/>
  <c r="G31" i="56" s="1"/>
  <c r="D31" i="56" a="1"/>
  <c r="D31" i="56" s="1"/>
  <c r="C31" i="56" a="1"/>
  <c r="C31" i="56" s="1"/>
  <c r="B31" i="56" a="1"/>
  <c r="B31" i="56" s="1"/>
  <c r="K30" i="56" a="1"/>
  <c r="K30" i="56" s="1"/>
  <c r="I30" i="56" a="1"/>
  <c r="I30" i="56" s="1"/>
  <c r="H30" i="56" a="1"/>
  <c r="H30" i="56" s="1"/>
  <c r="J30" i="56" s="1" a="1"/>
  <c r="J30" i="56" s="1"/>
  <c r="F30" i="56" a="1"/>
  <c r="F30" i="56" s="1"/>
  <c r="E30" i="56" a="1"/>
  <c r="E30" i="56" s="1"/>
  <c r="G30" i="56" s="1" a="1"/>
  <c r="G30" i="56" s="1"/>
  <c r="D30" i="56" a="1"/>
  <c r="D30" i="56" s="1"/>
  <c r="C30" i="56" a="1"/>
  <c r="C30" i="56" s="1"/>
  <c r="B30" i="56" a="1"/>
  <c r="B30" i="56" s="1"/>
  <c r="K29" i="56" a="1"/>
  <c r="K29" i="56" s="1"/>
  <c r="I29" i="56" a="1"/>
  <c r="I29" i="56" s="1"/>
  <c r="H29" i="56" a="1"/>
  <c r="H29" i="56" s="1"/>
  <c r="J29" i="56" s="1" a="1"/>
  <c r="J29" i="56" s="1"/>
  <c r="F29" i="56" a="1"/>
  <c r="F29" i="56" s="1"/>
  <c r="E29" i="56" a="1"/>
  <c r="E29" i="56" s="1"/>
  <c r="G29" i="56" s="1" a="1"/>
  <c r="G29" i="56" s="1"/>
  <c r="D29" i="56" a="1"/>
  <c r="D29" i="56" s="1"/>
  <c r="C29" i="56" a="1"/>
  <c r="C29" i="56" s="1"/>
  <c r="B29" i="56" a="1"/>
  <c r="B29" i="56" s="1"/>
  <c r="K28" i="56" a="1"/>
  <c r="K28" i="56" s="1"/>
  <c r="I28" i="56" a="1"/>
  <c r="I28" i="56" s="1"/>
  <c r="H28" i="56" a="1"/>
  <c r="H28" i="56" s="1"/>
  <c r="J28" i="56" s="1" a="1"/>
  <c r="J28" i="56" s="1"/>
  <c r="F28" i="56" a="1"/>
  <c r="F28" i="56" s="1"/>
  <c r="E28" i="56" a="1"/>
  <c r="E28" i="56" s="1"/>
  <c r="G28" i="56" s="1" a="1"/>
  <c r="G28" i="56" s="1"/>
  <c r="D28" i="56" a="1"/>
  <c r="D28" i="56" s="1"/>
  <c r="C28" i="56" a="1"/>
  <c r="C28" i="56" s="1"/>
  <c r="B28" i="56" a="1"/>
  <c r="B28" i="56" s="1"/>
  <c r="K27" i="56" a="1"/>
  <c r="K27" i="56" s="1"/>
  <c r="I27" i="56" a="1"/>
  <c r="I27" i="56" s="1"/>
  <c r="H27" i="56" a="1"/>
  <c r="H27" i="56" s="1"/>
  <c r="J27" i="56" s="1" a="1"/>
  <c r="J27" i="56" s="1"/>
  <c r="F27" i="56" a="1"/>
  <c r="F27" i="56" s="1"/>
  <c r="E27" i="56" a="1"/>
  <c r="E27" i="56" s="1"/>
  <c r="G27" i="56" s="1" a="1"/>
  <c r="G27" i="56" s="1"/>
  <c r="D27" i="56" a="1"/>
  <c r="D27" i="56" s="1"/>
  <c r="C27" i="56" a="1"/>
  <c r="C27" i="56" s="1"/>
  <c r="B27" i="56" a="1"/>
  <c r="B27" i="56" s="1"/>
  <c r="K26" i="56" a="1"/>
  <c r="K26" i="56" s="1"/>
  <c r="I26" i="56" a="1"/>
  <c r="I26" i="56" s="1"/>
  <c r="H26" i="56" a="1"/>
  <c r="H26" i="56" s="1"/>
  <c r="J26" i="56" s="1" a="1"/>
  <c r="J26" i="56" s="1"/>
  <c r="F26" i="56" a="1"/>
  <c r="F26" i="56" s="1"/>
  <c r="E26" i="56" a="1"/>
  <c r="E26" i="56" s="1"/>
  <c r="G26" i="56" s="1" a="1"/>
  <c r="G26" i="56" s="1"/>
  <c r="D26" i="56" a="1"/>
  <c r="D26" i="56" s="1"/>
  <c r="C26" i="56" a="1"/>
  <c r="C26" i="56" s="1"/>
  <c r="B26" i="56" a="1"/>
  <c r="B26" i="56" s="1"/>
  <c r="K25" i="56" a="1"/>
  <c r="K25" i="56" s="1"/>
  <c r="I25" i="56" a="1"/>
  <c r="I25" i="56" s="1"/>
  <c r="H25" i="56" a="1"/>
  <c r="H25" i="56" s="1"/>
  <c r="J25" i="56" s="1" a="1"/>
  <c r="J25" i="56" s="1"/>
  <c r="F25" i="56" a="1"/>
  <c r="F25" i="56" s="1"/>
  <c r="E25" i="56" a="1"/>
  <c r="E25" i="56" s="1"/>
  <c r="G25" i="56" s="1" a="1"/>
  <c r="G25" i="56" s="1"/>
  <c r="D25" i="56" a="1"/>
  <c r="D25" i="56" s="1"/>
  <c r="C25" i="56" a="1"/>
  <c r="C25" i="56" s="1"/>
  <c r="B25" i="56" a="1"/>
  <c r="B25" i="56" s="1"/>
  <c r="K24" i="56" a="1"/>
  <c r="K24" i="56" s="1"/>
  <c r="I24" i="56" a="1"/>
  <c r="I24" i="56" s="1"/>
  <c r="H24" i="56" a="1"/>
  <c r="H24" i="56" s="1"/>
  <c r="J24" i="56" s="1" a="1"/>
  <c r="J24" i="56" s="1"/>
  <c r="F24" i="56" a="1"/>
  <c r="F24" i="56" s="1"/>
  <c r="E24" i="56" a="1"/>
  <c r="E24" i="56" s="1"/>
  <c r="G24" i="56" s="1" a="1"/>
  <c r="G24" i="56" s="1"/>
  <c r="D24" i="56" a="1"/>
  <c r="D24" i="56" s="1"/>
  <c r="C24" i="56" a="1"/>
  <c r="C24" i="56" s="1"/>
  <c r="B24" i="56" a="1"/>
  <c r="B24" i="56" s="1"/>
  <c r="K23" i="56" a="1"/>
  <c r="K23" i="56" s="1"/>
  <c r="I23" i="56" a="1"/>
  <c r="I23" i="56" s="1"/>
  <c r="H23" i="56" a="1"/>
  <c r="H23" i="56" s="1"/>
  <c r="J23" i="56" s="1" a="1"/>
  <c r="J23" i="56" s="1"/>
  <c r="F23" i="56" a="1"/>
  <c r="F23" i="56" s="1"/>
  <c r="E23" i="56" a="1"/>
  <c r="E23" i="56" s="1"/>
  <c r="G23" i="56" s="1" a="1"/>
  <c r="G23" i="56" s="1"/>
  <c r="D23" i="56" a="1"/>
  <c r="D23" i="56" s="1"/>
  <c r="C23" i="56" a="1"/>
  <c r="C23" i="56" s="1"/>
  <c r="B23" i="56" a="1"/>
  <c r="B23" i="56" s="1"/>
  <c r="K22" i="56" a="1"/>
  <c r="K22" i="56" s="1"/>
  <c r="I22" i="56" a="1"/>
  <c r="I22" i="56" s="1"/>
  <c r="H22" i="56" a="1"/>
  <c r="H22" i="56" s="1"/>
  <c r="J22" i="56" s="1" a="1"/>
  <c r="J22" i="56" s="1"/>
  <c r="F22" i="56" a="1"/>
  <c r="F22" i="56" s="1"/>
  <c r="E22" i="56" a="1"/>
  <c r="E22" i="56" s="1"/>
  <c r="G22" i="56" s="1" a="1"/>
  <c r="G22" i="56" s="1"/>
  <c r="D22" i="56" a="1"/>
  <c r="D22" i="56" s="1"/>
  <c r="C22" i="56" a="1"/>
  <c r="C22" i="56" s="1"/>
  <c r="B22" i="56" a="1"/>
  <c r="B22" i="56" s="1"/>
  <c r="K21" i="56" a="1"/>
  <c r="K21" i="56" s="1"/>
  <c r="I21" i="56" a="1"/>
  <c r="I21" i="56" s="1"/>
  <c r="H21" i="56" a="1"/>
  <c r="H21" i="56" s="1"/>
  <c r="J21" i="56" s="1" a="1"/>
  <c r="J21" i="56" s="1"/>
  <c r="F21" i="56" a="1"/>
  <c r="F21" i="56" s="1"/>
  <c r="E21" i="56" a="1"/>
  <c r="E21" i="56" s="1"/>
  <c r="G21" i="56" s="1" a="1"/>
  <c r="G21" i="56" s="1"/>
  <c r="D21" i="56" a="1"/>
  <c r="D21" i="56" s="1"/>
  <c r="C21" i="56" a="1"/>
  <c r="C21" i="56" s="1"/>
  <c r="B21" i="56" a="1"/>
  <c r="B21" i="56" s="1"/>
  <c r="K20" i="56" a="1"/>
  <c r="K20" i="56" s="1"/>
  <c r="I20" i="56" a="1"/>
  <c r="I20" i="56" s="1"/>
  <c r="H20" i="56" a="1"/>
  <c r="H20" i="56" s="1"/>
  <c r="J20" i="56" s="1" a="1"/>
  <c r="J20" i="56" s="1"/>
  <c r="F20" i="56" a="1"/>
  <c r="F20" i="56" s="1"/>
  <c r="E20" i="56" a="1"/>
  <c r="E20" i="56" s="1"/>
  <c r="G20" i="56" s="1" a="1"/>
  <c r="G20" i="56" s="1"/>
  <c r="D20" i="56" a="1"/>
  <c r="D20" i="56" s="1"/>
  <c r="C20" i="56" a="1"/>
  <c r="C20" i="56" s="1"/>
  <c r="B20" i="56" a="1"/>
  <c r="B20" i="56" s="1"/>
  <c r="K19" i="56" a="1"/>
  <c r="K19" i="56" s="1"/>
  <c r="I19" i="56" a="1"/>
  <c r="I19" i="56" s="1"/>
  <c r="H19" i="56" a="1"/>
  <c r="H19" i="56" s="1"/>
  <c r="J19" i="56" s="1" a="1"/>
  <c r="J19" i="56" s="1"/>
  <c r="F19" i="56" a="1"/>
  <c r="F19" i="56" s="1"/>
  <c r="E19" i="56" a="1"/>
  <c r="E19" i="56" s="1"/>
  <c r="G19" i="56" s="1" a="1"/>
  <c r="G19" i="56" s="1"/>
  <c r="D19" i="56" a="1"/>
  <c r="D19" i="56" s="1"/>
  <c r="C19" i="56" a="1"/>
  <c r="C19" i="56" s="1"/>
  <c r="B19" i="56" a="1"/>
  <c r="B19" i="56" s="1"/>
  <c r="K18" i="56" a="1"/>
  <c r="K18" i="56" s="1"/>
  <c r="I18" i="56" a="1"/>
  <c r="I18" i="56" s="1"/>
  <c r="H18" i="56" a="1"/>
  <c r="H18" i="56" s="1"/>
  <c r="J18" i="56" s="1" a="1"/>
  <c r="J18" i="56" s="1"/>
  <c r="F18" i="56" a="1"/>
  <c r="F18" i="56" s="1"/>
  <c r="E18" i="56" a="1"/>
  <c r="E18" i="56" s="1"/>
  <c r="G18" i="56" s="1" a="1"/>
  <c r="G18" i="56" s="1"/>
  <c r="D18" i="56" a="1"/>
  <c r="D18" i="56" s="1"/>
  <c r="C18" i="56" a="1"/>
  <c r="C18" i="56" s="1"/>
  <c r="B18" i="56" a="1"/>
  <c r="B18" i="56" s="1"/>
  <c r="K17" i="56" a="1"/>
  <c r="K17" i="56" s="1"/>
  <c r="I17" i="56" a="1"/>
  <c r="I17" i="56" s="1"/>
  <c r="H17" i="56" a="1"/>
  <c r="H17" i="56" s="1"/>
  <c r="J17" i="56" s="1" a="1"/>
  <c r="J17" i="56" s="1"/>
  <c r="F17" i="56" a="1"/>
  <c r="F17" i="56" s="1"/>
  <c r="E17" i="56" a="1"/>
  <c r="E17" i="56" s="1"/>
  <c r="G17" i="56" s="1" a="1"/>
  <c r="G17" i="56" s="1"/>
  <c r="D17" i="56" a="1"/>
  <c r="D17" i="56" s="1"/>
  <c r="C17" i="56" a="1"/>
  <c r="C17" i="56" s="1"/>
  <c r="B17" i="56" a="1"/>
  <c r="B17" i="56" s="1"/>
  <c r="K16" i="56" a="1"/>
  <c r="K16" i="56" s="1"/>
  <c r="I16" i="56" a="1"/>
  <c r="I16" i="56" s="1"/>
  <c r="H16" i="56" a="1"/>
  <c r="H16" i="56" s="1"/>
  <c r="J16" i="56" s="1" a="1"/>
  <c r="J16" i="56" s="1"/>
  <c r="F16" i="56" a="1"/>
  <c r="F16" i="56" s="1"/>
  <c r="E16" i="56" a="1"/>
  <c r="E16" i="56" s="1"/>
  <c r="G16" i="56" s="1" a="1"/>
  <c r="G16" i="56" s="1"/>
  <c r="D16" i="56" a="1"/>
  <c r="D16" i="56" s="1"/>
  <c r="C16" i="56" a="1"/>
  <c r="C16" i="56" s="1"/>
  <c r="B16" i="56" a="1"/>
  <c r="B16" i="56" s="1"/>
  <c r="K15" i="56" a="1"/>
  <c r="K15" i="56" s="1"/>
  <c r="I15" i="56" a="1"/>
  <c r="I15" i="56" s="1"/>
  <c r="H15" i="56" a="1"/>
  <c r="H15" i="56" s="1"/>
  <c r="J15" i="56" s="1" a="1"/>
  <c r="J15" i="56" s="1"/>
  <c r="F15" i="56" a="1"/>
  <c r="F15" i="56" s="1"/>
  <c r="E15" i="56" a="1"/>
  <c r="E15" i="56" s="1"/>
  <c r="G15" i="56" s="1" a="1"/>
  <c r="G15" i="56" s="1"/>
  <c r="D15" i="56" a="1"/>
  <c r="D15" i="56" s="1"/>
  <c r="C15" i="56" a="1"/>
  <c r="C15" i="56" s="1"/>
  <c r="B15" i="56" a="1"/>
  <c r="B15" i="56" s="1"/>
  <c r="K14" i="56" a="1"/>
  <c r="K14" i="56" s="1"/>
  <c r="I14" i="56" a="1"/>
  <c r="I14" i="56" s="1"/>
  <c r="H14" i="56" a="1"/>
  <c r="H14" i="56" s="1"/>
  <c r="J14" i="56" s="1" a="1"/>
  <c r="J14" i="56" s="1"/>
  <c r="F14" i="56" a="1"/>
  <c r="F14" i="56" s="1"/>
  <c r="E14" i="56" a="1"/>
  <c r="E14" i="56" s="1"/>
  <c r="G14" i="56" s="1" a="1"/>
  <c r="G14" i="56" s="1"/>
  <c r="D14" i="56" a="1"/>
  <c r="D14" i="56" s="1"/>
  <c r="C14" i="56" a="1"/>
  <c r="C14" i="56" s="1"/>
  <c r="B14" i="56" a="1"/>
  <c r="B14" i="56" s="1"/>
  <c r="K13" i="56" a="1"/>
  <c r="K13" i="56" s="1"/>
  <c r="I13" i="56" a="1"/>
  <c r="I13" i="56" s="1"/>
  <c r="H13" i="56" a="1"/>
  <c r="H13" i="56" s="1"/>
  <c r="J13" i="56" s="1" a="1"/>
  <c r="J13" i="56" s="1"/>
  <c r="F13" i="56" a="1"/>
  <c r="F13" i="56" s="1"/>
  <c r="E13" i="56" a="1"/>
  <c r="E13" i="56" s="1"/>
  <c r="G13" i="56" s="1" a="1"/>
  <c r="G13" i="56" s="1"/>
  <c r="D13" i="56" a="1"/>
  <c r="D13" i="56" s="1"/>
  <c r="C13" i="56" a="1"/>
  <c r="C13" i="56" s="1"/>
  <c r="B13" i="56" a="1"/>
  <c r="B13" i="56" s="1"/>
  <c r="K12" i="56" a="1"/>
  <c r="K12" i="56" s="1"/>
  <c r="I12" i="56" a="1"/>
  <c r="I12" i="56" s="1"/>
  <c r="H12" i="56" a="1"/>
  <c r="H12" i="56" s="1"/>
  <c r="J12" i="56" s="1" a="1"/>
  <c r="J12" i="56" s="1"/>
  <c r="F12" i="56" a="1"/>
  <c r="F12" i="56" s="1"/>
  <c r="E12" i="56" a="1"/>
  <c r="E12" i="56" s="1"/>
  <c r="G12" i="56" s="1" a="1"/>
  <c r="G12" i="56" s="1"/>
  <c r="D12" i="56" a="1"/>
  <c r="D12" i="56" s="1"/>
  <c r="C12" i="56" a="1"/>
  <c r="C12" i="56" s="1"/>
  <c r="B12" i="56" a="1"/>
  <c r="B12" i="56" s="1"/>
  <c r="K11" i="56" a="1"/>
  <c r="K11" i="56" s="1"/>
  <c r="I11" i="56" a="1"/>
  <c r="I11" i="56" s="1"/>
  <c r="H11" i="56" a="1"/>
  <c r="H11" i="56" s="1"/>
  <c r="J11" i="56" s="1" a="1"/>
  <c r="J11" i="56" s="1"/>
  <c r="F11" i="56" a="1"/>
  <c r="F11" i="56" s="1"/>
  <c r="E11" i="56" a="1"/>
  <c r="E11" i="56" s="1"/>
  <c r="G11" i="56" s="1" a="1"/>
  <c r="G11" i="56" s="1"/>
  <c r="D11" i="56" a="1"/>
  <c r="D11" i="56" s="1"/>
  <c r="C11" i="56" a="1"/>
  <c r="C11" i="56" s="1"/>
  <c r="B11" i="56" a="1"/>
  <c r="B11" i="56" s="1"/>
  <c r="K10" i="56" a="1"/>
  <c r="K10" i="56" s="1"/>
  <c r="I10" i="56" a="1"/>
  <c r="I10" i="56" s="1"/>
  <c r="H10" i="56" a="1"/>
  <c r="H10" i="56" s="1"/>
  <c r="J10" i="56" s="1" a="1"/>
  <c r="J10" i="56" s="1"/>
  <c r="F10" i="56" a="1"/>
  <c r="F10" i="56" s="1"/>
  <c r="E10" i="56" a="1"/>
  <c r="E10" i="56" s="1"/>
  <c r="G10" i="56" s="1" a="1"/>
  <c r="G10" i="56" s="1"/>
  <c r="D10" i="56" a="1"/>
  <c r="D10" i="56" s="1"/>
  <c r="C10" i="56" a="1"/>
  <c r="C10" i="56" s="1"/>
  <c r="B10" i="56" a="1"/>
  <c r="B10" i="56" s="1"/>
  <c r="K9" i="56" a="1"/>
  <c r="K9" i="56" s="1"/>
  <c r="I9" i="56" a="1"/>
  <c r="I9" i="56" s="1"/>
  <c r="H9" i="56" a="1"/>
  <c r="H9" i="56" s="1"/>
  <c r="J9" i="56" s="1" a="1"/>
  <c r="J9" i="56" s="1"/>
  <c r="F9" i="56" a="1"/>
  <c r="F9" i="56" s="1"/>
  <c r="E9" i="56" a="1"/>
  <c r="E9" i="56" s="1"/>
  <c r="G9" i="56" s="1" a="1"/>
  <c r="G9" i="56" s="1"/>
  <c r="D9" i="56" a="1"/>
  <c r="D9" i="56" s="1"/>
  <c r="C9" i="56" a="1"/>
  <c r="C9" i="56" s="1"/>
  <c r="I110" i="42" s="1"/>
  <c r="B9" i="56" a="1"/>
  <c r="B9" i="56" s="1"/>
  <c r="K8" i="56" a="1"/>
  <c r="K8" i="56" s="1"/>
  <c r="I8" i="56" a="1"/>
  <c r="I8" i="56" s="1"/>
  <c r="H8" i="56" a="1"/>
  <c r="H8" i="56" s="1"/>
  <c r="J8" i="56" s="1" a="1"/>
  <c r="J8" i="56" s="1"/>
  <c r="F8" i="56" a="1"/>
  <c r="F8" i="56" s="1"/>
  <c r="E8" i="56" a="1"/>
  <c r="E8" i="56" s="1"/>
  <c r="G8" i="56" s="1" a="1"/>
  <c r="G8" i="56" s="1"/>
  <c r="D8" i="56" a="1"/>
  <c r="D8" i="56" s="1"/>
  <c r="C8" i="56" a="1"/>
  <c r="C8" i="56" s="1"/>
  <c r="I108" i="42" s="1"/>
  <c r="B8" i="56" a="1"/>
  <c r="B8" i="56" s="1"/>
  <c r="K68" i="54" a="1"/>
  <c r="K68" i="54" s="1"/>
  <c r="I68" i="54" a="1"/>
  <c r="I68" i="54" s="1"/>
  <c r="H68" i="54" a="1"/>
  <c r="H68" i="54" s="1"/>
  <c r="J68" i="54" s="1" a="1"/>
  <c r="J68" i="54" s="1"/>
  <c r="F68" i="54" a="1"/>
  <c r="F68" i="54" s="1"/>
  <c r="E68" i="54" a="1"/>
  <c r="E68" i="54" s="1"/>
  <c r="G68" i="54" s="1" a="1"/>
  <c r="G68" i="54" s="1"/>
  <c r="D68" i="54" a="1"/>
  <c r="D68" i="54" s="1"/>
  <c r="C68" i="54" a="1"/>
  <c r="C68" i="54" s="1"/>
  <c r="B68" i="54" a="1"/>
  <c r="B68" i="54" s="1"/>
  <c r="B69" i="54" a="1"/>
  <c r="B69" i="54" s="1"/>
  <c r="B70" i="54" a="1"/>
  <c r="B70" i="54" s="1"/>
  <c r="C69" i="54" a="1"/>
  <c r="C69" i="54" s="1"/>
  <c r="C70" i="54" a="1"/>
  <c r="C70" i="54" s="1"/>
  <c r="D69" i="54" a="1"/>
  <c r="D69" i="54" s="1"/>
  <c r="D70" i="54" a="1"/>
  <c r="D70" i="54" s="1"/>
  <c r="E69" i="54" a="1"/>
  <c r="E69" i="54" s="1"/>
  <c r="G69" i="54" s="1" a="1"/>
  <c r="G69" i="54" s="1"/>
  <c r="E70" i="54" a="1"/>
  <c r="E70" i="54" s="1"/>
  <c r="G70" i="54" s="1" a="1"/>
  <c r="G70" i="54" s="1"/>
  <c r="F69" i="54" a="1"/>
  <c r="F69" i="54" s="1"/>
  <c r="F70" i="54" a="1"/>
  <c r="F70" i="54" s="1"/>
  <c r="H69" i="54" a="1"/>
  <c r="H69" i="54" s="1"/>
  <c r="J69" i="54" s="1" a="1"/>
  <c r="J69" i="54" s="1"/>
  <c r="H70" i="54" a="1"/>
  <c r="H70" i="54" s="1"/>
  <c r="J70" i="54" s="1" a="1"/>
  <c r="J70" i="54" s="1"/>
  <c r="I69" i="54" a="1"/>
  <c r="I69" i="54" s="1"/>
  <c r="I70" i="54" a="1"/>
  <c r="I70" i="54" s="1"/>
  <c r="K69" i="54" a="1"/>
  <c r="K69" i="54" s="1"/>
  <c r="K70" i="54" a="1"/>
  <c r="K70" i="54" s="1"/>
  <c r="K66" i="54" a="1"/>
  <c r="K66" i="54" s="1"/>
  <c r="I66" i="54" a="1"/>
  <c r="I66" i="54" s="1"/>
  <c r="H66" i="54" a="1"/>
  <c r="H66" i="54" s="1"/>
  <c r="J66" i="54" s="1" a="1"/>
  <c r="J66" i="54" s="1"/>
  <c r="F66" i="54" a="1"/>
  <c r="F66" i="54" s="1"/>
  <c r="E66" i="54" a="1"/>
  <c r="E66" i="54" s="1"/>
  <c r="G66" i="54" s="1" a="1"/>
  <c r="G66" i="54" s="1"/>
  <c r="D66" i="54" a="1"/>
  <c r="D66" i="54" s="1"/>
  <c r="C66" i="54" a="1"/>
  <c r="C66" i="54" s="1"/>
  <c r="B66" i="54" a="1"/>
  <c r="B66" i="54" s="1"/>
  <c r="B67" i="54" a="1"/>
  <c r="B67" i="54" s="1"/>
  <c r="C67" i="54" a="1"/>
  <c r="C67" i="54" s="1"/>
  <c r="D67" i="54" a="1"/>
  <c r="D67" i="54" s="1"/>
  <c r="E67" i="54" a="1"/>
  <c r="E67" i="54" s="1"/>
  <c r="G67" i="54" s="1" a="1"/>
  <c r="G67" i="54" s="1"/>
  <c r="F67" i="54" a="1"/>
  <c r="F67" i="54" s="1"/>
  <c r="H67" i="54" a="1"/>
  <c r="H67" i="54" s="1"/>
  <c r="J67" i="54" s="1" a="1"/>
  <c r="J67" i="54" s="1"/>
  <c r="I67" i="54" a="1"/>
  <c r="I67" i="54" s="1"/>
  <c r="K67" i="54" a="1"/>
  <c r="K67" i="54" s="1"/>
  <c r="K65" i="54" a="1"/>
  <c r="K65" i="54" s="1"/>
  <c r="I65" i="54" a="1"/>
  <c r="I65" i="54" s="1"/>
  <c r="H65" i="54" a="1"/>
  <c r="H65" i="54" s="1"/>
  <c r="J65" i="54" s="1" a="1"/>
  <c r="J65" i="54" s="1"/>
  <c r="F65" i="54" a="1"/>
  <c r="F65" i="54" s="1"/>
  <c r="E65" i="54" a="1"/>
  <c r="E65" i="54" s="1"/>
  <c r="G65" i="54" s="1" a="1"/>
  <c r="G65" i="54" s="1"/>
  <c r="D65" i="54" a="1"/>
  <c r="D65" i="54" s="1"/>
  <c r="C65" i="54" a="1"/>
  <c r="C65" i="54" s="1"/>
  <c r="B65" i="54" a="1"/>
  <c r="B65" i="54" s="1"/>
  <c r="K64" i="54" a="1"/>
  <c r="K64" i="54" s="1"/>
  <c r="I64" i="54" a="1"/>
  <c r="I64" i="54" s="1"/>
  <c r="H64" i="54" a="1"/>
  <c r="H64" i="54" s="1"/>
  <c r="J64" i="54" s="1" a="1"/>
  <c r="J64" i="54" s="1"/>
  <c r="F64" i="54" a="1"/>
  <c r="F64" i="54" s="1"/>
  <c r="E64" i="54" a="1"/>
  <c r="E64" i="54" s="1"/>
  <c r="G64" i="54" s="1" a="1"/>
  <c r="G64" i="54" s="1"/>
  <c r="D64" i="54" a="1"/>
  <c r="D64" i="54" s="1"/>
  <c r="C64" i="54" a="1"/>
  <c r="C64" i="54" s="1"/>
  <c r="B64" i="54" a="1"/>
  <c r="B64" i="54" s="1"/>
  <c r="I60" i="54" a="1"/>
  <c r="I60" i="54" s="1"/>
  <c r="I58" i="54" a="1"/>
  <c r="I58" i="54" s="1"/>
  <c r="I56" i="54" a="1"/>
  <c r="I56" i="54" s="1"/>
  <c r="I55" i="54" a="1"/>
  <c r="I55" i="54" s="1"/>
  <c r="F54" i="54" a="1"/>
  <c r="F54" i="54" s="1"/>
  <c r="I53" i="54" a="1"/>
  <c r="I53" i="54" s="1"/>
  <c r="F51" i="54" a="1"/>
  <c r="F51" i="54" s="1"/>
  <c r="I48" i="54" a="1"/>
  <c r="I48" i="54" s="1"/>
  <c r="I45" i="54" a="1"/>
  <c r="I45" i="54" s="1"/>
  <c r="F45" i="54" a="1"/>
  <c r="F45" i="54" s="1"/>
  <c r="I44" i="54" a="1"/>
  <c r="I44" i="54" s="1"/>
  <c r="I42" i="54" a="1"/>
  <c r="I42" i="54" s="1"/>
  <c r="F42" i="54" a="1"/>
  <c r="F42" i="54" s="1"/>
  <c r="I40" i="54" a="1"/>
  <c r="I40" i="54" s="1"/>
  <c r="I36" i="54" a="1"/>
  <c r="I36" i="54" s="1"/>
  <c r="F36" i="54" a="1"/>
  <c r="F36" i="54" s="1"/>
  <c r="I32" i="54" a="1"/>
  <c r="I32" i="54" s="1"/>
  <c r="F30" i="54" a="1"/>
  <c r="F30" i="54" s="1"/>
  <c r="I29" i="54" a="1"/>
  <c r="I29" i="54" s="1"/>
  <c r="F29" i="54" a="1"/>
  <c r="F29" i="54" s="1"/>
  <c r="F26" i="54" a="1"/>
  <c r="F26" i="54" s="1"/>
  <c r="F24" i="54" a="1"/>
  <c r="F24" i="54" s="1"/>
  <c r="I23" i="54" a="1"/>
  <c r="I23" i="54" s="1"/>
  <c r="I18" i="54" a="1"/>
  <c r="I18" i="54" s="1"/>
  <c r="I16" i="54" a="1"/>
  <c r="I16" i="54" s="1"/>
  <c r="I15" i="54" a="1"/>
  <c r="I15" i="54" s="1"/>
  <c r="C83" i="54" a="1"/>
  <c r="C83" i="54" s="1"/>
  <c r="C110" i="54" s="1"/>
  <c r="C78" i="54" a="1"/>
  <c r="C78" i="54" s="1"/>
  <c r="C109" i="54" s="1"/>
  <c r="K63" i="54" a="1"/>
  <c r="K63" i="54" s="1"/>
  <c r="I63" i="54" a="1"/>
  <c r="I63" i="54" s="1"/>
  <c r="H63" i="54" a="1"/>
  <c r="H63" i="54" s="1"/>
  <c r="J63" i="54" s="1" a="1"/>
  <c r="J63" i="54" s="1"/>
  <c r="F63" i="54" a="1"/>
  <c r="F63" i="54" s="1"/>
  <c r="E63" i="54" a="1"/>
  <c r="E63" i="54" s="1"/>
  <c r="G63" i="54" s="1" a="1"/>
  <c r="G63" i="54" s="1"/>
  <c r="D63" i="54" a="1"/>
  <c r="D63" i="54" s="1"/>
  <c r="C63" i="54" a="1"/>
  <c r="C63" i="54" s="1"/>
  <c r="B63" i="54" a="1"/>
  <c r="B63" i="54" s="1"/>
  <c r="K62" i="54" a="1"/>
  <c r="K62" i="54" s="1"/>
  <c r="I62" i="54" a="1"/>
  <c r="I62" i="54" s="1"/>
  <c r="H62" i="54" a="1"/>
  <c r="H62" i="54" s="1"/>
  <c r="J62" i="54" s="1" a="1"/>
  <c r="J62" i="54" s="1"/>
  <c r="F62" i="54" a="1"/>
  <c r="F62" i="54" s="1"/>
  <c r="E62" i="54" a="1"/>
  <c r="E62" i="54" s="1"/>
  <c r="G62" i="54" s="1" a="1"/>
  <c r="G62" i="54" s="1"/>
  <c r="D62" i="54" a="1"/>
  <c r="D62" i="54" s="1"/>
  <c r="C62" i="54" a="1"/>
  <c r="C62" i="54" s="1"/>
  <c r="B62" i="54" a="1"/>
  <c r="B62" i="54" s="1"/>
  <c r="K61" i="54" a="1"/>
  <c r="K61" i="54" s="1"/>
  <c r="I61" i="54" a="1"/>
  <c r="I61" i="54" s="1"/>
  <c r="H61" i="54" a="1"/>
  <c r="H61" i="54" s="1"/>
  <c r="J61" i="54" s="1" a="1"/>
  <c r="J61" i="54" s="1"/>
  <c r="F61" i="54" a="1"/>
  <c r="F61" i="54" s="1"/>
  <c r="E61" i="54" a="1"/>
  <c r="E61" i="54" s="1"/>
  <c r="G61" i="54" s="1" a="1"/>
  <c r="G61" i="54" s="1"/>
  <c r="D61" i="54" a="1"/>
  <c r="D61" i="54" s="1"/>
  <c r="C61" i="54" a="1"/>
  <c r="C61" i="54" s="1"/>
  <c r="B61" i="54" a="1"/>
  <c r="B61" i="54" s="1"/>
  <c r="K60" i="54" a="1"/>
  <c r="K60" i="54" s="1"/>
  <c r="H60" i="54" a="1"/>
  <c r="H60" i="54" s="1"/>
  <c r="J60" i="54" s="1" a="1"/>
  <c r="J60" i="54" s="1"/>
  <c r="F60" i="54" a="1"/>
  <c r="F60" i="54" s="1"/>
  <c r="E60" i="54" a="1"/>
  <c r="E60" i="54" s="1"/>
  <c r="G60" i="54" s="1" a="1"/>
  <c r="G60" i="54" s="1"/>
  <c r="D60" i="54" a="1"/>
  <c r="D60" i="54" s="1"/>
  <c r="C60" i="54" a="1"/>
  <c r="C60" i="54" s="1"/>
  <c r="B60" i="54" a="1"/>
  <c r="B60" i="54" s="1"/>
  <c r="K59" i="54" a="1"/>
  <c r="K59" i="54" s="1"/>
  <c r="I59" i="54" a="1"/>
  <c r="I59" i="54" s="1"/>
  <c r="H59" i="54" a="1"/>
  <c r="H59" i="54" s="1"/>
  <c r="J59" i="54" s="1" a="1"/>
  <c r="J59" i="54" s="1"/>
  <c r="F59" i="54" a="1"/>
  <c r="F59" i="54" s="1"/>
  <c r="E59" i="54" a="1"/>
  <c r="E59" i="54" s="1"/>
  <c r="G59" i="54" s="1" a="1"/>
  <c r="G59" i="54" s="1"/>
  <c r="D59" i="54" a="1"/>
  <c r="D59" i="54" s="1"/>
  <c r="C59" i="54" a="1"/>
  <c r="C59" i="54" s="1"/>
  <c r="B59" i="54" a="1"/>
  <c r="B59" i="54" s="1"/>
  <c r="K58" i="54" a="1"/>
  <c r="K58" i="54" s="1"/>
  <c r="H58" i="54" a="1"/>
  <c r="H58" i="54" s="1"/>
  <c r="J58" i="54" s="1" a="1"/>
  <c r="J58" i="54" s="1"/>
  <c r="F58" i="54" a="1"/>
  <c r="F58" i="54" s="1"/>
  <c r="E58" i="54" a="1"/>
  <c r="E58" i="54" s="1"/>
  <c r="G58" i="54" s="1" a="1"/>
  <c r="G58" i="54" s="1"/>
  <c r="D58" i="54" a="1"/>
  <c r="D58" i="54" s="1"/>
  <c r="C58" i="54" a="1"/>
  <c r="C58" i="54" s="1"/>
  <c r="B58" i="54" a="1"/>
  <c r="B58" i="54" s="1"/>
  <c r="K57" i="54" a="1"/>
  <c r="K57" i="54" s="1"/>
  <c r="I57" i="54" a="1"/>
  <c r="I57" i="54" s="1"/>
  <c r="H57" i="54" a="1"/>
  <c r="H57" i="54" s="1"/>
  <c r="J57" i="54" s="1" a="1"/>
  <c r="J57" i="54" s="1"/>
  <c r="F57" i="54" a="1"/>
  <c r="F57" i="54" s="1"/>
  <c r="E57" i="54" a="1"/>
  <c r="E57" i="54" s="1"/>
  <c r="G57" i="54" s="1" a="1"/>
  <c r="G57" i="54" s="1"/>
  <c r="D57" i="54" a="1"/>
  <c r="D57" i="54" s="1"/>
  <c r="C57" i="54" a="1"/>
  <c r="C57" i="54" s="1"/>
  <c r="B57" i="54" a="1"/>
  <c r="B57" i="54" s="1"/>
  <c r="K56" i="54" a="1"/>
  <c r="K56" i="54" s="1"/>
  <c r="H56" i="54" a="1"/>
  <c r="H56" i="54" s="1"/>
  <c r="J56" i="54" s="1" a="1"/>
  <c r="J56" i="54" s="1"/>
  <c r="F56" i="54" a="1"/>
  <c r="F56" i="54" s="1"/>
  <c r="E56" i="54" a="1"/>
  <c r="E56" i="54" s="1"/>
  <c r="G56" i="54" s="1" a="1"/>
  <c r="G56" i="54" s="1"/>
  <c r="D56" i="54" a="1"/>
  <c r="D56" i="54" s="1"/>
  <c r="C56" i="54" a="1"/>
  <c r="C56" i="54" s="1"/>
  <c r="B56" i="54" a="1"/>
  <c r="B56" i="54" s="1"/>
  <c r="K55" i="54" a="1"/>
  <c r="K55" i="54" s="1"/>
  <c r="H55" i="54" a="1"/>
  <c r="H55" i="54" s="1"/>
  <c r="J55" i="54" s="1" a="1"/>
  <c r="J55" i="54" s="1"/>
  <c r="F55" i="54" a="1"/>
  <c r="F55" i="54" s="1"/>
  <c r="E55" i="54" a="1"/>
  <c r="E55" i="54" s="1"/>
  <c r="G55" i="54" s="1" a="1"/>
  <c r="G55" i="54" s="1"/>
  <c r="D55" i="54" a="1"/>
  <c r="D55" i="54" s="1"/>
  <c r="C55" i="54" a="1"/>
  <c r="C55" i="54" s="1"/>
  <c r="B55" i="54" a="1"/>
  <c r="B55" i="54" s="1"/>
  <c r="K54" i="54" a="1"/>
  <c r="K54" i="54" s="1"/>
  <c r="I54" i="54" a="1"/>
  <c r="I54" i="54" s="1"/>
  <c r="H54" i="54" a="1"/>
  <c r="H54" i="54" s="1"/>
  <c r="J54" i="54" s="1" a="1"/>
  <c r="J54" i="54" s="1"/>
  <c r="E54" i="54" a="1"/>
  <c r="E54" i="54" s="1"/>
  <c r="G54" i="54" s="1" a="1"/>
  <c r="G54" i="54" s="1"/>
  <c r="D54" i="54" a="1"/>
  <c r="D54" i="54" s="1"/>
  <c r="C54" i="54" a="1"/>
  <c r="C54" i="54" s="1"/>
  <c r="B54" i="54" a="1"/>
  <c r="B54" i="54" s="1"/>
  <c r="K53" i="54" a="1"/>
  <c r="K53" i="54" s="1"/>
  <c r="H53" i="54" a="1"/>
  <c r="H53" i="54" s="1"/>
  <c r="J53" i="54" s="1" a="1"/>
  <c r="J53" i="54" s="1"/>
  <c r="F53" i="54" a="1"/>
  <c r="F53" i="54" s="1"/>
  <c r="E53" i="54" a="1"/>
  <c r="E53" i="54" s="1"/>
  <c r="G53" i="54" s="1" a="1"/>
  <c r="G53" i="54" s="1"/>
  <c r="D53" i="54" a="1"/>
  <c r="D53" i="54" s="1"/>
  <c r="C53" i="54" a="1"/>
  <c r="C53" i="54" s="1"/>
  <c r="B53" i="54" a="1"/>
  <c r="B53" i="54" s="1"/>
  <c r="K52" i="54" a="1"/>
  <c r="K52" i="54" s="1"/>
  <c r="I52" i="54" a="1"/>
  <c r="I52" i="54" s="1"/>
  <c r="H52" i="54" a="1"/>
  <c r="H52" i="54" s="1"/>
  <c r="J52" i="54" s="1" a="1"/>
  <c r="J52" i="54" s="1"/>
  <c r="F52" i="54" a="1"/>
  <c r="F52" i="54" s="1"/>
  <c r="E52" i="54" a="1"/>
  <c r="E52" i="54" s="1"/>
  <c r="G52" i="54" s="1" a="1"/>
  <c r="G52" i="54" s="1"/>
  <c r="D52" i="54" a="1"/>
  <c r="D52" i="54" s="1"/>
  <c r="C52" i="54" a="1"/>
  <c r="C52" i="54" s="1"/>
  <c r="B52" i="54" a="1"/>
  <c r="B52" i="54" s="1"/>
  <c r="K51" i="54" a="1"/>
  <c r="K51" i="54" s="1"/>
  <c r="I51" i="54" a="1"/>
  <c r="I51" i="54" s="1"/>
  <c r="H51" i="54" a="1"/>
  <c r="H51" i="54" s="1"/>
  <c r="J51" i="54" s="1" a="1"/>
  <c r="J51" i="54" s="1"/>
  <c r="E51" i="54" a="1"/>
  <c r="E51" i="54" s="1"/>
  <c r="G51" i="54" s="1" a="1"/>
  <c r="G51" i="54" s="1"/>
  <c r="D51" i="54" a="1"/>
  <c r="D51" i="54" s="1"/>
  <c r="C51" i="54" a="1"/>
  <c r="C51" i="54" s="1"/>
  <c r="B51" i="54" a="1"/>
  <c r="B51" i="54" s="1"/>
  <c r="K50" i="54" a="1"/>
  <c r="K50" i="54" s="1"/>
  <c r="I50" i="54" a="1"/>
  <c r="I50" i="54" s="1"/>
  <c r="H50" i="54" a="1"/>
  <c r="H50" i="54" s="1"/>
  <c r="J50" i="54" s="1" a="1"/>
  <c r="J50" i="54" s="1"/>
  <c r="F50" i="54" a="1"/>
  <c r="F50" i="54" s="1"/>
  <c r="E50" i="54" a="1"/>
  <c r="E50" i="54" s="1"/>
  <c r="G50" i="54" s="1" a="1"/>
  <c r="G50" i="54" s="1"/>
  <c r="D50" i="54" a="1"/>
  <c r="D50" i="54" s="1"/>
  <c r="C50" i="54" a="1"/>
  <c r="C50" i="54" s="1"/>
  <c r="B50" i="54" a="1"/>
  <c r="B50" i="54" s="1"/>
  <c r="K49" i="54" a="1"/>
  <c r="K49" i="54" s="1"/>
  <c r="I49" i="54" a="1"/>
  <c r="I49" i="54" s="1"/>
  <c r="H49" i="54" a="1"/>
  <c r="H49" i="54" s="1"/>
  <c r="J49" i="54" s="1" a="1"/>
  <c r="J49" i="54" s="1"/>
  <c r="F49" i="54" a="1"/>
  <c r="F49" i="54" s="1"/>
  <c r="E49" i="54" a="1"/>
  <c r="E49" i="54" s="1"/>
  <c r="G49" i="54" s="1" a="1"/>
  <c r="G49" i="54" s="1"/>
  <c r="D49" i="54" a="1"/>
  <c r="D49" i="54" s="1"/>
  <c r="C49" i="54" a="1"/>
  <c r="C49" i="54" s="1"/>
  <c r="B49" i="54" a="1"/>
  <c r="B49" i="54" s="1"/>
  <c r="K48" i="54" a="1"/>
  <c r="K48" i="54" s="1"/>
  <c r="H48" i="54" a="1"/>
  <c r="H48" i="54" s="1"/>
  <c r="J48" i="54" s="1" a="1"/>
  <c r="J48" i="54" s="1"/>
  <c r="F48" i="54" a="1"/>
  <c r="F48" i="54" s="1"/>
  <c r="E48" i="54" a="1"/>
  <c r="E48" i="54" s="1"/>
  <c r="G48" i="54" s="1" a="1"/>
  <c r="G48" i="54" s="1"/>
  <c r="D48" i="54" a="1"/>
  <c r="D48" i="54" s="1"/>
  <c r="C48" i="54" a="1"/>
  <c r="C48" i="54" s="1"/>
  <c r="B48" i="54" a="1"/>
  <c r="B48" i="54" s="1"/>
  <c r="K47" i="54" a="1"/>
  <c r="K47" i="54" s="1"/>
  <c r="I47" i="54" a="1"/>
  <c r="I47" i="54" s="1"/>
  <c r="H47" i="54" a="1"/>
  <c r="H47" i="54" s="1"/>
  <c r="J47" i="54" s="1" a="1"/>
  <c r="J47" i="54" s="1"/>
  <c r="F47" i="54" a="1"/>
  <c r="F47" i="54" s="1"/>
  <c r="E47" i="54" a="1"/>
  <c r="E47" i="54" s="1"/>
  <c r="G47" i="54" s="1" a="1"/>
  <c r="G47" i="54" s="1"/>
  <c r="D47" i="54" a="1"/>
  <c r="D47" i="54" s="1"/>
  <c r="C47" i="54" a="1"/>
  <c r="C47" i="54" s="1"/>
  <c r="B47" i="54" a="1"/>
  <c r="B47" i="54" s="1"/>
  <c r="K46" i="54" a="1"/>
  <c r="K46" i="54" s="1"/>
  <c r="I46" i="54" a="1"/>
  <c r="I46" i="54" s="1"/>
  <c r="H46" i="54" a="1"/>
  <c r="H46" i="54" s="1"/>
  <c r="J46" i="54" s="1" a="1"/>
  <c r="J46" i="54" s="1"/>
  <c r="F46" i="54" a="1"/>
  <c r="F46" i="54" s="1"/>
  <c r="E46" i="54" a="1"/>
  <c r="E46" i="54" s="1"/>
  <c r="G46" i="54" s="1" a="1"/>
  <c r="G46" i="54" s="1"/>
  <c r="D46" i="54" a="1"/>
  <c r="D46" i="54" s="1"/>
  <c r="C46" i="54" a="1"/>
  <c r="C46" i="54" s="1"/>
  <c r="B46" i="54" a="1"/>
  <c r="B46" i="54" s="1"/>
  <c r="K45" i="54" a="1"/>
  <c r="K45" i="54" s="1"/>
  <c r="H45" i="54" a="1"/>
  <c r="H45" i="54" s="1"/>
  <c r="J45" i="54" s="1" a="1"/>
  <c r="J45" i="54" s="1"/>
  <c r="E45" i="54" a="1"/>
  <c r="E45" i="54" s="1"/>
  <c r="G45" i="54" s="1" a="1"/>
  <c r="G45" i="54" s="1"/>
  <c r="D45" i="54" a="1"/>
  <c r="D45" i="54" s="1"/>
  <c r="C45" i="54" a="1"/>
  <c r="C45" i="54" s="1"/>
  <c r="B45" i="54" a="1"/>
  <c r="B45" i="54" s="1"/>
  <c r="K44" i="54" a="1"/>
  <c r="K44" i="54" s="1"/>
  <c r="H44" i="54" a="1"/>
  <c r="H44" i="54" s="1"/>
  <c r="J44" i="54" s="1" a="1"/>
  <c r="J44" i="54" s="1"/>
  <c r="F44" i="54" a="1"/>
  <c r="F44" i="54" s="1"/>
  <c r="E44" i="54" a="1"/>
  <c r="E44" i="54" s="1"/>
  <c r="G44" i="54" s="1" a="1"/>
  <c r="G44" i="54" s="1"/>
  <c r="D44" i="54" a="1"/>
  <c r="D44" i="54" s="1"/>
  <c r="C44" i="54" a="1"/>
  <c r="C44" i="54" s="1"/>
  <c r="B44" i="54" a="1"/>
  <c r="B44" i="54" s="1"/>
  <c r="K43" i="54" a="1"/>
  <c r="K43" i="54" s="1"/>
  <c r="I43" i="54" a="1"/>
  <c r="I43" i="54" s="1"/>
  <c r="H43" i="54" a="1"/>
  <c r="H43" i="54" s="1"/>
  <c r="J43" i="54" s="1" a="1"/>
  <c r="J43" i="54" s="1"/>
  <c r="F43" i="54" a="1"/>
  <c r="F43" i="54" s="1"/>
  <c r="E43" i="54" a="1"/>
  <c r="E43" i="54" s="1"/>
  <c r="G43" i="54" s="1" a="1"/>
  <c r="G43" i="54" s="1"/>
  <c r="D43" i="54" a="1"/>
  <c r="D43" i="54" s="1"/>
  <c r="C43" i="54" a="1"/>
  <c r="C43" i="54" s="1"/>
  <c r="B43" i="54" a="1"/>
  <c r="B43" i="54" s="1"/>
  <c r="K42" i="54" a="1"/>
  <c r="K42" i="54" s="1"/>
  <c r="H42" i="54" a="1"/>
  <c r="H42" i="54" s="1"/>
  <c r="J42" i="54" s="1" a="1"/>
  <c r="J42" i="54" s="1"/>
  <c r="E42" i="54" a="1"/>
  <c r="E42" i="54" s="1"/>
  <c r="G42" i="54" s="1" a="1"/>
  <c r="G42" i="54" s="1"/>
  <c r="D42" i="54" a="1"/>
  <c r="D42" i="54" s="1"/>
  <c r="C42" i="54" a="1"/>
  <c r="C42" i="54" s="1"/>
  <c r="B42" i="54" a="1"/>
  <c r="B42" i="54" s="1"/>
  <c r="K41" i="54" a="1"/>
  <c r="K41" i="54" s="1"/>
  <c r="I41" i="54" a="1"/>
  <c r="I41" i="54" s="1"/>
  <c r="H41" i="54" a="1"/>
  <c r="H41" i="54" s="1"/>
  <c r="J41" i="54" s="1" a="1"/>
  <c r="J41" i="54" s="1"/>
  <c r="F41" i="54" a="1"/>
  <c r="F41" i="54" s="1"/>
  <c r="E41" i="54" a="1"/>
  <c r="E41" i="54" s="1"/>
  <c r="G41" i="54" s="1" a="1"/>
  <c r="G41" i="54" s="1"/>
  <c r="D41" i="54" a="1"/>
  <c r="D41" i="54" s="1"/>
  <c r="C41" i="54" a="1"/>
  <c r="C41" i="54" s="1"/>
  <c r="B41" i="54" a="1"/>
  <c r="B41" i="54" s="1"/>
  <c r="K40" i="54" a="1"/>
  <c r="K40" i="54" s="1"/>
  <c r="H40" i="54" a="1"/>
  <c r="H40" i="54" s="1"/>
  <c r="J40" i="54" s="1" a="1"/>
  <c r="J40" i="54" s="1"/>
  <c r="F40" i="54" a="1"/>
  <c r="F40" i="54" s="1"/>
  <c r="E40" i="54" a="1"/>
  <c r="E40" i="54" s="1"/>
  <c r="G40" i="54" s="1" a="1"/>
  <c r="G40" i="54" s="1"/>
  <c r="D40" i="54" a="1"/>
  <c r="D40" i="54" s="1"/>
  <c r="C40" i="54" a="1"/>
  <c r="C40" i="54" s="1"/>
  <c r="B40" i="54" a="1"/>
  <c r="B40" i="54" s="1"/>
  <c r="K39" i="54" a="1"/>
  <c r="K39" i="54" s="1"/>
  <c r="I39" i="54" a="1"/>
  <c r="I39" i="54" s="1"/>
  <c r="H39" i="54" a="1"/>
  <c r="H39" i="54" s="1"/>
  <c r="J39" i="54" s="1" a="1"/>
  <c r="J39" i="54" s="1"/>
  <c r="F39" i="54" a="1"/>
  <c r="F39" i="54" s="1"/>
  <c r="E39" i="54" a="1"/>
  <c r="E39" i="54" s="1"/>
  <c r="G39" i="54" s="1" a="1"/>
  <c r="G39" i="54" s="1"/>
  <c r="D39" i="54" a="1"/>
  <c r="D39" i="54" s="1"/>
  <c r="C39" i="54" a="1"/>
  <c r="C39" i="54" s="1"/>
  <c r="B39" i="54" a="1"/>
  <c r="B39" i="54" s="1"/>
  <c r="K38" i="54" a="1"/>
  <c r="K38" i="54" s="1"/>
  <c r="I38" i="54" a="1"/>
  <c r="I38" i="54" s="1"/>
  <c r="H38" i="54" a="1"/>
  <c r="H38" i="54" s="1"/>
  <c r="J38" i="54" s="1" a="1"/>
  <c r="J38" i="54" s="1"/>
  <c r="F38" i="54" a="1"/>
  <c r="F38" i="54" s="1"/>
  <c r="E38" i="54" a="1"/>
  <c r="E38" i="54" s="1"/>
  <c r="G38" i="54" s="1" a="1"/>
  <c r="G38" i="54" s="1"/>
  <c r="D38" i="54" a="1"/>
  <c r="D38" i="54" s="1"/>
  <c r="C38" i="54" a="1"/>
  <c r="C38" i="54" s="1"/>
  <c r="B38" i="54" a="1"/>
  <c r="B38" i="54" s="1"/>
  <c r="K37" i="54" a="1"/>
  <c r="K37" i="54" s="1"/>
  <c r="I37" i="54" a="1"/>
  <c r="I37" i="54" s="1"/>
  <c r="H37" i="54" a="1"/>
  <c r="H37" i="54" s="1"/>
  <c r="J37" i="54" s="1" a="1"/>
  <c r="J37" i="54" s="1"/>
  <c r="F37" i="54" a="1"/>
  <c r="F37" i="54" s="1"/>
  <c r="E37" i="54" a="1"/>
  <c r="E37" i="54" s="1"/>
  <c r="G37" i="54" s="1" a="1"/>
  <c r="G37" i="54" s="1"/>
  <c r="D37" i="54" a="1"/>
  <c r="D37" i="54" s="1"/>
  <c r="C37" i="54" a="1"/>
  <c r="C37" i="54" s="1"/>
  <c r="B37" i="54" a="1"/>
  <c r="B37" i="54" s="1"/>
  <c r="K36" i="54" a="1"/>
  <c r="K36" i="54" s="1"/>
  <c r="H36" i="54" a="1"/>
  <c r="H36" i="54" s="1"/>
  <c r="J36" i="54" s="1" a="1"/>
  <c r="J36" i="54" s="1"/>
  <c r="E36" i="54" a="1"/>
  <c r="E36" i="54" s="1"/>
  <c r="G36" i="54" s="1" a="1"/>
  <c r="G36" i="54" s="1"/>
  <c r="D36" i="54" a="1"/>
  <c r="D36" i="54" s="1"/>
  <c r="C36" i="54" a="1"/>
  <c r="C36" i="54" s="1"/>
  <c r="B36" i="54" a="1"/>
  <c r="B36" i="54" s="1"/>
  <c r="K35" i="54" a="1"/>
  <c r="K35" i="54" s="1"/>
  <c r="I35" i="54" a="1"/>
  <c r="I35" i="54" s="1"/>
  <c r="H35" i="54" a="1"/>
  <c r="H35" i="54" s="1"/>
  <c r="J35" i="54" s="1" a="1"/>
  <c r="J35" i="54" s="1"/>
  <c r="F35" i="54" a="1"/>
  <c r="F35" i="54" s="1"/>
  <c r="E35" i="54" a="1"/>
  <c r="E35" i="54" s="1"/>
  <c r="G35" i="54" s="1" a="1"/>
  <c r="G35" i="54" s="1"/>
  <c r="D35" i="54" a="1"/>
  <c r="D35" i="54" s="1"/>
  <c r="C35" i="54" a="1"/>
  <c r="C35" i="54" s="1"/>
  <c r="B35" i="54" a="1"/>
  <c r="B35" i="54" s="1"/>
  <c r="K34" i="54" a="1"/>
  <c r="K34" i="54" s="1"/>
  <c r="I34" i="54" a="1"/>
  <c r="I34" i="54" s="1"/>
  <c r="H34" i="54" a="1"/>
  <c r="H34" i="54" s="1"/>
  <c r="J34" i="54" s="1" a="1"/>
  <c r="J34" i="54" s="1"/>
  <c r="F34" i="54" a="1"/>
  <c r="F34" i="54" s="1"/>
  <c r="E34" i="54" a="1"/>
  <c r="E34" i="54" s="1"/>
  <c r="G34" i="54" s="1" a="1"/>
  <c r="G34" i="54" s="1"/>
  <c r="D34" i="54" a="1"/>
  <c r="D34" i="54" s="1"/>
  <c r="C34" i="54" a="1"/>
  <c r="C34" i="54" s="1"/>
  <c r="B34" i="54" a="1"/>
  <c r="B34" i="54" s="1"/>
  <c r="K33" i="54" a="1"/>
  <c r="K33" i="54" s="1"/>
  <c r="I33" i="54" a="1"/>
  <c r="I33" i="54" s="1"/>
  <c r="H33" i="54" a="1"/>
  <c r="H33" i="54" s="1"/>
  <c r="J33" i="54" s="1" a="1"/>
  <c r="J33" i="54" s="1"/>
  <c r="F33" i="54" a="1"/>
  <c r="F33" i="54" s="1"/>
  <c r="E33" i="54" a="1"/>
  <c r="E33" i="54" s="1"/>
  <c r="G33" i="54" s="1" a="1"/>
  <c r="G33" i="54" s="1"/>
  <c r="D33" i="54" a="1"/>
  <c r="D33" i="54" s="1"/>
  <c r="C33" i="54" a="1"/>
  <c r="C33" i="54" s="1"/>
  <c r="B33" i="54" a="1"/>
  <c r="B33" i="54" s="1"/>
  <c r="K32" i="54" a="1"/>
  <c r="K32" i="54" s="1"/>
  <c r="H32" i="54" a="1"/>
  <c r="H32" i="54" s="1"/>
  <c r="J32" i="54" s="1" a="1"/>
  <c r="J32" i="54" s="1"/>
  <c r="F32" i="54" a="1"/>
  <c r="F32" i="54" s="1"/>
  <c r="E32" i="54" a="1"/>
  <c r="E32" i="54" s="1"/>
  <c r="G32" i="54" s="1" a="1"/>
  <c r="G32" i="54" s="1"/>
  <c r="D32" i="54" a="1"/>
  <c r="D32" i="54" s="1"/>
  <c r="C32" i="54" a="1"/>
  <c r="C32" i="54" s="1"/>
  <c r="B32" i="54" a="1"/>
  <c r="B32" i="54" s="1"/>
  <c r="K31" i="54" a="1"/>
  <c r="K31" i="54" s="1"/>
  <c r="I31" i="54" a="1"/>
  <c r="I31" i="54" s="1"/>
  <c r="H31" i="54" a="1"/>
  <c r="H31" i="54" s="1"/>
  <c r="J31" i="54" s="1" a="1"/>
  <c r="J31" i="54" s="1"/>
  <c r="F31" i="54" a="1"/>
  <c r="F31" i="54" s="1"/>
  <c r="E31" i="54" a="1"/>
  <c r="E31" i="54" s="1"/>
  <c r="G31" i="54" s="1" a="1"/>
  <c r="G31" i="54" s="1"/>
  <c r="D31" i="54" a="1"/>
  <c r="D31" i="54" s="1"/>
  <c r="C31" i="54" a="1"/>
  <c r="C31" i="54" s="1"/>
  <c r="B31" i="54" a="1"/>
  <c r="B31" i="54" s="1"/>
  <c r="K30" i="54" a="1"/>
  <c r="K30" i="54" s="1"/>
  <c r="I30" i="54" a="1"/>
  <c r="I30" i="54" s="1"/>
  <c r="H30" i="54" a="1"/>
  <c r="H30" i="54" s="1"/>
  <c r="J30" i="54" s="1" a="1"/>
  <c r="J30" i="54" s="1"/>
  <c r="E30" i="54" a="1"/>
  <c r="E30" i="54" s="1"/>
  <c r="G30" i="54" s="1" a="1"/>
  <c r="G30" i="54" s="1"/>
  <c r="D30" i="54" a="1"/>
  <c r="D30" i="54" s="1"/>
  <c r="C30" i="54" a="1"/>
  <c r="C30" i="54" s="1"/>
  <c r="B30" i="54" a="1"/>
  <c r="B30" i="54" s="1"/>
  <c r="K29" i="54" a="1"/>
  <c r="K29" i="54" s="1"/>
  <c r="H29" i="54" a="1"/>
  <c r="H29" i="54" s="1"/>
  <c r="J29" i="54" s="1" a="1"/>
  <c r="J29" i="54" s="1"/>
  <c r="E29" i="54" a="1"/>
  <c r="E29" i="54" s="1"/>
  <c r="G29" i="54" s="1" a="1"/>
  <c r="G29" i="54" s="1"/>
  <c r="D29" i="54" a="1"/>
  <c r="D29" i="54" s="1"/>
  <c r="C29" i="54" a="1"/>
  <c r="C29" i="54" s="1"/>
  <c r="B29" i="54" a="1"/>
  <c r="B29" i="54" s="1"/>
  <c r="K28" i="54" a="1"/>
  <c r="K28" i="54" s="1"/>
  <c r="I28" i="54" a="1"/>
  <c r="I28" i="54" s="1"/>
  <c r="H28" i="54" a="1"/>
  <c r="H28" i="54" s="1"/>
  <c r="J28" i="54" s="1" a="1"/>
  <c r="J28" i="54" s="1"/>
  <c r="F28" i="54" a="1"/>
  <c r="F28" i="54" s="1"/>
  <c r="E28" i="54" a="1"/>
  <c r="E28" i="54" s="1"/>
  <c r="G28" i="54" s="1" a="1"/>
  <c r="G28" i="54" s="1"/>
  <c r="D28" i="54" a="1"/>
  <c r="D28" i="54" s="1"/>
  <c r="C28" i="54" a="1"/>
  <c r="C28" i="54" s="1"/>
  <c r="B28" i="54" a="1"/>
  <c r="B28" i="54" s="1"/>
  <c r="K27" i="54" a="1"/>
  <c r="K27" i="54" s="1"/>
  <c r="I27" i="54" a="1"/>
  <c r="I27" i="54" s="1"/>
  <c r="H27" i="54" a="1"/>
  <c r="H27" i="54" s="1"/>
  <c r="J27" i="54" s="1" a="1"/>
  <c r="J27" i="54" s="1"/>
  <c r="F27" i="54" a="1"/>
  <c r="F27" i="54" s="1"/>
  <c r="E27" i="54" a="1"/>
  <c r="E27" i="54" s="1"/>
  <c r="G27" i="54" s="1" a="1"/>
  <c r="G27" i="54" s="1"/>
  <c r="D27" i="54" a="1"/>
  <c r="D27" i="54" s="1"/>
  <c r="C27" i="54" a="1"/>
  <c r="C27" i="54" s="1"/>
  <c r="B27" i="54" a="1"/>
  <c r="B27" i="54" s="1"/>
  <c r="K26" i="54" a="1"/>
  <c r="K26" i="54" s="1"/>
  <c r="I26" i="54" a="1"/>
  <c r="I26" i="54" s="1"/>
  <c r="H26" i="54" a="1"/>
  <c r="H26" i="54" s="1"/>
  <c r="J26" i="54" s="1" a="1"/>
  <c r="J26" i="54" s="1"/>
  <c r="E26" i="54" a="1"/>
  <c r="E26" i="54" s="1"/>
  <c r="G26" i="54" s="1" a="1"/>
  <c r="G26" i="54" s="1"/>
  <c r="D26" i="54" a="1"/>
  <c r="D26" i="54" s="1"/>
  <c r="C26" i="54" a="1"/>
  <c r="C26" i="54" s="1"/>
  <c r="B26" i="54" a="1"/>
  <c r="B26" i="54" s="1"/>
  <c r="K25" i="54" a="1"/>
  <c r="K25" i="54" s="1"/>
  <c r="I25" i="54" a="1"/>
  <c r="I25" i="54" s="1"/>
  <c r="H25" i="54" a="1"/>
  <c r="H25" i="54" s="1"/>
  <c r="J25" i="54" s="1" a="1"/>
  <c r="J25" i="54" s="1"/>
  <c r="F25" i="54" a="1"/>
  <c r="F25" i="54" s="1"/>
  <c r="E25" i="54" a="1"/>
  <c r="E25" i="54" s="1"/>
  <c r="G25" i="54" s="1" a="1"/>
  <c r="G25" i="54" s="1"/>
  <c r="D25" i="54" a="1"/>
  <c r="D25" i="54" s="1"/>
  <c r="C25" i="54" a="1"/>
  <c r="C25" i="54" s="1"/>
  <c r="B25" i="54" a="1"/>
  <c r="B25" i="54" s="1"/>
  <c r="K24" i="54" a="1"/>
  <c r="K24" i="54" s="1"/>
  <c r="I24" i="54" a="1"/>
  <c r="I24" i="54" s="1"/>
  <c r="H24" i="54" a="1"/>
  <c r="H24" i="54" s="1"/>
  <c r="J24" i="54" s="1" a="1"/>
  <c r="J24" i="54" s="1"/>
  <c r="E24" i="54" a="1"/>
  <c r="E24" i="54" s="1"/>
  <c r="G24" i="54" s="1" a="1"/>
  <c r="G24" i="54" s="1"/>
  <c r="D24" i="54" a="1"/>
  <c r="D24" i="54" s="1"/>
  <c r="C24" i="54" a="1"/>
  <c r="C24" i="54" s="1"/>
  <c r="B24" i="54" a="1"/>
  <c r="B24" i="54" s="1"/>
  <c r="K23" i="54" a="1"/>
  <c r="K23" i="54" s="1"/>
  <c r="H23" i="54" a="1"/>
  <c r="H23" i="54" s="1"/>
  <c r="J23" i="54" s="1" a="1"/>
  <c r="J23" i="54" s="1"/>
  <c r="F23" i="54" a="1"/>
  <c r="F23" i="54" s="1"/>
  <c r="E23" i="54" a="1"/>
  <c r="E23" i="54" s="1"/>
  <c r="G23" i="54" s="1" a="1"/>
  <c r="G23" i="54" s="1"/>
  <c r="D23" i="54" a="1"/>
  <c r="D23" i="54" s="1"/>
  <c r="C23" i="54" a="1"/>
  <c r="C23" i="54" s="1"/>
  <c r="B23" i="54" a="1"/>
  <c r="B23" i="54" s="1"/>
  <c r="K22" i="54" a="1"/>
  <c r="K22" i="54" s="1"/>
  <c r="I22" i="54" a="1"/>
  <c r="I22" i="54" s="1"/>
  <c r="H22" i="54" a="1"/>
  <c r="H22" i="54" s="1"/>
  <c r="J22" i="54" s="1" a="1"/>
  <c r="J22" i="54" s="1"/>
  <c r="F22" i="54" a="1"/>
  <c r="F22" i="54" s="1"/>
  <c r="E22" i="54" a="1"/>
  <c r="E22" i="54" s="1"/>
  <c r="G22" i="54" s="1" a="1"/>
  <c r="G22" i="54" s="1"/>
  <c r="D22" i="54" a="1"/>
  <c r="D22" i="54" s="1"/>
  <c r="C22" i="54" a="1"/>
  <c r="C22" i="54" s="1"/>
  <c r="B22" i="54" a="1"/>
  <c r="B22" i="54" s="1"/>
  <c r="K21" i="54" a="1"/>
  <c r="K21" i="54" s="1"/>
  <c r="I21" i="54" a="1"/>
  <c r="I21" i="54" s="1"/>
  <c r="H21" i="54" a="1"/>
  <c r="H21" i="54" s="1"/>
  <c r="J21" i="54" s="1" a="1"/>
  <c r="J21" i="54" s="1"/>
  <c r="F21" i="54" a="1"/>
  <c r="F21" i="54" s="1"/>
  <c r="E21" i="54" a="1"/>
  <c r="E21" i="54" s="1"/>
  <c r="G21" i="54" s="1" a="1"/>
  <c r="G21" i="54" s="1"/>
  <c r="D21" i="54" a="1"/>
  <c r="D21" i="54" s="1"/>
  <c r="C21" i="54" a="1"/>
  <c r="C21" i="54" s="1"/>
  <c r="B21" i="54" a="1"/>
  <c r="B21" i="54" s="1"/>
  <c r="K20" i="54" a="1"/>
  <c r="K20" i="54" s="1"/>
  <c r="I20" i="54" a="1"/>
  <c r="I20" i="54" s="1"/>
  <c r="H20" i="54" a="1"/>
  <c r="H20" i="54" s="1"/>
  <c r="J20" i="54" s="1" a="1"/>
  <c r="J20" i="54" s="1"/>
  <c r="F20" i="54" a="1"/>
  <c r="F20" i="54" s="1"/>
  <c r="E20" i="54" a="1"/>
  <c r="E20" i="54" s="1"/>
  <c r="G20" i="54" s="1" a="1"/>
  <c r="G20" i="54" s="1"/>
  <c r="D20" i="54" a="1"/>
  <c r="D20" i="54" s="1"/>
  <c r="C20" i="54" a="1"/>
  <c r="C20" i="54" s="1"/>
  <c r="B20" i="54" a="1"/>
  <c r="B20" i="54" s="1"/>
  <c r="K19" i="54" a="1"/>
  <c r="K19" i="54" s="1"/>
  <c r="I19" i="54" a="1"/>
  <c r="I19" i="54" s="1"/>
  <c r="H19" i="54" a="1"/>
  <c r="H19" i="54" s="1"/>
  <c r="J19" i="54" s="1" a="1"/>
  <c r="J19" i="54" s="1"/>
  <c r="F19" i="54" a="1"/>
  <c r="F19" i="54" s="1"/>
  <c r="E19" i="54" a="1"/>
  <c r="E19" i="54" s="1"/>
  <c r="G19" i="54" s="1" a="1"/>
  <c r="G19" i="54" s="1"/>
  <c r="D19" i="54" a="1"/>
  <c r="D19" i="54" s="1"/>
  <c r="C19" i="54" a="1"/>
  <c r="C19" i="54" s="1"/>
  <c r="B19" i="54" a="1"/>
  <c r="B19" i="54" s="1"/>
  <c r="K18" i="54" a="1"/>
  <c r="K18" i="54" s="1"/>
  <c r="H18" i="54" a="1"/>
  <c r="H18" i="54" s="1"/>
  <c r="J18" i="54" s="1" a="1"/>
  <c r="J18" i="54" s="1"/>
  <c r="F18" i="54" a="1"/>
  <c r="F18" i="54" s="1"/>
  <c r="E18" i="54" a="1"/>
  <c r="E18" i="54" s="1"/>
  <c r="G18" i="54" s="1" a="1"/>
  <c r="G18" i="54" s="1"/>
  <c r="D18" i="54" a="1"/>
  <c r="D18" i="54" s="1"/>
  <c r="C18" i="54" a="1"/>
  <c r="C18" i="54" s="1"/>
  <c r="B18" i="54" a="1"/>
  <c r="B18" i="54" s="1"/>
  <c r="K17" i="54" a="1"/>
  <c r="K17" i="54" s="1"/>
  <c r="I17" i="54" a="1"/>
  <c r="I17" i="54" s="1"/>
  <c r="H17" i="54" a="1"/>
  <c r="H17" i="54" s="1"/>
  <c r="J17" i="54" s="1" a="1"/>
  <c r="J17" i="54" s="1"/>
  <c r="F17" i="54" a="1"/>
  <c r="F17" i="54" s="1"/>
  <c r="E17" i="54" a="1"/>
  <c r="E17" i="54" s="1"/>
  <c r="G17" i="54" s="1" a="1"/>
  <c r="G17" i="54" s="1"/>
  <c r="D17" i="54" a="1"/>
  <c r="D17" i="54" s="1"/>
  <c r="C17" i="54" a="1"/>
  <c r="C17" i="54" s="1"/>
  <c r="B17" i="54" a="1"/>
  <c r="B17" i="54" s="1"/>
  <c r="K16" i="54" a="1"/>
  <c r="K16" i="54" s="1"/>
  <c r="H16" i="54" a="1"/>
  <c r="H16" i="54" s="1"/>
  <c r="J16" i="54" s="1" a="1"/>
  <c r="J16" i="54" s="1"/>
  <c r="F16" i="54" a="1"/>
  <c r="F16" i="54" s="1"/>
  <c r="E16" i="54" a="1"/>
  <c r="E16" i="54" s="1"/>
  <c r="G16" i="54" s="1" a="1"/>
  <c r="G16" i="54" s="1"/>
  <c r="D16" i="54" a="1"/>
  <c r="D16" i="54" s="1"/>
  <c r="C16" i="54" a="1"/>
  <c r="C16" i="54" s="1"/>
  <c r="B16" i="54" a="1"/>
  <c r="B16" i="54" s="1"/>
  <c r="K15" i="54" a="1"/>
  <c r="K15" i="54" s="1"/>
  <c r="H15" i="54" a="1"/>
  <c r="H15" i="54" s="1"/>
  <c r="J15" i="54" s="1" a="1"/>
  <c r="J15" i="54" s="1"/>
  <c r="F15" i="54" a="1"/>
  <c r="F15" i="54" s="1"/>
  <c r="E15" i="54" a="1"/>
  <c r="E15" i="54" s="1"/>
  <c r="G15" i="54" s="1" a="1"/>
  <c r="G15" i="54" s="1"/>
  <c r="D15" i="54" a="1"/>
  <c r="D15" i="54" s="1"/>
  <c r="C15" i="54" a="1"/>
  <c r="C15" i="54" s="1"/>
  <c r="B15" i="54" a="1"/>
  <c r="B15" i="54" s="1"/>
  <c r="K14" i="54" a="1"/>
  <c r="K14" i="54" s="1"/>
  <c r="I14" i="54" a="1"/>
  <c r="I14" i="54" s="1"/>
  <c r="H14" i="54" a="1"/>
  <c r="H14" i="54" s="1"/>
  <c r="J14" i="54" s="1" a="1"/>
  <c r="J14" i="54" s="1"/>
  <c r="F14" i="54" a="1"/>
  <c r="F14" i="54" s="1"/>
  <c r="E14" i="54" a="1"/>
  <c r="E14" i="54" s="1"/>
  <c r="G14" i="54" s="1" a="1"/>
  <c r="G14" i="54" s="1"/>
  <c r="D14" i="54" a="1"/>
  <c r="D14" i="54" s="1"/>
  <c r="C14" i="54" a="1"/>
  <c r="C14" i="54" s="1"/>
  <c r="B14" i="54" a="1"/>
  <c r="B14" i="54" s="1"/>
  <c r="K13" i="54" a="1"/>
  <c r="K13" i="54" s="1"/>
  <c r="I13" i="54" a="1"/>
  <c r="I13" i="54" s="1"/>
  <c r="H13" i="54" a="1"/>
  <c r="H13" i="54" s="1"/>
  <c r="J13" i="54" s="1" a="1"/>
  <c r="J13" i="54" s="1"/>
  <c r="F13" i="54" a="1"/>
  <c r="F13" i="54" s="1"/>
  <c r="E13" i="54" a="1"/>
  <c r="E13" i="54" s="1"/>
  <c r="G13" i="54" s="1" a="1"/>
  <c r="G13" i="54" s="1"/>
  <c r="D13" i="54" a="1"/>
  <c r="D13" i="54" s="1"/>
  <c r="C13" i="54" a="1"/>
  <c r="C13" i="54" s="1"/>
  <c r="B13" i="54" a="1"/>
  <c r="B13" i="54" s="1"/>
  <c r="K12" i="54" a="1"/>
  <c r="K12" i="54" s="1"/>
  <c r="I12" i="54" a="1"/>
  <c r="I12" i="54" s="1"/>
  <c r="H12" i="54" a="1"/>
  <c r="H12" i="54" s="1"/>
  <c r="J12" i="54" s="1" a="1"/>
  <c r="J12" i="54" s="1"/>
  <c r="F12" i="54" a="1"/>
  <c r="F12" i="54" s="1"/>
  <c r="E12" i="54" a="1"/>
  <c r="E12" i="54" s="1"/>
  <c r="G12" i="54" s="1" a="1"/>
  <c r="G12" i="54" s="1"/>
  <c r="D12" i="54" a="1"/>
  <c r="D12" i="54" s="1"/>
  <c r="C12" i="54" a="1"/>
  <c r="C12" i="54" s="1"/>
  <c r="B12" i="54" a="1"/>
  <c r="B12" i="54" s="1"/>
  <c r="K11" i="54" a="1"/>
  <c r="K11" i="54" s="1"/>
  <c r="I11" i="54" a="1"/>
  <c r="I11" i="54" s="1"/>
  <c r="H11" i="54" a="1"/>
  <c r="H11" i="54" s="1"/>
  <c r="J11" i="54" s="1" a="1"/>
  <c r="J11" i="54" s="1"/>
  <c r="F11" i="54" a="1"/>
  <c r="F11" i="54" s="1"/>
  <c r="E11" i="54" a="1"/>
  <c r="E11" i="54" s="1"/>
  <c r="G11" i="54" s="1" a="1"/>
  <c r="G11" i="54" s="1"/>
  <c r="D11" i="54" a="1"/>
  <c r="D11" i="54" s="1"/>
  <c r="C11" i="54" a="1"/>
  <c r="C11" i="54" s="1"/>
  <c r="B11" i="54" a="1"/>
  <c r="B11" i="54" s="1"/>
  <c r="K10" i="54" a="1"/>
  <c r="K10" i="54" s="1"/>
  <c r="I10" i="54" a="1"/>
  <c r="I10" i="54" s="1"/>
  <c r="H10" i="54" a="1"/>
  <c r="H10" i="54" s="1"/>
  <c r="J10" i="54" s="1" a="1"/>
  <c r="J10" i="54" s="1"/>
  <c r="F10" i="54" a="1"/>
  <c r="F10" i="54" s="1"/>
  <c r="E10" i="54" a="1"/>
  <c r="E10" i="54" s="1"/>
  <c r="G10" i="54" s="1" a="1"/>
  <c r="G10" i="54" s="1"/>
  <c r="D10" i="54" a="1"/>
  <c r="D10" i="54" s="1"/>
  <c r="C10" i="54" a="1"/>
  <c r="C10" i="54" s="1"/>
  <c r="B10" i="54" a="1"/>
  <c r="B10" i="54" s="1"/>
  <c r="K9" i="54" a="1"/>
  <c r="K9" i="54" s="1"/>
  <c r="I9" i="54" a="1"/>
  <c r="I9" i="54" s="1"/>
  <c r="H9" i="54" a="1"/>
  <c r="H9" i="54" s="1"/>
  <c r="J9" i="54" s="1" a="1"/>
  <c r="J9" i="54" s="1"/>
  <c r="F9" i="54" a="1"/>
  <c r="F9" i="54" s="1"/>
  <c r="E9" i="54" a="1"/>
  <c r="E9" i="54" s="1"/>
  <c r="G9" i="54" s="1" a="1"/>
  <c r="G9" i="54" s="1"/>
  <c r="D9" i="54" a="1"/>
  <c r="D9" i="54" s="1"/>
  <c r="C9" i="54" a="1"/>
  <c r="C9" i="54" s="1"/>
  <c r="B9" i="54" a="1"/>
  <c r="B9" i="54" s="1"/>
  <c r="K8" i="54" a="1"/>
  <c r="K8" i="54" s="1"/>
  <c r="I8" i="54" a="1"/>
  <c r="I8" i="54" s="1"/>
  <c r="H8" i="54" a="1"/>
  <c r="H8" i="54" s="1"/>
  <c r="J8" i="54" s="1" a="1"/>
  <c r="J8" i="54" s="1"/>
  <c r="F8" i="54" a="1"/>
  <c r="F8" i="54" s="1"/>
  <c r="E8" i="54" a="1"/>
  <c r="E8" i="54" s="1"/>
  <c r="G8" i="54" s="1" a="1"/>
  <c r="G8" i="54" s="1"/>
  <c r="D8" i="54" a="1"/>
  <c r="D8" i="54" s="1"/>
  <c r="C8" i="54" a="1"/>
  <c r="C8" i="54" s="1"/>
  <c r="G107" i="42" s="1"/>
  <c r="B8" i="54" a="1"/>
  <c r="B8" i="54" s="1"/>
  <c r="I63" i="46" a="1"/>
  <c r="I63" i="46" s="1"/>
  <c r="I62" i="46" a="1"/>
  <c r="I62" i="46" s="1"/>
  <c r="I61" i="46" a="1"/>
  <c r="I61" i="46" s="1"/>
  <c r="F63" i="46" a="1"/>
  <c r="F63" i="46" s="1"/>
  <c r="F62" i="46" a="1"/>
  <c r="F62" i="46" s="1"/>
  <c r="F61" i="46" a="1"/>
  <c r="F61" i="46" s="1"/>
  <c r="F57" i="46" a="1"/>
  <c r="F57" i="46" s="1"/>
  <c r="F56" i="46" a="1"/>
  <c r="F56" i="46" s="1"/>
  <c r="F55" i="46" a="1"/>
  <c r="F55" i="46" s="1"/>
  <c r="F52" i="46" a="1"/>
  <c r="F52" i="46" s="1"/>
  <c r="F44" i="46" a="1"/>
  <c r="F44" i="46" s="1"/>
  <c r="F34" i="46" a="1"/>
  <c r="F34" i="46" s="1"/>
  <c r="F32" i="46" a="1"/>
  <c r="F32" i="46" s="1"/>
  <c r="F23" i="46" a="1"/>
  <c r="F23" i="46" s="1"/>
  <c r="F15" i="46" a="1"/>
  <c r="F15" i="46" s="1"/>
  <c r="F14" i="46" a="1"/>
  <c r="F14" i="46" s="1"/>
  <c r="F13" i="46" a="1"/>
  <c r="F13" i="46" s="1"/>
  <c r="K63" i="46" a="1"/>
  <c r="K63" i="46" s="1"/>
  <c r="H63" i="46" a="1"/>
  <c r="H63" i="46" s="1"/>
  <c r="J63" i="46" s="1" a="1"/>
  <c r="J63" i="46" s="1"/>
  <c r="E63" i="46" a="1"/>
  <c r="E63" i="46" s="1"/>
  <c r="G63" i="46" s="1" a="1"/>
  <c r="G63" i="46" s="1"/>
  <c r="D63" i="46" a="1"/>
  <c r="D63" i="46" s="1"/>
  <c r="C63" i="46" a="1"/>
  <c r="C63" i="46" s="1"/>
  <c r="B63" i="46" a="1"/>
  <c r="B63" i="46" s="1"/>
  <c r="K62" i="46" a="1"/>
  <c r="K62" i="46" s="1"/>
  <c r="H62" i="46" a="1"/>
  <c r="H62" i="46" s="1"/>
  <c r="J62" i="46" s="1" a="1"/>
  <c r="J62" i="46" s="1"/>
  <c r="E62" i="46" a="1"/>
  <c r="E62" i="46" s="1"/>
  <c r="G62" i="46" s="1" a="1"/>
  <c r="G62" i="46" s="1"/>
  <c r="D62" i="46" a="1"/>
  <c r="D62" i="46" s="1"/>
  <c r="C62" i="46" a="1"/>
  <c r="C62" i="46" s="1"/>
  <c r="B62" i="46" a="1"/>
  <c r="B62" i="46" s="1"/>
  <c r="K61" i="46" a="1"/>
  <c r="K61" i="46" s="1"/>
  <c r="H61" i="46" a="1"/>
  <c r="H61" i="46" s="1"/>
  <c r="J61" i="46" s="1" a="1"/>
  <c r="J61" i="46" s="1"/>
  <c r="E61" i="46" a="1"/>
  <c r="E61" i="46" s="1"/>
  <c r="G61" i="46" s="1" a="1"/>
  <c r="G61" i="46" s="1"/>
  <c r="D61" i="46" a="1"/>
  <c r="D61" i="46" s="1"/>
  <c r="C61" i="46" a="1"/>
  <c r="C61" i="46" s="1"/>
  <c r="B61" i="46" a="1"/>
  <c r="B61" i="46" s="1"/>
  <c r="K60" i="46" a="1"/>
  <c r="K60" i="46" s="1"/>
  <c r="H60" i="46" a="1"/>
  <c r="H60" i="46" s="1"/>
  <c r="J60" i="46" s="1" a="1"/>
  <c r="J60" i="46" s="1"/>
  <c r="E60" i="46" a="1"/>
  <c r="E60" i="46" s="1"/>
  <c r="G60" i="46" s="1" a="1"/>
  <c r="G60" i="46" s="1"/>
  <c r="D60" i="46" a="1"/>
  <c r="D60" i="46" s="1"/>
  <c r="C60" i="46" a="1"/>
  <c r="C60" i="46" s="1"/>
  <c r="B60" i="46" a="1"/>
  <c r="B60" i="46" s="1"/>
  <c r="K59" i="46" a="1"/>
  <c r="K59" i="46" s="1"/>
  <c r="H59" i="46" a="1"/>
  <c r="H59" i="46" s="1"/>
  <c r="J59" i="46" s="1" a="1"/>
  <c r="J59" i="46" s="1"/>
  <c r="E59" i="46" a="1"/>
  <c r="E59" i="46" s="1"/>
  <c r="G59" i="46" s="1" a="1"/>
  <c r="G59" i="46" s="1"/>
  <c r="D59" i="46" a="1"/>
  <c r="D59" i="46" s="1"/>
  <c r="C59" i="46" a="1"/>
  <c r="C59" i="46" s="1"/>
  <c r="B59" i="46" a="1"/>
  <c r="B59" i="46" s="1"/>
  <c r="K58" i="46" a="1"/>
  <c r="K58" i="46" s="1"/>
  <c r="H58" i="46" a="1"/>
  <c r="H58" i="46" s="1"/>
  <c r="J58" i="46" s="1" a="1"/>
  <c r="J58" i="46" s="1"/>
  <c r="E58" i="46" a="1"/>
  <c r="E58" i="46" s="1"/>
  <c r="G58" i="46" s="1" a="1"/>
  <c r="G58" i="46" s="1"/>
  <c r="D58" i="46" a="1"/>
  <c r="D58" i="46" s="1"/>
  <c r="C58" i="46" a="1"/>
  <c r="C58" i="46" s="1"/>
  <c r="B58" i="46" a="1"/>
  <c r="B58" i="46" s="1"/>
  <c r="K57" i="46" a="1"/>
  <c r="K57" i="46" s="1"/>
  <c r="H57" i="46" a="1"/>
  <c r="H57" i="46" s="1"/>
  <c r="J57" i="46" s="1" a="1"/>
  <c r="J57" i="46" s="1"/>
  <c r="E57" i="46" a="1"/>
  <c r="E57" i="46" s="1"/>
  <c r="G57" i="46" s="1" a="1"/>
  <c r="G57" i="46" s="1"/>
  <c r="D57" i="46" a="1"/>
  <c r="D57" i="46" s="1"/>
  <c r="C57" i="46" a="1"/>
  <c r="C57" i="46" s="1"/>
  <c r="B57" i="46" a="1"/>
  <c r="B57" i="46" s="1"/>
  <c r="K56" i="46" a="1"/>
  <c r="K56" i="46" s="1"/>
  <c r="H56" i="46" a="1"/>
  <c r="H56" i="46" s="1"/>
  <c r="J56" i="46" s="1" a="1"/>
  <c r="J56" i="46" s="1"/>
  <c r="E56" i="46" a="1"/>
  <c r="E56" i="46" s="1"/>
  <c r="G56" i="46" s="1" a="1"/>
  <c r="G56" i="46" s="1"/>
  <c r="D56" i="46" a="1"/>
  <c r="D56" i="46" s="1"/>
  <c r="C56" i="46" a="1"/>
  <c r="C56" i="46" s="1"/>
  <c r="B56" i="46" a="1"/>
  <c r="B56" i="46" s="1"/>
  <c r="K55" i="46" a="1"/>
  <c r="K55" i="46" s="1"/>
  <c r="H55" i="46" a="1"/>
  <c r="H55" i="46" s="1"/>
  <c r="J55" i="46" s="1" a="1"/>
  <c r="J55" i="46" s="1"/>
  <c r="E55" i="46" a="1"/>
  <c r="E55" i="46" s="1"/>
  <c r="G55" i="46" s="1" a="1"/>
  <c r="G55" i="46" s="1"/>
  <c r="D55" i="46" a="1"/>
  <c r="D55" i="46" s="1"/>
  <c r="C55" i="46" a="1"/>
  <c r="C55" i="46" s="1"/>
  <c r="B55" i="46" a="1"/>
  <c r="B55" i="46" s="1"/>
  <c r="K54" i="46" a="1"/>
  <c r="K54" i="46" s="1"/>
  <c r="H54" i="46" a="1"/>
  <c r="H54" i="46" s="1"/>
  <c r="J54" i="46" s="1" a="1"/>
  <c r="J54" i="46" s="1"/>
  <c r="E54" i="46" a="1"/>
  <c r="E54" i="46" s="1"/>
  <c r="G54" i="46" s="1" a="1"/>
  <c r="G54" i="46" s="1"/>
  <c r="D54" i="46" a="1"/>
  <c r="D54" i="46" s="1"/>
  <c r="C54" i="46" a="1"/>
  <c r="C54" i="46" s="1"/>
  <c r="B54" i="46" a="1"/>
  <c r="B54" i="46" s="1"/>
  <c r="K53" i="46" a="1"/>
  <c r="K53" i="46" s="1"/>
  <c r="H53" i="46" a="1"/>
  <c r="H53" i="46" s="1"/>
  <c r="J53" i="46" s="1" a="1"/>
  <c r="J53" i="46" s="1"/>
  <c r="E53" i="46" a="1"/>
  <c r="E53" i="46" s="1"/>
  <c r="G53" i="46" s="1" a="1"/>
  <c r="G53" i="46" s="1"/>
  <c r="D53" i="46" a="1"/>
  <c r="D53" i="46" s="1"/>
  <c r="C53" i="46" a="1"/>
  <c r="C53" i="46" s="1"/>
  <c r="B53" i="46" a="1"/>
  <c r="B53" i="46" s="1"/>
  <c r="K52" i="46" a="1"/>
  <c r="K52" i="46" s="1"/>
  <c r="H52" i="46" a="1"/>
  <c r="H52" i="46" s="1"/>
  <c r="J52" i="46" s="1" a="1"/>
  <c r="J52" i="46" s="1"/>
  <c r="E52" i="46" a="1"/>
  <c r="E52" i="46" s="1"/>
  <c r="G52" i="46" s="1" a="1"/>
  <c r="G52" i="46" s="1"/>
  <c r="D52" i="46" a="1"/>
  <c r="D52" i="46" s="1"/>
  <c r="C52" i="46" a="1"/>
  <c r="C52" i="46" s="1"/>
  <c r="B52" i="46" a="1"/>
  <c r="B52" i="46" s="1"/>
  <c r="K51" i="46" a="1"/>
  <c r="K51" i="46" s="1"/>
  <c r="H51" i="46" a="1"/>
  <c r="H51" i="46" s="1"/>
  <c r="J51" i="46" s="1" a="1"/>
  <c r="J51" i="46" s="1"/>
  <c r="E51" i="46" a="1"/>
  <c r="E51" i="46" s="1"/>
  <c r="G51" i="46" s="1" a="1"/>
  <c r="G51" i="46" s="1"/>
  <c r="D51" i="46" a="1"/>
  <c r="D51" i="46" s="1"/>
  <c r="C51" i="46" a="1"/>
  <c r="C51" i="46" s="1"/>
  <c r="B51" i="46" a="1"/>
  <c r="B51" i="46" s="1"/>
  <c r="K50" i="46" a="1"/>
  <c r="K50" i="46" s="1"/>
  <c r="H50" i="46" a="1"/>
  <c r="H50" i="46" s="1"/>
  <c r="J50" i="46" s="1" a="1"/>
  <c r="J50" i="46" s="1"/>
  <c r="E50" i="46" a="1"/>
  <c r="E50" i="46" s="1"/>
  <c r="G50" i="46" s="1" a="1"/>
  <c r="G50" i="46" s="1"/>
  <c r="D50" i="46" a="1"/>
  <c r="D50" i="46" s="1"/>
  <c r="C50" i="46" a="1"/>
  <c r="C50" i="46" s="1"/>
  <c r="B50" i="46" a="1"/>
  <c r="B50" i="46" s="1"/>
  <c r="K49" i="46" a="1"/>
  <c r="K49" i="46" s="1"/>
  <c r="H49" i="46" a="1"/>
  <c r="H49" i="46" s="1"/>
  <c r="J49" i="46" s="1" a="1"/>
  <c r="J49" i="46" s="1"/>
  <c r="E49" i="46" a="1"/>
  <c r="E49" i="46" s="1"/>
  <c r="G49" i="46" s="1" a="1"/>
  <c r="G49" i="46" s="1"/>
  <c r="D49" i="46" a="1"/>
  <c r="D49" i="46" s="1"/>
  <c r="C49" i="46" a="1"/>
  <c r="C49" i="46" s="1"/>
  <c r="B49" i="46" a="1"/>
  <c r="B49" i="46" s="1"/>
  <c r="K48" i="46" a="1"/>
  <c r="K48" i="46" s="1"/>
  <c r="H48" i="46" a="1"/>
  <c r="H48" i="46" s="1"/>
  <c r="J48" i="46" s="1" a="1"/>
  <c r="J48" i="46" s="1"/>
  <c r="E48" i="46" a="1"/>
  <c r="E48" i="46" s="1"/>
  <c r="G48" i="46" s="1" a="1"/>
  <c r="G48" i="46" s="1"/>
  <c r="D48" i="46" a="1"/>
  <c r="D48" i="46" s="1"/>
  <c r="C48" i="46" a="1"/>
  <c r="C48" i="46" s="1"/>
  <c r="B48" i="46" a="1"/>
  <c r="B48" i="46" s="1"/>
  <c r="K47" i="46" a="1"/>
  <c r="K47" i="46" s="1"/>
  <c r="H47" i="46" a="1"/>
  <c r="H47" i="46" s="1"/>
  <c r="J47" i="46" s="1" a="1"/>
  <c r="J47" i="46" s="1"/>
  <c r="E47" i="46" a="1"/>
  <c r="E47" i="46" s="1"/>
  <c r="G47" i="46" s="1" a="1"/>
  <c r="G47" i="46" s="1"/>
  <c r="D47" i="46" a="1"/>
  <c r="D47" i="46" s="1"/>
  <c r="C47" i="46" a="1"/>
  <c r="C47" i="46" s="1"/>
  <c r="B47" i="46" a="1"/>
  <c r="B47" i="46" s="1"/>
  <c r="K46" i="46" a="1"/>
  <c r="K46" i="46" s="1"/>
  <c r="H46" i="46" a="1"/>
  <c r="H46" i="46" s="1"/>
  <c r="J46" i="46" s="1" a="1"/>
  <c r="J46" i="46" s="1"/>
  <c r="E46" i="46" a="1"/>
  <c r="E46" i="46" s="1"/>
  <c r="G46" i="46" s="1" a="1"/>
  <c r="G46" i="46" s="1"/>
  <c r="D46" i="46" a="1"/>
  <c r="D46" i="46" s="1"/>
  <c r="C46" i="46" a="1"/>
  <c r="C46" i="46" s="1"/>
  <c r="B46" i="46" a="1"/>
  <c r="B46" i="46" s="1"/>
  <c r="K45" i="46" a="1"/>
  <c r="K45" i="46" s="1"/>
  <c r="H45" i="46" a="1"/>
  <c r="H45" i="46" s="1"/>
  <c r="J45" i="46" s="1" a="1"/>
  <c r="J45" i="46" s="1"/>
  <c r="E45" i="46" a="1"/>
  <c r="E45" i="46" s="1"/>
  <c r="G45" i="46" s="1" a="1"/>
  <c r="G45" i="46" s="1"/>
  <c r="D45" i="46" a="1"/>
  <c r="D45" i="46" s="1"/>
  <c r="C45" i="46" a="1"/>
  <c r="C45" i="46" s="1"/>
  <c r="B45" i="46" a="1"/>
  <c r="B45" i="46" s="1"/>
  <c r="K44" i="46" a="1"/>
  <c r="K44" i="46" s="1"/>
  <c r="H44" i="46" a="1"/>
  <c r="H44" i="46" s="1"/>
  <c r="J44" i="46" s="1" a="1"/>
  <c r="J44" i="46" s="1"/>
  <c r="E44" i="46" a="1"/>
  <c r="E44" i="46" s="1"/>
  <c r="G44" i="46" s="1" a="1"/>
  <c r="G44" i="46" s="1"/>
  <c r="D44" i="46" a="1"/>
  <c r="D44" i="46" s="1"/>
  <c r="C44" i="46" a="1"/>
  <c r="C44" i="46" s="1"/>
  <c r="B44" i="46" a="1"/>
  <c r="B44" i="46" s="1"/>
  <c r="K43" i="46" a="1"/>
  <c r="K43" i="46" s="1"/>
  <c r="H43" i="46" a="1"/>
  <c r="H43" i="46" s="1"/>
  <c r="J43" i="46" s="1" a="1"/>
  <c r="J43" i="46" s="1"/>
  <c r="E43" i="46" a="1"/>
  <c r="E43" i="46" s="1"/>
  <c r="G43" i="46" s="1" a="1"/>
  <c r="G43" i="46" s="1"/>
  <c r="D43" i="46" a="1"/>
  <c r="D43" i="46" s="1"/>
  <c r="C43" i="46" a="1"/>
  <c r="C43" i="46" s="1"/>
  <c r="B43" i="46" a="1"/>
  <c r="B43" i="46" s="1"/>
  <c r="K42" i="46" a="1"/>
  <c r="K42" i="46" s="1"/>
  <c r="H42" i="46" a="1"/>
  <c r="H42" i="46" s="1"/>
  <c r="J42" i="46" s="1" a="1"/>
  <c r="J42" i="46" s="1"/>
  <c r="E42" i="46" a="1"/>
  <c r="E42" i="46" s="1"/>
  <c r="G42" i="46" s="1" a="1"/>
  <c r="G42" i="46" s="1"/>
  <c r="D42" i="46" a="1"/>
  <c r="D42" i="46" s="1"/>
  <c r="C42" i="46" a="1"/>
  <c r="C42" i="46" s="1"/>
  <c r="B42" i="46" a="1"/>
  <c r="B42" i="46" s="1"/>
  <c r="K41" i="46" a="1"/>
  <c r="K41" i="46" s="1"/>
  <c r="H41" i="46" a="1"/>
  <c r="H41" i="46" s="1"/>
  <c r="J41" i="46" s="1" a="1"/>
  <c r="J41" i="46" s="1"/>
  <c r="E41" i="46" a="1"/>
  <c r="E41" i="46" s="1"/>
  <c r="G41" i="46" s="1" a="1"/>
  <c r="G41" i="46" s="1"/>
  <c r="D41" i="46" a="1"/>
  <c r="D41" i="46" s="1"/>
  <c r="C41" i="46" a="1"/>
  <c r="C41" i="46" s="1"/>
  <c r="B41" i="46" a="1"/>
  <c r="B41" i="46" s="1"/>
  <c r="K40" i="46" a="1"/>
  <c r="K40" i="46" s="1"/>
  <c r="H40" i="46" a="1"/>
  <c r="H40" i="46" s="1"/>
  <c r="J40" i="46" s="1" a="1"/>
  <c r="J40" i="46" s="1"/>
  <c r="E40" i="46" a="1"/>
  <c r="E40" i="46" s="1"/>
  <c r="G40" i="46" s="1" a="1"/>
  <c r="G40" i="46" s="1"/>
  <c r="D40" i="46" a="1"/>
  <c r="D40" i="46" s="1"/>
  <c r="C40" i="46" a="1"/>
  <c r="C40" i="46" s="1"/>
  <c r="B40" i="46" a="1"/>
  <c r="B40" i="46" s="1"/>
  <c r="K39" i="46" a="1"/>
  <c r="K39" i="46" s="1"/>
  <c r="H39" i="46" a="1"/>
  <c r="H39" i="46" s="1"/>
  <c r="J39" i="46" s="1" a="1"/>
  <c r="J39" i="46" s="1"/>
  <c r="E39" i="46" a="1"/>
  <c r="E39" i="46" s="1"/>
  <c r="G39" i="46" s="1" a="1"/>
  <c r="G39" i="46" s="1"/>
  <c r="D39" i="46" a="1"/>
  <c r="D39" i="46" s="1"/>
  <c r="C39" i="46" a="1"/>
  <c r="C39" i="46" s="1"/>
  <c r="B39" i="46" a="1"/>
  <c r="B39" i="46" s="1"/>
  <c r="K38" i="46" a="1"/>
  <c r="K38" i="46" s="1"/>
  <c r="H38" i="46" a="1"/>
  <c r="H38" i="46" s="1"/>
  <c r="J38" i="46" s="1" a="1"/>
  <c r="J38" i="46" s="1"/>
  <c r="E38" i="46" a="1"/>
  <c r="E38" i="46" s="1"/>
  <c r="G38" i="46" s="1" a="1"/>
  <c r="G38" i="46" s="1"/>
  <c r="D38" i="46" a="1"/>
  <c r="D38" i="46" s="1"/>
  <c r="C38" i="46" a="1"/>
  <c r="C38" i="46" s="1"/>
  <c r="B38" i="46" a="1"/>
  <c r="B38" i="46" s="1"/>
  <c r="K37" i="46" a="1"/>
  <c r="K37" i="46" s="1"/>
  <c r="H37" i="46" a="1"/>
  <c r="H37" i="46" s="1"/>
  <c r="J37" i="46" s="1" a="1"/>
  <c r="J37" i="46" s="1"/>
  <c r="E37" i="46" a="1"/>
  <c r="E37" i="46" s="1"/>
  <c r="G37" i="46" s="1" a="1"/>
  <c r="G37" i="46" s="1"/>
  <c r="D37" i="46" a="1"/>
  <c r="D37" i="46" s="1"/>
  <c r="C37" i="46" a="1"/>
  <c r="C37" i="46" s="1"/>
  <c r="B37" i="46" a="1"/>
  <c r="B37" i="46" s="1"/>
  <c r="K36" i="46" a="1"/>
  <c r="K36" i="46" s="1"/>
  <c r="H36" i="46" a="1"/>
  <c r="H36" i="46" s="1"/>
  <c r="J36" i="46" s="1" a="1"/>
  <c r="J36" i="46" s="1"/>
  <c r="E36" i="46" a="1"/>
  <c r="E36" i="46" s="1"/>
  <c r="G36" i="46" s="1" a="1"/>
  <c r="G36" i="46" s="1"/>
  <c r="D36" i="46" a="1"/>
  <c r="D36" i="46" s="1"/>
  <c r="C36" i="46" a="1"/>
  <c r="C36" i="46" s="1"/>
  <c r="B36" i="46" a="1"/>
  <c r="B36" i="46" s="1"/>
  <c r="K35" i="46" a="1"/>
  <c r="K35" i="46" s="1"/>
  <c r="H35" i="46" a="1"/>
  <c r="H35" i="46" s="1"/>
  <c r="J35" i="46" s="1" a="1"/>
  <c r="J35" i="46" s="1"/>
  <c r="E35" i="46" a="1"/>
  <c r="E35" i="46" s="1"/>
  <c r="G35" i="46" s="1" a="1"/>
  <c r="G35" i="46" s="1"/>
  <c r="D35" i="46" a="1"/>
  <c r="D35" i="46" s="1"/>
  <c r="C35" i="46" a="1"/>
  <c r="C35" i="46" s="1"/>
  <c r="B35" i="46" a="1"/>
  <c r="B35" i="46" s="1"/>
  <c r="K34" i="46" a="1"/>
  <c r="K34" i="46" s="1"/>
  <c r="H34" i="46" a="1"/>
  <c r="H34" i="46" s="1"/>
  <c r="J34" i="46" s="1" a="1"/>
  <c r="J34" i="46" s="1"/>
  <c r="E34" i="46" a="1"/>
  <c r="E34" i="46" s="1"/>
  <c r="G34" i="46" s="1" a="1"/>
  <c r="G34" i="46" s="1"/>
  <c r="D34" i="46" a="1"/>
  <c r="D34" i="46" s="1"/>
  <c r="C34" i="46" a="1"/>
  <c r="C34" i="46" s="1"/>
  <c r="B34" i="46" a="1"/>
  <c r="B34" i="46" s="1"/>
  <c r="K33" i="46" a="1"/>
  <c r="K33" i="46" s="1"/>
  <c r="H33" i="46" a="1"/>
  <c r="H33" i="46" s="1"/>
  <c r="J33" i="46" s="1" a="1"/>
  <c r="J33" i="46" s="1"/>
  <c r="E33" i="46" a="1"/>
  <c r="E33" i="46" s="1"/>
  <c r="G33" i="46" s="1" a="1"/>
  <c r="G33" i="46" s="1"/>
  <c r="D33" i="46" a="1"/>
  <c r="D33" i="46" s="1"/>
  <c r="C33" i="46" a="1"/>
  <c r="C33" i="46" s="1"/>
  <c r="B33" i="46" a="1"/>
  <c r="B33" i="46" s="1"/>
  <c r="K32" i="46" a="1"/>
  <c r="K32" i="46" s="1"/>
  <c r="H32" i="46" a="1"/>
  <c r="H32" i="46" s="1"/>
  <c r="J32" i="46" s="1" a="1"/>
  <c r="J32" i="46" s="1"/>
  <c r="E32" i="46" a="1"/>
  <c r="E32" i="46" s="1"/>
  <c r="G32" i="46" s="1" a="1"/>
  <c r="G32" i="46" s="1"/>
  <c r="D32" i="46" a="1"/>
  <c r="D32" i="46" s="1"/>
  <c r="C32" i="46" a="1"/>
  <c r="C32" i="46" s="1"/>
  <c r="B32" i="46" a="1"/>
  <c r="B32" i="46" s="1"/>
  <c r="K31" i="46" a="1"/>
  <c r="K31" i="46" s="1"/>
  <c r="H31" i="46" a="1"/>
  <c r="H31" i="46" s="1"/>
  <c r="J31" i="46" s="1" a="1"/>
  <c r="J31" i="46" s="1"/>
  <c r="E31" i="46" a="1"/>
  <c r="E31" i="46" s="1"/>
  <c r="G31" i="46" s="1" a="1"/>
  <c r="G31" i="46" s="1"/>
  <c r="D31" i="46" a="1"/>
  <c r="D31" i="46" s="1"/>
  <c r="C31" i="46" a="1"/>
  <c r="C31" i="46" s="1"/>
  <c r="B31" i="46" a="1"/>
  <c r="B31" i="46" s="1"/>
  <c r="K30" i="46" a="1"/>
  <c r="K30" i="46" s="1"/>
  <c r="H30" i="46" a="1"/>
  <c r="H30" i="46" s="1"/>
  <c r="J30" i="46" s="1" a="1"/>
  <c r="J30" i="46" s="1"/>
  <c r="E30" i="46" a="1"/>
  <c r="E30" i="46" s="1"/>
  <c r="G30" i="46" s="1" a="1"/>
  <c r="G30" i="46" s="1"/>
  <c r="D30" i="46" a="1"/>
  <c r="D30" i="46" s="1"/>
  <c r="C30" i="46" a="1"/>
  <c r="C30" i="46" s="1"/>
  <c r="B30" i="46" a="1"/>
  <c r="B30" i="46" s="1"/>
  <c r="K29" i="46" a="1"/>
  <c r="K29" i="46" s="1"/>
  <c r="H29" i="46" a="1"/>
  <c r="H29" i="46" s="1"/>
  <c r="J29" i="46" s="1" a="1"/>
  <c r="J29" i="46" s="1"/>
  <c r="E29" i="46" a="1"/>
  <c r="E29" i="46" s="1"/>
  <c r="G29" i="46" s="1" a="1"/>
  <c r="G29" i="46" s="1"/>
  <c r="D29" i="46" a="1"/>
  <c r="D29" i="46" s="1"/>
  <c r="C29" i="46" a="1"/>
  <c r="C29" i="46" s="1"/>
  <c r="B29" i="46" a="1"/>
  <c r="B29" i="46" s="1"/>
  <c r="K28" i="46" a="1"/>
  <c r="K28" i="46" s="1"/>
  <c r="H28" i="46" a="1"/>
  <c r="H28" i="46" s="1"/>
  <c r="J28" i="46" s="1" a="1"/>
  <c r="J28" i="46" s="1"/>
  <c r="E28" i="46" a="1"/>
  <c r="E28" i="46" s="1"/>
  <c r="G28" i="46" s="1" a="1"/>
  <c r="G28" i="46" s="1"/>
  <c r="D28" i="46" a="1"/>
  <c r="D28" i="46" s="1"/>
  <c r="C28" i="46" a="1"/>
  <c r="C28" i="46" s="1"/>
  <c r="B28" i="46" a="1"/>
  <c r="B28" i="46" s="1"/>
  <c r="K27" i="46" a="1"/>
  <c r="K27" i="46" s="1"/>
  <c r="H27" i="46" a="1"/>
  <c r="H27" i="46" s="1"/>
  <c r="J27" i="46" s="1" a="1"/>
  <c r="J27" i="46" s="1"/>
  <c r="E27" i="46" a="1"/>
  <c r="E27" i="46" s="1"/>
  <c r="G27" i="46" s="1" a="1"/>
  <c r="G27" i="46" s="1"/>
  <c r="D27" i="46" a="1"/>
  <c r="D27" i="46" s="1"/>
  <c r="C27" i="46" a="1"/>
  <c r="C27" i="46" s="1"/>
  <c r="B27" i="46" a="1"/>
  <c r="B27" i="46" s="1"/>
  <c r="K26" i="46" a="1"/>
  <c r="K26" i="46" s="1"/>
  <c r="H26" i="46" a="1"/>
  <c r="H26" i="46" s="1"/>
  <c r="J26" i="46" s="1" a="1"/>
  <c r="J26" i="46" s="1"/>
  <c r="E26" i="46" a="1"/>
  <c r="E26" i="46" s="1"/>
  <c r="G26" i="46" s="1" a="1"/>
  <c r="G26" i="46" s="1"/>
  <c r="D26" i="46" a="1"/>
  <c r="D26" i="46" s="1"/>
  <c r="C26" i="46" a="1"/>
  <c r="C26" i="46" s="1"/>
  <c r="B26" i="46" a="1"/>
  <c r="B26" i="46" s="1"/>
  <c r="K25" i="46" a="1"/>
  <c r="K25" i="46" s="1"/>
  <c r="H25" i="46" a="1"/>
  <c r="H25" i="46" s="1"/>
  <c r="J25" i="46" s="1" a="1"/>
  <c r="J25" i="46" s="1"/>
  <c r="E25" i="46" a="1"/>
  <c r="E25" i="46" s="1"/>
  <c r="G25" i="46" s="1" a="1"/>
  <c r="G25" i="46" s="1"/>
  <c r="D25" i="46" a="1"/>
  <c r="D25" i="46" s="1"/>
  <c r="C25" i="46" a="1"/>
  <c r="C25" i="46" s="1"/>
  <c r="B25" i="46" a="1"/>
  <c r="B25" i="46" s="1"/>
  <c r="K24" i="46" a="1"/>
  <c r="K24" i="46" s="1"/>
  <c r="H24" i="46" a="1"/>
  <c r="H24" i="46" s="1"/>
  <c r="J24" i="46" s="1" a="1"/>
  <c r="J24" i="46" s="1"/>
  <c r="E24" i="46" a="1"/>
  <c r="E24" i="46" s="1"/>
  <c r="G24" i="46" s="1" a="1"/>
  <c r="G24" i="46" s="1"/>
  <c r="D24" i="46" a="1"/>
  <c r="D24" i="46" s="1"/>
  <c r="C24" i="46" a="1"/>
  <c r="C24" i="46" s="1"/>
  <c r="B24" i="46" a="1"/>
  <c r="B24" i="46" s="1"/>
  <c r="K23" i="46" a="1"/>
  <c r="K23" i="46" s="1"/>
  <c r="H23" i="46" a="1"/>
  <c r="H23" i="46" s="1"/>
  <c r="J23" i="46" s="1" a="1"/>
  <c r="J23" i="46" s="1"/>
  <c r="E23" i="46" a="1"/>
  <c r="E23" i="46" s="1"/>
  <c r="G23" i="46" s="1" a="1"/>
  <c r="G23" i="46" s="1"/>
  <c r="D23" i="46" a="1"/>
  <c r="D23" i="46" s="1"/>
  <c r="C23" i="46" a="1"/>
  <c r="C23" i="46" s="1"/>
  <c r="B23" i="46" a="1"/>
  <c r="B23" i="46" s="1"/>
  <c r="K22" i="46" a="1"/>
  <c r="K22" i="46" s="1"/>
  <c r="H22" i="46" a="1"/>
  <c r="H22" i="46" s="1"/>
  <c r="J22" i="46" s="1" a="1"/>
  <c r="J22" i="46" s="1"/>
  <c r="E22" i="46" a="1"/>
  <c r="E22" i="46" s="1"/>
  <c r="G22" i="46" s="1" a="1"/>
  <c r="G22" i="46" s="1"/>
  <c r="D22" i="46" a="1"/>
  <c r="D22" i="46" s="1"/>
  <c r="C22" i="46" a="1"/>
  <c r="C22" i="46" s="1"/>
  <c r="B22" i="46" a="1"/>
  <c r="B22" i="46" s="1"/>
  <c r="K21" i="46" a="1"/>
  <c r="K21" i="46" s="1"/>
  <c r="H21" i="46" a="1"/>
  <c r="H21" i="46" s="1"/>
  <c r="J21" i="46" s="1" a="1"/>
  <c r="J21" i="46" s="1"/>
  <c r="E21" i="46" a="1"/>
  <c r="E21" i="46" s="1"/>
  <c r="G21" i="46" s="1" a="1"/>
  <c r="G21" i="46" s="1"/>
  <c r="D21" i="46" a="1"/>
  <c r="D21" i="46" s="1"/>
  <c r="C21" i="46" a="1"/>
  <c r="C21" i="46" s="1"/>
  <c r="B21" i="46" a="1"/>
  <c r="B21" i="46" s="1"/>
  <c r="K20" i="46" a="1"/>
  <c r="K20" i="46" s="1"/>
  <c r="H20" i="46" a="1"/>
  <c r="H20" i="46" s="1"/>
  <c r="J20" i="46" s="1" a="1"/>
  <c r="J20" i="46" s="1"/>
  <c r="E20" i="46" a="1"/>
  <c r="E20" i="46" s="1"/>
  <c r="G20" i="46" s="1" a="1"/>
  <c r="G20" i="46" s="1"/>
  <c r="D20" i="46" a="1"/>
  <c r="D20" i="46" s="1"/>
  <c r="C20" i="46" a="1"/>
  <c r="C20" i="46" s="1"/>
  <c r="B20" i="46" a="1"/>
  <c r="B20" i="46" s="1"/>
  <c r="K19" i="46" a="1"/>
  <c r="K19" i="46" s="1"/>
  <c r="H19" i="46" a="1"/>
  <c r="H19" i="46" s="1"/>
  <c r="J19" i="46" s="1" a="1"/>
  <c r="J19" i="46" s="1"/>
  <c r="E19" i="46" a="1"/>
  <c r="E19" i="46" s="1"/>
  <c r="G19" i="46" s="1" a="1"/>
  <c r="G19" i="46" s="1"/>
  <c r="D19" i="46" a="1"/>
  <c r="D19" i="46" s="1"/>
  <c r="C19" i="46" a="1"/>
  <c r="C19" i="46" s="1"/>
  <c r="B19" i="46" a="1"/>
  <c r="B19" i="46" s="1"/>
  <c r="K18" i="46" a="1"/>
  <c r="K18" i="46" s="1"/>
  <c r="H18" i="46" a="1"/>
  <c r="H18" i="46" s="1"/>
  <c r="J18" i="46" s="1" a="1"/>
  <c r="J18" i="46" s="1"/>
  <c r="E18" i="46" a="1"/>
  <c r="E18" i="46" s="1"/>
  <c r="G18" i="46" s="1" a="1"/>
  <c r="G18" i="46" s="1"/>
  <c r="D18" i="46" a="1"/>
  <c r="D18" i="46" s="1"/>
  <c r="C18" i="46" a="1"/>
  <c r="C18" i="46" s="1"/>
  <c r="B18" i="46" a="1"/>
  <c r="B18" i="46" s="1"/>
  <c r="K17" i="46" a="1"/>
  <c r="K17" i="46" s="1"/>
  <c r="H17" i="46" a="1"/>
  <c r="H17" i="46" s="1"/>
  <c r="J17" i="46" s="1" a="1"/>
  <c r="J17" i="46" s="1"/>
  <c r="E17" i="46" a="1"/>
  <c r="E17" i="46" s="1"/>
  <c r="G17" i="46" s="1" a="1"/>
  <c r="G17" i="46" s="1"/>
  <c r="D17" i="46" a="1"/>
  <c r="D17" i="46" s="1"/>
  <c r="C17" i="46" a="1"/>
  <c r="C17" i="46" s="1"/>
  <c r="B17" i="46" a="1"/>
  <c r="B17" i="46" s="1"/>
  <c r="K16" i="46" a="1"/>
  <c r="K16" i="46" s="1"/>
  <c r="H16" i="46" a="1"/>
  <c r="H16" i="46" s="1"/>
  <c r="J16" i="46" s="1" a="1"/>
  <c r="J16" i="46" s="1"/>
  <c r="E16" i="46" a="1"/>
  <c r="E16" i="46" s="1"/>
  <c r="G16" i="46" s="1" a="1"/>
  <c r="G16" i="46" s="1"/>
  <c r="D16" i="46" a="1"/>
  <c r="D16" i="46" s="1"/>
  <c r="C16" i="46" a="1"/>
  <c r="C16" i="46" s="1"/>
  <c r="B16" i="46" a="1"/>
  <c r="B16" i="46" s="1"/>
  <c r="K15" i="46" a="1"/>
  <c r="K15" i="46" s="1"/>
  <c r="H15" i="46" a="1"/>
  <c r="H15" i="46" s="1"/>
  <c r="J15" i="46" s="1" a="1"/>
  <c r="J15" i="46" s="1"/>
  <c r="E15" i="46" a="1"/>
  <c r="E15" i="46" s="1"/>
  <c r="G15" i="46" s="1" a="1"/>
  <c r="G15" i="46" s="1"/>
  <c r="D15" i="46" a="1"/>
  <c r="D15" i="46" s="1"/>
  <c r="C15" i="46" a="1"/>
  <c r="C15" i="46" s="1"/>
  <c r="B15" i="46" a="1"/>
  <c r="B15" i="46" s="1"/>
  <c r="K14" i="46" a="1"/>
  <c r="K14" i="46" s="1"/>
  <c r="H14" i="46" a="1"/>
  <c r="H14" i="46" s="1"/>
  <c r="J14" i="46" s="1" a="1"/>
  <c r="J14" i="46" s="1"/>
  <c r="E14" i="46" a="1"/>
  <c r="E14" i="46" s="1"/>
  <c r="G14" i="46" s="1" a="1"/>
  <c r="G14" i="46" s="1"/>
  <c r="D14" i="46" a="1"/>
  <c r="D14" i="46" s="1"/>
  <c r="C14" i="46" a="1"/>
  <c r="C14" i="46" s="1"/>
  <c r="B14" i="46" a="1"/>
  <c r="B14" i="46" s="1"/>
  <c r="K13" i="46" a="1"/>
  <c r="K13" i="46" s="1"/>
  <c r="H13" i="46" a="1"/>
  <c r="H13" i="46" s="1"/>
  <c r="J13" i="46" s="1" a="1"/>
  <c r="J13" i="46" s="1"/>
  <c r="E13" i="46" a="1"/>
  <c r="E13" i="46" s="1"/>
  <c r="G13" i="46" s="1" a="1"/>
  <c r="G13" i="46" s="1"/>
  <c r="D13" i="46" a="1"/>
  <c r="D13" i="46" s="1"/>
  <c r="C13" i="46" a="1"/>
  <c r="C13" i="46" s="1"/>
  <c r="B13" i="46" a="1"/>
  <c r="B13" i="46" s="1"/>
  <c r="K12" i="46" a="1"/>
  <c r="K12" i="46" s="1"/>
  <c r="H12" i="46" a="1"/>
  <c r="H12" i="46" s="1"/>
  <c r="J12" i="46" s="1" a="1"/>
  <c r="J12" i="46" s="1"/>
  <c r="E12" i="46" a="1"/>
  <c r="E12" i="46" s="1"/>
  <c r="G12" i="46" s="1" a="1"/>
  <c r="G12" i="46" s="1"/>
  <c r="D12" i="46" a="1"/>
  <c r="D12" i="46" s="1"/>
  <c r="C12" i="46" a="1"/>
  <c r="C12" i="46" s="1"/>
  <c r="B12" i="46" a="1"/>
  <c r="B12" i="46" s="1"/>
  <c r="K11" i="46" a="1"/>
  <c r="K11" i="46" s="1"/>
  <c r="H11" i="46" a="1"/>
  <c r="H11" i="46" s="1"/>
  <c r="J11" i="46" s="1" a="1"/>
  <c r="J11" i="46" s="1"/>
  <c r="E11" i="46" a="1"/>
  <c r="E11" i="46" s="1"/>
  <c r="G11" i="46" s="1" a="1"/>
  <c r="G11" i="46" s="1"/>
  <c r="D11" i="46" a="1"/>
  <c r="D11" i="46" s="1"/>
  <c r="C11" i="46" a="1"/>
  <c r="C11" i="46" s="1"/>
  <c r="B11" i="46" a="1"/>
  <c r="B11" i="46" s="1"/>
  <c r="K10" i="46" a="1"/>
  <c r="K10" i="46" s="1"/>
  <c r="H10" i="46" a="1"/>
  <c r="H10" i="46" s="1"/>
  <c r="J10" i="46" s="1" a="1"/>
  <c r="J10" i="46" s="1"/>
  <c r="E10" i="46" a="1"/>
  <c r="E10" i="46" s="1"/>
  <c r="G10" i="46" s="1" a="1"/>
  <c r="G10" i="46" s="1"/>
  <c r="D10" i="46" a="1"/>
  <c r="D10" i="46" s="1"/>
  <c r="C10" i="46" a="1"/>
  <c r="C10" i="46" s="1"/>
  <c r="B10" i="46" a="1"/>
  <c r="B10" i="46" s="1"/>
  <c r="K9" i="46" a="1"/>
  <c r="K9" i="46" s="1"/>
  <c r="H9" i="46" a="1"/>
  <c r="H9" i="46" s="1"/>
  <c r="J9" i="46" s="1" a="1"/>
  <c r="J9" i="46" s="1"/>
  <c r="E9" i="46" a="1"/>
  <c r="E9" i="46" s="1"/>
  <c r="G9" i="46" s="1" a="1"/>
  <c r="G9" i="46" s="1"/>
  <c r="D9" i="46" a="1"/>
  <c r="D9" i="46" s="1"/>
  <c r="C9" i="46" a="1"/>
  <c r="C9" i="46" s="1"/>
  <c r="B9" i="46" a="1"/>
  <c r="B9" i="46" s="1"/>
  <c r="B8" i="46" a="1"/>
  <c r="B8" i="46" s="1"/>
  <c r="C8" i="46" a="1"/>
  <c r="C8" i="46" s="1"/>
  <c r="E106" i="42" s="1"/>
  <c r="D8" i="46" a="1"/>
  <c r="D8" i="46" s="1"/>
  <c r="E8" i="46" a="1"/>
  <c r="E8" i="46" s="1"/>
  <c r="G8" i="46" s="1" a="1"/>
  <c r="G8" i="46" s="1"/>
  <c r="H8" i="46" a="1"/>
  <c r="H8" i="46" s="1"/>
  <c r="J8" i="46" s="1" a="1"/>
  <c r="J8" i="46" s="1"/>
  <c r="K8" i="46" a="1"/>
  <c r="K8" i="46" s="1"/>
  <c r="Q164" i="46" a="1"/>
  <c r="Q164" i="46" s="1"/>
  <c r="I60" i="46" s="1" a="1"/>
  <c r="I60" i="46" s="1"/>
  <c r="Q163" i="46" a="1"/>
  <c r="Q163" i="46" s="1"/>
  <c r="I59" i="46" s="1" a="1"/>
  <c r="I59" i="46" s="1"/>
  <c r="Q162" i="46" a="1"/>
  <c r="Q162" i="46" s="1"/>
  <c r="I58" i="46" s="1" a="1"/>
  <c r="I58" i="46" s="1"/>
  <c r="Q161" i="46" a="1"/>
  <c r="Q161" i="46" s="1"/>
  <c r="I57" i="46" s="1" a="1"/>
  <c r="I57" i="46" s="1"/>
  <c r="Q160" i="46" a="1"/>
  <c r="Q160" i="46" s="1"/>
  <c r="I56" i="46" s="1" a="1"/>
  <c r="I56" i="46" s="1"/>
  <c r="Q159" i="46" a="1"/>
  <c r="Q159" i="46" s="1"/>
  <c r="I55" i="46" s="1" a="1"/>
  <c r="I55" i="46" s="1"/>
  <c r="Q158" i="46" a="1"/>
  <c r="Q158" i="46" s="1"/>
  <c r="I54" i="46" s="1" a="1"/>
  <c r="I54" i="46" s="1"/>
  <c r="Q157" i="46" a="1"/>
  <c r="Q157" i="46" s="1"/>
  <c r="I53" i="46" s="1" a="1"/>
  <c r="I53" i="46" s="1"/>
  <c r="Q156" i="46" a="1"/>
  <c r="Q156" i="46" s="1"/>
  <c r="I52" i="46" s="1" a="1"/>
  <c r="I52" i="46" s="1"/>
  <c r="Q155" i="46" a="1"/>
  <c r="Q155" i="46" s="1"/>
  <c r="I51" i="46" s="1" a="1"/>
  <c r="I51" i="46" s="1"/>
  <c r="Q154" i="46" a="1"/>
  <c r="Q154" i="46" s="1"/>
  <c r="I50" i="46" s="1" a="1"/>
  <c r="I50" i="46" s="1"/>
  <c r="Q153" i="46" a="1"/>
  <c r="Q153" i="46" s="1"/>
  <c r="I49" i="46" s="1" a="1"/>
  <c r="I49" i="46" s="1"/>
  <c r="Q152" i="46" a="1"/>
  <c r="Q152" i="46" s="1"/>
  <c r="I48" i="46" s="1" a="1"/>
  <c r="I48" i="46" s="1"/>
  <c r="Q151" i="46" a="1"/>
  <c r="Q151" i="46" s="1"/>
  <c r="I47" i="46" s="1" a="1"/>
  <c r="I47" i="46" s="1"/>
  <c r="Q150" i="46" a="1"/>
  <c r="Q150" i="46" s="1"/>
  <c r="I46" i="46" s="1" a="1"/>
  <c r="I46" i="46" s="1"/>
  <c r="Q149" i="46" a="1"/>
  <c r="Q149" i="46" s="1"/>
  <c r="I45" i="46" s="1" a="1"/>
  <c r="I45" i="46" s="1"/>
  <c r="Q148" i="46" a="1"/>
  <c r="Q148" i="46" s="1"/>
  <c r="I44" i="46" s="1" a="1"/>
  <c r="I44" i="46" s="1"/>
  <c r="Q147" i="46" a="1"/>
  <c r="Q147" i="46" s="1"/>
  <c r="I43" i="46" s="1" a="1"/>
  <c r="I43" i="46" s="1"/>
  <c r="Q146" i="46" a="1"/>
  <c r="Q146" i="46" s="1"/>
  <c r="I42" i="46" s="1" a="1"/>
  <c r="I42" i="46" s="1"/>
  <c r="Q145" i="46" a="1"/>
  <c r="Q145" i="46" s="1"/>
  <c r="I41" i="46" s="1" a="1"/>
  <c r="I41" i="46" s="1"/>
  <c r="Q144" i="46" a="1"/>
  <c r="Q144" i="46" s="1"/>
  <c r="I40" i="46" s="1" a="1"/>
  <c r="I40" i="46" s="1"/>
  <c r="Q143" i="46" a="1"/>
  <c r="Q143" i="46" s="1"/>
  <c r="I39" i="46" s="1" a="1"/>
  <c r="I39" i="46" s="1"/>
  <c r="Q142" i="46" a="1"/>
  <c r="Q142" i="46" s="1"/>
  <c r="I38" i="46" s="1" a="1"/>
  <c r="I38" i="46" s="1"/>
  <c r="Q141" i="46" a="1"/>
  <c r="Q141" i="46" s="1"/>
  <c r="I37" i="46" s="1" a="1"/>
  <c r="I37" i="46" s="1"/>
  <c r="Q140" i="46" a="1"/>
  <c r="Q140" i="46" s="1"/>
  <c r="I36" i="46" s="1" a="1"/>
  <c r="I36" i="46" s="1"/>
  <c r="Q139" i="46" a="1"/>
  <c r="Q139" i="46" s="1"/>
  <c r="I35" i="46" s="1" a="1"/>
  <c r="I35" i="46" s="1"/>
  <c r="Q138" i="46" a="1"/>
  <c r="Q138" i="46" s="1"/>
  <c r="I34" i="46" s="1" a="1"/>
  <c r="I34" i="46" s="1"/>
  <c r="Q137" i="46" a="1"/>
  <c r="Q137" i="46" s="1"/>
  <c r="I33" i="46" s="1" a="1"/>
  <c r="I33" i="46" s="1"/>
  <c r="Q136" i="46" a="1"/>
  <c r="Q136" i="46" s="1"/>
  <c r="I32" i="46" s="1" a="1"/>
  <c r="I32" i="46" s="1"/>
  <c r="Q135" i="46" a="1"/>
  <c r="Q135" i="46" s="1"/>
  <c r="I31" i="46" s="1" a="1"/>
  <c r="I31" i="46" s="1"/>
  <c r="Q134" i="46" a="1"/>
  <c r="Q134" i="46" s="1"/>
  <c r="I30" i="46" s="1" a="1"/>
  <c r="I30" i="46" s="1"/>
  <c r="Q133" i="46" a="1"/>
  <c r="Q133" i="46" s="1"/>
  <c r="I29" i="46" s="1" a="1"/>
  <c r="I29" i="46" s="1"/>
  <c r="Q132" i="46" a="1"/>
  <c r="Q132" i="46" s="1"/>
  <c r="I28" i="46" s="1" a="1"/>
  <c r="I28" i="46" s="1"/>
  <c r="Q131" i="46" a="1"/>
  <c r="Q131" i="46" s="1"/>
  <c r="I27" i="46" s="1" a="1"/>
  <c r="I27" i="46" s="1"/>
  <c r="Q130" i="46" a="1"/>
  <c r="Q130" i="46" s="1"/>
  <c r="I26" i="46" s="1" a="1"/>
  <c r="I26" i="46" s="1"/>
  <c r="Q129" i="46" a="1"/>
  <c r="Q129" i="46" s="1"/>
  <c r="I25" i="46" s="1" a="1"/>
  <c r="I25" i="46" s="1"/>
  <c r="Q128" i="46" a="1"/>
  <c r="Q128" i="46" s="1"/>
  <c r="I24" i="46" s="1" a="1"/>
  <c r="I24" i="46" s="1"/>
  <c r="Q127" i="46" a="1"/>
  <c r="Q127" i="46" s="1"/>
  <c r="I23" i="46" s="1" a="1"/>
  <c r="I23" i="46" s="1"/>
  <c r="Q126" i="46" a="1"/>
  <c r="Q126" i="46" s="1"/>
  <c r="I22" i="46" s="1" a="1"/>
  <c r="I22" i="46" s="1"/>
  <c r="Q125" i="46" a="1"/>
  <c r="Q125" i="46" s="1"/>
  <c r="I21" i="46" s="1" a="1"/>
  <c r="I21" i="46" s="1"/>
  <c r="Q124" i="46" a="1"/>
  <c r="Q124" i="46" s="1"/>
  <c r="I20" i="46" s="1" a="1"/>
  <c r="I20" i="46" s="1"/>
  <c r="Q123" i="46" a="1"/>
  <c r="Q123" i="46" s="1"/>
  <c r="I19" i="46" s="1" a="1"/>
  <c r="I19" i="46" s="1"/>
  <c r="Q122" i="46" a="1"/>
  <c r="Q122" i="46" s="1"/>
  <c r="I18" i="46" s="1" a="1"/>
  <c r="I18" i="46" s="1"/>
  <c r="Q121" i="46" a="1"/>
  <c r="Q121" i="46" s="1"/>
  <c r="I17" i="46" s="1" a="1"/>
  <c r="I17" i="46" s="1"/>
  <c r="Q120" i="46" a="1"/>
  <c r="Q120" i="46" s="1"/>
  <c r="I16" i="46" s="1" a="1"/>
  <c r="I16" i="46" s="1"/>
  <c r="Q119" i="46" a="1"/>
  <c r="Q119" i="46" s="1"/>
  <c r="I15" i="46" s="1" a="1"/>
  <c r="I15" i="46" s="1"/>
  <c r="Q118" i="46" a="1"/>
  <c r="Q118" i="46" s="1"/>
  <c r="I14" i="46" s="1" a="1"/>
  <c r="I14" i="46" s="1"/>
  <c r="Q117" i="46" a="1"/>
  <c r="Q117" i="46" s="1"/>
  <c r="I13" i="46" s="1" a="1"/>
  <c r="I13" i="46" s="1"/>
  <c r="Q116" i="46" a="1"/>
  <c r="Q116" i="46" s="1"/>
  <c r="I12" i="46" s="1" a="1"/>
  <c r="I12" i="46" s="1"/>
  <c r="Q115" i="46" a="1"/>
  <c r="Q115" i="46" s="1"/>
  <c r="I11" i="46" s="1" a="1"/>
  <c r="I11" i="46" s="1"/>
  <c r="Q114" i="46" a="1"/>
  <c r="Q114" i="46" s="1"/>
  <c r="I10" i="46" s="1" a="1"/>
  <c r="I10" i="46" s="1"/>
  <c r="Q113" i="46" a="1"/>
  <c r="Q113" i="46" s="1"/>
  <c r="I9" i="46" s="1" a="1"/>
  <c r="I9" i="46" s="1"/>
  <c r="Q112" i="46" a="1"/>
  <c r="Q112" i="46" s="1"/>
  <c r="I8" i="46" s="1" a="1"/>
  <c r="I8" i="46" s="1"/>
  <c r="G164" i="46" a="1"/>
  <c r="G164" i="46" s="1"/>
  <c r="F60" i="46" s="1" a="1"/>
  <c r="F60" i="46" s="1"/>
  <c r="G163" i="46" a="1"/>
  <c r="G163" i="46" s="1"/>
  <c r="F59" i="46" s="1" a="1"/>
  <c r="F59" i="46" s="1"/>
  <c r="G162" i="46" a="1"/>
  <c r="G162" i="46" s="1"/>
  <c r="F58" i="46" s="1" a="1"/>
  <c r="F58" i="46" s="1"/>
  <c r="G158" i="46" a="1"/>
  <c r="G158" i="46" s="1"/>
  <c r="F54" i="46" s="1" a="1"/>
  <c r="F54" i="46" s="1"/>
  <c r="G157" i="46" a="1"/>
  <c r="G157" i="46" s="1"/>
  <c r="F53" i="46" s="1" a="1"/>
  <c r="F53" i="46" s="1"/>
  <c r="G155" i="46" a="1"/>
  <c r="G155" i="46" s="1"/>
  <c r="F51" i="46" s="1" a="1"/>
  <c r="F51" i="46" s="1"/>
  <c r="G154" i="46" a="1"/>
  <c r="G154" i="46" s="1"/>
  <c r="F50" i="46" s="1" a="1"/>
  <c r="F50" i="46" s="1"/>
  <c r="G153" i="46" a="1"/>
  <c r="G153" i="46" s="1"/>
  <c r="F49" i="46" s="1" a="1"/>
  <c r="F49" i="46" s="1"/>
  <c r="G152" i="46" a="1"/>
  <c r="G152" i="46" s="1"/>
  <c r="F48" i="46" s="1" a="1"/>
  <c r="F48" i="46" s="1"/>
  <c r="G151" i="46" a="1"/>
  <c r="G151" i="46" s="1"/>
  <c r="F47" i="46" s="1" a="1"/>
  <c r="F47" i="46" s="1"/>
  <c r="G150" i="46" a="1"/>
  <c r="G150" i="46" s="1"/>
  <c r="F46" i="46" s="1" a="1"/>
  <c r="F46" i="46" s="1"/>
  <c r="G149" i="46" a="1"/>
  <c r="G149" i="46" s="1"/>
  <c r="F45" i="46" s="1" a="1"/>
  <c r="F45" i="46" s="1"/>
  <c r="G147" i="46" a="1"/>
  <c r="G147" i="46" s="1"/>
  <c r="F43" i="46" s="1" a="1"/>
  <c r="F43" i="46" s="1"/>
  <c r="G146" i="46" a="1"/>
  <c r="G146" i="46" s="1"/>
  <c r="F42" i="46" s="1" a="1"/>
  <c r="F42" i="46" s="1"/>
  <c r="G145" i="46" a="1"/>
  <c r="G145" i="46" s="1"/>
  <c r="F41" i="46" s="1" a="1"/>
  <c r="F41" i="46" s="1"/>
  <c r="G144" i="46" a="1"/>
  <c r="G144" i="46" s="1"/>
  <c r="F40" i="46" s="1" a="1"/>
  <c r="F40" i="46" s="1"/>
  <c r="G143" i="46" a="1"/>
  <c r="G143" i="46" s="1"/>
  <c r="F39" i="46" s="1" a="1"/>
  <c r="F39" i="46" s="1"/>
  <c r="G142" i="46" a="1"/>
  <c r="G142" i="46" s="1"/>
  <c r="F38" i="46" s="1" a="1"/>
  <c r="F38" i="46" s="1"/>
  <c r="G141" i="46" a="1"/>
  <c r="G141" i="46" s="1"/>
  <c r="F37" i="46" s="1" a="1"/>
  <c r="F37" i="46" s="1"/>
  <c r="G140" i="46" a="1"/>
  <c r="G140" i="46" s="1"/>
  <c r="F36" i="46" s="1" a="1"/>
  <c r="F36" i="46" s="1"/>
  <c r="G139" i="46" a="1"/>
  <c r="G139" i="46" s="1"/>
  <c r="F35" i="46" s="1" a="1"/>
  <c r="F35" i="46" s="1"/>
  <c r="G137" i="46" a="1"/>
  <c r="G137" i="46" s="1"/>
  <c r="F33" i="46" s="1" a="1"/>
  <c r="F33" i="46" s="1"/>
  <c r="G135" i="46" a="1"/>
  <c r="G135" i="46" s="1"/>
  <c r="F31" i="46" s="1" a="1"/>
  <c r="F31" i="46" s="1"/>
  <c r="G134" i="46" a="1"/>
  <c r="G134" i="46" s="1"/>
  <c r="F30" i="46" s="1" a="1"/>
  <c r="F30" i="46" s="1"/>
  <c r="G133" i="46" a="1"/>
  <c r="G133" i="46" s="1"/>
  <c r="F29" i="46" s="1" a="1"/>
  <c r="F29" i="46" s="1"/>
  <c r="G132" i="46" a="1"/>
  <c r="G132" i="46" s="1"/>
  <c r="F28" i="46" s="1" a="1"/>
  <c r="F28" i="46" s="1"/>
  <c r="G131" i="46" a="1"/>
  <c r="G131" i="46" s="1"/>
  <c r="F27" i="46" s="1" a="1"/>
  <c r="F27" i="46" s="1"/>
  <c r="G130" i="46" a="1"/>
  <c r="G130" i="46" s="1"/>
  <c r="F26" i="46" s="1" a="1"/>
  <c r="F26" i="46" s="1"/>
  <c r="G129" i="46" a="1"/>
  <c r="G129" i="46" s="1"/>
  <c r="F25" i="46" s="1" a="1"/>
  <c r="F25" i="46" s="1"/>
  <c r="G128" i="46" a="1"/>
  <c r="G128" i="46" s="1"/>
  <c r="F24" i="46" s="1" a="1"/>
  <c r="F24" i="46" s="1"/>
  <c r="G126" i="46" a="1"/>
  <c r="G126" i="46" s="1"/>
  <c r="F22" i="46" s="1" a="1"/>
  <c r="F22" i="46" s="1"/>
  <c r="G125" i="46" a="1"/>
  <c r="G125" i="46" s="1"/>
  <c r="F21" i="46" s="1" a="1"/>
  <c r="F21" i="46" s="1"/>
  <c r="G124" i="46" a="1"/>
  <c r="G124" i="46" s="1"/>
  <c r="F20" i="46" s="1" a="1"/>
  <c r="F20" i="46" s="1"/>
  <c r="G123" i="46" a="1"/>
  <c r="G123" i="46" s="1"/>
  <c r="F19" i="46" s="1" a="1"/>
  <c r="F19" i="46" s="1"/>
  <c r="G122" i="46" a="1"/>
  <c r="G122" i="46" s="1"/>
  <c r="F18" i="46" s="1" a="1"/>
  <c r="F18" i="46" s="1"/>
  <c r="G121" i="46" a="1"/>
  <c r="G121" i="46" s="1"/>
  <c r="F17" i="46" s="1" a="1"/>
  <c r="F17" i="46" s="1"/>
  <c r="G120" i="46" a="1"/>
  <c r="G120" i="46" s="1"/>
  <c r="F16" i="46" s="1" a="1"/>
  <c r="F16" i="46" s="1"/>
  <c r="G116" i="46" a="1"/>
  <c r="G116" i="46" s="1"/>
  <c r="F12" i="46" s="1" a="1"/>
  <c r="F12" i="46" s="1"/>
  <c r="G115" i="46" a="1"/>
  <c r="G115" i="46" s="1"/>
  <c r="F11" i="46" s="1" a="1"/>
  <c r="F11" i="46" s="1"/>
  <c r="G114" i="46" a="1"/>
  <c r="G114" i="46" s="1"/>
  <c r="F10" i="46" s="1" a="1"/>
  <c r="F10" i="46" s="1"/>
  <c r="G113" i="46" a="1"/>
  <c r="G113" i="46" s="1"/>
  <c r="F9" i="46" s="1" a="1"/>
  <c r="F9" i="46" s="1"/>
  <c r="G112" i="46" a="1"/>
  <c r="G112" i="46" s="1"/>
  <c r="F8" i="46" s="1" a="1"/>
  <c r="F8" i="46" s="1"/>
  <c r="C73" i="46" a="1"/>
  <c r="C73" i="46" s="1"/>
  <c r="C78" i="46" a="1"/>
  <c r="C78" i="46" s="1"/>
  <c r="C103" i="46" s="1"/>
  <c r="E22" i="48" a="1"/>
  <c r="E22" i="48" s="1"/>
  <c r="D22" i="48" a="1"/>
  <c r="D22" i="48" s="1"/>
  <c r="B22" i="48" a="1"/>
  <c r="B22" i="48" s="1"/>
  <c r="A22" i="48" a="1"/>
  <c r="A22" i="48" s="1"/>
  <c r="D80" i="42" l="1"/>
  <c r="D96" i="42"/>
  <c r="D112" i="42"/>
  <c r="E75" i="42"/>
  <c r="E91" i="42"/>
  <c r="E107" i="42"/>
  <c r="F81" i="42"/>
  <c r="F97" i="42"/>
  <c r="F113" i="42"/>
  <c r="G76" i="42"/>
  <c r="G92" i="42"/>
  <c r="G108" i="42"/>
  <c r="H82" i="42"/>
  <c r="H98" i="42"/>
  <c r="H114" i="42"/>
  <c r="I77" i="42"/>
  <c r="I93" i="42"/>
  <c r="I109" i="42"/>
  <c r="J83" i="42"/>
  <c r="J99" i="42"/>
  <c r="J115" i="42"/>
  <c r="K78" i="42"/>
  <c r="K94" i="42"/>
  <c r="K110" i="42"/>
  <c r="L84" i="42"/>
  <c r="L100" i="42"/>
  <c r="L116" i="42"/>
  <c r="M79" i="42"/>
  <c r="M95" i="42"/>
  <c r="M111" i="42"/>
  <c r="D81" i="42"/>
  <c r="D97" i="42"/>
  <c r="D113" i="42"/>
  <c r="E76" i="42"/>
  <c r="E92" i="42"/>
  <c r="E108" i="42"/>
  <c r="F82" i="42"/>
  <c r="F98" i="42"/>
  <c r="F114" i="42"/>
  <c r="G77" i="42"/>
  <c r="G93" i="42"/>
  <c r="G109" i="42"/>
  <c r="H83" i="42"/>
  <c r="H99" i="42"/>
  <c r="H115" i="42"/>
  <c r="I78" i="42"/>
  <c r="I94" i="42"/>
  <c r="J84" i="42"/>
  <c r="J100" i="42"/>
  <c r="J116" i="42"/>
  <c r="K79" i="42"/>
  <c r="K95" i="42"/>
  <c r="K111" i="42"/>
  <c r="L69" i="42"/>
  <c r="D82" i="42"/>
  <c r="D98" i="42"/>
  <c r="D114" i="42"/>
  <c r="E77" i="42"/>
  <c r="E93" i="42"/>
  <c r="E109" i="42"/>
  <c r="F83" i="42"/>
  <c r="F99" i="42"/>
  <c r="F115" i="42"/>
  <c r="G78" i="42"/>
  <c r="G94" i="42"/>
  <c r="G110" i="42"/>
  <c r="H84" i="42"/>
  <c r="H100" i="42"/>
  <c r="H116" i="42"/>
  <c r="I79" i="42"/>
  <c r="I95" i="42"/>
  <c r="I111" i="42"/>
  <c r="J69" i="42"/>
  <c r="J85" i="42"/>
  <c r="J101" i="42"/>
  <c r="J117" i="42"/>
  <c r="K80" i="42"/>
  <c r="K96" i="42"/>
  <c r="K112" i="42"/>
  <c r="L70" i="42"/>
  <c r="L86" i="42"/>
  <c r="L102" i="42"/>
  <c r="L118" i="42"/>
  <c r="M81" i="42"/>
  <c r="M97" i="42"/>
  <c r="M113" i="42"/>
  <c r="D83" i="42"/>
  <c r="D99" i="42"/>
  <c r="D115" i="42"/>
  <c r="E78" i="42"/>
  <c r="E94" i="42"/>
  <c r="E110" i="42"/>
  <c r="F84" i="42"/>
  <c r="F100" i="42"/>
  <c r="F116" i="42"/>
  <c r="G79" i="42"/>
  <c r="G95" i="42"/>
  <c r="G111" i="42"/>
  <c r="H69" i="42"/>
  <c r="H85" i="42"/>
  <c r="H101" i="42"/>
  <c r="H117" i="42"/>
  <c r="I80" i="42"/>
  <c r="I96" i="42"/>
  <c r="I112" i="42"/>
  <c r="J70" i="42"/>
  <c r="J86" i="42"/>
  <c r="J102" i="42"/>
  <c r="J118" i="42"/>
  <c r="K81" i="42"/>
  <c r="K97" i="42"/>
  <c r="K113" i="42"/>
  <c r="L71" i="42"/>
  <c r="L87" i="42"/>
  <c r="L103" i="42"/>
  <c r="L119" i="42"/>
  <c r="M82" i="42"/>
  <c r="M98" i="42"/>
  <c r="M114" i="42"/>
  <c r="D84" i="42"/>
  <c r="D100" i="42"/>
  <c r="D116" i="42"/>
  <c r="E79" i="42"/>
  <c r="E95" i="42"/>
  <c r="E111" i="42"/>
  <c r="F69" i="42"/>
  <c r="F85" i="42"/>
  <c r="F101" i="42"/>
  <c r="F117" i="42"/>
  <c r="G80" i="42"/>
  <c r="G96" i="42"/>
  <c r="G112" i="42"/>
  <c r="H70" i="42"/>
  <c r="H86" i="42"/>
  <c r="H102" i="42"/>
  <c r="H118" i="42"/>
  <c r="I81" i="42"/>
  <c r="I97" i="42"/>
  <c r="I113" i="42"/>
  <c r="J71" i="42"/>
  <c r="J87" i="42"/>
  <c r="J103" i="42"/>
  <c r="J119" i="42"/>
  <c r="K82" i="42"/>
  <c r="K98" i="42"/>
  <c r="K114" i="42"/>
  <c r="L72" i="42"/>
  <c r="L88" i="42"/>
  <c r="L104" i="42"/>
  <c r="L120" i="42"/>
  <c r="M83" i="42"/>
  <c r="M99" i="42"/>
  <c r="M115" i="42"/>
  <c r="D69" i="42"/>
  <c r="D85" i="42"/>
  <c r="D101" i="42"/>
  <c r="D117" i="42"/>
  <c r="E80" i="42"/>
  <c r="E96" i="42"/>
  <c r="E112" i="42"/>
  <c r="F70" i="42"/>
  <c r="F86" i="42"/>
  <c r="F102" i="42"/>
  <c r="F118" i="42"/>
  <c r="G81" i="42"/>
  <c r="G97" i="42"/>
  <c r="G113" i="42"/>
  <c r="H71" i="42"/>
  <c r="H87" i="42"/>
  <c r="H103" i="42"/>
  <c r="H119" i="42"/>
  <c r="I82" i="42"/>
  <c r="I98" i="42"/>
  <c r="I114" i="42"/>
  <c r="J72" i="42"/>
  <c r="J88" i="42"/>
  <c r="J104" i="42"/>
  <c r="J120" i="42"/>
  <c r="K83" i="42"/>
  <c r="K99" i="42"/>
  <c r="K115" i="42"/>
  <c r="L73" i="42"/>
  <c r="L89" i="42"/>
  <c r="L105" i="42"/>
  <c r="L121" i="42"/>
  <c r="M84" i="42"/>
  <c r="M100" i="42"/>
  <c r="M116" i="42"/>
  <c r="D70" i="42"/>
  <c r="D86" i="42"/>
  <c r="D102" i="42"/>
  <c r="D118" i="42"/>
  <c r="E81" i="42"/>
  <c r="E97" i="42"/>
  <c r="E113" i="42"/>
  <c r="F71" i="42"/>
  <c r="F87" i="42"/>
  <c r="F103" i="42"/>
  <c r="F119" i="42"/>
  <c r="G82" i="42"/>
  <c r="G98" i="42"/>
  <c r="G114" i="42"/>
  <c r="H72" i="42"/>
  <c r="H88" i="42"/>
  <c r="H104" i="42"/>
  <c r="H120" i="42"/>
  <c r="I83" i="42"/>
  <c r="I99" i="42"/>
  <c r="I115" i="42"/>
  <c r="J73" i="42"/>
  <c r="J89" i="42"/>
  <c r="J105" i="42"/>
  <c r="J121" i="42"/>
  <c r="K84" i="42"/>
  <c r="K100" i="42"/>
  <c r="K116" i="42"/>
  <c r="L74" i="42"/>
  <c r="L90" i="42"/>
  <c r="L106" i="42"/>
  <c r="M69" i="42"/>
  <c r="M85" i="42"/>
  <c r="M101" i="42"/>
  <c r="M117" i="42"/>
  <c r="D71" i="42"/>
  <c r="D87" i="42"/>
  <c r="D103" i="42"/>
  <c r="D119" i="42"/>
  <c r="E82" i="42"/>
  <c r="E98" i="42"/>
  <c r="E114" i="42"/>
  <c r="F72" i="42"/>
  <c r="F88" i="42"/>
  <c r="F104" i="42"/>
  <c r="F120" i="42"/>
  <c r="G83" i="42"/>
  <c r="G99" i="42"/>
  <c r="G115" i="42"/>
  <c r="H73" i="42"/>
  <c r="H89" i="42"/>
  <c r="H105" i="42"/>
  <c r="H121" i="42"/>
  <c r="I84" i="42"/>
  <c r="I100" i="42"/>
  <c r="I116" i="42"/>
  <c r="J74" i="42"/>
  <c r="J90" i="42"/>
  <c r="J106" i="42"/>
  <c r="K69" i="42"/>
  <c r="K85" i="42"/>
  <c r="K101" i="42"/>
  <c r="K117" i="42"/>
  <c r="L75" i="42"/>
  <c r="L91" i="42"/>
  <c r="L107" i="42"/>
  <c r="M70" i="42"/>
  <c r="M86" i="42"/>
  <c r="M102" i="42"/>
  <c r="M118" i="42"/>
  <c r="D72" i="42"/>
  <c r="D88" i="42"/>
  <c r="D104" i="42"/>
  <c r="D120" i="42"/>
  <c r="E83" i="42"/>
  <c r="E99" i="42"/>
  <c r="E115" i="42"/>
  <c r="F73" i="42"/>
  <c r="F89" i="42"/>
  <c r="F105" i="42"/>
  <c r="F121" i="42"/>
  <c r="G84" i="42"/>
  <c r="G100" i="42"/>
  <c r="G116" i="42"/>
  <c r="H74" i="42"/>
  <c r="H90" i="42"/>
  <c r="H106" i="42"/>
  <c r="I69" i="42"/>
  <c r="I85" i="42"/>
  <c r="I101" i="42"/>
  <c r="I117" i="42"/>
  <c r="J75" i="42"/>
  <c r="J91" i="42"/>
  <c r="J107" i="42"/>
  <c r="K70" i="42"/>
  <c r="K86" i="42"/>
  <c r="K102" i="42"/>
  <c r="K118" i="42"/>
  <c r="L76" i="42"/>
  <c r="L92" i="42"/>
  <c r="L108" i="42"/>
  <c r="M71" i="42"/>
  <c r="M87" i="42"/>
  <c r="M103" i="42"/>
  <c r="M119" i="42"/>
  <c r="D73" i="42"/>
  <c r="D89" i="42"/>
  <c r="D105" i="42"/>
  <c r="D121" i="42"/>
  <c r="E84" i="42"/>
  <c r="E100" i="42"/>
  <c r="E116" i="42"/>
  <c r="F74" i="42"/>
  <c r="F90" i="42"/>
  <c r="F106" i="42"/>
  <c r="G69" i="42"/>
  <c r="G85" i="42"/>
  <c r="G101" i="42"/>
  <c r="G117" i="42"/>
  <c r="H75" i="42"/>
  <c r="H91" i="42"/>
  <c r="H107" i="42"/>
  <c r="I70" i="42"/>
  <c r="I86" i="42"/>
  <c r="I102" i="42"/>
  <c r="I118" i="42"/>
  <c r="J76" i="42"/>
  <c r="J92" i="42"/>
  <c r="J108" i="42"/>
  <c r="K71" i="42"/>
  <c r="K87" i="42"/>
  <c r="K103" i="42"/>
  <c r="K119" i="42"/>
  <c r="L77" i="42"/>
  <c r="L93" i="42"/>
  <c r="L109" i="42"/>
  <c r="M72" i="42"/>
  <c r="M88" i="42"/>
  <c r="M104" i="42"/>
  <c r="M120" i="42"/>
  <c r="D74" i="42"/>
  <c r="D90" i="42"/>
  <c r="D106" i="42"/>
  <c r="E69" i="42"/>
  <c r="E85" i="42"/>
  <c r="E101" i="42"/>
  <c r="E117" i="42"/>
  <c r="F75" i="42"/>
  <c r="F91" i="42"/>
  <c r="F107" i="42"/>
  <c r="G70" i="42"/>
  <c r="G86" i="42"/>
  <c r="G102" i="42"/>
  <c r="G118" i="42"/>
  <c r="H76" i="42"/>
  <c r="H92" i="42"/>
  <c r="H108" i="42"/>
  <c r="I71" i="42"/>
  <c r="I87" i="42"/>
  <c r="I103" i="42"/>
  <c r="I119" i="42"/>
  <c r="J77" i="42"/>
  <c r="J93" i="42"/>
  <c r="J109" i="42"/>
  <c r="K72" i="42"/>
  <c r="K88" i="42"/>
  <c r="K104" i="42"/>
  <c r="K120" i="42"/>
  <c r="L78" i="42"/>
  <c r="L94" i="42"/>
  <c r="L110" i="42"/>
  <c r="M73" i="42"/>
  <c r="M89" i="42"/>
  <c r="M105" i="42"/>
  <c r="M121" i="42"/>
  <c r="D75" i="42"/>
  <c r="D91" i="42"/>
  <c r="D107" i="42"/>
  <c r="E70" i="42"/>
  <c r="E86" i="42"/>
  <c r="E102" i="42"/>
  <c r="E118" i="42"/>
  <c r="F76" i="42"/>
  <c r="F92" i="42"/>
  <c r="F108" i="42"/>
  <c r="G71" i="42"/>
  <c r="G87" i="42"/>
  <c r="G103" i="42"/>
  <c r="G119" i="42"/>
  <c r="H77" i="42"/>
  <c r="H93" i="42"/>
  <c r="H109" i="42"/>
  <c r="I72" i="42"/>
  <c r="I88" i="42"/>
  <c r="I104" i="42"/>
  <c r="I120" i="42"/>
  <c r="J78" i="42"/>
  <c r="J94" i="42"/>
  <c r="J110" i="42"/>
  <c r="K73" i="42"/>
  <c r="K89" i="42"/>
  <c r="K105" i="42"/>
  <c r="K121" i="42"/>
  <c r="L79" i="42"/>
  <c r="L95" i="42"/>
  <c r="L111" i="42"/>
  <c r="M74" i="42"/>
  <c r="M90" i="42"/>
  <c r="M106" i="42"/>
  <c r="D76" i="42"/>
  <c r="D92" i="42"/>
  <c r="D108" i="42"/>
  <c r="E71" i="42"/>
  <c r="E87" i="42"/>
  <c r="E103" i="42"/>
  <c r="E119" i="42"/>
  <c r="F77" i="42"/>
  <c r="F93" i="42"/>
  <c r="F109" i="42"/>
  <c r="G72" i="42"/>
  <c r="G88" i="42"/>
  <c r="G104" i="42"/>
  <c r="G120" i="42"/>
  <c r="H78" i="42"/>
  <c r="H94" i="42"/>
  <c r="H110" i="42"/>
  <c r="I73" i="42"/>
  <c r="I89" i="42"/>
  <c r="I105" i="42"/>
  <c r="I121" i="42"/>
  <c r="J79" i="42"/>
  <c r="J95" i="42"/>
  <c r="J111" i="42"/>
  <c r="K74" i="42"/>
  <c r="K90" i="42"/>
  <c r="K106" i="42"/>
  <c r="L80" i="42"/>
  <c r="L96" i="42"/>
  <c r="L112" i="42"/>
  <c r="M75" i="42"/>
  <c r="M91" i="42"/>
  <c r="M107" i="42"/>
  <c r="D77" i="42"/>
  <c r="D93" i="42"/>
  <c r="D109" i="42"/>
  <c r="E72" i="42"/>
  <c r="E88" i="42"/>
  <c r="E104" i="42"/>
  <c r="E120" i="42"/>
  <c r="F78" i="42"/>
  <c r="F94" i="42"/>
  <c r="F110" i="42"/>
  <c r="G73" i="42"/>
  <c r="G89" i="42"/>
  <c r="G105" i="42"/>
  <c r="G121" i="42"/>
  <c r="H79" i="42"/>
  <c r="H95" i="42"/>
  <c r="H111" i="42"/>
  <c r="I74" i="42"/>
  <c r="I90" i="42"/>
  <c r="I106" i="42"/>
  <c r="J80" i="42"/>
  <c r="J96" i="42"/>
  <c r="J112" i="42"/>
  <c r="K75" i="42"/>
  <c r="K91" i="42"/>
  <c r="K107" i="42"/>
  <c r="L81" i="42"/>
  <c r="L97" i="42"/>
  <c r="L113" i="42"/>
  <c r="M76" i="42"/>
  <c r="M92" i="42"/>
  <c r="M108" i="42"/>
  <c r="D78" i="42"/>
  <c r="D94" i="42"/>
  <c r="D110" i="42"/>
  <c r="E73" i="42"/>
  <c r="E89" i="42"/>
  <c r="E105" i="42"/>
  <c r="E121" i="42"/>
  <c r="F79" i="42"/>
  <c r="F95" i="42"/>
  <c r="F111" i="42"/>
  <c r="G74" i="42"/>
  <c r="G90" i="42"/>
  <c r="G106" i="42"/>
  <c r="H80" i="42"/>
  <c r="H96" i="42"/>
  <c r="H112" i="42"/>
  <c r="I75" i="42"/>
  <c r="I91" i="42"/>
  <c r="I107" i="42"/>
  <c r="J81" i="42"/>
  <c r="J97" i="42"/>
  <c r="J113" i="42"/>
  <c r="K76" i="42"/>
  <c r="K92" i="42"/>
  <c r="K108" i="42"/>
  <c r="L82" i="42"/>
  <c r="L98" i="42"/>
  <c r="L114" i="42"/>
  <c r="M77" i="42"/>
  <c r="M93" i="42"/>
  <c r="M109" i="42"/>
  <c r="D79" i="42"/>
  <c r="D95" i="42"/>
  <c r="D111" i="42"/>
  <c r="E74" i="42"/>
  <c r="E90" i="42"/>
  <c r="F80" i="42"/>
  <c r="F96" i="42"/>
  <c r="F112" i="42"/>
  <c r="G75" i="42"/>
  <c r="G91" i="42"/>
  <c r="H81" i="42"/>
  <c r="H97" i="42"/>
  <c r="H113" i="42"/>
  <c r="I76" i="42"/>
  <c r="I92" i="42"/>
  <c r="J82" i="42"/>
  <c r="J98" i="42"/>
  <c r="J114" i="42"/>
  <c r="K77" i="42"/>
  <c r="K93" i="42"/>
  <c r="L83" i="42"/>
  <c r="L99" i="42"/>
  <c r="L115" i="42"/>
  <c r="M78" i="42"/>
  <c r="M94" i="42"/>
  <c r="N71" i="42"/>
  <c r="N103" i="42"/>
  <c r="N87" i="42"/>
  <c r="O113" i="42"/>
  <c r="N119" i="42"/>
  <c r="O82" i="42"/>
  <c r="O83" i="42"/>
  <c r="O98" i="42"/>
  <c r="O99" i="42"/>
  <c r="O114" i="42"/>
  <c r="O115" i="42"/>
  <c r="N120" i="42"/>
  <c r="N73" i="42"/>
  <c r="N89" i="42"/>
  <c r="N105" i="42"/>
  <c r="N121" i="42"/>
  <c r="O84" i="42"/>
  <c r="O100" i="42"/>
  <c r="O116" i="42"/>
  <c r="N72" i="42"/>
  <c r="N74" i="42"/>
  <c r="N90" i="42"/>
  <c r="N106" i="42"/>
  <c r="O69" i="42"/>
  <c r="O85" i="42"/>
  <c r="O101" i="42"/>
  <c r="O117" i="42"/>
  <c r="N75" i="42"/>
  <c r="N91" i="42"/>
  <c r="N107" i="42"/>
  <c r="O70" i="42"/>
  <c r="O86" i="42"/>
  <c r="O102" i="42"/>
  <c r="O118" i="42"/>
  <c r="N88" i="42"/>
  <c r="N104" i="42"/>
  <c r="N76" i="42"/>
  <c r="N92" i="42"/>
  <c r="N108" i="42"/>
  <c r="O71" i="42"/>
  <c r="O87" i="42"/>
  <c r="O103" i="42"/>
  <c r="O119" i="42"/>
  <c r="N77" i="42"/>
  <c r="N93" i="42"/>
  <c r="N109" i="42"/>
  <c r="O72" i="42"/>
  <c r="O88" i="42"/>
  <c r="O104" i="42"/>
  <c r="O120" i="42"/>
  <c r="N78" i="42"/>
  <c r="N94" i="42"/>
  <c r="N110" i="42"/>
  <c r="O73" i="42"/>
  <c r="O89" i="42"/>
  <c r="O105" i="42"/>
  <c r="O121" i="42"/>
  <c r="N79" i="42"/>
  <c r="N95" i="42"/>
  <c r="N111" i="42"/>
  <c r="O74" i="42"/>
  <c r="O90" i="42"/>
  <c r="O106" i="42"/>
  <c r="N80" i="42"/>
  <c r="N96" i="42"/>
  <c r="N112" i="42"/>
  <c r="O75" i="42"/>
  <c r="O91" i="42"/>
  <c r="O107" i="42"/>
  <c r="N81" i="42"/>
  <c r="N97" i="42"/>
  <c r="N113" i="42"/>
  <c r="O76" i="42"/>
  <c r="O92" i="42"/>
  <c r="O108" i="42"/>
  <c r="N82" i="42"/>
  <c r="N98" i="42"/>
  <c r="N114" i="42"/>
  <c r="O77" i="42"/>
  <c r="O93" i="42"/>
  <c r="O109" i="42"/>
  <c r="N83" i="42"/>
  <c r="N99" i="42"/>
  <c r="N115" i="42"/>
  <c r="O78" i="42"/>
  <c r="O94" i="42"/>
  <c r="O110" i="42"/>
  <c r="N84" i="42"/>
  <c r="N100" i="42"/>
  <c r="N116" i="42"/>
  <c r="O79" i="42"/>
  <c r="O95" i="42"/>
  <c r="O111" i="42"/>
  <c r="N69" i="42"/>
  <c r="N85" i="42"/>
  <c r="N101" i="42"/>
  <c r="N117" i="42"/>
  <c r="O80" i="42"/>
  <c r="O96" i="42"/>
  <c r="O112" i="42"/>
  <c r="N70" i="42"/>
  <c r="N86" i="42"/>
  <c r="N102" i="42"/>
  <c r="N118" i="42"/>
  <c r="O81" i="42"/>
  <c r="O97" i="42"/>
  <c r="C88" i="58"/>
  <c r="C109" i="59"/>
  <c r="C88" i="57"/>
  <c r="C109" i="58"/>
  <c r="C109" i="57"/>
  <c r="C88" i="54"/>
  <c r="C83" i="46"/>
  <c r="C102" i="46"/>
  <c r="D668" i="40" l="1"/>
  <c r="D667" i="40"/>
  <c r="D666" i="40"/>
  <c r="D665" i="40"/>
  <c r="D664" i="40"/>
  <c r="D663" i="40"/>
  <c r="D662" i="40"/>
  <c r="D661" i="40"/>
  <c r="D660" i="40"/>
  <c r="D659" i="40"/>
  <c r="D658" i="40"/>
  <c r="D657" i="40"/>
  <c r="D656" i="40"/>
  <c r="D655" i="40"/>
  <c r="D654" i="40"/>
  <c r="D653" i="40"/>
  <c r="D652" i="40"/>
  <c r="D651" i="40"/>
  <c r="D650" i="40"/>
  <c r="D649" i="40"/>
  <c r="D648" i="40"/>
  <c r="D647" i="40"/>
  <c r="D646" i="40"/>
  <c r="D645" i="40"/>
  <c r="D644" i="40"/>
  <c r="D643" i="40"/>
  <c r="D642" i="40"/>
  <c r="D641" i="40"/>
  <c r="D640" i="40"/>
  <c r="D639" i="40"/>
  <c r="D638" i="40"/>
  <c r="D637" i="40"/>
  <c r="D636" i="40"/>
  <c r="D635" i="40"/>
  <c r="D634" i="40"/>
  <c r="D633" i="40"/>
  <c r="D632" i="40"/>
  <c r="D631" i="40"/>
  <c r="D630" i="40"/>
  <c r="D629" i="40"/>
  <c r="D628" i="40"/>
  <c r="D627" i="40"/>
  <c r="D626" i="40"/>
  <c r="D625" i="40"/>
  <c r="D624" i="40"/>
  <c r="D623" i="40"/>
  <c r="D622" i="40"/>
  <c r="D621" i="40"/>
  <c r="D620" i="40"/>
  <c r="D619" i="40"/>
  <c r="D618" i="40"/>
  <c r="D617" i="40"/>
  <c r="D616" i="40"/>
  <c r="B586" i="40" a="1"/>
  <c r="B586" i="40" s="1"/>
  <c r="B583" i="40" a="1"/>
  <c r="B583" i="40" s="1"/>
  <c r="D577" i="40"/>
  <c r="D576" i="40"/>
  <c r="D575" i="40"/>
  <c r="D574" i="40"/>
  <c r="D573" i="40"/>
  <c r="D572" i="40"/>
  <c r="D571" i="40"/>
  <c r="D570" i="40"/>
  <c r="D569" i="40"/>
  <c r="D568" i="40"/>
  <c r="D567" i="40"/>
  <c r="D566" i="40"/>
  <c r="D565" i="40"/>
  <c r="D564" i="40"/>
  <c r="D563" i="40"/>
  <c r="D562" i="40"/>
  <c r="D561" i="40"/>
  <c r="D560" i="40"/>
  <c r="D559" i="40"/>
  <c r="D558" i="40"/>
  <c r="D557" i="40"/>
  <c r="D556" i="40"/>
  <c r="D555" i="40"/>
  <c r="D554" i="40"/>
  <c r="D553" i="40"/>
  <c r="D552" i="40"/>
  <c r="D551" i="40"/>
  <c r="D550" i="40"/>
  <c r="D549" i="40"/>
  <c r="D548" i="40"/>
  <c r="D547" i="40"/>
  <c r="D546" i="40"/>
  <c r="D545" i="40"/>
  <c r="D544" i="40"/>
  <c r="D543" i="40"/>
  <c r="D542" i="40"/>
  <c r="D541" i="40"/>
  <c r="D540" i="40"/>
  <c r="D539" i="40"/>
  <c r="D538" i="40"/>
  <c r="D537" i="40"/>
  <c r="D536" i="40"/>
  <c r="D535" i="40"/>
  <c r="D534" i="40"/>
  <c r="D533" i="40"/>
  <c r="D532" i="40"/>
  <c r="D531" i="40"/>
  <c r="D530" i="40"/>
  <c r="D529" i="40"/>
  <c r="D528" i="40"/>
  <c r="D527" i="40"/>
  <c r="D526" i="40"/>
  <c r="D525" i="40"/>
  <c r="B495" i="40" a="1"/>
  <c r="B495" i="40" s="1"/>
  <c r="B492" i="40" a="1"/>
  <c r="B492" i="40" s="1"/>
  <c r="D486" i="40"/>
  <c r="D485" i="40"/>
  <c r="D484" i="40"/>
  <c r="D483" i="40"/>
  <c r="D482" i="40"/>
  <c r="D481" i="40"/>
  <c r="D480" i="40"/>
  <c r="D479" i="40"/>
  <c r="D478" i="40"/>
  <c r="D477" i="40"/>
  <c r="D476" i="40"/>
  <c r="D475" i="40"/>
  <c r="D474" i="40"/>
  <c r="D473" i="40"/>
  <c r="D472" i="40"/>
  <c r="D471" i="40"/>
  <c r="D470" i="40"/>
  <c r="D469" i="40"/>
  <c r="D468" i="40"/>
  <c r="D467" i="40"/>
  <c r="D466" i="40"/>
  <c r="D465" i="40"/>
  <c r="D464" i="40"/>
  <c r="D463" i="40"/>
  <c r="D462" i="40"/>
  <c r="D461" i="40"/>
  <c r="D460" i="40"/>
  <c r="D459" i="40"/>
  <c r="D458" i="40"/>
  <c r="D457" i="40"/>
  <c r="D456" i="40"/>
  <c r="D455" i="40"/>
  <c r="D454" i="40"/>
  <c r="D453" i="40"/>
  <c r="D452" i="40"/>
  <c r="D451" i="40"/>
  <c r="D450" i="40"/>
  <c r="D449" i="40"/>
  <c r="D448" i="40"/>
  <c r="D447" i="40"/>
  <c r="D446" i="40"/>
  <c r="D445" i="40"/>
  <c r="D444" i="40"/>
  <c r="D443" i="40"/>
  <c r="D442" i="40"/>
  <c r="D441" i="40"/>
  <c r="D440" i="40"/>
  <c r="D439" i="40"/>
  <c r="D438" i="40"/>
  <c r="D437" i="40"/>
  <c r="D436" i="40"/>
  <c r="D435" i="40"/>
  <c r="D434" i="40"/>
  <c r="B404" i="40" a="1"/>
  <c r="B404" i="40" s="1"/>
  <c r="B401" i="40" a="1"/>
  <c r="B401" i="40" s="1"/>
  <c r="D395" i="40"/>
  <c r="D394" i="40"/>
  <c r="D393" i="40"/>
  <c r="D392" i="40"/>
  <c r="D391" i="40"/>
  <c r="D390" i="40"/>
  <c r="D389" i="40"/>
  <c r="D388" i="40"/>
  <c r="D387" i="40"/>
  <c r="D386" i="40"/>
  <c r="D385" i="40"/>
  <c r="D384" i="40"/>
  <c r="D383" i="40"/>
  <c r="D382" i="40"/>
  <c r="D381" i="40"/>
  <c r="D380" i="40"/>
  <c r="D379" i="40"/>
  <c r="D378" i="40"/>
  <c r="D377" i="40"/>
  <c r="D376" i="40"/>
  <c r="D375" i="40"/>
  <c r="D374" i="40"/>
  <c r="D373" i="40"/>
  <c r="D372" i="40"/>
  <c r="D371" i="40"/>
  <c r="D370" i="40"/>
  <c r="D369" i="40"/>
  <c r="D368" i="40"/>
  <c r="D367" i="40"/>
  <c r="D366" i="40"/>
  <c r="D365" i="40"/>
  <c r="D364" i="40"/>
  <c r="D363" i="40"/>
  <c r="D362" i="40"/>
  <c r="D361" i="40"/>
  <c r="D360" i="40"/>
  <c r="D359" i="40"/>
  <c r="D358" i="40"/>
  <c r="D357" i="40"/>
  <c r="D356" i="40"/>
  <c r="D355" i="40"/>
  <c r="D354" i="40"/>
  <c r="D353" i="40"/>
  <c r="D352" i="40"/>
  <c r="D351" i="40"/>
  <c r="D350" i="40"/>
  <c r="D349" i="40"/>
  <c r="D348" i="40"/>
  <c r="D347" i="40"/>
  <c r="D346" i="40"/>
  <c r="D345" i="40"/>
  <c r="D344" i="40"/>
  <c r="D343" i="40"/>
  <c r="B313" i="40" a="1"/>
  <c r="B313" i="40" s="1"/>
  <c r="B310" i="40" a="1"/>
  <c r="B310" i="40" s="1"/>
  <c r="D304" i="40"/>
  <c r="D303" i="40"/>
  <c r="D302" i="40"/>
  <c r="D301" i="40"/>
  <c r="D300" i="40"/>
  <c r="D299" i="40"/>
  <c r="D298" i="40"/>
  <c r="D297" i="40"/>
  <c r="D296" i="40"/>
  <c r="D295" i="40"/>
  <c r="D294" i="40"/>
  <c r="D293" i="40"/>
  <c r="D292" i="40"/>
  <c r="D291" i="40"/>
  <c r="D290" i="40"/>
  <c r="D289" i="40"/>
  <c r="D288" i="40"/>
  <c r="D287" i="40"/>
  <c r="D286" i="40"/>
  <c r="D285" i="40"/>
  <c r="D284" i="40"/>
  <c r="D283" i="40"/>
  <c r="D282" i="40"/>
  <c r="D281" i="40"/>
  <c r="D280" i="40"/>
  <c r="D279" i="40"/>
  <c r="D278" i="40"/>
  <c r="D277" i="40"/>
  <c r="D276" i="40"/>
  <c r="D275" i="40"/>
  <c r="D274" i="40"/>
  <c r="D273" i="40"/>
  <c r="D272" i="40"/>
  <c r="D271" i="40"/>
  <c r="D270" i="40"/>
  <c r="D269" i="40"/>
  <c r="D268" i="40"/>
  <c r="D267" i="40"/>
  <c r="D266" i="40"/>
  <c r="D265" i="40"/>
  <c r="D264" i="40"/>
  <c r="D263" i="40"/>
  <c r="D262" i="40"/>
  <c r="D261" i="40"/>
  <c r="D260" i="40"/>
  <c r="D259" i="40"/>
  <c r="D258" i="40"/>
  <c r="D257" i="40"/>
  <c r="D256" i="40"/>
  <c r="D255" i="40"/>
  <c r="D254" i="40"/>
  <c r="D253" i="40"/>
  <c r="D252" i="40"/>
  <c r="B222" i="40" a="1"/>
  <c r="B222" i="40" s="1"/>
  <c r="B219" i="40" a="1"/>
  <c r="B219" i="40" s="1"/>
  <c r="D213" i="40"/>
  <c r="D212" i="40"/>
  <c r="D211" i="40"/>
  <c r="D210" i="40"/>
  <c r="D209" i="40"/>
  <c r="D208" i="40"/>
  <c r="D207" i="40"/>
  <c r="D206" i="40"/>
  <c r="D205" i="40"/>
  <c r="D204" i="40"/>
  <c r="D203" i="40"/>
  <c r="D202" i="40"/>
  <c r="D201" i="40"/>
  <c r="D200" i="40"/>
  <c r="D199" i="40"/>
  <c r="D198" i="40"/>
  <c r="D197" i="40"/>
  <c r="D196" i="40"/>
  <c r="D195" i="40"/>
  <c r="D194" i="40"/>
  <c r="D193" i="40"/>
  <c r="D192" i="40"/>
  <c r="D191" i="40"/>
  <c r="D190" i="40"/>
  <c r="D189" i="40"/>
  <c r="D188" i="40"/>
  <c r="D187" i="40"/>
  <c r="D186" i="40"/>
  <c r="D185" i="40"/>
  <c r="D184" i="40"/>
  <c r="D183" i="40"/>
  <c r="D182" i="40"/>
  <c r="D181" i="40"/>
  <c r="D180" i="40"/>
  <c r="D179" i="40"/>
  <c r="D178" i="40"/>
  <c r="D177" i="40"/>
  <c r="D176" i="40"/>
  <c r="D175" i="40"/>
  <c r="D174" i="40"/>
  <c r="D173" i="40"/>
  <c r="D172" i="40"/>
  <c r="D171" i="40"/>
  <c r="D170" i="40"/>
  <c r="D169" i="40"/>
  <c r="D168" i="40"/>
  <c r="D167" i="40"/>
  <c r="D166" i="40"/>
  <c r="D165" i="40"/>
  <c r="D164" i="40"/>
  <c r="D163" i="40"/>
  <c r="D162" i="40"/>
  <c r="D161" i="40"/>
  <c r="B131" i="40" a="1"/>
  <c r="B131" i="40" s="1"/>
  <c r="B128" i="40" a="1"/>
  <c r="B128" i="40" s="1"/>
  <c r="O122" i="40"/>
  <c r="N122" i="40"/>
  <c r="M122" i="40"/>
  <c r="L122" i="40"/>
  <c r="K122" i="40"/>
  <c r="J122" i="40"/>
  <c r="I122" i="40"/>
  <c r="H122" i="40"/>
  <c r="G122" i="40"/>
  <c r="F122" i="40"/>
  <c r="E122" i="40"/>
  <c r="D122" i="40"/>
  <c r="O121" i="40"/>
  <c r="N121" i="40"/>
  <c r="M121" i="40"/>
  <c r="L121" i="40"/>
  <c r="K121" i="40"/>
  <c r="J121" i="40"/>
  <c r="I121" i="40"/>
  <c r="H121" i="40"/>
  <c r="G121" i="40"/>
  <c r="F121" i="40"/>
  <c r="E121" i="40"/>
  <c r="D121" i="40"/>
  <c r="O120" i="40"/>
  <c r="N120" i="40"/>
  <c r="M120" i="40"/>
  <c r="L120" i="40"/>
  <c r="K120" i="40"/>
  <c r="J120" i="40"/>
  <c r="I120" i="40"/>
  <c r="H120" i="40"/>
  <c r="G120" i="40"/>
  <c r="F120" i="40"/>
  <c r="E120" i="40"/>
  <c r="D120" i="40"/>
  <c r="O119" i="40"/>
  <c r="N119" i="40"/>
  <c r="M119" i="40"/>
  <c r="L119" i="40"/>
  <c r="K119" i="40"/>
  <c r="J119" i="40"/>
  <c r="I119" i="40"/>
  <c r="H119" i="40"/>
  <c r="G119" i="40"/>
  <c r="F119" i="40"/>
  <c r="E119" i="40"/>
  <c r="D119" i="40"/>
  <c r="O118" i="40"/>
  <c r="N118" i="40"/>
  <c r="M118" i="40"/>
  <c r="L118" i="40"/>
  <c r="K118" i="40"/>
  <c r="J118" i="40"/>
  <c r="I118" i="40"/>
  <c r="H118" i="40"/>
  <c r="G118" i="40"/>
  <c r="F118" i="40"/>
  <c r="E118" i="40"/>
  <c r="D118" i="40"/>
  <c r="O117" i="40"/>
  <c r="N117" i="40"/>
  <c r="M117" i="40"/>
  <c r="L117" i="40"/>
  <c r="K117" i="40"/>
  <c r="J117" i="40"/>
  <c r="I117" i="40"/>
  <c r="H117" i="40"/>
  <c r="G117" i="40"/>
  <c r="F117" i="40"/>
  <c r="E117" i="40"/>
  <c r="D117" i="40"/>
  <c r="O116" i="40"/>
  <c r="N116" i="40"/>
  <c r="M116" i="40"/>
  <c r="L116" i="40"/>
  <c r="K116" i="40"/>
  <c r="J116" i="40"/>
  <c r="I116" i="40"/>
  <c r="H116" i="40"/>
  <c r="G116" i="40"/>
  <c r="F116" i="40"/>
  <c r="E116" i="40"/>
  <c r="D116" i="40"/>
  <c r="O115" i="40"/>
  <c r="N115" i="40"/>
  <c r="M115" i="40"/>
  <c r="L115" i="40"/>
  <c r="K115" i="40"/>
  <c r="J115" i="40"/>
  <c r="I115" i="40"/>
  <c r="H115" i="40"/>
  <c r="G115" i="40"/>
  <c r="F115" i="40"/>
  <c r="E115" i="40"/>
  <c r="D115" i="40"/>
  <c r="O114" i="40"/>
  <c r="N114" i="40"/>
  <c r="M114" i="40"/>
  <c r="L114" i="40"/>
  <c r="K114" i="40"/>
  <c r="J114" i="40"/>
  <c r="I114" i="40"/>
  <c r="H114" i="40"/>
  <c r="G114" i="40"/>
  <c r="F114" i="40"/>
  <c r="E114" i="40"/>
  <c r="D114" i="40"/>
  <c r="O113" i="40"/>
  <c r="N113" i="40"/>
  <c r="M113" i="40"/>
  <c r="L113" i="40"/>
  <c r="K113" i="40"/>
  <c r="J113" i="40"/>
  <c r="I113" i="40"/>
  <c r="H113" i="40"/>
  <c r="G113" i="40"/>
  <c r="F113" i="40"/>
  <c r="E113" i="40"/>
  <c r="D113" i="40"/>
  <c r="O112" i="40"/>
  <c r="N112" i="40"/>
  <c r="M112" i="40"/>
  <c r="L112" i="40"/>
  <c r="K112" i="40"/>
  <c r="J112" i="40"/>
  <c r="I112" i="40"/>
  <c r="H112" i="40"/>
  <c r="G112" i="40"/>
  <c r="F112" i="40"/>
  <c r="E112" i="40"/>
  <c r="D112" i="40"/>
  <c r="O111" i="40"/>
  <c r="N111" i="40"/>
  <c r="M111" i="40"/>
  <c r="L111" i="40"/>
  <c r="K111" i="40"/>
  <c r="J111" i="40"/>
  <c r="I111" i="40"/>
  <c r="H111" i="40"/>
  <c r="G111" i="40"/>
  <c r="F111" i="40"/>
  <c r="E111" i="40"/>
  <c r="D111" i="40"/>
  <c r="O110" i="40"/>
  <c r="N110" i="40"/>
  <c r="M110" i="40"/>
  <c r="L110" i="40"/>
  <c r="K110" i="40"/>
  <c r="J110" i="40"/>
  <c r="I110" i="40"/>
  <c r="H110" i="40"/>
  <c r="G110" i="40"/>
  <c r="F110" i="40"/>
  <c r="E110" i="40"/>
  <c r="D110" i="40"/>
  <c r="O109" i="40"/>
  <c r="N109" i="40"/>
  <c r="M109" i="40"/>
  <c r="L109" i="40"/>
  <c r="K109" i="40"/>
  <c r="J109" i="40"/>
  <c r="I109" i="40"/>
  <c r="H109" i="40"/>
  <c r="G109" i="40"/>
  <c r="F109" i="40"/>
  <c r="E109" i="40"/>
  <c r="D109" i="40"/>
  <c r="O108" i="40"/>
  <c r="N108" i="40"/>
  <c r="M108" i="40"/>
  <c r="L108" i="40"/>
  <c r="K108" i="40"/>
  <c r="J108" i="40"/>
  <c r="I108" i="40"/>
  <c r="H108" i="40"/>
  <c r="G108" i="40"/>
  <c r="F108" i="40"/>
  <c r="E108" i="40"/>
  <c r="D108" i="40"/>
  <c r="O107" i="40"/>
  <c r="N107" i="40"/>
  <c r="M107" i="40"/>
  <c r="L107" i="40"/>
  <c r="K107" i="40"/>
  <c r="J107" i="40"/>
  <c r="I107" i="40"/>
  <c r="H107" i="40"/>
  <c r="G107" i="40"/>
  <c r="F107" i="40"/>
  <c r="E107" i="40"/>
  <c r="D107" i="40"/>
  <c r="O106" i="40"/>
  <c r="N106" i="40"/>
  <c r="M106" i="40"/>
  <c r="L106" i="40"/>
  <c r="K106" i="40"/>
  <c r="J106" i="40"/>
  <c r="I106" i="40"/>
  <c r="H106" i="40"/>
  <c r="G106" i="40"/>
  <c r="F106" i="40"/>
  <c r="E106" i="40"/>
  <c r="D106" i="40"/>
  <c r="O105" i="40"/>
  <c r="N105" i="40"/>
  <c r="M105" i="40"/>
  <c r="L105" i="40"/>
  <c r="H48" i="40" s="1"/>
  <c r="K105" i="40"/>
  <c r="J105" i="40"/>
  <c r="I105" i="40"/>
  <c r="H105" i="40"/>
  <c r="G105" i="40"/>
  <c r="F105" i="40"/>
  <c r="E105" i="40"/>
  <c r="D105" i="40"/>
  <c r="O104" i="40"/>
  <c r="N104" i="40"/>
  <c r="M104" i="40"/>
  <c r="L104" i="40"/>
  <c r="K104" i="40"/>
  <c r="J104" i="40"/>
  <c r="I104" i="40"/>
  <c r="H104" i="40"/>
  <c r="F47" i="40" s="1"/>
  <c r="G104" i="40"/>
  <c r="F104" i="40"/>
  <c r="E104" i="40"/>
  <c r="D104" i="40"/>
  <c r="O103" i="40"/>
  <c r="N103" i="40"/>
  <c r="M103" i="40"/>
  <c r="L103" i="40"/>
  <c r="K103" i="40"/>
  <c r="J103" i="40"/>
  <c r="I103" i="40"/>
  <c r="H103" i="40"/>
  <c r="G103" i="40"/>
  <c r="F103" i="40"/>
  <c r="E103" i="40"/>
  <c r="D103" i="40"/>
  <c r="D46" i="40" s="1"/>
  <c r="O102" i="40"/>
  <c r="N102" i="40"/>
  <c r="M102" i="40"/>
  <c r="L102" i="40"/>
  <c r="K102" i="40"/>
  <c r="J102" i="40"/>
  <c r="I102" i="40"/>
  <c r="H102" i="40"/>
  <c r="G102" i="40"/>
  <c r="F102" i="40"/>
  <c r="E102" i="40"/>
  <c r="D102" i="40"/>
  <c r="O101" i="40"/>
  <c r="N101" i="40"/>
  <c r="M101" i="40"/>
  <c r="L101" i="40"/>
  <c r="H44" i="40" s="1"/>
  <c r="K101" i="40"/>
  <c r="J101" i="40"/>
  <c r="I101" i="40"/>
  <c r="H101" i="40"/>
  <c r="G101" i="40"/>
  <c r="F101" i="40"/>
  <c r="E101" i="40"/>
  <c r="D101" i="40"/>
  <c r="O100" i="40"/>
  <c r="N100" i="40"/>
  <c r="M100" i="40"/>
  <c r="L100" i="40"/>
  <c r="K100" i="40"/>
  <c r="J100" i="40"/>
  <c r="I100" i="40"/>
  <c r="H100" i="40"/>
  <c r="G100" i="40"/>
  <c r="F100" i="40"/>
  <c r="E100" i="40"/>
  <c r="D100" i="40"/>
  <c r="O99" i="40"/>
  <c r="N99" i="40"/>
  <c r="M99" i="40"/>
  <c r="L99" i="40"/>
  <c r="K99" i="40"/>
  <c r="J99" i="40"/>
  <c r="I99" i="40"/>
  <c r="H99" i="40"/>
  <c r="G99" i="40"/>
  <c r="F99" i="40"/>
  <c r="E99" i="40"/>
  <c r="D99" i="40"/>
  <c r="D42" i="40" s="1"/>
  <c r="O98" i="40"/>
  <c r="N98" i="40"/>
  <c r="M98" i="40"/>
  <c r="L98" i="40"/>
  <c r="K98" i="40"/>
  <c r="J98" i="40"/>
  <c r="I98" i="40"/>
  <c r="H98" i="40"/>
  <c r="G98" i="40"/>
  <c r="F98" i="40"/>
  <c r="E98" i="40"/>
  <c r="D98" i="40"/>
  <c r="O97" i="40"/>
  <c r="N97" i="40"/>
  <c r="M97" i="40"/>
  <c r="L97" i="40"/>
  <c r="H40" i="40" s="1"/>
  <c r="K97" i="40"/>
  <c r="J97" i="40"/>
  <c r="I97" i="40"/>
  <c r="H97" i="40"/>
  <c r="F40" i="40" s="1"/>
  <c r="G97" i="40"/>
  <c r="F97" i="40"/>
  <c r="E97" i="40"/>
  <c r="D97" i="40"/>
  <c r="O96" i="40"/>
  <c r="N96" i="40"/>
  <c r="M96" i="40"/>
  <c r="L96" i="40"/>
  <c r="K96" i="40"/>
  <c r="J96" i="40"/>
  <c r="I96" i="40"/>
  <c r="H96" i="40"/>
  <c r="F39" i="40" s="1"/>
  <c r="G96" i="40"/>
  <c r="F96" i="40"/>
  <c r="E96" i="40"/>
  <c r="D96" i="40"/>
  <c r="D39" i="40" s="1"/>
  <c r="O95" i="40"/>
  <c r="N95" i="40"/>
  <c r="M95" i="40"/>
  <c r="L95" i="40"/>
  <c r="K95" i="40"/>
  <c r="J95" i="40"/>
  <c r="I95" i="40"/>
  <c r="H95" i="40"/>
  <c r="G95" i="40"/>
  <c r="F95" i="40"/>
  <c r="E95" i="40"/>
  <c r="D95" i="40"/>
  <c r="O94" i="40"/>
  <c r="N94" i="40"/>
  <c r="M94" i="40"/>
  <c r="L94" i="40"/>
  <c r="H37" i="40" s="1"/>
  <c r="K94" i="40"/>
  <c r="J94" i="40"/>
  <c r="I94" i="40"/>
  <c r="H94" i="40"/>
  <c r="G94" i="40"/>
  <c r="F94" i="40"/>
  <c r="E94" i="40"/>
  <c r="D94" i="40"/>
  <c r="O93" i="40"/>
  <c r="N93" i="40"/>
  <c r="M93" i="40"/>
  <c r="L93" i="40"/>
  <c r="H36" i="40" s="1"/>
  <c r="K93" i="40"/>
  <c r="J93" i="40"/>
  <c r="I93" i="40"/>
  <c r="H93" i="40"/>
  <c r="F36" i="40" s="1"/>
  <c r="G93" i="40"/>
  <c r="F93" i="40"/>
  <c r="E93" i="40"/>
  <c r="D93" i="40"/>
  <c r="O92" i="40"/>
  <c r="N92" i="40"/>
  <c r="M92" i="40"/>
  <c r="L92" i="40"/>
  <c r="K92" i="40"/>
  <c r="J92" i="40"/>
  <c r="I92" i="40"/>
  <c r="H92" i="40"/>
  <c r="F35" i="40" s="1"/>
  <c r="G92" i="40"/>
  <c r="F92" i="40"/>
  <c r="E92" i="40"/>
  <c r="D92" i="40"/>
  <c r="D35" i="40" s="1"/>
  <c r="O91" i="40"/>
  <c r="N91" i="40"/>
  <c r="M91" i="40"/>
  <c r="L91" i="40"/>
  <c r="K91" i="40"/>
  <c r="J91" i="40"/>
  <c r="I91" i="40"/>
  <c r="H91" i="40"/>
  <c r="G91" i="40"/>
  <c r="F91" i="40"/>
  <c r="E91" i="40"/>
  <c r="D91" i="40"/>
  <c r="O90" i="40"/>
  <c r="N90" i="40"/>
  <c r="M90" i="40"/>
  <c r="L90" i="40"/>
  <c r="H33" i="40" s="1"/>
  <c r="K90" i="40"/>
  <c r="J90" i="40"/>
  <c r="I90" i="40"/>
  <c r="H90" i="40"/>
  <c r="G90" i="40"/>
  <c r="F90" i="40"/>
  <c r="E90" i="40"/>
  <c r="D90" i="40"/>
  <c r="O89" i="40"/>
  <c r="N89" i="40"/>
  <c r="M89" i="40"/>
  <c r="L89" i="40"/>
  <c r="H32" i="40" s="1"/>
  <c r="K89" i="40"/>
  <c r="J89" i="40"/>
  <c r="I89" i="40"/>
  <c r="H89" i="40"/>
  <c r="F32" i="40" s="1"/>
  <c r="G89" i="40"/>
  <c r="F89" i="40"/>
  <c r="E89" i="40"/>
  <c r="D89" i="40"/>
  <c r="O88" i="40"/>
  <c r="N88" i="40"/>
  <c r="M88" i="40"/>
  <c r="L88" i="40"/>
  <c r="K88" i="40"/>
  <c r="J88" i="40"/>
  <c r="I88" i="40"/>
  <c r="H88" i="40"/>
  <c r="F31" i="40" s="1"/>
  <c r="G88" i="40"/>
  <c r="F88" i="40"/>
  <c r="E88" i="40"/>
  <c r="D88" i="40"/>
  <c r="D31" i="40" s="1"/>
  <c r="O87" i="40"/>
  <c r="N87" i="40"/>
  <c r="M87" i="40"/>
  <c r="L87" i="40"/>
  <c r="H30" i="40" s="1"/>
  <c r="K87" i="40"/>
  <c r="J87" i="40"/>
  <c r="I87" i="40"/>
  <c r="H87" i="40"/>
  <c r="G87" i="40"/>
  <c r="F87" i="40"/>
  <c r="E87" i="40"/>
  <c r="D87" i="40"/>
  <c r="D30" i="40" s="1"/>
  <c r="O86" i="40"/>
  <c r="N86" i="40"/>
  <c r="M86" i="40"/>
  <c r="L86" i="40"/>
  <c r="H29" i="40" s="1"/>
  <c r="K86" i="40"/>
  <c r="J86" i="40"/>
  <c r="I86" i="40"/>
  <c r="H86" i="40"/>
  <c r="F29" i="40" s="1"/>
  <c r="G86" i="40"/>
  <c r="F86" i="40"/>
  <c r="E86" i="40"/>
  <c r="D86" i="40"/>
  <c r="O85" i="40"/>
  <c r="N85" i="40"/>
  <c r="M85" i="40"/>
  <c r="L85" i="40"/>
  <c r="H28" i="40" s="1"/>
  <c r="K85" i="40"/>
  <c r="J85" i="40"/>
  <c r="I85" i="40"/>
  <c r="H85" i="40"/>
  <c r="F28" i="40" s="1"/>
  <c r="G85" i="40"/>
  <c r="F85" i="40"/>
  <c r="E85" i="40"/>
  <c r="D85" i="40"/>
  <c r="D28" i="40" s="1"/>
  <c r="O84" i="40"/>
  <c r="N84" i="40"/>
  <c r="M84" i="40"/>
  <c r="L84" i="40"/>
  <c r="K84" i="40"/>
  <c r="J84" i="40"/>
  <c r="I84" i="40"/>
  <c r="H84" i="40"/>
  <c r="F27" i="40" s="1"/>
  <c r="G84" i="40"/>
  <c r="F84" i="40"/>
  <c r="E84" i="40"/>
  <c r="D84" i="40"/>
  <c r="D27" i="40" s="1"/>
  <c r="O83" i="40"/>
  <c r="N83" i="40"/>
  <c r="M83" i="40"/>
  <c r="L83" i="40"/>
  <c r="H26" i="40" s="1"/>
  <c r="K83" i="40"/>
  <c r="J83" i="40"/>
  <c r="I83" i="40"/>
  <c r="H83" i="40"/>
  <c r="G83" i="40"/>
  <c r="F83" i="40"/>
  <c r="E83" i="40"/>
  <c r="D83" i="40"/>
  <c r="D26" i="40" s="1"/>
  <c r="O82" i="40"/>
  <c r="N82" i="40"/>
  <c r="M82" i="40"/>
  <c r="L82" i="40"/>
  <c r="H25" i="40" s="1"/>
  <c r="K82" i="40"/>
  <c r="J82" i="40"/>
  <c r="I82" i="40"/>
  <c r="H82" i="40"/>
  <c r="F25" i="40" s="1"/>
  <c r="G82" i="40"/>
  <c r="F82" i="40"/>
  <c r="E82" i="40"/>
  <c r="D82" i="40"/>
  <c r="O81" i="40"/>
  <c r="N81" i="40"/>
  <c r="M81" i="40"/>
  <c r="L81" i="40"/>
  <c r="H24" i="40" s="1"/>
  <c r="K81" i="40"/>
  <c r="J81" i="40"/>
  <c r="I81" i="40"/>
  <c r="H81" i="40"/>
  <c r="F24" i="40" s="1"/>
  <c r="G81" i="40"/>
  <c r="F81" i="40"/>
  <c r="E81" i="40"/>
  <c r="D81" i="40"/>
  <c r="D24" i="40" s="1"/>
  <c r="O80" i="40"/>
  <c r="N80" i="40"/>
  <c r="M80" i="40"/>
  <c r="L80" i="40"/>
  <c r="K80" i="40"/>
  <c r="J80" i="40"/>
  <c r="I80" i="40"/>
  <c r="H80" i="40"/>
  <c r="F23" i="40" s="1"/>
  <c r="G80" i="40"/>
  <c r="F80" i="40"/>
  <c r="E80" i="40"/>
  <c r="D80" i="40"/>
  <c r="D23" i="40" s="1"/>
  <c r="O79" i="40"/>
  <c r="N79" i="40"/>
  <c r="M79" i="40"/>
  <c r="L79" i="40"/>
  <c r="H22" i="40" s="1"/>
  <c r="K79" i="40"/>
  <c r="J79" i="40"/>
  <c r="I79" i="40"/>
  <c r="H79" i="40"/>
  <c r="G79" i="40"/>
  <c r="F79" i="40"/>
  <c r="E79" i="40"/>
  <c r="D79" i="40"/>
  <c r="O78" i="40"/>
  <c r="N78" i="40"/>
  <c r="M78" i="40"/>
  <c r="L78" i="40"/>
  <c r="H21" i="40" s="1"/>
  <c r="K78" i="40"/>
  <c r="J78" i="40"/>
  <c r="I78" i="40"/>
  <c r="H78" i="40"/>
  <c r="F21" i="40" s="1"/>
  <c r="G78" i="40"/>
  <c r="F78" i="40"/>
  <c r="E78" i="40"/>
  <c r="D78" i="40"/>
  <c r="O77" i="40"/>
  <c r="N77" i="40"/>
  <c r="M77" i="40"/>
  <c r="L77" i="40"/>
  <c r="H20" i="40" s="1"/>
  <c r="K77" i="40"/>
  <c r="J77" i="40"/>
  <c r="I77" i="40"/>
  <c r="H77" i="40"/>
  <c r="F20" i="40" s="1"/>
  <c r="G77" i="40"/>
  <c r="F77" i="40"/>
  <c r="E77" i="40"/>
  <c r="D77" i="40"/>
  <c r="D20" i="40" s="1"/>
  <c r="O76" i="40"/>
  <c r="N76" i="40"/>
  <c r="M76" i="40"/>
  <c r="L76" i="40"/>
  <c r="K76" i="40"/>
  <c r="J76" i="40"/>
  <c r="I76" i="40"/>
  <c r="H76" i="40"/>
  <c r="F19" i="40" s="1"/>
  <c r="G76" i="40"/>
  <c r="F76" i="40"/>
  <c r="E76" i="40"/>
  <c r="D76" i="40"/>
  <c r="D19" i="40" s="1"/>
  <c r="O75" i="40"/>
  <c r="N75" i="40"/>
  <c r="M75" i="40"/>
  <c r="L75" i="40"/>
  <c r="H18" i="40" s="1"/>
  <c r="K75" i="40"/>
  <c r="J75" i="40"/>
  <c r="I75" i="40"/>
  <c r="H75" i="40"/>
  <c r="G75" i="40"/>
  <c r="F75" i="40"/>
  <c r="E75" i="40"/>
  <c r="D75" i="40"/>
  <c r="O74" i="40"/>
  <c r="N74" i="40"/>
  <c r="M74" i="40"/>
  <c r="L74" i="40"/>
  <c r="H17" i="40" s="1"/>
  <c r="K74" i="40"/>
  <c r="J74" i="40"/>
  <c r="I74" i="40"/>
  <c r="H74" i="40"/>
  <c r="F17" i="40" s="1"/>
  <c r="G74" i="40"/>
  <c r="F74" i="40"/>
  <c r="E74" i="40"/>
  <c r="D74" i="40"/>
  <c r="O73" i="40"/>
  <c r="N73" i="40"/>
  <c r="M73" i="40"/>
  <c r="L73" i="40"/>
  <c r="H16" i="40" s="1"/>
  <c r="K73" i="40"/>
  <c r="J73" i="40"/>
  <c r="I73" i="40"/>
  <c r="H73" i="40"/>
  <c r="F16" i="40" s="1"/>
  <c r="G73" i="40"/>
  <c r="F73" i="40"/>
  <c r="E73" i="40"/>
  <c r="D73" i="40"/>
  <c r="D16" i="40" s="1"/>
  <c r="O72" i="40"/>
  <c r="N72" i="40"/>
  <c r="M72" i="40"/>
  <c r="L72" i="40"/>
  <c r="K72" i="40"/>
  <c r="J72" i="40"/>
  <c r="I72" i="40"/>
  <c r="H72" i="40"/>
  <c r="F15" i="40" s="1"/>
  <c r="G72" i="40"/>
  <c r="F72" i="40"/>
  <c r="E72" i="40"/>
  <c r="D72" i="40"/>
  <c r="D15" i="40" s="1"/>
  <c r="O71" i="40"/>
  <c r="N71" i="40"/>
  <c r="M71" i="40"/>
  <c r="L71" i="40"/>
  <c r="H14" i="40" s="1"/>
  <c r="K71" i="40"/>
  <c r="J71" i="40"/>
  <c r="I71" i="40"/>
  <c r="H71" i="40"/>
  <c r="G71" i="40"/>
  <c r="F71" i="40"/>
  <c r="E71" i="40"/>
  <c r="D71" i="40"/>
  <c r="D14" i="40" s="1"/>
  <c r="O70" i="40"/>
  <c r="N70" i="40"/>
  <c r="M70" i="40"/>
  <c r="L70" i="40"/>
  <c r="H13" i="40" s="1"/>
  <c r="K70" i="40"/>
  <c r="J70" i="40"/>
  <c r="I70" i="40"/>
  <c r="H70" i="40"/>
  <c r="F13" i="40" s="1"/>
  <c r="G70" i="40"/>
  <c r="F70" i="40"/>
  <c r="E70" i="40"/>
  <c r="D70" i="40"/>
  <c r="D32" i="40" l="1"/>
  <c r="F33" i="40"/>
  <c r="H34" i="40"/>
  <c r="D36" i="40"/>
  <c r="F37" i="40"/>
  <c r="H38" i="40"/>
  <c r="D40" i="40"/>
  <c r="F41" i="40"/>
  <c r="H42" i="40"/>
  <c r="D44" i="40"/>
  <c r="F45" i="40"/>
  <c r="H46" i="40"/>
  <c r="D48" i="40"/>
  <c r="F49" i="40"/>
  <c r="H50" i="40"/>
  <c r="H41" i="40"/>
  <c r="F44" i="40"/>
  <c r="H45" i="40"/>
  <c r="D47" i="40"/>
  <c r="F48" i="40"/>
  <c r="H49" i="40"/>
  <c r="D51" i="40"/>
  <c r="F52" i="40"/>
  <c r="H53" i="40"/>
  <c r="D55" i="40"/>
  <c r="F56" i="40"/>
  <c r="H57" i="40"/>
  <c r="F51" i="40"/>
  <c r="H52" i="40"/>
  <c r="D54" i="40"/>
  <c r="F55" i="40"/>
  <c r="H56" i="40"/>
  <c r="D59" i="40"/>
  <c r="F60" i="40"/>
  <c r="H61" i="40"/>
  <c r="D63" i="40"/>
  <c r="D58" i="40"/>
  <c r="H60" i="40"/>
  <c r="E13" i="40"/>
  <c r="G14" i="40"/>
  <c r="I15" i="40"/>
  <c r="E17" i="40"/>
  <c r="G18" i="40"/>
  <c r="I19" i="40"/>
  <c r="E21" i="40"/>
  <c r="G22" i="40"/>
  <c r="I23" i="40"/>
  <c r="E25" i="40"/>
  <c r="I21" i="40"/>
  <c r="I37" i="40"/>
  <c r="G44" i="40"/>
  <c r="I49" i="40"/>
  <c r="G60" i="40"/>
  <c r="E50" i="40"/>
  <c r="E58" i="40"/>
  <c r="D65" i="40"/>
  <c r="G26" i="40"/>
  <c r="I27" i="40"/>
  <c r="E29" i="40"/>
  <c r="G30" i="40"/>
  <c r="I31" i="40"/>
  <c r="E33" i="40"/>
  <c r="G34" i="40"/>
  <c r="I35" i="40"/>
  <c r="E37" i="40"/>
  <c r="G38" i="40"/>
  <c r="I39" i="40"/>
  <c r="E41" i="40"/>
  <c r="G42" i="40"/>
  <c r="I43" i="40"/>
  <c r="E45" i="40"/>
  <c r="G46" i="40"/>
  <c r="I47" i="40"/>
  <c r="E49" i="40"/>
  <c r="G50" i="40"/>
  <c r="I51" i="40"/>
  <c r="E53" i="40"/>
  <c r="G54" i="40"/>
  <c r="I55" i="40"/>
  <c r="E57" i="40"/>
  <c r="D52" i="40"/>
  <c r="F53" i="40"/>
  <c r="H54" i="40"/>
  <c r="D56" i="40"/>
  <c r="F57" i="40"/>
  <c r="H58" i="40"/>
  <c r="D60" i="40"/>
  <c r="F61" i="40"/>
  <c r="H62" i="40"/>
  <c r="D64" i="40"/>
  <c r="F65" i="40"/>
  <c r="G13" i="40"/>
  <c r="I14" i="40"/>
  <c r="E16" i="40"/>
  <c r="G17" i="40"/>
  <c r="I18" i="40"/>
  <c r="E20" i="40"/>
  <c r="G21" i="40"/>
  <c r="E24" i="40"/>
  <c r="G25" i="40"/>
  <c r="I26" i="40"/>
  <c r="E28" i="40"/>
  <c r="G29" i="40"/>
  <c r="I30" i="40"/>
  <c r="E32" i="40"/>
  <c r="G33" i="40"/>
  <c r="I34" i="40"/>
  <c r="E36" i="40"/>
  <c r="G37" i="40"/>
  <c r="E40" i="40"/>
  <c r="G41" i="40"/>
  <c r="F64" i="40"/>
  <c r="D13" i="40"/>
  <c r="F14" i="40"/>
  <c r="H15" i="40"/>
  <c r="D17" i="40"/>
  <c r="F18" i="40"/>
  <c r="H19" i="40"/>
  <c r="E60" i="40"/>
  <c r="E64" i="40"/>
  <c r="D21" i="40"/>
  <c r="F22" i="40"/>
  <c r="I59" i="40"/>
  <c r="E61" i="40"/>
  <c r="I42" i="40"/>
  <c r="E44" i="40"/>
  <c r="G45" i="40"/>
  <c r="I46" i="40"/>
  <c r="G49" i="40"/>
  <c r="I50" i="40"/>
  <c r="H23" i="40"/>
  <c r="D25" i="40"/>
  <c r="F26" i="40"/>
  <c r="H27" i="40"/>
  <c r="D29" i="40"/>
  <c r="F30" i="40"/>
  <c r="H31" i="40"/>
  <c r="D33" i="40"/>
  <c r="F34" i="40"/>
  <c r="H35" i="40"/>
  <c r="D37" i="40"/>
  <c r="F38" i="40"/>
  <c r="H39" i="40"/>
  <c r="D41" i="40"/>
  <c r="F42" i="40"/>
  <c r="H43" i="40"/>
  <c r="D45" i="40"/>
  <c r="F46" i="40"/>
  <c r="H47" i="40"/>
  <c r="E52" i="40"/>
  <c r="G53" i="40"/>
  <c r="F43" i="40"/>
  <c r="F50" i="40"/>
  <c r="H51" i="40"/>
  <c r="D53" i="40"/>
  <c r="F54" i="40"/>
  <c r="H55" i="40"/>
  <c r="F58" i="40"/>
  <c r="H59" i="40"/>
  <c r="D61" i="40"/>
  <c r="F62" i="40"/>
  <c r="G62" i="40"/>
  <c r="E56" i="40"/>
  <c r="G57" i="40"/>
  <c r="I58" i="40"/>
  <c r="G61" i="40"/>
  <c r="E14" i="40"/>
  <c r="G15" i="40"/>
  <c r="I16" i="40"/>
  <c r="G19" i="40"/>
  <c r="I20" i="40"/>
  <c r="E22" i="40"/>
  <c r="G23" i="40"/>
  <c r="I24" i="40"/>
  <c r="E26" i="40"/>
  <c r="G27" i="40"/>
  <c r="I28" i="40"/>
  <c r="E30" i="40"/>
  <c r="I62" i="40"/>
  <c r="G65" i="40"/>
  <c r="I53" i="40"/>
  <c r="G31" i="40"/>
  <c r="I32" i="40"/>
  <c r="G35" i="40"/>
  <c r="I36" i="40"/>
  <c r="E38" i="40"/>
  <c r="G39" i="40"/>
  <c r="I40" i="40"/>
  <c r="G43" i="40"/>
  <c r="I44" i="40"/>
  <c r="E46" i="40"/>
  <c r="G47" i="40"/>
  <c r="E54" i="40"/>
  <c r="I63" i="40"/>
  <c r="E65" i="40"/>
  <c r="I22" i="40"/>
  <c r="I38" i="40"/>
  <c r="E48" i="40"/>
  <c r="I54" i="40"/>
  <c r="H65" i="40"/>
  <c r="D43" i="40"/>
  <c r="I13" i="40"/>
  <c r="E15" i="40"/>
  <c r="G16" i="40"/>
  <c r="I17" i="40"/>
  <c r="E19" i="40"/>
  <c r="G20" i="40"/>
  <c r="E23" i="40"/>
  <c r="G24" i="40"/>
  <c r="I25" i="40"/>
  <c r="E27" i="40"/>
  <c r="G28" i="40"/>
  <c r="I29" i="40"/>
  <c r="E31" i="40"/>
  <c r="G32" i="40"/>
  <c r="I33" i="40"/>
  <c r="E35" i="40"/>
  <c r="G36" i="40"/>
  <c r="E39" i="40"/>
  <c r="G40" i="40"/>
  <c r="I41" i="40"/>
  <c r="E43" i="40"/>
  <c r="I45" i="40"/>
  <c r="E47" i="40"/>
  <c r="G48" i="40"/>
  <c r="E51" i="40"/>
  <c r="G52" i="40"/>
  <c r="E55" i="40"/>
  <c r="G56" i="40"/>
  <c r="I57" i="40"/>
  <c r="E59" i="40"/>
  <c r="I61" i="40"/>
  <c r="E63" i="40"/>
  <c r="G64" i="40"/>
  <c r="I65" i="40"/>
  <c r="F59" i="40"/>
  <c r="D62" i="40"/>
  <c r="F63" i="40"/>
  <c r="H64" i="40"/>
  <c r="D18" i="40"/>
  <c r="D22" i="40"/>
  <c r="D34" i="40"/>
  <c r="D38" i="40"/>
  <c r="D50" i="40"/>
  <c r="I48" i="40"/>
  <c r="G51" i="40"/>
  <c r="I52" i="40"/>
  <c r="G55" i="40"/>
  <c r="I56" i="40"/>
  <c r="G59" i="40"/>
  <c r="I60" i="40"/>
  <c r="E62" i="40"/>
  <c r="G63" i="40"/>
  <c r="I64" i="40"/>
  <c r="E18" i="40"/>
  <c r="E34" i="40"/>
  <c r="E42" i="40"/>
  <c r="H63" i="40"/>
  <c r="D49" i="40"/>
  <c r="D57" i="40"/>
  <c r="G58" i="40"/>
  <c r="X43" i="31"/>
  <c r="W43" i="31"/>
  <c r="X42" i="31"/>
  <c r="W42" i="31"/>
  <c r="X41" i="31"/>
  <c r="W41" i="31"/>
  <c r="X40" i="31"/>
  <c r="W40" i="31"/>
  <c r="X39" i="31"/>
  <c r="W39" i="31"/>
  <c r="X38" i="31"/>
  <c r="W38" i="31"/>
  <c r="X37" i="31"/>
  <c r="W37" i="31"/>
  <c r="X36" i="31"/>
  <c r="W36" i="31"/>
  <c r="X35" i="31"/>
  <c r="W35" i="31"/>
  <c r="X34" i="31"/>
  <c r="W34" i="31"/>
  <c r="X33" i="31"/>
  <c r="W33" i="31"/>
  <c r="X32" i="31"/>
  <c r="W32" i="31"/>
  <c r="X31" i="31"/>
  <c r="W31" i="31"/>
  <c r="X30" i="31"/>
  <c r="W30" i="31"/>
  <c r="X29" i="31"/>
  <c r="W29" i="31"/>
  <c r="X28" i="31"/>
  <c r="W28" i="31"/>
  <c r="X27" i="31"/>
  <c r="W27" i="31"/>
  <c r="X26" i="31"/>
  <c r="W26" i="31"/>
  <c r="X25" i="31"/>
  <c r="W25" i="31"/>
  <c r="X24" i="31"/>
  <c r="W24" i="31"/>
  <c r="X23" i="31"/>
  <c r="W23" i="31"/>
  <c r="AA43" i="31"/>
  <c r="AA42" i="31"/>
  <c r="AA40" i="31"/>
  <c r="AA39" i="31"/>
  <c r="AA37" i="31"/>
  <c r="AA36" i="31"/>
  <c r="AA34" i="31"/>
  <c r="AA33" i="31"/>
  <c r="AA32" i="31"/>
  <c r="AA31" i="31"/>
  <c r="AA30" i="31"/>
  <c r="AA28" i="31"/>
  <c r="AA25" i="31"/>
  <c r="AA24" i="31"/>
  <c r="V43" i="31"/>
  <c r="V42" i="31"/>
  <c r="V41" i="31"/>
  <c r="V40" i="31"/>
  <c r="V39" i="31"/>
  <c r="V38" i="31"/>
  <c r="V37" i="31"/>
  <c r="V36" i="31"/>
  <c r="V35" i="31"/>
  <c r="V34" i="31"/>
  <c r="V33" i="31"/>
  <c r="V32" i="31"/>
  <c r="V31" i="31"/>
  <c r="V30" i="31"/>
  <c r="V29" i="31"/>
  <c r="V28" i="31"/>
  <c r="V27" i="31"/>
  <c r="V26" i="31"/>
  <c r="V25" i="31"/>
  <c r="V24" i="31"/>
  <c r="V23" i="31"/>
  <c r="E14" i="18"/>
  <c r="E13" i="18"/>
  <c r="E17" i="18"/>
  <c r="E8" i="18"/>
  <c r="E7" i="18"/>
  <c r="E6" i="18"/>
  <c r="E10" i="18"/>
  <c r="E9" i="18"/>
  <c r="E12" i="18"/>
  <c r="E15" i="18"/>
  <c r="E19" i="18"/>
  <c r="E18" i="18"/>
  <c r="AC23" i="31"/>
  <c r="AC24" i="31"/>
  <c r="AC25" i="31"/>
  <c r="AC26" i="31"/>
  <c r="AC27" i="31"/>
  <c r="AC28" i="31"/>
  <c r="AC29" i="31"/>
  <c r="AC30" i="31"/>
  <c r="AC31" i="31"/>
  <c r="AC32" i="31"/>
  <c r="AC33" i="31"/>
  <c r="AC34" i="31"/>
  <c r="AC35" i="31"/>
  <c r="AC36" i="31"/>
  <c r="AC37" i="31"/>
  <c r="AC38" i="31"/>
  <c r="AC39" i="31"/>
  <c r="AC40" i="31"/>
  <c r="AC41" i="31"/>
  <c r="AC42" i="31"/>
  <c r="AC43" i="31"/>
  <c r="AB23" i="31"/>
  <c r="AB24" i="31"/>
  <c r="AB25" i="31"/>
  <c r="AB26" i="31"/>
  <c r="AB27" i="31"/>
  <c r="AB28" i="31"/>
  <c r="AB29" i="31"/>
  <c r="AB30" i="31"/>
  <c r="AB31" i="31"/>
  <c r="AB32" i="31"/>
  <c r="AB33" i="31"/>
  <c r="AB34" i="31"/>
  <c r="AB35" i="31"/>
  <c r="AB36" i="31"/>
  <c r="AB37" i="31"/>
  <c r="AB38" i="31"/>
  <c r="AB39" i="31"/>
  <c r="AB40" i="31"/>
  <c r="AB41" i="31"/>
  <c r="AB42" i="31"/>
  <c r="AB43" i="31"/>
  <c r="Y23" i="31"/>
  <c r="Z23" i="31" s="1"/>
  <c r="Y24" i="31"/>
  <c r="Z24" i="31" s="1"/>
  <c r="Y25" i="31"/>
  <c r="Z25" i="31" s="1"/>
  <c r="Y26" i="31"/>
  <c r="Z26" i="31" s="1"/>
  <c r="Y27" i="31"/>
  <c r="Z27" i="31" s="1"/>
  <c r="Y28" i="31"/>
  <c r="Z28" i="31" s="1"/>
  <c r="Y29" i="31"/>
  <c r="Z29" i="31" s="1"/>
  <c r="Y30" i="31"/>
  <c r="Z30" i="31" s="1"/>
  <c r="Y31" i="31"/>
  <c r="Z31" i="31" s="1"/>
  <c r="Y32" i="31"/>
  <c r="Z32" i="31" s="1"/>
  <c r="Y33" i="31"/>
  <c r="Z33" i="31" s="1"/>
  <c r="Y34" i="31"/>
  <c r="Z34" i="31" s="1"/>
  <c r="Y35" i="31"/>
  <c r="Z35" i="31" s="1"/>
  <c r="Y36" i="31"/>
  <c r="Z36" i="31" s="1"/>
  <c r="Y37" i="31"/>
  <c r="Z37" i="31" s="1"/>
  <c r="Y38" i="31"/>
  <c r="Z38" i="31" s="1"/>
  <c r="Y39" i="31"/>
  <c r="Z39" i="31" s="1"/>
  <c r="Y40" i="31"/>
  <c r="Z40" i="31" s="1"/>
  <c r="Y41" i="31"/>
  <c r="Z41" i="31" s="1"/>
  <c r="Y42" i="31"/>
  <c r="Z42" i="31" s="1"/>
  <c r="Y43" i="31"/>
  <c r="Z43" i="31" s="1"/>
  <c r="L23" i="31" a="1"/>
  <c r="L23" i="31" s="1"/>
  <c r="L24" i="31" a="1"/>
  <c r="L24" i="31" s="1"/>
  <c r="L25" i="31" a="1"/>
  <c r="L25" i="31" s="1"/>
  <c r="L26" i="31" a="1"/>
  <c r="L26" i="31" s="1"/>
  <c r="L27" i="31" a="1"/>
  <c r="L27" i="31" s="1"/>
  <c r="L28" i="31" a="1"/>
  <c r="L28" i="31" s="1"/>
  <c r="L29" i="31" a="1"/>
  <c r="L29" i="31" s="1"/>
  <c r="L30" i="31" a="1"/>
  <c r="L30" i="31" s="1"/>
  <c r="L31" i="31" a="1"/>
  <c r="L31" i="31" s="1"/>
  <c r="L32" i="31" a="1"/>
  <c r="L32" i="31" s="1"/>
  <c r="L33" i="31" a="1"/>
  <c r="L33" i="31" s="1"/>
  <c r="L34" i="31" a="1"/>
  <c r="L34" i="31" s="1"/>
  <c r="L35" i="31" a="1"/>
  <c r="L35" i="31" s="1"/>
  <c r="L36" i="31" a="1"/>
  <c r="L36" i="31" s="1"/>
  <c r="L37" i="31" a="1"/>
  <c r="L37" i="31" s="1"/>
  <c r="L38" i="31" a="1"/>
  <c r="L38" i="31" s="1"/>
  <c r="L39" i="31" a="1"/>
  <c r="L39" i="31" s="1"/>
  <c r="L40" i="31" a="1"/>
  <c r="L40" i="31" s="1"/>
  <c r="L41" i="31" a="1"/>
  <c r="L41" i="31" s="1"/>
  <c r="L42" i="31" a="1"/>
  <c r="L42" i="31" s="1"/>
  <c r="L43" i="31" a="1"/>
  <c r="L43" i="31" s="1"/>
  <c r="I23" i="31"/>
  <c r="I24" i="31"/>
  <c r="I25" i="31"/>
  <c r="I26" i="31"/>
  <c r="I27" i="31"/>
  <c r="I28" i="31"/>
  <c r="I29" i="31"/>
  <c r="I30" i="31"/>
  <c r="I31" i="31"/>
  <c r="I32" i="31"/>
  <c r="I33" i="31"/>
  <c r="I34" i="31"/>
  <c r="I35" i="31"/>
  <c r="I36" i="31"/>
  <c r="I37" i="31"/>
  <c r="I38" i="31"/>
  <c r="I39" i="31"/>
  <c r="I40" i="31"/>
  <c r="I41" i="31"/>
  <c r="I42" i="31"/>
  <c r="I43" i="31"/>
  <c r="H23" i="31"/>
  <c r="H24" i="31"/>
  <c r="H25" i="31"/>
  <c r="H26" i="31"/>
  <c r="H27" i="31"/>
  <c r="H28" i="31"/>
  <c r="H29" i="31"/>
  <c r="H30" i="31"/>
  <c r="H31" i="31"/>
  <c r="H32" i="31"/>
  <c r="H33" i="31"/>
  <c r="H34" i="31"/>
  <c r="H35" i="31"/>
  <c r="H36" i="31"/>
  <c r="H37" i="31"/>
  <c r="H38" i="31"/>
  <c r="H39" i="31"/>
  <c r="H40" i="31"/>
  <c r="H41" i="31"/>
  <c r="H42" i="31"/>
  <c r="H43" i="31"/>
  <c r="G23" i="31"/>
  <c r="G24" i="31"/>
  <c r="G25" i="31"/>
  <c r="G26" i="31"/>
  <c r="G27" i="31"/>
  <c r="G28" i="31"/>
  <c r="G29" i="31"/>
  <c r="G30" i="31"/>
  <c r="G31" i="31"/>
  <c r="G32" i="31"/>
  <c r="G33" i="31"/>
  <c r="G34" i="31"/>
  <c r="G35" i="31"/>
  <c r="G36" i="31"/>
  <c r="G37" i="31"/>
  <c r="G38" i="31"/>
  <c r="G39" i="31"/>
  <c r="G40" i="31"/>
  <c r="G41" i="31"/>
  <c r="G42" i="31"/>
  <c r="G43" i="31"/>
  <c r="F23" i="31"/>
  <c r="F24" i="31"/>
  <c r="F25" i="31"/>
  <c r="F26" i="31"/>
  <c r="F27" i="31"/>
  <c r="F28" i="31"/>
  <c r="F29" i="31"/>
  <c r="F30" i="31"/>
  <c r="F31" i="31"/>
  <c r="F32" i="31"/>
  <c r="F33" i="31"/>
  <c r="F34" i="31"/>
  <c r="F35" i="31"/>
  <c r="F36" i="31"/>
  <c r="F37" i="31"/>
  <c r="F38" i="31"/>
  <c r="F39" i="31"/>
  <c r="F40" i="31"/>
  <c r="F41" i="31"/>
  <c r="F42" i="31"/>
  <c r="F43" i="31"/>
  <c r="AA29" i="31" l="1"/>
  <c r="AA38" i="31"/>
  <c r="AA23" i="31"/>
  <c r="AA41" i="31"/>
  <c r="AA26" i="31"/>
  <c r="AA27" i="31"/>
  <c r="AA35" i="31"/>
  <c r="E16" i="18"/>
  <c r="E11" i="18"/>
  <c r="J9" i="31" a="1"/>
  <c r="J9" i="31" s="1"/>
  <c r="M9" i="31" l="1"/>
  <c r="I9" i="31"/>
  <c r="S9" i="31"/>
  <c r="H9" i="31"/>
  <c r="K9" i="31"/>
  <c r="N9" i="31"/>
  <c r="R9" i="31"/>
  <c r="J6" i="31" a="1"/>
  <c r="J6" i="31" s="1"/>
  <c r="J7" i="31" a="1"/>
  <c r="J7" i="31" s="1"/>
  <c r="J10" i="31" a="1"/>
  <c r="J10" i="31" s="1"/>
  <c r="J12" i="31" a="1"/>
  <c r="J12" i="31" s="1"/>
  <c r="J8" i="31" a="1"/>
  <c r="J8" i="31" s="1"/>
  <c r="J11" i="31" a="1"/>
  <c r="J11" i="31" s="1"/>
  <c r="O9" i="31" l="1"/>
  <c r="R8" i="31"/>
  <c r="K8" i="31"/>
  <c r="S8" i="31"/>
  <c r="M8" i="31"/>
  <c r="H8" i="31"/>
  <c r="N8" i="31"/>
  <c r="I8" i="31"/>
  <c r="R6" i="31"/>
  <c r="H6" i="31"/>
  <c r="N6" i="31"/>
  <c r="S6" i="31"/>
  <c r="I6" i="31"/>
  <c r="K6" i="31"/>
  <c r="M6" i="31"/>
  <c r="N10" i="31"/>
  <c r="M10" i="31"/>
  <c r="R10" i="31"/>
  <c r="H10" i="31"/>
  <c r="I10" i="31"/>
  <c r="S10" i="31"/>
  <c r="K10" i="31"/>
  <c r="I7" i="31"/>
  <c r="M7" i="31"/>
  <c r="K7" i="31"/>
  <c r="H7" i="31"/>
  <c r="R7" i="31"/>
  <c r="S7" i="31"/>
  <c r="N7" i="31"/>
  <c r="R12" i="31"/>
  <c r="K12" i="31"/>
  <c r="N12" i="31"/>
  <c r="I12" i="31"/>
  <c r="M12" i="31"/>
  <c r="H12" i="31"/>
  <c r="S12" i="31"/>
  <c r="I11" i="31"/>
  <c r="M11" i="31"/>
  <c r="R11" i="31"/>
  <c r="N11" i="31"/>
  <c r="H11" i="31"/>
  <c r="S11" i="31"/>
  <c r="K11" i="31"/>
  <c r="P9" i="31" l="1"/>
  <c r="Q9" i="31" s="1"/>
  <c r="O11" i="31"/>
  <c r="O6" i="31"/>
  <c r="O10" i="31"/>
  <c r="O7" i="31"/>
  <c r="O12" i="31"/>
  <c r="O8" i="31"/>
  <c r="T9" i="31" l="1"/>
  <c r="F17" i="18"/>
  <c r="F10" i="18"/>
  <c r="P12" i="31"/>
  <c r="Q12" i="31" s="1"/>
  <c r="P8" i="31"/>
  <c r="Q8" i="31" s="1"/>
  <c r="P7" i="31"/>
  <c r="F12" i="18" s="1"/>
  <c r="P10" i="31"/>
  <c r="F13" i="18" s="1"/>
  <c r="P6" i="31"/>
  <c r="F11" i="18" s="1"/>
  <c r="P11" i="31"/>
  <c r="Q11" i="31" s="1"/>
  <c r="T6" i="31"/>
  <c r="T12" i="31"/>
  <c r="T10" i="31"/>
  <c r="T8" i="31"/>
  <c r="T11" i="31" l="1"/>
  <c r="F8" i="18"/>
  <c r="F7" i="18"/>
  <c r="F15" i="18"/>
  <c r="F9" i="18"/>
  <c r="F16" i="18"/>
  <c r="F19" i="18"/>
  <c r="T7" i="31"/>
  <c r="F6" i="18"/>
  <c r="Q6" i="31"/>
  <c r="Q10" i="31"/>
  <c r="F14" i="18"/>
  <c r="F18" i="18"/>
  <c r="Q7" i="31"/>
  <c r="C17" i="7"/>
  <c r="H401" i="7" l="1"/>
  <c r="H14" i="7" s="1"/>
  <c r="H376" i="7"/>
  <c r="H13" i="7" s="1"/>
  <c r="H315" i="7"/>
  <c r="H12" i="7" s="1"/>
  <c r="H287" i="7"/>
  <c r="H11" i="7" s="1"/>
  <c r="H259" i="7"/>
  <c r="H10" i="7" s="1"/>
  <c r="H196" i="7"/>
  <c r="H9" i="7" s="1"/>
  <c r="H132" i="7"/>
  <c r="H8" i="7" s="1"/>
  <c r="H69" i="7"/>
  <c r="H7" i="7" s="1"/>
  <c r="H26" i="7"/>
  <c r="H6" i="7" s="1"/>
  <c r="C401" i="7" a="1"/>
  <c r="C401" i="7" s="1"/>
  <c r="C14" i="7" s="1"/>
  <c r="D401" i="7" a="1"/>
  <c r="D401" i="7" s="1"/>
  <c r="D14" i="7" s="1"/>
  <c r="E401" i="7" a="1"/>
  <c r="E401" i="7" s="1"/>
  <c r="E14" i="7" s="1"/>
  <c r="F401" i="7" a="1"/>
  <c r="F401" i="7" s="1"/>
  <c r="F14" i="7" s="1"/>
  <c r="G401" i="7" a="1"/>
  <c r="G401" i="7" s="1"/>
  <c r="G14" i="7" s="1"/>
  <c r="C376" i="7" a="1"/>
  <c r="C376" i="7" s="1"/>
  <c r="C13" i="7" s="1"/>
  <c r="D376" i="7" a="1"/>
  <c r="D376" i="7" s="1"/>
  <c r="D13" i="7" s="1"/>
  <c r="E376" i="7" a="1"/>
  <c r="E376" i="7" s="1"/>
  <c r="E13" i="7" s="1"/>
  <c r="F376" i="7" a="1"/>
  <c r="F376" i="7" s="1"/>
  <c r="F13" i="7" s="1"/>
  <c r="G376" i="7" a="1"/>
  <c r="G376" i="7" s="1"/>
  <c r="G13" i="7" s="1"/>
  <c r="C315" i="7" a="1"/>
  <c r="C315" i="7" s="1"/>
  <c r="C12" i="7" s="1"/>
  <c r="D315" i="7" a="1"/>
  <c r="D315" i="7" s="1"/>
  <c r="D12" i="7" s="1"/>
  <c r="E315" i="7" a="1"/>
  <c r="E315" i="7" s="1"/>
  <c r="E12" i="7" s="1"/>
  <c r="F315" i="7" a="1"/>
  <c r="F315" i="7" s="1"/>
  <c r="F12" i="7" s="1"/>
  <c r="G315" i="7" a="1"/>
  <c r="G315" i="7" s="1"/>
  <c r="G12" i="7" s="1"/>
  <c r="C287" i="7" a="1"/>
  <c r="C287" i="7" s="1"/>
  <c r="C11" i="7" s="1"/>
  <c r="D287" i="7" a="1"/>
  <c r="D287" i="7" s="1"/>
  <c r="D11" i="7" s="1"/>
  <c r="E287" i="7" a="1"/>
  <c r="E287" i="7" s="1"/>
  <c r="E11" i="7" s="1"/>
  <c r="F287" i="7" a="1"/>
  <c r="F287" i="7" s="1"/>
  <c r="F11" i="7" s="1"/>
  <c r="G287" i="7" a="1"/>
  <c r="G287" i="7" s="1"/>
  <c r="G11" i="7" s="1"/>
  <c r="C259" i="7" a="1"/>
  <c r="C259" i="7" s="1"/>
  <c r="C10" i="7" s="1"/>
  <c r="D259" i="7" a="1"/>
  <c r="D259" i="7" s="1"/>
  <c r="D10" i="7" s="1"/>
  <c r="E259" i="7" a="1"/>
  <c r="E259" i="7" s="1"/>
  <c r="E10" i="7" s="1"/>
  <c r="F259" i="7" a="1"/>
  <c r="F259" i="7" s="1"/>
  <c r="F10" i="7" s="1"/>
  <c r="G259" i="7" a="1"/>
  <c r="G259" i="7" s="1"/>
  <c r="G10" i="7" s="1"/>
  <c r="C196" i="7" a="1"/>
  <c r="C196" i="7" s="1"/>
  <c r="C9" i="7" s="1"/>
  <c r="D196" i="7" a="1"/>
  <c r="D196" i="7" s="1"/>
  <c r="D9" i="7" s="1"/>
  <c r="E196" i="7" a="1"/>
  <c r="E196" i="7" s="1"/>
  <c r="E9" i="7" s="1"/>
  <c r="F196" i="7" a="1"/>
  <c r="F196" i="7" s="1"/>
  <c r="F9" i="7" s="1"/>
  <c r="G196" i="7" a="1"/>
  <c r="G196" i="7" s="1"/>
  <c r="G9" i="7" s="1"/>
  <c r="C132" i="7" a="1"/>
  <c r="C132" i="7" s="1"/>
  <c r="C8" i="7" s="1"/>
  <c r="D132" i="7" a="1"/>
  <c r="D132" i="7" s="1"/>
  <c r="D8" i="7" s="1"/>
  <c r="E132" i="7" a="1"/>
  <c r="E132" i="7" s="1"/>
  <c r="E8" i="7" s="1"/>
  <c r="F132" i="7" a="1"/>
  <c r="F132" i="7" s="1"/>
  <c r="F8" i="7" s="1"/>
  <c r="G132" i="7" a="1"/>
  <c r="G132" i="7" s="1"/>
  <c r="G8" i="7" s="1"/>
  <c r="C69" i="7" a="1"/>
  <c r="C69" i="7" s="1"/>
  <c r="C7" i="7" s="1"/>
  <c r="D69" i="7" a="1"/>
  <c r="D69" i="7" s="1"/>
  <c r="D7" i="7" s="1"/>
  <c r="E69" i="7" a="1"/>
  <c r="E69" i="7" s="1"/>
  <c r="E7" i="7" s="1"/>
  <c r="F69" i="7" a="1"/>
  <c r="F69" i="7" s="1"/>
  <c r="F7" i="7" s="1"/>
  <c r="G69" i="7" a="1"/>
  <c r="G69" i="7" s="1"/>
  <c r="G7" i="7" s="1"/>
  <c r="C26" i="7" a="1"/>
  <c r="C26" i="7" s="1"/>
  <c r="C6" i="7" s="1"/>
  <c r="D26" i="7" a="1"/>
  <c r="D26" i="7" s="1"/>
  <c r="D6" i="7" s="1"/>
  <c r="E26" i="7" a="1"/>
  <c r="E26" i="7" s="1"/>
  <c r="E6" i="7" s="1"/>
  <c r="F26" i="7" a="1"/>
  <c r="F26" i="7" s="1"/>
  <c r="F6" i="7" s="1"/>
  <c r="G26" i="7" a="1"/>
  <c r="G26" i="7" s="1"/>
  <c r="G6" i="7" s="1"/>
  <c r="D15" i="7" l="1"/>
  <c r="D19" i="7" s="1"/>
  <c r="G15" i="7"/>
  <c r="G19" i="7" s="1"/>
  <c r="F15" i="7"/>
  <c r="F19" i="7" s="1"/>
  <c r="H15" i="7"/>
  <c r="H19" i="7" s="1"/>
  <c r="C15" i="7"/>
  <c r="C19" i="7" s="1"/>
  <c r="E15" i="7"/>
  <c r="E19"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tc={D05D0936-4630-424F-A9D3-0CF7E2BD843D}</author>
    <author>tc={ACE35685-AAD3-45E1-AA03-B954EDF69843}</author>
    <author>tc={94F8BA69-E37B-4468-ACB4-C49702140BF1}</author>
    <author>tc={450D59E4-2BA2-45D3-A766-55488659F9EB}</author>
    <author>tc={09C5D089-5111-4567-A09C-B17B4F7E96FB}</author>
    <author>tc={5169DBB0-C49E-40E9-80BC-63B89CB6ADD5}</author>
    <author>tc={6AD1AE91-3EC5-4DEC-B83F-9FE205461077}</author>
    <author>tc={F4B6F48D-F1C6-4708-9545-34A2024A87C7}</author>
    <author>tc={2555483C-C825-4DFA-BF39-3DF3CFE1E22C}</author>
    <author>tc={87444575-32F7-43E8-B5E1-C14B150E53B3}</author>
    <author>tc={98F0DE17-2C95-42E0-9ACE-04D1C2FFBD87}</author>
    <author>tc={1410FF86-1CE0-444B-8AE7-453FFC0D1803}</author>
    <author>tc={7F7510FE-9ECA-4BC9-9D8A-21E7F4DB48DB}</author>
    <author>tc={8833D330-CC05-4B38-A078-38ACF624FD8E}</author>
    <author>tc={02588CFD-F318-4E45-B760-3F123960C0F5}</author>
  </authors>
  <commentList>
    <comment ref="E3" authorId="0" shapeId="0" xr:uid="{D05D0936-4630-424F-A9D3-0CF7E2BD843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F3" authorId="1" shapeId="0" xr:uid="{ACE35685-AAD3-45E1-AA03-B954EDF6984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G3" authorId="2" shapeId="0" xr:uid="{94F8BA69-E37B-4468-ACB4-C49702140BF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H3" authorId="3" shapeId="0" xr:uid="{450D59E4-2BA2-45D3-A766-55488659F9E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I3" authorId="4" shapeId="0" xr:uid="{09C5D089-5111-4567-A09C-B17B4F7E96F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F68" authorId="5" shapeId="0" xr:uid="{5169DBB0-C49E-40E9-80BC-63B89CB6ADD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G68" authorId="6" shapeId="0" xr:uid="{6AD1AE91-3EC5-4DEC-B83F-9FE20546107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H68" authorId="7" shapeId="0" xr:uid="{F4B6F48D-F1C6-4708-9545-34A2024A87C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I68" authorId="8" shapeId="0" xr:uid="{2555483C-C825-4DFA-BF39-3DF3CFE1E22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J68" authorId="9" shapeId="0" xr:uid="{87444575-32F7-43E8-B5E1-C14B150E53B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K68" authorId="10" shapeId="0" xr:uid="{98F0DE17-2C95-42E0-9ACE-04D1C2FFBD8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L68" authorId="11" shapeId="0" xr:uid="{1410FF86-1CE0-444B-8AE7-453FFC0D180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M68" authorId="12" shapeId="0" xr:uid="{7F7510FE-9ECA-4BC9-9D8A-21E7F4DB48D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N68" authorId="13" shapeId="0" xr:uid="{8833D330-CC05-4B38-A078-38ACF624FD8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 ref="O68" authorId="14" shapeId="0" xr:uid="{02588CFD-F318-4E45-B760-3F123960C0F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Temporary result. Sector worksheet not yet separated.</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<sst xmlns="http://schemas.openxmlformats.org/spreadsheetml/2006/main" count="11391" uniqueCount="2601">
  <si>
    <t>sector_name</t>
  </si>
  <si>
    <t>risk_name</t>
  </si>
  <si>
    <t>Water resources</t>
  </si>
  <si>
    <t>Risk of water stress</t>
  </si>
  <si>
    <t>Food security</t>
  </si>
  <si>
    <t>Food availability</t>
  </si>
  <si>
    <t>Access and consumption of food</t>
  </si>
  <si>
    <t>Energy security</t>
  </si>
  <si>
    <t>Access</t>
  </si>
  <si>
    <t>Availability</t>
  </si>
  <si>
    <t>Health</t>
  </si>
  <si>
    <t>Malaria</t>
  </si>
  <si>
    <t>American cutaneous leishmaniasis</t>
  </si>
  <si>
    <t>Visceral leishmaniasis</t>
  </si>
  <si>
    <t>Arboviruses dengue, zika and chikungunya</t>
  </si>
  <si>
    <t>Geohydrological disasters</t>
  </si>
  <si>
    <t>Landslide</t>
  </si>
  <si>
    <t>Floods, flash floods, and urban flooding</t>
  </si>
  <si>
    <t>Biodiversity</t>
  </si>
  <si>
    <t>Biome integrity</t>
  </si>
  <si>
    <t>sector_id</t>
  </si>
  <si>
    <t>risk_id</t>
  </si>
  <si>
    <t>risk_component_id</t>
  </si>
  <si>
    <t>risk_component_name</t>
  </si>
  <si>
    <t>impact_chain_id_1</t>
  </si>
  <si>
    <t>impact_chain_name_1</t>
  </si>
  <si>
    <t>impact_chain_id_2</t>
  </si>
  <si>
    <t>impact_chain_name_2</t>
  </si>
  <si>
    <t>impact_chain_id_3</t>
  </si>
  <si>
    <t>impact_chain_name_3</t>
  </si>
  <si>
    <t>base_indicator_id</t>
  </si>
  <si>
    <t>base_indicator_name</t>
  </si>
  <si>
    <t>base_indicator_level</t>
  </si>
  <si>
    <t>Vulnerability</t>
  </si>
  <si>
    <t>Sensitivity</t>
  </si>
  <si>
    <t>Insecurity of human supply</t>
  </si>
  <si>
    <t>Inefficiency in water production</t>
  </si>
  <si>
    <t>Inefficiency in water distribution</t>
  </si>
  <si>
    <t>Average per capita water consumption</t>
  </si>
  <si>
    <t>Water balance of productive sectors</t>
  </si>
  <si>
    <t>Water balance for agriculture</t>
  </si>
  <si>
    <t>Water balance for industry</t>
  </si>
  <si>
    <t>Effects on human health</t>
  </si>
  <si>
    <t>Diseases due to inadequate sanitation</t>
  </si>
  <si>
    <t>Water quality</t>
  </si>
  <si>
    <t>Anthropogenic pressure and environmental quality</t>
  </si>
  <si>
    <t>Degraded and/or deforested areas</t>
  </si>
  <si>
    <t>Areas with soils susceptible to erosion</t>
  </si>
  <si>
    <t>Ecological flow for ecosystem uses</t>
  </si>
  <si>
    <t>Dam and mining safety</t>
  </si>
  <si>
    <t>Adaptive capacity</t>
  </si>
  <si>
    <t>Water resources management</t>
  </si>
  <si>
    <t>Municipal basic sanitation plan</t>
  </si>
  <si>
    <t>Level of activity in basin committees</t>
  </si>
  <si>
    <t>Drought-related prevention actions</t>
  </si>
  <si>
    <t>Alternatives to water supply</t>
  </si>
  <si>
    <t>Planning for water resources</t>
  </si>
  <si>
    <t>Investments in water resources</t>
  </si>
  <si>
    <t>Investments in adaptation policies</t>
  </si>
  <si>
    <t>Resilient cities program</t>
  </si>
  <si>
    <t>Cisterns program: water for consumption</t>
  </si>
  <si>
    <t>Water resilience</t>
  </si>
  <si>
    <t>Nature reserve</t>
  </si>
  <si>
    <t>Artificial reserve</t>
  </si>
  <si>
    <t>Underground storage potential</t>
  </si>
  <si>
    <t>Capacity of productive sectors</t>
  </si>
  <si>
    <t>Agricultural participation in GDP</t>
  </si>
  <si>
    <t>Industrial participation in GDP</t>
  </si>
  <si>
    <t>Family socioeconomic capacity</t>
  </si>
  <si>
    <t>Income not affected by water prices</t>
  </si>
  <si>
    <t>Income greater than two minimum wages</t>
  </si>
  <si>
    <t>Exposure</t>
  </si>
  <si>
    <t>Exposed population</t>
  </si>
  <si>
    <t>Population density</t>
  </si>
  <si>
    <t>Users of exposed water resources</t>
  </si>
  <si>
    <t>Urban users exposed</t>
  </si>
  <si>
    <t>Rural users exposed</t>
  </si>
  <si>
    <t>Exposed rural users</t>
  </si>
  <si>
    <t>Industrial users exposed</t>
  </si>
  <si>
    <t>Exposed industrial users</t>
  </si>
  <si>
    <t>Mining users exposed</t>
  </si>
  <si>
    <t>Mining Users Exposed</t>
  </si>
  <si>
    <t>Thermoelectricity users exposed</t>
  </si>
  <si>
    <t>Animal husbandry users exposed</t>
  </si>
  <si>
    <t>Irrigation users exposed</t>
  </si>
  <si>
    <t>Hazard</t>
  </si>
  <si>
    <t>Water scarcity hazard</t>
  </si>
  <si>
    <t>Agricultural practices</t>
  </si>
  <si>
    <t>Susceptibility of agricultural productivity</t>
  </si>
  <si>
    <t>Susceptibility of livestock productivity</t>
  </si>
  <si>
    <t>Homogeneity of agricultural production</t>
  </si>
  <si>
    <t>Susceptibility of irrigation</t>
  </si>
  <si>
    <t>Irrigation susceptibility</t>
  </si>
  <si>
    <t>Fire hotspots</t>
  </si>
  <si>
    <t>Biophysical aspects</t>
  </si>
  <si>
    <t>Agriculture, livestock and water availability</t>
  </si>
  <si>
    <t>Agriculture and water availability</t>
  </si>
  <si>
    <t>Agricultural areas with low agricultural potential</t>
  </si>
  <si>
    <t>Agricultural areas with soil susceptible to erosion</t>
  </si>
  <si>
    <t>Water deficit</t>
  </si>
  <si>
    <t>Loss of vegetation cover</t>
  </si>
  <si>
    <t>Vegetation cover losses</t>
  </si>
  <si>
    <t>Financial instruments and public policies</t>
  </si>
  <si>
    <t>Investment in agrarian and environmental management policies</t>
  </si>
  <si>
    <t>Harvest guarantee program</t>
  </si>
  <si>
    <t>PRONAF coverage</t>
  </si>
  <si>
    <t>Cisterns program</t>
  </si>
  <si>
    <t>cistern program</t>
  </si>
  <si>
    <t>Proagro Mais coverage</t>
  </si>
  <si>
    <t>Proagro coverage plus</t>
  </si>
  <si>
    <t>PSR coverage</t>
  </si>
  <si>
    <t>Safety net for production</t>
  </si>
  <si>
    <t>Technical assistance</t>
  </si>
  <si>
    <t>Technical guidance</t>
  </si>
  <si>
    <t>Associativism</t>
  </si>
  <si>
    <t>Land ownership</t>
  </si>
  <si>
    <t>Stability of agrarian conflicts</t>
  </si>
  <si>
    <t>Food storage</t>
  </si>
  <si>
    <t>Storage capacity</t>
  </si>
  <si>
    <t>Distance from warehouses</t>
  </si>
  <si>
    <t>Productive viability</t>
  </si>
  <si>
    <t>Income diversity</t>
  </si>
  <si>
    <t>Diversity of revenues</t>
  </si>
  <si>
    <t>Tractors in agricultural establishments</t>
  </si>
  <si>
    <t>Potential for agricultural expansion in pasture areas</t>
  </si>
  <si>
    <t>Economic dependence</t>
  </si>
  <si>
    <t>Agriculture and livestock in the municipal economy</t>
  </si>
  <si>
    <t>Agriculture in the municipality’s economy</t>
  </si>
  <si>
    <t>Exposed areas</t>
  </si>
  <si>
    <t>Area planted with agricultural crops</t>
  </si>
  <si>
    <t>Area of agricultural establishments with livestock</t>
  </si>
  <si>
    <t>Area of ​​agricultural establishments with livestock</t>
  </si>
  <si>
    <t>Land structure</t>
  </si>
  <si>
    <t>Establishments with family farming</t>
  </si>
  <si>
    <t>Density of agricultural establishments</t>
  </si>
  <si>
    <t>Consecutive dry days</t>
  </si>
  <si>
    <t>Standardized precipitation-evapotranspiration index</t>
  </si>
  <si>
    <t>Population profile</t>
  </si>
  <si>
    <t>Average residents per household</t>
  </si>
  <si>
    <t>Average number of residents per household</t>
  </si>
  <si>
    <t>Mothers as heads of household</t>
  </si>
  <si>
    <t>Mothers who are heads of the family</t>
  </si>
  <si>
    <t>Economically dependent population</t>
  </si>
  <si>
    <t>Basic infrastructure</t>
  </si>
  <si>
    <t>Water shortage from direct source</t>
  </si>
  <si>
    <t>Direct source water shortage</t>
  </si>
  <si>
    <t>Compromised water quality</t>
  </si>
  <si>
    <t>Commercial establishments selling ultra-processed foods</t>
  </si>
  <si>
    <t>Ultra-processed food commercial establishments</t>
  </si>
  <si>
    <t>Municipalities without a basic food supply network</t>
  </si>
  <si>
    <t>Health and food consumption</t>
  </si>
  <si>
    <t>Food and nutritional insecurity</t>
  </si>
  <si>
    <t>Child malnutrition</t>
  </si>
  <si>
    <t>Occurrence of diseases related to inadequate environmental sanitation</t>
  </si>
  <si>
    <t>Overweight and obesity</t>
  </si>
  <si>
    <t>Federal investment per capita</t>
  </si>
  <si>
    <t>Food security instruments</t>
  </si>
  <si>
    <t>Food safety instruments</t>
  </si>
  <si>
    <t>National school feeding program (PNAE)</t>
  </si>
  <si>
    <t>Food acquisition program (PAA)</t>
  </si>
  <si>
    <t>Food Acquisition Program (PAA)</t>
  </si>
  <si>
    <t>PAA suppliers classified as traditional peoples and communities</t>
  </si>
  <si>
    <t>PAA suppliers classified as “traditional peoples and communities”</t>
  </si>
  <si>
    <t>Cisterns program coverage</t>
  </si>
  <si>
    <t>Cistern program service</t>
  </si>
  <si>
    <t>Socioeconomic capacity</t>
  </si>
  <si>
    <t>Bolsa Familia program coverage</t>
  </si>
  <si>
    <t>Scope of the family allowance program</t>
  </si>
  <si>
    <t>Equality in intra-household income distribution</t>
  </si>
  <si>
    <t>Households with high per capita income</t>
  </si>
  <si>
    <t>Total population</t>
  </si>
  <si>
    <t>Climate hazard</t>
  </si>
  <si>
    <t>Energy poverty</t>
  </si>
  <si>
    <t>Electricity interruption</t>
  </si>
  <si>
    <t>Residential electricity consumption</t>
  </si>
  <si>
    <t>Residential electrical consumption</t>
  </si>
  <si>
    <t>Electricity intensity</t>
  </si>
  <si>
    <t>Electrical energy intensity</t>
  </si>
  <si>
    <t>Electricity self-producers</t>
  </si>
  <si>
    <t>Distributed electricity generation</t>
  </si>
  <si>
    <t>Energy stored in hydroelectric reservoirs</t>
  </si>
  <si>
    <t>Electricity generation diversification</t>
  </si>
  <si>
    <t>Diversification of electricity generation</t>
  </si>
  <si>
    <t>Municipal per capita GDP</t>
  </si>
  <si>
    <t>Municipal GDP per capita</t>
  </si>
  <si>
    <t>Income above two minimum wages</t>
  </si>
  <si>
    <t>Resilient cities</t>
  </si>
  <si>
    <t>Intensive energy industries</t>
  </si>
  <si>
    <t>Energy-intensive industries</t>
  </si>
  <si>
    <t>Climate threat</t>
  </si>
  <si>
    <t>Hydroelectric potential</t>
  </si>
  <si>
    <t>Hydropower potential</t>
  </si>
  <si>
    <t>Solar potential</t>
  </si>
  <si>
    <t>Solar energy potential</t>
  </si>
  <si>
    <t>Wind potential</t>
  </si>
  <si>
    <t>Wind energy potential</t>
  </si>
  <si>
    <t>Cooling demand</t>
  </si>
  <si>
    <t>Cooling Demand</t>
  </si>
  <si>
    <t>Social susceptibility</t>
  </si>
  <si>
    <t>Without access to adequate sanitation</t>
  </si>
  <si>
    <t>No access to adequate sanitation</t>
  </si>
  <si>
    <t>Municipal Human Development Index (MHDI)</t>
  </si>
  <si>
    <t>HDI-M</t>
  </si>
  <si>
    <t>Population mobility</t>
  </si>
  <si>
    <t>Municipal tourism</t>
  </si>
  <si>
    <t>Recent immigration</t>
  </si>
  <si>
    <t>Epidemiological profile of malaria</t>
  </si>
  <si>
    <t>API</t>
  </si>
  <si>
    <t>Ipa</t>
  </si>
  <si>
    <t>Falciparum malaria</t>
  </si>
  <si>
    <t>falciparum malaria</t>
  </si>
  <si>
    <t>Health services</t>
  </si>
  <si>
    <t>Primary care coverage</t>
  </si>
  <si>
    <t>Basic care coverage</t>
  </si>
  <si>
    <t>Access to diagnosis and treatment</t>
  </si>
  <si>
    <t>Road network</t>
  </si>
  <si>
    <t>Road density</t>
  </si>
  <si>
    <t>Highway density</t>
  </si>
  <si>
    <t>Land use and occupation</t>
  </si>
  <si>
    <t>Settlements</t>
  </si>
  <si>
    <t>Mining</t>
  </si>
  <si>
    <t>Deforestation</t>
  </si>
  <si>
    <t>Rural population</t>
  </si>
  <si>
    <t>Bodies of water</t>
  </si>
  <si>
    <t>Maximum temperature</t>
  </si>
  <si>
    <t>Precipitation intensity</t>
  </si>
  <si>
    <t>Relative humidity</t>
  </si>
  <si>
    <t>Households without access to garbage collection</t>
  </si>
  <si>
    <t>Epidemiological profile of American cutaneous leishmaniasis</t>
  </si>
  <si>
    <t>Incidence of American cutaneous leishmaniasis</t>
  </si>
  <si>
    <t>Subnormal agglomerations</t>
  </si>
  <si>
    <t>Informal settlements</t>
  </si>
  <si>
    <t>Natural coverage</t>
  </si>
  <si>
    <t>Agricultural coverage</t>
  </si>
  <si>
    <t>Epidemiological profile of visceral leishmaniasis</t>
  </si>
  <si>
    <t>Incidence of visceral leishmaniasis</t>
  </si>
  <si>
    <t>Minimum temperature</t>
  </si>
  <si>
    <t>Water supply</t>
  </si>
  <si>
    <t>Presence of cistern</t>
  </si>
  <si>
    <t>Epidemiological profile of the arboviruses dengue, zika and chikungunya</t>
  </si>
  <si>
    <t>Incidence of the arboviruses dengue, zika and chikungunya</t>
  </si>
  <si>
    <t>Incidence of arboviruses dengue, zika and chikungunya</t>
  </si>
  <si>
    <t>Temperature amplitude</t>
  </si>
  <si>
    <t>Thermal range</t>
  </si>
  <si>
    <t>Heat waves</t>
  </si>
  <si>
    <t>Municipal economic capacity</t>
  </si>
  <si>
    <t>Investment in adaptation policies</t>
  </si>
  <si>
    <t>Fiscal management</t>
  </si>
  <si>
    <t>Tax management</t>
  </si>
  <si>
    <t>Employment and income</t>
  </si>
  <si>
    <t>Gross domestic product per urban area</t>
  </si>
  <si>
    <t>Gross domestic product by urban area</t>
  </si>
  <si>
    <t>Disaster risk management</t>
  </si>
  <si>
    <t>Institutions for risk management</t>
  </si>
  <si>
    <t>Waste management and public cleaning</t>
  </si>
  <si>
    <t>Management of urban occupation in risk areas</t>
  </si>
  <si>
    <t>Urban occupation management in risk areas</t>
  </si>
  <si>
    <t>Actions for risk reduction</t>
  </si>
  <si>
    <t>Actions to reduce risk</t>
  </si>
  <si>
    <t>Early warning systems</t>
  </si>
  <si>
    <t>Contingency plan</t>
  </si>
  <si>
    <t>Urban policy</t>
  </si>
  <si>
    <t>Environmental governance</t>
  </si>
  <si>
    <t>Housing governance</t>
  </si>
  <si>
    <t>Transport governance</t>
  </si>
  <si>
    <t>Health facilities</t>
  </si>
  <si>
    <t>Healthcare facilities</t>
  </si>
  <si>
    <t>Population</t>
  </si>
  <si>
    <t>Population with special needs</t>
  </si>
  <si>
    <t>Population with special demands</t>
  </si>
  <si>
    <t>Young people without high school education</t>
  </si>
  <si>
    <t>Young people without secondary education</t>
  </si>
  <si>
    <t>Income inequality</t>
  </si>
  <si>
    <t>Inadequate households</t>
  </si>
  <si>
    <t>Inappropriate households</t>
  </si>
  <si>
    <t>Infrastructure</t>
  </si>
  <si>
    <t>Lack of urban mobility</t>
  </si>
  <si>
    <t>Inaccessibility to cities</t>
  </si>
  <si>
    <t>Basic sanitation</t>
  </si>
  <si>
    <t>Drainage</t>
  </si>
  <si>
    <t>Housing in a risky environment</t>
  </si>
  <si>
    <t>Households in risk areas</t>
  </si>
  <si>
    <t>Urban population density</t>
  </si>
  <si>
    <t>Risk management</t>
  </si>
  <si>
    <t>Land change and use</t>
  </si>
  <si>
    <t>Pesticides</t>
  </si>
  <si>
    <t>No family farming</t>
  </si>
  <si>
    <t>No sustainable agricultural practice</t>
  </si>
  <si>
    <t>Fire</t>
  </si>
  <si>
    <t>Ground cover</t>
  </si>
  <si>
    <t>Environmental liability</t>
  </si>
  <si>
    <t>Environmental liabilities</t>
  </si>
  <si>
    <t>Vegetation loss</t>
  </si>
  <si>
    <t>Degraded pasture</t>
  </si>
  <si>
    <t>Density</t>
  </si>
  <si>
    <t>Agricultural establishment</t>
  </si>
  <si>
    <t>Hydroelectric plants</t>
  </si>
  <si>
    <t>Hydroelectric</t>
  </si>
  <si>
    <t>Instruments for conservation</t>
  </si>
  <si>
    <t>Management committee and management plan</t>
  </si>
  <si>
    <t>Steering committee and management plan</t>
  </si>
  <si>
    <t>Exposed coverage</t>
  </si>
  <si>
    <t>Protected area</t>
  </si>
  <si>
    <t>Area for conservation</t>
  </si>
  <si>
    <t>Climate resilience</t>
  </si>
  <si>
    <t>Accumulated precipitation</t>
  </si>
  <si>
    <t>Precipitation seasonality</t>
  </si>
  <si>
    <t>Seasonality of precipitation</t>
  </si>
  <si>
    <t>Annual temperature</t>
  </si>
  <si>
    <t>Amplitude</t>
  </si>
  <si>
    <t>ActionID</t>
  </si>
  <si>
    <t>ActionName</t>
  </si>
  <si>
    <t>Description</t>
  </si>
  <si>
    <t>ActionSubcategory</t>
  </si>
  <si>
    <t>ActionType</t>
  </si>
  <si>
    <t>AdaptationEffectiveness</t>
  </si>
  <si>
    <t>CoBenefits</t>
  </si>
  <si>
    <t>CostInvestmentNeeded</t>
  </si>
  <si>
    <t>TimelineForImplementation</t>
  </si>
  <si>
    <t>Hazards</t>
  </si>
  <si>
    <t>c40_0046</t>
  </si>
  <si>
    <t>Strengthen coastal protection infrastructure</t>
  </si>
  <si>
    <t>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t>
  </si>
  <si>
    <t>Infrastructure Development</t>
  </si>
  <si>
    <t>adaptation</t>
  </si>
  <si>
    <t>high</t>
  </si>
  <si>
    <t>{"air_quality": 0, "water_quality": 0, "habitat": 1, "cost_of_living": 0, "housing": 0, "mobility": 0, "stakeholder_engagement": 0}</t>
  </si>
  <si>
    <t>5-10 years</t>
  </si>
  <si>
    <t>["floods", "sea-level-rise"]</t>
  </si>
  <si>
    <t>c40_0048</t>
  </si>
  <si>
    <t>Upgrade urban drainage systems</t>
  </si>
  <si>
    <t>"Upgrade urban drainage systems" involves eco-engineering solutions to enhance drainage systems, through capacity upgrade and network expansion. This adaptation measure aims to improve urban resilience by minimizing the impact of extreme weather events such as flooding.</t>
  </si>
  <si>
    <t>{"air_quality": 0, "water_quality": 0, "habitat": 0, "cost_of_living": 0, "housing": 0, "mobility": 0, "stakeholder_engagement": 0}</t>
  </si>
  <si>
    <t>medium</t>
  </si>
  <si>
    <t>["floods"]</t>
  </si>
  <si>
    <t>c40_0049</t>
  </si>
  <si>
    <t>Build and maintain shelters for critical climate hazards</t>
  </si>
  <si>
    <t>"Build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t>
  </si>
  <si>
    <t>Emergency Infrastructure</t>
  </si>
  <si>
    <t>low</t>
  </si>
  <si>
    <t>&lt;5 years</t>
  </si>
  <si>
    <t>c40_0051</t>
  </si>
  <si>
    <t>Provide public shading in heat hotspots</t>
  </si>
  <si>
    <t>"Provide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t>
  </si>
  <si>
    <t>Nature-Based Solutions</t>
  </si>
  <si>
    <t>["heatwaves"]</t>
  </si>
  <si>
    <t>c40_0052</t>
  </si>
  <si>
    <t>Deploy cool pavements and cool roofs on heat‑exposed streets and buildings</t>
  </si>
  <si>
    <t>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t>
  </si>
  <si>
    <t>c40_0053</t>
  </si>
  <si>
    <t>Promote water-saving technologies and practices</t>
  </si>
  <si>
    <t>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t>
  </si>
  <si>
    <t>Public Programs / Incentives</t>
  </si>
  <si>
    <t>{"air_quality": 0, "water_quality": 2, "habitat": 1, "cost_of_living": 1, "housing": 0, "mobility": 0, "stakeholder_engagement": 1}</t>
  </si>
  <si>
    <t>["droughts", "heatwaves", "diseases"]</t>
  </si>
  <si>
    <t>c40_0056</t>
  </si>
  <si>
    <t>Improve Watershed Protection and Management</t>
  </si>
  <si>
    <t>"Watershed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t>
  </si>
  <si>
    <t>{"air_quality": 0, "water_quality": 1, "habitat": 0, "cost_of_living": 0, "housing": 0, "mobility": 0, "stakeholder_engagement": 0}</t>
  </si>
  <si>
    <t>["droughts"]</t>
  </si>
  <si>
    <t>c40_0062</t>
  </si>
  <si>
    <t>Reform water tariffs to support efficiency and equity</t>
  </si>
  <si>
    <t>"Reform water tariffs to support efficiency and equity" involve pricing structures for water use, encouraging conservation and efficient use of water resources. This initiative aims to promote responsible water consumption and contribute to sustainable water management.</t>
  </si>
  <si>
    <t>Regulation &amp; Standards</t>
  </si>
  <si>
    <t>icare_0144</t>
  </si>
  <si>
    <t>Establish a financial support program for extreme weather events</t>
  </si>
  <si>
    <t>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t>
  </si>
  <si>
    <t>{"air_quality": 0, "water_quality": 0, "habitat": 0, "cost_of_living": -1, "housing": 1, "mobility": 1, "stakeholder_engagement": 2}</t>
  </si>
  <si>
    <t>["droughts", "heatwaves", "floods", "sea-level-rise", "landslides", "storms", "wildfires", "diseases"]</t>
  </si>
  <si>
    <t>icare_0145</t>
  </si>
  <si>
    <t>Strengthen the healthcare system to respond effectively to extreme events</t>
  </si>
  <si>
    <t>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t>
  </si>
  <si>
    <t>{"air_quality": 0, "water_quality": 0, "habitat": 0, "cost_of_living": 0, "housing": 0, "mobility": 0, "stakeholder_engagement": 2}</t>
  </si>
  <si>
    <t>&gt;10 years</t>
  </si>
  <si>
    <t>["droughts", "heatwaves", "floods", "landslides", "storms", "diseases"]</t>
  </si>
  <si>
    <t>icare_0154</t>
  </si>
  <si>
    <t>Clean and unclog drainage channels and install eco-barriers</t>
  </si>
  <si>
    <t>Cleaning and unclogging channels in the city to reduce the risk of flooding caused by extreme rainfall events. Installation of eco-barriers to assist in cleaning efforts and raise awareness about solid waste.</t>
  </si>
  <si>
    <t>{"air_quality": 1, "water_quality": 2, "habitat": 1, "cost_of_living": 1, "housing": 1, "mobility": 1, "stakeholder_engagement": 1}</t>
  </si>
  <si>
    <t>icare_0156</t>
  </si>
  <si>
    <t>Improve Implementation of urban gardens</t>
  </si>
  <si>
    <t>Identify and assess the feasibility of suitable areas for the installation of urban gardens and ensure that the sites chosen meet the expectations of the community.</t>
  </si>
  <si>
    <t>{"air_quality": 1, "water_quality": 0, "habitat": 1, "cost_of_living": 1, "housing": 1, "mobility": 0, "stakeholder_engagement": 2}</t>
  </si>
  <si>
    <t>["heatwaves", "floods", "landslides"]</t>
  </si>
  <si>
    <t>icare_0160</t>
  </si>
  <si>
    <t>Establish mechanisms for intersectoral coordination and public participation in climate policy</t>
  </si>
  <si>
    <t>Establish more mechanisms that enable better intersectoral coordination and public participation in climate policy, including the creation of working groups with neighboring municipalities to discuss a common climate agenda.</t>
  </si>
  <si>
    <t>Institutional Frameworks</t>
  </si>
  <si>
    <t>icare_0162</t>
  </si>
  <si>
    <t>Strengthen programs for control and conservation of protected areas</t>
  </si>
  <si>
    <t>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t>
  </si>
  <si>
    <t>{"air_quality": 2, "water_quality": 2, "habitat": 2, "cost_of_living": 0, "housing": 0, "mobility": 0, "stakeholder_engagement": 1}</t>
  </si>
  <si>
    <t>["heatwaves", "floods", "landslides", "diseases"]</t>
  </si>
  <si>
    <t>icare_0163</t>
  </si>
  <si>
    <t>Establish a first‑response firefighting brigade</t>
  </si>
  <si>
    <t>Creation of a First Response Brigade in rural communities to provide them with training and equipment for fire prevention and firefighting.</t>
  </si>
  <si>
    <t>{"air_quality": 1, "water_quality": 0, "habitat": 2, "cost_of_living": 1, "housing": 1, "mobility": 1, "stakeholder_engagement": 1}</t>
  </si>
  <si>
    <t>["wildfires"]</t>
  </si>
  <si>
    <t>icare_0164</t>
  </si>
  <si>
    <t>Improve Hydrological Monitoring System with Telemetry Stations</t>
  </si>
  <si>
    <t>Implementation of a hydrological monitoring system with telemetry stations to monitor rainfall, water levels, and meteorological variables in real-time.</t>
  </si>
  <si>
    <t>Data Collection / Baseline Studies</t>
  </si>
  <si>
    <t>{"air_quality": 0, "water_quality": 1, "habitat": 1, "cost_of_living": 1, "housing": 1, "mobility": 1, "stakeholder_engagement": 1}</t>
  </si>
  <si>
    <t>["droughts", "floods", "storms"]</t>
  </si>
  <si>
    <t>icare_0165</t>
  </si>
  <si>
    <t>Develop an Environmental Education Plan</t>
  </si>
  <si>
    <t>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t>
  </si>
  <si>
    <t>Strategic Plans</t>
  </si>
  <si>
    <t>icare_0169</t>
  </si>
  <si>
    <t>Establish a Plan for Preparation and Emergency Response Measures in the event of extreme weather events</t>
  </si>
  <si>
    <t>This action focuses on preparing the municipality to respond to extreme events, aiming to provide a rapid response that minimizes the impacts on the population.</t>
  </si>
  <si>
    <t>{"air_quality": 1, "water_quality": 2, "habitat": 2, "cost_of_living": 1, "housing": 0, "mobility": 0, "stakeholder_engagement": 2}</t>
  </si>
  <si>
    <t>icare_0170</t>
  </si>
  <si>
    <t>Build safe housing and implement urban rehabilitation projects for populations living in high-risk areas</t>
  </si>
  <si>
    <t>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t>
  </si>
  <si>
    <t>{"air_quality": 0, "water_quality": 0, "habitat": 0, "cost_of_living": -1, "housing": 2, "mobility": 0, "stakeholder_engagement": 1}</t>
  </si>
  <si>
    <t>["heatwaves", "floods", "landslides", "storms"]</t>
  </si>
  <si>
    <t>icare_0171</t>
  </si>
  <si>
    <t>Improve the hydrometeorological forecasting, monitoring, and alert system for climate risks</t>
  </si>
  <si>
    <t>This action aims to expand the procedures related to the existing climate risk forecasting, monitoring, and alert system in the municipality.</t>
  </si>
  <si>
    <t>Tech Pilots &amp; Deployments</t>
  </si>
  <si>
    <t>{"air_quality": 2, "water_quality": 0, "habitat": 1, "cost_of_living": 1, "housing": 0, "mobility": 1, "stakeholder_engagement": 1}</t>
  </si>
  <si>
    <t>["droughts", "heatwaves", "floods", "landslides", "storms"]</t>
  </si>
  <si>
    <t>icare_0172</t>
  </si>
  <si>
    <t>Develop and implement the Municipal Risk Reduction Plan (PMRR) and identify population groups vulnerable to climate risks.</t>
  </si>
  <si>
    <t>This action aims to strengthen the development of the Municipal Risk Reduction Plan (PMRR) in the municipality, as it is a highly relevant tool for managing climate risks, especially river floods and landslides.</t>
  </si>
  <si>
    <t>["floods", "landslides", "storms"]</t>
  </si>
  <si>
    <t>icare_0173</t>
  </si>
  <si>
    <t>Preventive maintenance of drainage systems</t>
  </si>
  <si>
    <t>Regular upkeep and cleaning of urban drainage systems, including storm drains, sewers, and retention basins, to ensure efficient water flow and prevent blockages that can lead to flooding during heavy rainfall events.</t>
  </si>
  <si>
    <t>{"air_quality": 0, "water_quality": 1, "habitat": 0, "cost_of_living": 1, "housing": 1, "mobility": 1, "stakeholder_engagement": 0}</t>
  </si>
  <si>
    <t>["floods", "storms"]</t>
  </si>
  <si>
    <t>icare_0176</t>
  </si>
  <si>
    <t>Develop a Climate Action Plan</t>
  </si>
  <si>
    <t>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t>
  </si>
  <si>
    <t>{"air_quality": 1, "water_quality": 1, "habitat": 1, "cost_of_living": 0, "housing": 1, "mobility": 1, "stakeholder_engagement": 2}</t>
  </si>
  <si>
    <t>icare_0178</t>
  </si>
  <si>
    <t>Redirect urban development through climate‑risk spatial planning</t>
  </si>
  <si>
    <t>Mapping of critical flood-prone areas with the aim of revising and harmonizing legislation related to land use, given the intensification of the impacts of extreme weather events.</t>
  </si>
  <si>
    <t>{"air_quality": 0, "water_quality": 1, "habitat": 1, "cost_of_living": 0, "housing": -2, "mobility": 0, "stakeholder_engagement": 1}</t>
  </si>
  <si>
    <t>icare_0180</t>
  </si>
  <si>
    <t>Expand urban green-blue networks and corridors</t>
  </si>
  <si>
    <t>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t>
  </si>
  <si>
    <t>{"air_quality": 1, "water_quality": 1, "habitat": 1, "cost_of_living": 0, "housing": 1, "mobility": 0, "stakeholder_engagement": 1}</t>
  </si>
  <si>
    <t>icare_0181</t>
  </si>
  <si>
    <t>Restore in Vulnerable Areas</t>
  </si>
  <si>
    <t>A comprehensive project addressing the socio-environmental vulnerability of an informal settlement. It includes relocating residents from flood-prone areas, restoring the environment, and providing infrastructure and social services.</t>
  </si>
  <si>
    <t>{"air_quality": 1, "water_quality": 2, "habitat": 2, "cost_of_living": 1, "housing": 2, "mobility": 1, "stakeholder_engagement": 1}</t>
  </si>
  <si>
    <t>["floods", "landslides"]</t>
  </si>
  <si>
    <t>icare_0182</t>
  </si>
  <si>
    <t>Develop an Urban Afforestation Plan</t>
  </si>
  <si>
    <t>This action focuses on expanding green areas in the city through urban afforestation. This includes planting trees in sidewalks, squares, public buildings, and schools, as well as creating ecological parks to revitalize watercourses and/or restore forests.</t>
  </si>
  <si>
    <t>{"air_quality": 2, "water_quality": 1, "habitat": 2, "cost_of_living": 1, "housing": 1, "mobility": 1, "stakeholder_engagement": 1}</t>
  </si>
  <si>
    <t>icare_0183</t>
  </si>
  <si>
    <t>Implement Multi-hazard Early Warning Systems (MH-EWS)</t>
  </si>
  <si>
    <t>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t>
  </si>
  <si>
    <t>["landslides", "storms"]</t>
  </si>
  <si>
    <t>icare_0184</t>
  </si>
  <si>
    <t>Upgrade Slope stabilization and drainage</t>
  </si>
  <si>
    <t>This action involves stabilizing slopes and maintaining or restoring drainage systems in hillside areas. This helps to prevent landslides and erosion, reducing the risk of disasters.</t>
  </si>
  <si>
    <t>["landslides"]</t>
  </si>
  <si>
    <t>icare_0185</t>
  </si>
  <si>
    <t>Improve Creation of An Epidemiological Intelligence Center</t>
  </si>
  <si>
    <t>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t>
  </si>
  <si>
    <t>{"air_quality": 0, "water_quality": 0, "habitat": 0, "cost_of_living": 1, "housing": 0, "mobility": 0, "stakeholder_engagement": 2}</t>
  </si>
  <si>
    <t>["diseases"]</t>
  </si>
  <si>
    <t>icare_0186</t>
  </si>
  <si>
    <t>Implement integrated coastal zone management</t>
  </si>
  <si>
    <t>This action describes the implementation of an integrated coastal zone management plan to promote sustainable development and address the impacts of climate change in coastal areas. It includes measures to mitigate the impacts of sea-level rise and coastal erosion.</t>
  </si>
  <si>
    <t>{"air_quality": 1, "water_quality": 2, "habitat": 2, "cost_of_living": 1, "housing": 1, "mobility": 1, "stakeholder_engagement": 2}</t>
  </si>
  <si>
    <t>["heatwaves", "floods", "sea-level-rise"]</t>
  </si>
  <si>
    <t>icare_0188</t>
  </si>
  <si>
    <t>Create an Environmental Health Surveillance Program related to Populations Exposed to Air Pollution, Noise Pollution, Water Pollution, and Soil Pollution.</t>
  </si>
  <si>
    <t>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t>
  </si>
  <si>
    <t>["droughts", "heatwaves", "floods", "diseases"]</t>
  </si>
  <si>
    <t>ipcc_0078</t>
  </si>
  <si>
    <t>Implement green roofs and walls</t>
  </si>
  <si>
    <t>The implementation of green roofs and green walls mitigates urban heat island effects, improves thermal comfort, reduces energy demand in buildings, manages stormwater, and enhances urban livability and biodiversity.</t>
  </si>
  <si>
    <t>{"air_quality": 1, "water_quality": 1, "habitat": 1, "cost_of_living": 0, "housing": 0, "mobility": 1, "stakeholder_engagement": 1}</t>
  </si>
  <si>
    <t>["heatwaves", "storms"]</t>
  </si>
  <si>
    <t>ipcc_0083</t>
  </si>
  <si>
    <t>Plan strategic coastal retreat for vulnerable communities</t>
  </si>
  <si>
    <t>Planned relocation and retreat of people, assets, and activities from coastal hazard zones to reduce exposure and risks caused by sea-level rise and associated coastal hazards.</t>
  </si>
  <si>
    <t>{"air_quality": 0, "water_quality": 1, "habitat": 2, "cost_of_living": -1, "housing": 1, "mobility": 1, "stakeholder_engagement": 1}</t>
  </si>
  <si>
    <t>["floods", "sea-level-rise", "landslides", "storms"]</t>
  </si>
  <si>
    <t>ipcc_0084</t>
  </si>
  <si>
    <t>Restore/create natural areas</t>
  </si>
  <si>
    <t>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t>
  </si>
  <si>
    <t>{"air_quality": 1, "water_quality": 2, "habitat": 2, "cost_of_living": 1, "housing": 1, "mobility": 0, "stakeholder_engagement": 1}</t>
  </si>
  <si>
    <t>["droughts", "floods", "sea-level-rise", "storms"]</t>
  </si>
  <si>
    <t>ipcc_0085</t>
  </si>
  <si>
    <t>Reduce pressures on ecosystems to build resilience</t>
  </si>
  <si>
    <t>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t>
  </si>
  <si>
    <t>{"air_quality": 1, "water_quality": 2, "habitat": 2, "cost_of_living": 0, "housing": 0, "mobility": 0, "stakeholder_engagement": 1}</t>
  </si>
  <si>
    <t>["droughts", "floods", "sea-level-rise", "storms", "wildfires"]</t>
  </si>
  <si>
    <t>ipcc_0086</t>
  </si>
  <si>
    <t>Implement ecosystem‑based adaptation measures</t>
  </si>
  <si>
    <t>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t>
  </si>
  <si>
    <t>{"air_quality": 1, "water_quality": 2, "habitat": 2, "cost_of_living": 0, "housing": 1, "mobility": 1, "stakeholder_engagement": 1}</t>
  </si>
  <si>
    <t>["heatwaves", "floods", "sea-level-rise", "storms"]</t>
  </si>
  <si>
    <t>ipcc_0087</t>
  </si>
  <si>
    <t>Improve Infrastructure retrofitting</t>
  </si>
  <si>
    <t>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t>
  </si>
  <si>
    <t>{"air_quality": 1, "water_quality": 1, "habitat": 0, "cost_of_living": -1, "housing": 1, "mobility": 1, "stakeholder_engagement": 1}</t>
  </si>
  <si>
    <t>["droughts", "heatwaves", "floods"]</t>
  </si>
  <si>
    <t>ipcc_0088</t>
  </si>
  <si>
    <t>Update and enforce climate‑resilient building codes</t>
  </si>
  <si>
    <t>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t>
  </si>
  <si>
    <t>{"air_quality": 2, "water_quality": 0, "habitat": 1, "cost_of_living": 1, "housing": 2, "mobility": 1, "stakeholder_engagement": 1}</t>
  </si>
  <si>
    <t>ipcc_0089</t>
  </si>
  <si>
    <t>Spatially redirect development</t>
  </si>
  <si>
    <t>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t>
  </si>
  <si>
    <t>{"air_quality": 1, "water_quality": 1, "habitat": 2, "cost_of_living": -1, "housing": 1, "mobility": 0, "stakeholder_engagement": 2}</t>
  </si>
  <si>
    <t>ipcc_0090</t>
  </si>
  <si>
    <t>Expand climate risk insurance coverage</t>
  </si>
  <si>
    <t xml:space="preserve"> 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t>
  </si>
  <si>
    <t>{"air_quality": 0, "water_quality": 1, "habitat": 0, "cost_of_living": -1, "housing": 0, "mobility": 0, "stakeholder_engagement": 2}</t>
  </si>
  <si>
    <t>ipcc_0091</t>
  </si>
  <si>
    <t>Support livelihood diversification for climate resilience</t>
  </si>
  <si>
    <t>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t>
  </si>
  <si>
    <t>{"air_quality": 0, "water_quality": 1, "habitat": 2, "cost_of_living": 1, "housing": 0, "mobility": 0, "stakeholder_engagement": 2}</t>
  </si>
  <si>
    <t>["sea-level-rise", "storms"]</t>
  </si>
  <si>
    <t>ipcc_0092</t>
  </si>
  <si>
    <t>Expand climate‑responsive social safety nets</t>
  </si>
  <si>
    <t>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t>
  </si>
  <si>
    <t>{"air_quality": 0, "water_quality": 1, "habitat": 1, "cost_of_living": 2, "housing": 1, "mobility": 0, "stakeholder_engagement": 2}</t>
  </si>
  <si>
    <t>["droughts", "heatwaves", "floods", "storms"]</t>
  </si>
  <si>
    <t>ipcc_0094</t>
  </si>
  <si>
    <t>Strengthen climate‑resilient health services</t>
  </si>
  <si>
    <t>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t>
  </si>
  <si>
    <t>{"air_quality": 1, "water_quality": 2, "habitat": 0, "cost_of_living": 1, "housing": 1, "mobility": 0, "stakeholder_engagement": 2}</t>
  </si>
  <si>
    <t>ipcc_0096</t>
  </si>
  <si>
    <t>Strengthen climate resilience in farming and fisheries</t>
  </si>
  <si>
    <t>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t>
  </si>
  <si>
    <t>["droughts", "heatwaves", "floods", "storms", "wildfires"]</t>
  </si>
  <si>
    <t>ipcc_0097</t>
  </si>
  <si>
    <t>Upgrade food storage and distribution for climate resilience</t>
  </si>
  <si>
    <t>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t>
  </si>
  <si>
    <t>{"air_quality": 0, "water_quality": 1, "habitat": 1, "cost_of_living": 1, "housing": 0, "mobility": 2, "stakeholder_engagement": 2}</t>
  </si>
  <si>
    <t>ipcc_0098</t>
  </si>
  <si>
    <t>Increase resilience by improving access to food, improving livelihoods and promoting dietary shifts and food waste reduction</t>
  </si>
  <si>
    <t>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t>
  </si>
  <si>
    <t>["droughts", "heatwaves", "floods", "wildfires"]</t>
  </si>
  <si>
    <t>ipcc_0099</t>
  </si>
  <si>
    <t>Increase Water Capture and Storage</t>
  </si>
  <si>
    <t>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t>
  </si>
  <si>
    <t>{"air_quality": 0, "water_quality": 2, "habitat": 2, "cost_of_living": 1, "housing": 0, "mobility": 1, "stakeholder_engagement": 2}</t>
  </si>
  <si>
    <t>ipcc_0100</t>
  </si>
  <si>
    <t>Improve Efficient water use/demand</t>
  </si>
  <si>
    <t>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t>
  </si>
  <si>
    <t>{"air_quality": 0, "water_quality": 2, "habitat": 1, "cost_of_living": 1, "housing": 0, "mobility": 0, "stakeholder_engagement": 2}</t>
  </si>
  <si>
    <t>["droughts", "heatwaves"]</t>
  </si>
  <si>
    <t>ipcc_0101</t>
  </si>
  <si>
    <t>Improve urban water management</t>
  </si>
  <si>
    <t>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t>
  </si>
  <si>
    <t>{"air_quality": 0, "water_quality": 2, "habitat": 2, "cost_of_living": 1, "housing": 0, "mobility": 0, "stakeholder_engagement": 1}</t>
  </si>
  <si>
    <t>ipcc_0102</t>
  </si>
  <si>
    <t>Facilitate seasonal and temporary mobility strategies</t>
  </si>
  <si>
    <t>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t>
  </si>
  <si>
    <t>{"air_quality": 0, "water_quality": 1, "habitat": 2, "cost_of_living": 1, "housing": 0, "mobility": 2, "stakeholder_engagement": 1}</t>
  </si>
  <si>
    <t>["droughts", "sea-level-rise", "storms"]</t>
  </si>
  <si>
    <t>ipcc_0103</t>
  </si>
  <si>
    <t>Strengthen cooperative climate governance</t>
  </si>
  <si>
    <t>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t>
  </si>
  <si>
    <t>ipcc_0104</t>
  </si>
  <si>
    <t>Plan and support permanent climate‑related migration</t>
  </si>
  <si>
    <t>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t>
  </si>
  <si>
    <t>{"air_quality": 0, "water_quality": 1, "habitat": 1, "cost_of_living": -1, "housing": -1, "mobility": 1, "stakeholder_engagement": 2}</t>
  </si>
  <si>
    <t>["floods", "sea-level-rise", "landslides"]</t>
  </si>
  <si>
    <t>dataset</t>
  </si>
  <si>
    <t>layer</t>
  </si>
  <si>
    <t>feeds</t>
  </si>
  <si>
    <t>publisher</t>
  </si>
  <si>
    <t>url</t>
  </si>
  <si>
    <t>access</t>
  </si>
  <si>
    <t>coverage</t>
  </si>
  <si>
    <t>notes</t>
  </si>
  <si>
    <t>CAPAG (Capacidade de Pagamento)</t>
  </si>
  <si>
    <t>city-capacity</t>
  </si>
  <si>
    <t>Financing — own-resource / credit gate</t>
  </si>
  <si>
    <t>Tesouro Nacional (STN)</t>
  </si>
  <si>
    <t>https://www.tesourotransparente.gov.br/ckan/dataset/capag-municipios</t>
  </si>
  <si>
    <t>open</t>
  </si>
  <si>
    <t>all municipios (2025)</t>
  </si>
  <si>
    <t>A/B unlock Union-guaranteed credit; C/D cannot. Hard discrete gate, ~49% A/B vs 51% C/D. Not inside AdaptaBrasil, so no Impact double-count.</t>
  </si>
  <si>
    <t>SICONFI / FINBRA</t>
  </si>
  <si>
    <t>Financing — fiscal autonomy (own revenue vs FPM transfers)</t>
  </si>
  <si>
    <t>https://www.gov.br/tesouronacional/pt-br/estados-e-municipios/dados-consolidados/finbra-financas-municipais</t>
  </si>
  <si>
    <t>open (REST API)</t>
  </si>
  <si>
    <t>5500+ municipios (annual)</t>
  </si>
  <si>
    <t>Autonomy ~ 1 minus transfer dependency. FPM dependence compresses the axis for most small municipios, so it may not differentiate well.</t>
  </si>
  <si>
    <t>IBGE MUNIC</t>
  </si>
  <si>
    <t>Financing — financing-access capacity (institutional presence)</t>
  </si>
  <si>
    <t>IBGE</t>
  </si>
  <si>
    <t>https://www.ibge.gov.br/estatisticas/sociais/administracao-publica-e-participacao-politica/19879-suplementos-munic2.html</t>
  </si>
  <si>
    <t>open microdata</t>
  </si>
  <si>
    <t>all municipios (annual)</t>
  </si>
  <si>
    <t>Institutional-presence proxy: env/planning body, municipal fund, council, staff, Plano Diretor. Governance-structure fact, distinct from AdaptaBrasil vulnerability — the discipline that keeps it clean of Impact.</t>
  </si>
  <si>
    <t>IFEM (Indicador de Financiamento e Equidade Municipal)</t>
  </si>
  <si>
    <t>Financing — per-capita revenue / fiscal headroom</t>
  </si>
  <si>
    <t>FNP (Frente Nacional de Prefeitas e Prefeitos)</t>
  </si>
  <si>
    <t>https://ifem.onrender.com/</t>
  </si>
  <si>
    <t>open dashboard</t>
  </si>
  <si>
    <t>5525 municipios</t>
  </si>
  <si>
    <t>Complementary fiscal signal derived from SICONFI. Named in the V5 proposal as an extended-tier candidate.</t>
  </si>
  <si>
    <t>Fundo Clima / FNMC</t>
  </si>
  <si>
    <t>fund-supply</t>
  </si>
  <si>
    <t>Financing — fund access (grant + credit)</t>
  </si>
  <si>
    <t>BNDES + MMA</t>
  </si>
  <si>
    <t>https://www.bndes.gov.br/wps/portal/site/home/financiamento/produto/fundo-clima</t>
  </si>
  <si>
    <t>open (programme pages)</t>
  </si>
  <si>
    <t>national</t>
  </si>
  <si>
    <t>~R$14bn 2025; adaptation line + resilient urban development, water, forests. Reembolsavel (BNDES credit) + nao-reembolsavel (MMA grant).</t>
  </si>
  <si>
    <t>FNMA (Fundo Nacional do Meio Ambiente)</t>
  </si>
  <si>
    <t>Financing — fund access (grant)</t>
  </si>
  <si>
    <t>MMA</t>
  </si>
  <si>
    <t>https://www.gov.br/mma/pt-br/assuntos/mudanca-do-clima/financiamento</t>
  </si>
  <si>
    <t>Environmental grants; municipal &amp; community applicants.</t>
  </si>
  <si>
    <t>Fundo Amazonia</t>
  </si>
  <si>
    <t>Financing — fund access (grant); revealed fundability</t>
  </si>
  <si>
    <t>BNDES (donor-funded)</t>
  </si>
  <si>
    <t>https://www.fundoamazonia.gov.br/</t>
  </si>
  <si>
    <t>open (carteira)</t>
  </si>
  <si>
    <t>Legal Amazon municipios</t>
  </si>
  <si>
    <t>Forest-first, flows through OSCs/states not city halls. Route A of the awards catalog (146 grants, reconciled).</t>
  </si>
  <si>
    <t>Regional constitutional funds (FCO / FNE / FNO)</t>
  </si>
  <si>
    <t>Financing — subsidised regional credit</t>
  </si>
  <si>
    <t>BB / BNB / BASA (MDR)</t>
  </si>
  <si>
    <t>https://www.gov.br/mdr/pt-br/assuntos/fundos-regionais-e-incentivos-fiscais/fundos-constitucionais-de-financiamento-fno-fne-e-fco</t>
  </si>
  <si>
    <t>Centre-West / Northeast / North</t>
  </si>
  <si>
    <t>Lei 7.827/1989; environmental/adaptation lines eligible.</t>
  </si>
  <si>
    <t>FGTS / CAIXA saneamento &amp; drenagem</t>
  </si>
  <si>
    <t>Financing — largest urban-adaptation pool (not climate-labelled)</t>
  </si>
  <si>
    <t>CAIXA (Min. das Cidades)</t>
  </si>
  <si>
    <t>https://www.caixa.gov.br/poder-publico/infraestrutura-saneamento-mobilidade/meio-ambiente-saneamento/drenagem-urbana-sustentavel/</t>
  </si>
  <si>
    <t>~R$160bn/yr FGTS; lines Saneamento para Todos, Drenagem Urbana Sustentavel. Label is saneamento not clima — must be first-class in the inventory.</t>
  </si>
  <si>
    <t>Transferegov (convenios / transferencias voluntarias)</t>
  </si>
  <si>
    <t>Financing — formulate-and-apply transfers</t>
  </si>
  <si>
    <t>Governo Federal</t>
  </si>
  <si>
    <t>https://www.gov.br/transferegov/pt-br</t>
  </si>
  <si>
    <t>open data panel</t>
  </si>
  <si>
    <t>Route B: city formulates a projeto and secures a voluntary transfer. No single national appraisal gate.</t>
  </si>
  <si>
    <t>Novo PAC — Prevencao a Desastres</t>
  </si>
  <si>
    <t>Financing — earmarked drainage/slope transfers; revealed fundability</t>
  </si>
  <si>
    <t>Casa Civil / Min. das Cidades</t>
  </si>
  <si>
    <t>https://www.gov.br/cidades/pt-br/acesso-a-informacao/acoes-e-programas/pac/selecoes-novo-pac/relacao-de-propostas/selecao-do-novo-pac-contencao-de-encostas-e-drenagem</t>
  </si>
  <si>
    <t>open (XLSX)</t>
  </si>
  <si>
    <t>Route B of the awards catalog (315 selected proposals, R$11.7bn, reconciled). The real urban-adaptation pot.</t>
  </si>
  <si>
    <t>COFIEX (direct external borrowing gate)</t>
  </si>
  <si>
    <t>Financing — MDB loan gate (CAPAG-gated); revealed fundability</t>
  </si>
  <si>
    <t>Min. do Planejamento</t>
  </si>
  <si>
    <t>https://painel-cofiex.planejamento.gov.br/</t>
  </si>
  <si>
    <t>open (per-meeting results + panel)</t>
  </si>
  <si>
    <t>states / larger municipios</t>
  </si>
  <si>
    <t>Route C of the awards catalog (COFIEX 180a, 32 line items, reconciled). Union-guaranteed MDB loans need CAPAG A/B.</t>
  </si>
  <si>
    <t>GCF / GEF / Adaptation Fund</t>
  </si>
  <si>
    <t>Financing — intermediated international grants</t>
  </si>
  <si>
    <t>NDA (Min. Fazenda / SAIN) + Accredited Entity (BNDES / FUNBIO / CAIXA)</t>
  </si>
  <si>
    <t>https://www.greenclimate.fund/countries/brazil</t>
  </si>
  <si>
    <t>portfolio only</t>
  </si>
  <si>
    <t>Route D: city cannot apply directly. Enumerable dataset is the funded portfolio only; vulnerability-targeted windows drive the inversion.</t>
  </si>
  <si>
    <t>Emendas parlamentares</t>
  </si>
  <si>
    <t>Financing — politically-allocated (context, not a reachable fund)</t>
  </si>
  <si>
    <t>Congresso / Portal da Transparencia</t>
  </si>
  <si>
    <t>https://portaldatransparencia.gov.br/emendas</t>
  </si>
  <si>
    <t>Large money, no open call. Fits the supply catalogue poorly; carried as context not a reachable route.</t>
  </si>
  <si>
    <t>MIDR / Sedec disaster transfers (S2ID)</t>
  </si>
  <si>
    <t>Financing — emergency-triggered disaster money</t>
  </si>
  <si>
    <t>MIDR / Sedec</t>
  </si>
  <si>
    <t>https://s2id.mi.gov.br/</t>
  </si>
  <si>
    <t>messy (S2ID / CPDC)</t>
  </si>
  <si>
    <t>Emergency-triggered, not a fund application. Often the only climate-relevant federal money the most exposed small cities touch.</t>
  </si>
  <si>
    <t>field</t>
  </si>
  <si>
    <t>meaning</t>
  </si>
  <si>
    <t>allowed_values</t>
  </si>
  <si>
    <t>example_enabled (icare_0154)</t>
  </si>
  <si>
    <t>example_conditional (c40_0046)</t>
  </si>
  <si>
    <t>intervention_id</t>
  </si>
  <si>
    <t>Stable catalog id of the intervention being classified</t>
  </si>
  <si>
    <t>catalog id</t>
  </si>
  <si>
    <t>intervention_name</t>
  </si>
  <si>
    <t>Short name (city-facing synonym: action)</t>
  </si>
  <si>
    <t>text</t>
  </si>
  <si>
    <t>Clean and unclog urban drainage channels</t>
  </si>
  <si>
    <t>authority</t>
  </si>
  <si>
    <t>Is a body legally empowered to act at the responsible level?</t>
  </si>
  <si>
    <t>enabled / conditional / blocked</t>
  </si>
  <si>
    <t>enabled</t>
  </si>
  <si>
    <t>conditional</t>
  </si>
  <si>
    <t>permission</t>
  </si>
  <si>
    <t>Does an in-force norm permit it and leave it free of prohibition?</t>
  </si>
  <si>
    <t>legal_verdict</t>
  </si>
  <si>
    <t>Non-compensatory roll-up: blocked if either axis is blocked; enabled only if both are enabled; otherwise conditional</t>
  </si>
  <si>
    <t>legal_verdict_score</t>
  </si>
  <si>
    <t>Ordinal code for the verdict — used for ranking within an intervention, NOT to be averaged across interventions</t>
  </si>
  <si>
    <t>1 / 0.5 / 0</t>
  </si>
  <si>
    <t>responsible_level</t>
  </si>
  <si>
    <t>Which level of the federation holds the competence (also carries the city's role: municipal = city-led, national = beyond city mandate)</t>
  </si>
  <si>
    <t>municipal / shared / national</t>
  </si>
  <si>
    <t>municipal</t>
  </si>
  <si>
    <t>shared</t>
  </si>
  <si>
    <t>dependency_note</t>
  </si>
  <si>
    <t>Free text naming the state/federal actors the city depends on when shared or national (blank when purely municipal)</t>
  </si>
  <si>
    <t>Coast and sea are bens da Uniao; needs SPU authorization and state environmental licensing</t>
  </si>
  <si>
    <t>legal_basis</t>
  </si>
  <si>
    <t>Cited Brazilian instrument(s) grounding the verdict</t>
  </si>
  <si>
    <t>CF/88 art. 30 (interesse local); Lei 11.445/2007 (saneamento — drenagem urbana); Estatuto da Cidade (Lei 10.257/2001)</t>
  </si>
  <si>
    <t>CF/88 art. 20 (praias/mar = bens da Uniao) + art. 23 (competencia comum ambiental); Lei 7.661/1988 (Gerenciamento Costeiro)</t>
  </si>
  <si>
    <t>generation_method</t>
  </si>
  <si>
    <t>How the classification was produced</t>
  </si>
  <si>
    <t>expert review</t>
  </si>
  <si>
    <t>doc_id</t>
  </si>
  <si>
    <t>document</t>
  </si>
  <si>
    <t>documento_pt</t>
  </si>
  <si>
    <t>doc_type</t>
  </si>
  <si>
    <t>adaptabrasil_sector</t>
  </si>
  <si>
    <t>url_public_mirror</t>
  </si>
  <si>
    <t>br-ndc-2024</t>
  </si>
  <si>
    <t>Brazil's Second Nationally Determined Contribution</t>
  </si>
  <si>
    <t>Segunda Contribuicao Nacionalmente Determinada do Brasil</t>
  </si>
  <si>
    <t>NDC (international commitment)</t>
  </si>
  <si>
    <t>Governo Federal (MMA + Itamaraty)</t>
  </si>
  <si>
    <t>https://unfccc.int/sites/default/files/2024-11/Brazil_Second%20Nationally%20Determined%20Contribution%20(NDC)_November2024.pdf</t>
  </si>
  <si>
    <t>br-plano-clima-2026</t>
  </si>
  <si>
    <t>National Climate Change Plan - Climate Plan 2024-2035</t>
  </si>
  <si>
    <t>Plano Nacional sobre Mudanca do Clima - Plano Clima 2024-2035</t>
  </si>
  <si>
    <t>National plan</t>
  </si>
  <si>
    <t>Ministerio do Meio Ambiente e Mudanca do Clima (MMA)</t>
  </si>
  <si>
    <t>https://climate-laws.org/document/brazil-s-climate-plan-2024-2035-plano-clima-2024-2035_bb9c</t>
  </si>
  <si>
    <t>br-ena-2025</t>
  </si>
  <si>
    <t>National Adaptation Strategy</t>
  </si>
  <si>
    <t>Estrategia Nacional de Adaptacao (Plano Clima Adaptacao)</t>
  </si>
  <si>
    <t>National strategy</t>
  </si>
  <si>
    <t>MMA + MCTI + Casa Civil da Presidencia</t>
  </si>
  <si>
    <t>https://climate-laws.org/document/brazil-s-national-adaptation-strategy-estrategia-nacional-de-adaptacao_d03e</t>
  </si>
  <si>
    <t>br-secadp-biodiversidade-2026</t>
  </si>
  <si>
    <t>Sectoral Adaptation Plan - Biodiversity</t>
  </si>
  <si>
    <t>Plano Setorial de Adaptacao - Biodiversidade</t>
  </si>
  <si>
    <t>Adaptation sector plan</t>
  </si>
  <si>
    <t>https://climate-laws.org/document/brazil-s-adaptation-climate-plan-biodiversity-thematic-plan_fb32?q=Brazil+Biodiversity</t>
  </si>
  <si>
    <t>br-secadp-cidades-2026</t>
  </si>
  <si>
    <t>Sectoral Adaptation Plan - Cities</t>
  </si>
  <si>
    <t>Plano Setorial de Adaptacao - Cidades</t>
  </si>
  <si>
    <t>Cities (cross-sector)</t>
  </si>
  <si>
    <t>Ministerio das Cidades</t>
  </si>
  <si>
    <t>https://climate-laws.org/document/brazil-s-adaptation-climate-plan-sectoral-plan-for-cities_85b7</t>
  </si>
  <si>
    <t>br-secadp-energia-2026</t>
  </si>
  <si>
    <t>Sectoral Adaptation Plan - Energy</t>
  </si>
  <si>
    <t>Plano Setorial de Adaptacao - Energia</t>
  </si>
  <si>
    <t>Ministerio de Minas e Energia (MME)</t>
  </si>
  <si>
    <t>https://climate-laws.org/document/brazil-s-adaptation-climate-plan-sectoral-plan-for-energy_e463</t>
  </si>
  <si>
    <t>br-secadp-recursos-hidricos-2026</t>
  </si>
  <si>
    <t>Sectoral Adaptation Plan - Water Resources</t>
  </si>
  <si>
    <t>Plano Setorial de Adaptacao - Recursos Hidricos</t>
  </si>
  <si>
    <t>Ministerio do Meio Ambiente e Mudanca do Clima / ANA</t>
  </si>
  <si>
    <t>https://climate-laws.org/document/brazil-s-adaptation-climate-plan-thematic-plan-for-water-resources_4957</t>
  </si>
  <si>
    <t>br-secadp-riscos-desastres-2026</t>
  </si>
  <si>
    <t>Thematic Adaptation Plan - Disaster Risk Reduction and Management</t>
  </si>
  <si>
    <t>Plano Tematico de Adaptacao - Reducao e Gestao de Riscos e de Desastres</t>
  </si>
  <si>
    <t>Ministerio da Integracao e do Desenvolvimento Regional (MIDR)</t>
  </si>
  <si>
    <t>https://climate-laws.org/document/brazil-s-adaptation-climate-plan-sectoral-plan-for-disaster-risk-reduction-and-management_e1ad</t>
  </si>
  <si>
    <t>br-secadp-saude-2026</t>
  </si>
  <si>
    <t>Sectoral Adaptation Plan - Health</t>
  </si>
  <si>
    <t>Plano Setorial de Adaptacao - Saude</t>
  </si>
  <si>
    <t>Ministerio da Saude</t>
  </si>
  <si>
    <t>https://climate-laws.org/document/brazil-s-adaptation-climate-plan-sectoral-plan-for-health_d667</t>
  </si>
  <si>
    <t>br-secadp-seguranca-alimentar-2026</t>
  </si>
  <si>
    <t>Thematic Adaptation Plan - Food and Nutrition Security</t>
  </si>
  <si>
    <t>Plano Tematico de Adaptacao - Seguranca Alimentar e Nutricional</t>
  </si>
  <si>
    <t>Ministerio do Desenvolvimento e Assistencia Social, Familia e Combate a Fome (MDS)</t>
  </si>
  <si>
    <t>https://climate-laws.org/document/brazil-s-adaptation-climate-plan-sectoral-plan-for-food-and-nutritional-security_6edc</t>
  </si>
  <si>
    <t>Nível 1</t>
  </si>
  <si>
    <t>Nível 2</t>
  </si>
  <si>
    <t>Nível 3</t>
  </si>
  <si>
    <t>Nível 4</t>
  </si>
  <si>
    <t>Nível 5</t>
  </si>
  <si>
    <t>Nível 6</t>
  </si>
  <si>
    <t>Impactos para Recursos Hídricos</t>
  </si>
  <si>
    <t>Índice de Risco de Estresse Hídrico</t>
  </si>
  <si>
    <t>Vulnerabilidade</t>
  </si>
  <si>
    <t>Sensibilidade</t>
  </si>
  <si>
    <t>Insegurança do abastecimento humano</t>
  </si>
  <si>
    <t>Ineficiência na produção da água</t>
  </si>
  <si>
    <t>Ineficiência na distribuição da água</t>
  </si>
  <si>
    <t>Consumo médio per capita de água</t>
  </si>
  <si>
    <t>Balanço hídrico das atividades produtivas</t>
  </si>
  <si>
    <t>Balanço hídrico para agropecuária</t>
  </si>
  <si>
    <t>Balanço hídrico para indústria</t>
  </si>
  <si>
    <t>Doenças devido ao saneamento inadequado</t>
  </si>
  <si>
    <t>Pressão antrópica e qualidade ambiental</t>
  </si>
  <si>
    <t>Qualidade da água</t>
  </si>
  <si>
    <t>Áreas degradadas e/ou desmatadas</t>
  </si>
  <si>
    <t>Áreas com solos susceptíveis à erosão</t>
  </si>
  <si>
    <t>Vazão ecológica para usos ecossistêmicos</t>
  </si>
  <si>
    <t>Segurança das barragens e rejeitos da mineração</t>
  </si>
  <si>
    <t>Capacidade Adaptativa</t>
  </si>
  <si>
    <t>Gestão dos recursos hídricos</t>
  </si>
  <si>
    <t>Plano municipal de saneamento básico</t>
  </si>
  <si>
    <t>Nível de atuação em comitês de bacia</t>
  </si>
  <si>
    <t>Ações de prevenção relacionadas à seca</t>
  </si>
  <si>
    <t>Alternativas ao abastecimento de água</t>
  </si>
  <si>
    <t>Planejamento para recursos hídricos</t>
  </si>
  <si>
    <t>Investimentos em recursos hídricos</t>
  </si>
  <si>
    <t>Investimentos em políticas de adaptação</t>
  </si>
  <si>
    <t>Programa cidades resilientes</t>
  </si>
  <si>
    <t>Programa cisternas: água para consumo</t>
  </si>
  <si>
    <t>Resiliência hídrica</t>
  </si>
  <si>
    <t>Reservação natural</t>
  </si>
  <si>
    <t>Reservação artificial</t>
  </si>
  <si>
    <t>Potencial de armazenamento subterrâneo</t>
  </si>
  <si>
    <t>Capacidade dos setores produtivos</t>
  </si>
  <si>
    <t>Participação agropecuária no PIB</t>
  </si>
  <si>
    <t>Participação industrial no PIB</t>
  </si>
  <si>
    <t>Capacidade socioeconômica familiar</t>
  </si>
  <si>
    <t>Renda não afetada pelo preço da água</t>
  </si>
  <si>
    <t>Renda superior a dois salários-mínimos</t>
  </si>
  <si>
    <t>Exposição</t>
  </si>
  <si>
    <t>População exposta</t>
  </si>
  <si>
    <t>Densidade populacional</t>
  </si>
  <si>
    <t>Usuários dos recursos hídricos expostos</t>
  </si>
  <si>
    <t>Usuários urbanos expostos</t>
  </si>
  <si>
    <t>Usuários rurais expostos</t>
  </si>
  <si>
    <t>Usuários industriais expostos</t>
  </si>
  <si>
    <t>Usuários da mineração expostos</t>
  </si>
  <si>
    <t>Usuários da termoeletricidade expostos</t>
  </si>
  <si>
    <t>Usuários da criação animal expostos</t>
  </si>
  <si>
    <t>Usuários da irrigação expostos</t>
  </si>
  <si>
    <t>Risco de escassez hídrica</t>
  </si>
  <si>
    <t>Sector</t>
  </si>
  <si>
    <t>TOTAL</t>
  </si>
  <si>
    <t>Recursos Hídricos</t>
  </si>
  <si>
    <t>Segurança Alimentar</t>
  </si>
  <si>
    <t>Segurança Energética</t>
  </si>
  <si>
    <t>Infraestrutura Portuária</t>
  </si>
  <si>
    <t>Saúde</t>
  </si>
  <si>
    <t>Desastres Geo-hidrológicos</t>
  </si>
  <si>
    <t>Infraestrutura Ferroviária</t>
  </si>
  <si>
    <t>Infraestrutura Rodoviária</t>
  </si>
  <si>
    <t>Biodiversidade</t>
  </si>
  <si>
    <t>Impactos para Segurança Alimentar</t>
  </si>
  <si>
    <t>Instrumentos financeiros e políticas públicas</t>
  </si>
  <si>
    <t>Orientação técnica</t>
  </si>
  <si>
    <t>População economicamente dependente</t>
  </si>
  <si>
    <t>Impactos para Saúde</t>
  </si>
  <si>
    <t>Acesso a diagnóstico e tratamento</t>
  </si>
  <si>
    <t>Infraestrutura</t>
  </si>
  <si>
    <t>Falta de mobilidade urbana</t>
  </si>
  <si>
    <t>Gestão de resíduos e limpeza pública</t>
  </si>
  <si>
    <t>Cobertura do solo</t>
  </si>
  <si>
    <t>Passivo ambiental</t>
  </si>
  <si>
    <t>Malha rodoviária</t>
  </si>
  <si>
    <t>Conselho gestor e plano de manejo</t>
  </si>
  <si>
    <t>Impactos para Segurança Energética</t>
  </si>
  <si>
    <t>RESUMO DOS SETORES ESTRATÉGICOS - ADAPTABRASIL</t>
  </si>
  <si>
    <t>Métricas estruturais por setor para mapeamento de ações de adaptação climática</t>
  </si>
  <si>
    <t>Setor</t>
  </si>
  <si>
    <t>Impactos para Infraestrutura Portuária</t>
  </si>
  <si>
    <t>Tempestade</t>
  </si>
  <si>
    <t>Medidas estruturais</t>
  </si>
  <si>
    <t>Medidas não estruturais</t>
  </si>
  <si>
    <t>Vendaval</t>
  </si>
  <si>
    <t>Impactos para Infraestrutura Ferroviária</t>
  </si>
  <si>
    <t>Impactos para Infraestrutura Rodoviária</t>
  </si>
  <si>
    <t>Nível 1 (Impacto)</t>
  </si>
  <si>
    <t>Nível 2 (Risco/Ameaça)</t>
  </si>
  <si>
    <t>Nível 3 (Dimensão)</t>
  </si>
  <si>
    <t>Nível 4 (Categoria)</t>
  </si>
  <si>
    <t>Nível 5 (Indicador Temático)</t>
  </si>
  <si>
    <t>Nível 6 (Indicador Simples)</t>
  </si>
  <si>
    <t>RECURSOS HÍDRICOS</t>
  </si>
  <si>
    <t>SEGURANÇA ALIMENTAR</t>
  </si>
  <si>
    <t>SAÚDE</t>
  </si>
  <si>
    <t>DESASTRES GEO-HIDROLÓGICOS</t>
  </si>
  <si>
    <t>BIODIVERSIDADE</t>
  </si>
  <si>
    <t>SEGURANÇA ENERGÉTICA</t>
  </si>
  <si>
    <t>INFRAESTRUTURA PORTUÁRIA</t>
  </si>
  <si>
    <t>INFRAESTRUTURA FERROVIÁRIA</t>
  </si>
  <si>
    <t>INFRAESTRUTURA RODOVIÁRIA</t>
  </si>
  <si>
    <t>Perfil da População</t>
  </si>
  <si>
    <t>Densidade média de moradores por domicílio</t>
  </si>
  <si>
    <t>Mães chefes de família, sem fundamental completo e de baixa renda</t>
  </si>
  <si>
    <t>Infraestrutura Básica</t>
  </si>
  <si>
    <t>População com risco de desabastecimento de água por fonte direta</t>
  </si>
  <si>
    <t>Água com qualidade comprometida</t>
  </si>
  <si>
    <t>Densidade de estabelecimentos comerciais de alimentos ultraprocessados por 10.000 habitantes</t>
  </si>
  <si>
    <t>Municípios sem rede de abastecimento de alimentos que compõem a cesta básica</t>
  </si>
  <si>
    <t>Saúde e Consumo dos Alimentos</t>
  </si>
  <si>
    <t>Nível de insegurança alimentar e nutricional</t>
  </si>
  <si>
    <t>Proporção de crianças menores de 2 anos desnutridas</t>
  </si>
  <si>
    <t>Ocorrência de doenças relacionadas ao saneamento ambiental inadequado</t>
  </si>
  <si>
    <t>Nível de sobrepeso e obesidade da população</t>
  </si>
  <si>
    <t>Investimento federal per capita em políticas de educação, saúde e infraestrutura para adaptação</t>
  </si>
  <si>
    <t>Instrumentos de planejamento e gestão da segurança alimentar</t>
  </si>
  <si>
    <t>Nível de atendimento das unidades receptoras do PAA em territórios mais susceptíveis</t>
  </si>
  <si>
    <t>Nível de atendimento do Programa Cisternas (P1MC - consumo)</t>
  </si>
  <si>
    <t>Capacidade Socioeconômica</t>
  </si>
  <si>
    <t>Abrangência do Programa Bolsa Família</t>
  </si>
  <si>
    <t>Igualdade na distribuição de renda intra-domiciliar</t>
  </si>
  <si>
    <t>Domicílios com renda per capita superior a cinco salários mínimos</t>
  </si>
  <si>
    <t>População Exposta</t>
  </si>
  <si>
    <t>Densidade populacional por município</t>
  </si>
  <si>
    <t>População total por município</t>
  </si>
  <si>
    <t>Ameaça Climática</t>
  </si>
  <si>
    <t>Índice de Risco de Impacto da Seca na Disponibilidade de Alimentos</t>
  </si>
  <si>
    <t>Práticas Agrícolas</t>
  </si>
  <si>
    <t>Susceptibilidade climática da produtividade agrícola</t>
  </si>
  <si>
    <t>Susceptibilidade climática da produtividade pecuária</t>
  </si>
  <si>
    <t>Homogeneidade da produção agrícola local</t>
  </si>
  <si>
    <t>Agricultura sem práticas agrícolas sustentáveis</t>
  </si>
  <si>
    <t>Susceptibilidade da irrigação em grande escala</t>
  </si>
  <si>
    <t>Incidência de focos de queimada em áreas agropecuárias</t>
  </si>
  <si>
    <t>Aspectos Biofísicos</t>
  </si>
  <si>
    <t>Áreas com atividades agropecuárias de baixo potencial agrícola</t>
  </si>
  <si>
    <t>Déficit hídrico no solo</t>
  </si>
  <si>
    <t>Perdas de cobertura vegetal natural</t>
  </si>
  <si>
    <t>Investimento em políticas agrárias e de gestão ambiental</t>
  </si>
  <si>
    <t>Cobertura do Programa Garantia Safra</t>
  </si>
  <si>
    <t>Cobertura do Programa de Fortalecimento da Agricultura Familiar (PRONAF)</t>
  </si>
  <si>
    <t>Cobertura do Programa Cisternas</t>
  </si>
  <si>
    <t>Cobertura do Proagro Mais</t>
  </si>
  <si>
    <t>Cobertura do Programa de Subvenção ao Prêmio do Seguro Rural (PSR)</t>
  </si>
  <si>
    <t>Rede de segurança para produção</t>
  </si>
  <si>
    <t>Nível de orientação técnica</t>
  </si>
  <si>
    <t>Nível de associativismo</t>
  </si>
  <si>
    <t>Propriedade da terra</t>
  </si>
  <si>
    <t>Estabilidade dos conflitos agrários</t>
  </si>
  <si>
    <t>Armazenamento de alimento</t>
  </si>
  <si>
    <t>Capacidade de armazenamento dos armazéns</t>
  </si>
  <si>
    <t>Distância dos armazéns às áreas agropecuárias</t>
  </si>
  <si>
    <t>Aspectos econômicos e potencial de intensificação da produção</t>
  </si>
  <si>
    <t>Diversidade de receitas da produção agropecuária</t>
  </si>
  <si>
    <t>Tratores em estabelecimentos agropecuários de até 4 módulos fiscais</t>
  </si>
  <si>
    <t>Potencial de expansão agrícola em áreas de pastagem no município</t>
  </si>
  <si>
    <t>Dependência econômica local</t>
  </si>
  <si>
    <t>Participação da agropecuária na economia do município</t>
  </si>
  <si>
    <t>Áreas produtivas expostas</t>
  </si>
  <si>
    <t>Área plantada com culturas agrícolas alimentares</t>
  </si>
  <si>
    <t>Área dos estabelecimentos agropecuários com atividade pecuária</t>
  </si>
  <si>
    <t>Distribuição da estrutura fundiária</t>
  </si>
  <si>
    <t>Estabelecimentos agropecuários com agricultura familiar</t>
  </si>
  <si>
    <t>Densidade de estabelecimentos agropecuários</t>
  </si>
  <si>
    <t>Dias consecutivos secos</t>
  </si>
  <si>
    <t>Índice de precipitação-evapotranspiração padronizado</t>
  </si>
  <si>
    <t>Risco à Disponibilidade de Energia Elétrica</t>
  </si>
  <si>
    <t>Potencial de Energia Hidrelétrica</t>
  </si>
  <si>
    <t>Potencial de Energia Solar</t>
  </si>
  <si>
    <t>Potencial de Energia Eólica</t>
  </si>
  <si>
    <t>Demanda de resfriamento</t>
  </si>
  <si>
    <t>Multi-índice de pobreza energética</t>
  </si>
  <si>
    <t>Descontinuidade do fornecimento de eletricidade</t>
  </si>
  <si>
    <t>Consumo elétrico residencial per capita</t>
  </si>
  <si>
    <t>Intensidade de energia elétrica</t>
  </si>
  <si>
    <t>Unidades autoprodutoras de eletricidade</t>
  </si>
  <si>
    <t>Geração distribuída de eletricidade</t>
  </si>
  <si>
    <t>Armazenamento de energia em reservatórios de hidrelétricas</t>
  </si>
  <si>
    <t>Diversificação da geração de eletricidade</t>
  </si>
  <si>
    <t>Domicílios com renda superior a dois salários mínimos</t>
  </si>
  <si>
    <t>Adesão ao Programa Cidades Resilientes</t>
  </si>
  <si>
    <t>Percentual de indústrias energointensivas</t>
  </si>
  <si>
    <t>Índice de Vulnerabilidade</t>
  </si>
  <si>
    <t>Índice de Sensibilidade</t>
  </si>
  <si>
    <t>Efeitos sobre saúde humana</t>
  </si>
  <si>
    <t>Índice de Capacidade Adaptativa</t>
  </si>
  <si>
    <t>Índice de Exposição</t>
  </si>
  <si>
    <t>Índice de Ameaça</t>
  </si>
  <si>
    <t>Índice de Risco de Impacto da Mudança Climática</t>
  </si>
  <si>
    <t>Cobertura do Programa de Abrangência do programa nacional de alimentação escolar (PNAE)</t>
  </si>
  <si>
    <t>Fornecedores do PAA classificadas como “Povos e Comunidades Tradicionais”</t>
  </si>
  <si>
    <t>Distância da agropecuária em relação a disponibilidade hídrica</t>
  </si>
  <si>
    <t>Áreas com atividades agropecuárias em solo susceptível a erosão</t>
  </si>
  <si>
    <t>Índice de Risco de Impacto para o Acesso à Energia Elétrica</t>
  </si>
  <si>
    <t>PIB municipal per capita</t>
  </si>
  <si>
    <t>Índice de Ameaça Climática para o Sistema Elétrico</t>
  </si>
  <si>
    <t>Índice de Risco de Impacto para Tempestade</t>
  </si>
  <si>
    <t>Tipo de porto</t>
  </si>
  <si>
    <t>Tipo de carga movimentada</t>
  </si>
  <si>
    <t>Condição da área abrigada do porto</t>
  </si>
  <si>
    <t>Acessos alternativos aos portos</t>
  </si>
  <si>
    <t>Existência de sistema de informação de gestão de tráfego de embarcações (VTMS)</t>
  </si>
  <si>
    <t>Presença de sistema de drenagem na área do porto público</t>
  </si>
  <si>
    <t>Existência do registro de impactos relacionados às ameaças climáticas</t>
  </si>
  <si>
    <t>Existência de planos de ação emergencial</t>
  </si>
  <si>
    <t>Existência de planos de comitê de crise</t>
  </si>
  <si>
    <t>Existência de monitoramento meteorológico contínuo</t>
  </si>
  <si>
    <t>Reuniões regulares sobre adaptação às mudanças climáticas</t>
  </si>
  <si>
    <t>Inclusão de mudanças climáticas no plano estratégico</t>
  </si>
  <si>
    <t>Presença de planejamento específico para mudanças do clima</t>
  </si>
  <si>
    <t>Atualização de diretrizes e projetos de engenharia</t>
  </si>
  <si>
    <t>Inclusão de adaptação à mudança do clima no orçamento</t>
  </si>
  <si>
    <t>Presença seguro específico contra mudanças climáticas</t>
  </si>
  <si>
    <t>Número de infraestruturas existentes</t>
  </si>
  <si>
    <t>Movimentação de carga anual</t>
  </si>
  <si>
    <t>Índice de Ameaça Climática</t>
  </si>
  <si>
    <t>Precipitação Máxima Anual em Um Dia</t>
  </si>
  <si>
    <t>Precipitação Total Anual acima do Percentil 99</t>
  </si>
  <si>
    <t>Índice de Risco de Impacto para Vendaval</t>
  </si>
  <si>
    <t>Execução do monitoramento de rajadas de ventos</t>
  </si>
  <si>
    <t>Velocidade máxima do vento igual ou superior a 90 percentil</t>
  </si>
  <si>
    <t>Índice de Risco de Impacto para Aumento do nível do mar</t>
  </si>
  <si>
    <t>Aumento do nível do mar</t>
  </si>
  <si>
    <t>Inundação anual devido ao aumento do nível do mar</t>
  </si>
  <si>
    <t>Índice de Risco para Ocorrência de Malária</t>
  </si>
  <si>
    <t>Susceptibilidade Social</t>
  </si>
  <si>
    <t>Domicílios sem acesso ao saneamento adequado</t>
  </si>
  <si>
    <t>Baixo Índice de Desenvolvimento Humano Municipal (IDH-M)</t>
  </si>
  <si>
    <t>Mobilidade Populacional</t>
  </si>
  <si>
    <t>Turistas recebidos no município</t>
  </si>
  <si>
    <t>Imigrantes chegados no último ano</t>
  </si>
  <si>
    <t>Perfil Epidemiológico da Malária</t>
  </si>
  <si>
    <t>Estimativa do Índice Parasitário Anual (IPA)</t>
  </si>
  <si>
    <t>Ocorrência de Malária falciparum no município</t>
  </si>
  <si>
    <t>Acesso aos serviços de saúde</t>
  </si>
  <si>
    <t>Cobertura da Atenção Básica no município</t>
  </si>
  <si>
    <t>Densidade de rodovias federais e/ou estaduais</t>
  </si>
  <si>
    <t>Uso e ocupação do solo no território municipal</t>
  </si>
  <si>
    <t>Presença de assentamentos rurais</t>
  </si>
  <si>
    <t>Mineração industrial e garimpos</t>
  </si>
  <si>
    <t>Área desflorestada recente</t>
  </si>
  <si>
    <t>População municipal residente em área rural</t>
  </si>
  <si>
    <t>Área municipal coberta por corpos d’água</t>
  </si>
  <si>
    <t>Temperatura Máxima Anual</t>
  </si>
  <si>
    <t>Intensidade Simples de Precipitação</t>
  </si>
  <si>
    <t>Média da umidade relativa</t>
  </si>
  <si>
    <t>Índice de Risco para Ocorrência de Leishmaniose Tegumentar Americana</t>
  </si>
  <si>
    <t>Domicílios sem acesso à coleta de lixo doméstico</t>
  </si>
  <si>
    <t>Perfil Epidemiológico da Leishmaniose Tegumentar Americana</t>
  </si>
  <si>
    <t>Ocorrência da Leishmaniose Tegumentar Americana</t>
  </si>
  <si>
    <t>Aglomerados subnormais</t>
  </si>
  <si>
    <t>Cobertura florestal e natural não florestal</t>
  </si>
  <si>
    <t>Cobertura agropecuária</t>
  </si>
  <si>
    <t>Índice de Risco para Ocorrência de Leishmaniose Visceral</t>
  </si>
  <si>
    <t>Perfil Epidemiológico da Leishmaniose Visceral</t>
  </si>
  <si>
    <t>Ocorrência da Leishmaniose Visceral</t>
  </si>
  <si>
    <t>Índice de Risco para ocorrência das arboviroses dengue, zika e chikungunya</t>
  </si>
  <si>
    <t>Domicílios com abastecimento de água alternativo</t>
  </si>
  <si>
    <t>Domicílios com água da chuva em cisterna</t>
  </si>
  <si>
    <t>Baixo índice de desenvolvimento humano municipal (IDH-M)</t>
  </si>
  <si>
    <t>Perfil epidemiológico das arboviroses dengue, zika e chikungunya</t>
  </si>
  <si>
    <t>Incidência das arboviroses dengue, zika e chikungunya</t>
  </si>
  <si>
    <t>Cobertura da atenção básica no município</t>
  </si>
  <si>
    <t>Temperatura máxima anual</t>
  </si>
  <si>
    <t>Temperatura mínima anual</t>
  </si>
  <si>
    <t>Intensidade simples de precipitação</t>
  </si>
  <si>
    <t>Média da amplitude térmica</t>
  </si>
  <si>
    <t>Número de ondas de calor</t>
  </si>
  <si>
    <t>Desastres geo-hidrológicos</t>
  </si>
  <si>
    <t>Índice de Risco para inundações, enxurradas e alagamentos</t>
  </si>
  <si>
    <t>Capacidade de investimento público municipal e renda</t>
  </si>
  <si>
    <t>Investimento per capita em políticas de adaptação e infraestrutura para proteção ambiental</t>
  </si>
  <si>
    <t>Índice Firjan de Gestão Fiscal</t>
  </si>
  <si>
    <t>Índice Firjan de Desenvolvimento Municipal de emprego e renda</t>
  </si>
  <si>
    <t>Produto Interno Bruto por área urbana</t>
  </si>
  <si>
    <t>Governança e gestão de risco de desastres de inundações, enxurradas e alagamentos</t>
  </si>
  <si>
    <t>Programa Cidades Resilientes</t>
  </si>
  <si>
    <t>Instituições que atuam em gestão de risco de desastres</t>
  </si>
  <si>
    <t>Instrumentos de gestão de ocupação urbana em áreas de risco de inundações, enxurradas e alagamentos</t>
  </si>
  <si>
    <t>Ações adaptativas para redução de risco em situações de desastres de inundações, enxurradas e alagamentos</t>
  </si>
  <si>
    <t>Sistemas de alerta antecipado para desastres de inundações, enxurradas e alagamentos</t>
  </si>
  <si>
    <t>Plano de contingência para desastres de inundações, enxurradas e alagamentos</t>
  </si>
  <si>
    <t>Capacidade municipal em cidadania e políticas setoriais</t>
  </si>
  <si>
    <t>Legislação de zoneamento e uso e ocupação do solo</t>
  </si>
  <si>
    <t>Governança em meio ambiente</t>
  </si>
  <si>
    <t>Governança em habitação</t>
  </si>
  <si>
    <t>Governança em transporte</t>
  </si>
  <si>
    <t>Nível de atendimento dos estabelecimentos de saúde</t>
  </si>
  <si>
    <t>Nível de implementação e articulação do plano municipal de saneamento básico</t>
  </si>
  <si>
    <t>Condições socioeconômicas e demografia da população</t>
  </si>
  <si>
    <t>População com demandas especiais em situação de desastres</t>
  </si>
  <si>
    <t>Jovens sem ensino médio concluído até os 19 anos de idade</t>
  </si>
  <si>
    <t>Renda municipal apropriada pelos 20% mais pobres</t>
  </si>
  <si>
    <t>Proporção de domicílios inadequados ou semi-inadequados</t>
  </si>
  <si>
    <t>Deficiência em infraestrutura municipal</t>
  </si>
  <si>
    <t>Inacessibilidade às cidades</t>
  </si>
  <si>
    <t>Nível de falta de acesso ao saneamento básico</t>
  </si>
  <si>
    <t>Inexistência de manejo de águas pluviais</t>
  </si>
  <si>
    <t>Moradias em ambiente de risco</t>
  </si>
  <si>
    <t>Proporção de domicílios em áreas de risco</t>
  </si>
  <si>
    <t>Densidade demográfica</t>
  </si>
  <si>
    <t>Densidade da população em áreas urbanizadas</t>
  </si>
  <si>
    <t>Chuvas extremas</t>
  </si>
  <si>
    <t>Índice de Risco para deslizamento de terra</t>
  </si>
  <si>
    <t>Governança e gestão de risco de desastres de deslizamento de terra</t>
  </si>
  <si>
    <t>Instrumentos de gestão de ocupação urbana em áreas de risco de deslizamento de terra</t>
  </si>
  <si>
    <t>Ações adaptativas para redução de risco em situações de desastres de deslizamento de terra</t>
  </si>
  <si>
    <t>Sistemas de alerta antecipado para desastres de deslizamento de terra</t>
  </si>
  <si>
    <t>Plano de contingência para desastres de deslizamento de terra</t>
  </si>
  <si>
    <t>Índice de Risco de Impacto devido ao Deslizamento</t>
  </si>
  <si>
    <t>Susceptibilidade a Deslizamentos</t>
  </si>
  <si>
    <t>Índice da Condição da Superfície (ICS)</t>
  </si>
  <si>
    <t>Tipo de Rodovias</t>
  </si>
  <si>
    <t>Peso da carga</t>
  </si>
  <si>
    <t>Localização da OAE</t>
  </si>
  <si>
    <t>Volume Médio Diário Anual (VMDA)</t>
  </si>
  <si>
    <t>Número de dias com chuva igual ou maior a 50 mm (R50mm)</t>
  </si>
  <si>
    <t>Chuva máxima acumulada em 5 dias (Rx5day)</t>
  </si>
  <si>
    <t>Número máximo de dias consecutivos com chuva (CWD)</t>
  </si>
  <si>
    <t>Índice de Risco de Impacto devido ao Erosão</t>
  </si>
  <si>
    <t>Susceptibilidade a Erosão</t>
  </si>
  <si>
    <t>Número de dias com chuva igual ou maior a 20 mm (R20mm)</t>
  </si>
  <si>
    <t>Chuva máxima acumulada em 1 dia (Rx1day)</t>
  </si>
  <si>
    <t>Índice de intensidade de precipitação simples (SDII)</t>
  </si>
  <si>
    <t>Índice de Risco de Impacto devido à Alta Temperatura</t>
  </si>
  <si>
    <t>Índice de duração de ondas de calor (HWDI)</t>
  </si>
  <si>
    <t>Média dos 7 dias consecutivos mais quentes do ano (TX7day)</t>
  </si>
  <si>
    <t>Índice de Risco de Impacto devido ao Alagamento e Inundação</t>
  </si>
  <si>
    <t>Vulnerabilidade à inundação</t>
  </si>
  <si>
    <t>Índice de Risco de Impacto devido ao Queimada</t>
  </si>
  <si>
    <t>Foco de incêndios</t>
  </si>
  <si>
    <t>Número de dias com temperatura máxima acima de 30°C (TXge30)</t>
  </si>
  <si>
    <t>Número máximo de dias secos consecutivos (CDD)</t>
  </si>
  <si>
    <t>Tipo de bitola</t>
  </si>
  <si>
    <t>Volume de veículos</t>
  </si>
  <si>
    <t>Impactos para a Biodiversidade</t>
  </si>
  <si>
    <t>Índice de Risco climático para a Integridade do Bioma</t>
  </si>
  <si>
    <t>Mudança e uso do solo</t>
  </si>
  <si>
    <t>Uso de agrotóxico</t>
  </si>
  <si>
    <t>Estabelecimentos sem agricultura familiar</t>
  </si>
  <si>
    <t>Estabelecimentos sem práticas agrícolas sustentáveis</t>
  </si>
  <si>
    <t>Focos de calor</t>
  </si>
  <si>
    <t>Perda de cobertura vegetal</t>
  </si>
  <si>
    <t>Pastagens degradadas</t>
  </si>
  <si>
    <t>Densidade populacional e de estabelecimentos</t>
  </si>
  <si>
    <t>Densidade municipal de rodovias</t>
  </si>
  <si>
    <t>Proximidade à planta hidrelétrica</t>
  </si>
  <si>
    <t>Instrumentos para conservação da biodiversidade</t>
  </si>
  <si>
    <t>Cobertura exposta</t>
  </si>
  <si>
    <t>Baixo percentual de área protegida UC</t>
  </si>
  <si>
    <t>Baixo percentual de cobertura vegetal Natural</t>
  </si>
  <si>
    <t>Percentual de áreas prioritárias para conservação</t>
  </si>
  <si>
    <t>Resiliência climática</t>
  </si>
  <si>
    <t>Precipitação acumulada anual</t>
  </si>
  <si>
    <t>Sazonalidade da precipitação</t>
  </si>
  <si>
    <t>Temperatura média anual</t>
  </si>
  <si>
    <t>Amplitude anual de temperatura</t>
  </si>
  <si>
    <t>Impact V1 ??</t>
  </si>
  <si>
    <t>Feasibility V1 ??</t>
  </si>
  <si>
    <t>High confidence factor</t>
  </si>
  <si>
    <t>Medium confidence factor</t>
  </si>
  <si>
    <t>Low confidence factor</t>
  </si>
  <si>
    <t>Impact Score</t>
  </si>
  <si>
    <t>Interpretation</t>
  </si>
  <si>
    <t>Confidence Factor</t>
  </si>
  <si>
    <t>Level 3 Component</t>
  </si>
  <si>
    <t>Impacts Level 3?</t>
  </si>
  <si>
    <t>Confidence level</t>
  </si>
  <si>
    <t>Technical justification</t>
  </si>
  <si>
    <t>Time factor</t>
  </si>
  <si>
    <t>Yes</t>
  </si>
  <si>
    <t>No</t>
  </si>
  <si>
    <t>Parameter</t>
  </si>
  <si>
    <t>Default value</t>
  </si>
  <si>
    <t>Methodological basis</t>
  </si>
  <si>
    <t>Value justification</t>
  </si>
  <si>
    <t>Confidence factor</t>
  </si>
  <si>
    <t>Source</t>
  </si>
  <si>
    <t>URL</t>
  </si>
  <si>
    <t>Time factor (&lt; 5 years)</t>
  </si>
  <si>
    <t>Time factor (5-10 years)</t>
  </si>
  <si>
    <t>Time factor (&gt; 10 years)</t>
  </si>
  <si>
    <t>Time horizon</t>
  </si>
  <si>
    <t>Effectiveness class</t>
  </si>
  <si>
    <t>High effectiveness</t>
  </si>
  <si>
    <t>Medium effectiveness</t>
  </si>
  <si>
    <t>No effectiveness</t>
  </si>
  <si>
    <t>Vulnerability Score</t>
  </si>
  <si>
    <t>Exposure Score</t>
  </si>
  <si>
    <t>Final Impact Score</t>
  </si>
  <si>
    <t>Category</t>
  </si>
  <si>
    <t>Direct and technically well supported causal relationship</t>
  </si>
  <si>
    <t>Plausible relationship dependent on context</t>
  </si>
  <si>
    <t>Technically plausible but context-dependent</t>
  </si>
  <si>
    <t>Indirect, uncertain or weakly documented</t>
  </si>
  <si>
    <t>Limited evidence or indirect pathway</t>
  </si>
  <si>
    <t>Short-term actions within assessment horizon</t>
  </si>
  <si>
    <t>No temporal discount</t>
  </si>
  <si>
    <t>Medium-term implementation uncertainty</t>
  </si>
  <si>
    <t>25% temporal discount</t>
  </si>
  <si>
    <t>Long-term high uncertainty</t>
  </si>
  <si>
    <t>50% temporal discount</t>
  </si>
  <si>
    <t>Component Impact Score</t>
  </si>
  <si>
    <t>Time Factor</t>
  </si>
  <si>
    <t>Alignment Score</t>
  </si>
  <si>
    <t>Evidence-supported or technically self-evident relationship</t>
  </si>
  <si>
    <t>Supporting evidence?</t>
  </si>
  <si>
    <t>Adverse effect flag</t>
  </si>
  <si>
    <t>Concat Level 6 indicators</t>
  </si>
  <si>
    <t>Action definition</t>
  </si>
  <si>
    <t>Not assessed</t>
  </si>
  <si>
    <t>Adaptation actions are not assumed to directly modify the climate hazard. The action may influence vulnerability or exposure only.</t>
  </si>
  <si>
    <t>Low</t>
  </si>
  <si>
    <t>Actions-Levels pairing</t>
  </si>
  <si>
    <t>Number of adaptation actions</t>
  </si>
  <si>
    <t>MATRIZ Ações x Setores</t>
  </si>
  <si>
    <t>Feasability Score</t>
  </si>
  <si>
    <t>Municipality</t>
  </si>
  <si>
    <t>Sobral</t>
  </si>
  <si>
    <t>Caxias do Sul</t>
  </si>
  <si>
    <t>Impact score for Sobral and Caxias do Sul</t>
  </si>
  <si>
    <t>Final impact score by action</t>
  </si>
  <si>
    <t>Maladaptation risk?</t>
  </si>
  <si>
    <t>Expected Component Variation</t>
  </si>
  <si>
    <t>Low effectiveness</t>
  </si>
  <si>
    <t>Expected variation</t>
  </si>
  <si>
    <t>Expected strong reduction of the selected component</t>
  </si>
  <si>
    <t>Expected moderate reduction of the selected component</t>
  </si>
  <si>
    <t>Expected limited reduction of the selected component</t>
  </si>
  <si>
    <t>No expected reduction of the selected component</t>
  </si>
  <si>
    <t>Score cap</t>
  </si>
  <si>
    <t>Maximum component score</t>
  </si>
  <si>
    <t>Upper bound for each component-level score</t>
  </si>
  <si>
    <t>Keeps all component scores within 0-1 scale</t>
  </si>
  <si>
    <t>Review status</t>
  </si>
  <si>
    <t>Raw Action Impact Score</t>
  </si>
  <si>
    <t>Watershed protection can reduce water-resource vulnerability through improved water quality, ecosystem regulation and natural retention.</t>
  </si>
  <si>
    <t>Water capture and storage can strongly reduce vulnerability by increasing supply reliability and buffering scarcity periods.</t>
  </si>
  <si>
    <t>Water capture and storage may moderately reduce exposure where it improves service continuity for exposed water users.</t>
  </si>
  <si>
    <t>Efficient water use and demand management can strongly reduce vulnerability by lowering demand pressure and improving resource efficiency.</t>
  </si>
  <si>
    <t>Risk</t>
  </si>
  <si>
    <t>Action subcategory</t>
  </si>
  <si>
    <t>Action type</t>
  </si>
  <si>
    <t>Overall confidence</t>
  </si>
  <si>
    <t>Direct and robust pathway</t>
  </si>
  <si>
    <t>Plausible but context-dependent pathway</t>
  </si>
  <si>
    <t>Weak or indirect pathway</t>
  </si>
  <si>
    <t>No clear relationship identified</t>
  </si>
  <si>
    <t>Impact scoring - scaled test</t>
  </si>
  <si>
    <t>Maximum final score</t>
  </si>
  <si>
    <t>Upper bound for final action-level score</t>
  </si>
  <si>
    <t>Keeps final Impact Scores within a 0-1 scale</t>
  </si>
  <si>
    <t>Central impact parameters</t>
  </si>
  <si>
    <t>Action score summary</t>
  </si>
  <si>
    <t>Fixed test sample and imported attributes</t>
  </si>
  <si>
    <t>Expert assessment inputs</t>
  </si>
  <si>
    <t>Automatic calculations</t>
  </si>
  <si>
    <t>Selection source</t>
  </si>
  <si>
    <t>Public shading in heat hotspots is primarily relevant to heat-stress reduction. For the Malaria risk cell, no direct and robust pathway is identified to reduce vulnerability indicators such as basic care coverage, diagnosis and treatment access, sanitation or malaria incidence.</t>
  </si>
  <si>
    <t>Public shading does not directly reduce malaria exposure indicators such as rural population, settlements, deforestation, mining areas, roads or bodies of water. The action-risk linkage should be reviewed if this action is retained for Malaria.</t>
  </si>
  <si>
    <t>Strengthening the healthcare system can reduce vulnerability to malaria by improving preparedness, basic care capacity and access to diagnosis and treatment. The effect is considered moderate because the action is broad and not exclusively focused on malaria surveillance or vector-borne disease control.</t>
  </si>
  <si>
    <t>The action improves health-system response capacity but does not directly reduce exposure indicators such as settlements, rural population, deforestation, mining areas, roads or bodies of water.</t>
  </si>
  <si>
    <t>Livelihood diversification can reduce food-security vulnerability by stabilising household income, reducing dependence on climate-sensitive activities and increasing adaptive capacity. The effect is considered moderate because it improves resilience indirectly rather than directly changing agricultural productivity or water availability.</t>
  </si>
  <si>
    <t>The action can reduce economic vulnerability but does not directly reduce exposure indicators such as agricultural area, livestock establishments, family farming presence or the role of agriculture in the local economy.</t>
  </si>
  <si>
    <t>Climate-resilient farming and fisheries practices can strongly reduce food-security vulnerability by improving agricultural and aquaculture resilience, irrigation efficiency, technical assistance, production diversification and access to adaptation practices.</t>
  </si>
  <si>
    <t>The action improves the resilience and productivity of exposed agricultural systems but does not directly reduce exposure indicators such as agricultural area, livestock establishments, family farming presence or the economic importance of agriculture.</t>
  </si>
  <si>
    <t>Maladaptation factor</t>
  </si>
  <si>
    <t>Maladaptation adjustment factor</t>
  </si>
  <si>
    <t>Potential maladaptation or adverse effect identified by expert judgement</t>
  </si>
  <si>
    <t>Applies a conservative downward adjustment when maladaptation risk is flagged</t>
  </si>
  <si>
    <t>No maladaptation adjustment factor</t>
  </si>
  <si>
    <t>No maladaptation risk identified</t>
  </si>
  <si>
    <t>No score reduction applied</t>
  </si>
  <si>
    <t>Maladaptation Factor</t>
  </si>
  <si>
    <t>Maladaptation source/URL/note</t>
  </si>
  <si>
    <t>Structural workflow for qualitative Vulnerability and Exposure assessments; sector blocks are the source of truth.</t>
  </si>
  <si>
    <t>PARAMETER TABLE</t>
  </si>
  <si>
    <t>Water Resources - Vulnerability</t>
  </si>
  <si>
    <t>Water Resources - Exposure</t>
  </si>
  <si>
    <t>Food Security - Vulnerability</t>
  </si>
  <si>
    <t>Food Security - Exposure</t>
  </si>
  <si>
    <t>Energy Security - Vulnerability</t>
  </si>
  <si>
    <t>Energy Security - Exposure</t>
  </si>
  <si>
    <t>Health - Vulnerability</t>
  </si>
  <si>
    <t>Health - Exposure</t>
  </si>
  <si>
    <t>Geohydrological Disasters - Vulnerability</t>
  </si>
  <si>
    <t>Geohydrological Disasters - Exposure</t>
  </si>
  <si>
    <t>Biodiversity - Vulnerability</t>
  </si>
  <si>
    <t>Biodiversity - Exposure</t>
  </si>
  <si>
    <t>WATER RESOURCES</t>
  </si>
  <si>
    <t>VULNERABILITY INDICATORS</t>
  </si>
  <si>
    <t>EXPOSURE INDICATORS</t>
  </si>
  <si>
    <t>ASSESSMENT TABLE</t>
  </si>
  <si>
    <t>FOOD SECURITY</t>
  </si>
  <si>
    <t>ENERGY SECURITY</t>
  </si>
  <si>
    <t>HEALTH</t>
  </si>
  <si>
    <t>GEOHYDROLOGICAL DISASTERS</t>
  </si>
  <si>
    <t>BIODIVERSITY</t>
  </si>
  <si>
    <t>SUMMARY MATRIX - AUTOMATIC VALUES FROM SECTOR BLOCKS</t>
  </si>
  <si>
    <t xml:space="preserve">Sector - Action linkage assessment </t>
  </si>
  <si>
    <t>Sources</t>
  </si>
  <si>
    <t>EVIDENCE LIBRARY</t>
  </si>
  <si>
    <t>BRAZILIAN SOURCES</t>
  </si>
  <si>
    <t>Year</t>
  </si>
  <si>
    <t>Relevant indicators</t>
  </si>
  <si>
    <t>Relevant adaptation actions</t>
  </si>
  <si>
    <t>INTERNATIONAL SOURCES</t>
  </si>
  <si>
    <t>Instructions for future AI agents
Identify Brazilian sources linking adaptation actions to one or more Vulnerability or Exposure indicators listed above. Prioritize: AdaptaBrasil; ANA; MMA; MCTI; IBGE; IPEA; PBMC; state adaptation plans; municipal adaptation plans; and Brazilian peer-reviewed literature.</t>
  </si>
  <si>
    <t>Instructions for future AI agents
Identify international sources linking adaptation actions to one or more Vulnerability or Exposure indicators listed above. Prioritize: IPCC; UNEP; FAO; OECD; World Bank; UNDRR; and peer-reviewed literature.</t>
  </si>
  <si>
    <t>OBJECTIVE</t>
  </si>
  <si>
    <t>Assess the expected effectiveness of each action on the Water Resources indicators above using the action definition, the sector indicators, and evidence recorded in this Evidence Library.</t>
  </si>
  <si>
    <t>CRITICAL RULES</t>
  </si>
  <si>
    <t>Use mechanism-based reasoning. Do not use keyword matching or hazard similarity. Sharing a climate hazard does not automatically imply effectiveness. Assess only the indicators listed in this sector. Evaluate Vulnerability and Exposure independently. Every score must be supported by sources from this Evidence Library.</t>
  </si>
  <si>
    <t>SCORING SCALE</t>
  </si>
  <si>
    <t>High effectiveness — direct, well-supported influence on one or more indicators. Medium effectiveness — plausible influence through a documented indirect mechanism. Low effectiveness — weak, uncertain, or limited influence. No effectiveness — no plausible mechanism or supporting evidence identified.</t>
  </si>
  <si>
    <t>Instructions for future AI agents
For every action: 1) read ActionDefinition; 2) identify a documented causal mechanism affecting Vulnerability indicators; 3) assign Vulnerability effectiveness; 4) cite only supporting Evidence Library sources; 5) independently assess Exposure; 6) assign Exposure effectiveness; and 7) cite only supporting Evidence Library sources. No empty assessment cells are allowed.</t>
  </si>
  <si>
    <t>ActionDefinition</t>
  </si>
  <si>
    <t>This evidence library serves as the reference base for evaluating the effectiveness of adaptation actions on Water Resources Vulnerability and Exposure indicators. Only sources listed here may be cited in the Assessment Table.</t>
  </si>
  <si>
    <t>ACTIONS-SECTOR LINKAGE ASSESSMENT</t>
  </si>
  <si>
    <t>IA Step 1</t>
  </si>
  <si>
    <t>IA Step 2</t>
  </si>
  <si>
    <t>IA Step 3</t>
  </si>
  <si>
    <t>This evidence library serves as the reference base for evaluating the effectiveness of adaptation actions on FOOD SECURITY Vulnerability and Exposure indicators. Only sources listed here may be cited in the Assessment Table.</t>
  </si>
  <si>
    <t>Assess the expected effectiveness of each action on the FOOD SECURITY indicators above using the action definition, the sector indicators, and evidence recorded in this Evidence Library.</t>
  </si>
  <si>
    <t>This evidence library serves as the reference base for evaluating the effectiveness of adaptation actions on ENERGY SECURITY Vulnerability and Exposure indicators. Only sources listed here may be cited in the Assessment Table.</t>
  </si>
  <si>
    <t>Assess the expected effectiveness of each action on the ENERGY SECURITY indicators above using the action definition, the sector indicators, and evidence recorded in this Evidence Library.</t>
  </si>
  <si>
    <t>This evidence library serves as the reference base for evaluating the effectiveness of adaptation actions on HEALTH Vulnerability and Exposure indicators. Only sources listed here may be cited in the Assessment Table.</t>
  </si>
  <si>
    <t>Assess the expected effectiveness of each action on the HEALTH indicators above using the action definition, the sector indicators, and evidence recorded in this Evidence Library.</t>
  </si>
  <si>
    <t>This evidence library serves as the reference base for evaluating the effectiveness of adaptation actions on GEOHYDROLOGICAL DISASTERS Vulnerability and Exposure indicators. Only sources listed here may be cited in the Assessment Table.</t>
  </si>
  <si>
    <t>Assess the expected effectiveness of each action on the GEOHYDROLOGICAL DISASTERS indicators above using the action definition, the sector indicators, and evidence recorded in this Evidence Library.</t>
  </si>
  <si>
    <t>This evidence library serves as the reference base for evaluating the effectiveness of adaptation actions on BIODIVERSITY Vulnerability and Exposure indicators. Only sources listed here may be cited in the Assessment Table.</t>
  </si>
  <si>
    <t>Assess the expected effectiveness of each action on the BIODIVERSITY indicators above using the action definition, the sector indicators, and evidence recorded in this Evidence Library.</t>
  </si>
  <si>
    <t>AdaptaBrasil MCTI — Índices e Indicadores</t>
  </si>
  <si>
    <t>All listed Water Resources vulnerability and exposure indicators</t>
  </si>
  <si>
    <t>Climate-risk planning; monitoring; watershed management; water-efficiency and supply actions</t>
  </si>
  <si>
    <t>Plano Clima — Thematic Adaptation Plan for Water Resources</t>
  </si>
  <si>
    <t>Water balance for agriculture; Water balance for industry; Water quality; Ecological flow; Drought-related prevention actions; Alternatives to water supply</t>
  </si>
  <si>
    <t>Water capture and storage; efficient water use; urban water management; watershed protection; cooperative water governance</t>
  </si>
  <si>
    <t>ANA — Conjuntura dos Recursos Hídricos no Brasil</t>
  </si>
  <si>
    <t>Water availability and demand; Water quality; Irrigation users exposed; Industrial users exposed; Hydropower users exposed</t>
  </si>
  <si>
    <t>Hydrological monitoring; demand management; water allocation; drought planning; basin management</t>
  </si>
  <si>
    <t>ANA — Atlas Águas: Segurança Hídrica do Abastecimento Urbano</t>
  </si>
  <si>
    <t>Inefficiency in water production; Inefficiency in water distribution; Urban users exposed; Alternatives to water supply; Investments in water resources</t>
  </si>
  <si>
    <t>Reduce losses; diversify supply; expand and retrofit water infrastructure; urban water planning</t>
  </si>
  <si>
    <t>IPCC AR6 WGII — Chapter 4: Water</t>
  </si>
  <si>
    <t>Water balance; Water quality; Ecological flow; Urban, rural, industrial and irrigation users exposed</t>
  </si>
  <si>
    <t>Water-use efficiency; storage; reuse; ecosystem-based adaptation; integrated water management</t>
  </si>
  <si>
    <t>World Bank — Brazil Country Climate and Development Report</t>
  </si>
  <si>
    <t>Water security; Water quality; Drought prevention; Investments in adaptation; vulnerable users</t>
  </si>
  <si>
    <t>Climate-resilient infrastructure; watershed restoration; water-efficiency investment; risk-informed planning</t>
  </si>
  <si>
    <t>FAO — Climate Change, Water and Food Security</t>
  </si>
  <si>
    <t>Water balance for agriculture; Irrigation users exposed; Water-use efficiency; Water quality</t>
  </si>
  <si>
    <t>Efficient irrigation; rainwater harvesting; storage; soil and watershed management</t>
  </si>
  <si>
    <t>OECD — Water Governance in Brazil</t>
  </si>
  <si>
    <t>Level of activity in basin committees; Water planning; Water allocation; Water quality</t>
  </si>
  <si>
    <t>Strengthen basin governance; stakeholder coordination; regulatory and planning reforms</t>
  </si>
  <si>
    <t>AdaptaBrasil MCTI — Food Security indicators</t>
  </si>
  <si>
    <t>All listed Food Security vulnerability and exposure indicators</t>
  </si>
  <si>
    <t>Risk-informed food-security planning; targeting agricultural and social-protection adaptation</t>
  </si>
  <si>
    <t>Embrapa — Climate Change Science for a More Resilient Agriculture</t>
  </si>
  <si>
    <t>Agricultural and livestock productivity; Irrigation susceptibility; Water deficit; Soil erosion; Vegetation cover losses; Technical guidance</t>
  </si>
  <si>
    <t>Climate-smart agriculture; crop diversification; efficient irrigation; soil conservation; extension and research</t>
  </si>
  <si>
    <t>MAPA — Climate Change Adaptation Strategy for Brazilian Agriculture and Livestock</t>
  </si>
  <si>
    <t>Agricultural productivity; Livestock productivity; Fire hotspots; Water availability; Degraded pasture; Technical guidance</t>
  </si>
  <si>
    <t>Low-carbon and climate-resilient farming; pasture recovery; integrated systems; risk management</t>
  </si>
  <si>
    <t>Plano Clima — Food and Nutritional Security Adaptation Plan</t>
  </si>
  <si>
    <t>Food and nutritional insecurity; Child malnutrition; PNAE; PAA; Cistern service; Family farming; Population exposure</t>
  </si>
  <si>
    <t>Social protection; resilient local food systems; public procurement; water access; support to family farming</t>
  </si>
  <si>
    <t>IPCC AR6 WGII — Chapter 5: Food, Fibre and Other Ecosystem Products</t>
  </si>
  <si>
    <t>Crop and livestock productivity; Water deficit; Food insecurity; Agricultural exposure</t>
  </si>
  <si>
    <t>Climate-resilient agriculture; diversification; irrigation efficiency; ecosystem-based adaptation</t>
  </si>
  <si>
    <t>FAO — Climate Change and Food Security: Risks and Responses</t>
  </si>
  <si>
    <t>Food availability; Food insecurity; Malnutrition; Agricultural livelihoods; Water shortage</t>
  </si>
  <si>
    <t>Climate-smart agriculture; resilient value chains; social protection; livelihood diversification</t>
  </si>
  <si>
    <t>Irrigation susceptibility; Agriculture and water availability; Water deficit; Compromised water quality</t>
  </si>
  <si>
    <t>Water-saving irrigation; storage; drought planning; soil-water conservation</t>
  </si>
  <si>
    <t>Agricultural productivity; Rural livelihoods; Poverty and inequality; Land degradation; Food-system resilience</t>
  </si>
  <si>
    <t>Climate-smart agriculture; insurance and finance; land restoration; inclusive rural development</t>
  </si>
  <si>
    <t>Plano Clima — Sectoral Adaptation Plan for Energy</t>
  </si>
  <si>
    <t>Energy poverty; Electricity interruption; Hydroelectric storage; Diversification; Distributed generation; Energy-intensive industries</t>
  </si>
  <si>
    <t>Climate-risk integration in energy planning; grid resilience; diversification; storage; reliable access</t>
  </si>
  <si>
    <t>EPE — National Energy Plan 2050</t>
  </si>
  <si>
    <t>Diversification of electricity generation; Distributed generation; Energy intensity; Hydroelectric reservoirs</t>
  </si>
  <si>
    <t>Long-term diversification; distributed resources; efficiency; resilient generation and transmission planning</t>
  </si>
  <si>
    <t>EPE — Ten-Year Energy Expansion Plan 2034</t>
  </si>
  <si>
    <t>Electricity supply; Hydropower storage; Distributed generation; Residential consumption; Industrial demand</t>
  </si>
  <si>
    <t>Generation and grid expansion; distributed generation; demand and reliability planning</t>
  </si>
  <si>
    <t>AdaptaBrasil MCTI — Energy Security indicators</t>
  </si>
  <si>
    <t>All listed Energy Security vulnerability and exposure indicators</t>
  </si>
  <si>
    <t>Climate-risk screening; prioritization of resilient energy infrastructure and access measures</t>
  </si>
  <si>
    <t>IEA — Brazil 2025 Energy Policy Review</t>
  </si>
  <si>
    <t>Energy poverty; Energy efficiency; Distributed generation; Diversification; Hydropower flexibility; Energy-intensive industries</t>
  </si>
  <si>
    <t>Efficiency; storage; demand response; grid expansion; diversification; affordability measures</t>
  </si>
  <si>
    <t>IPCC AR6 WGII — Chapter 6: Cities, Settlements and Key Infrastructure</t>
  </si>
  <si>
    <t>Electricity interruption; Population density; Critical energy infrastructure</t>
  </si>
  <si>
    <t>Infrastructure retrofits; distributed systems; redundancy; risk-informed urban and infrastructure planning</t>
  </si>
  <si>
    <t>Energy security; Hydropower dependence; Industrial energy demand; social vulnerability</t>
  </si>
  <si>
    <t>Power-system diversification; resilient infrastructure; efficiency; inclusive transition investment</t>
  </si>
  <si>
    <t>IEA — Climate Resilience for Energy Security</t>
  </si>
  <si>
    <t>Electricity interruption; Hydropower availability; Energy-system exposure; Industrial demand</t>
  </si>
  <si>
    <t>Climate-risk assessment; system flexibility; diversification; resilient grids and assets</t>
  </si>
  <si>
    <t>Plano Clima — Sectoral Adaptation Plan for Health</t>
  </si>
  <si>
    <t>Basic care coverage; Access to diagnosis and treatment; Climate-sensitive diseases; Vulnerable populations; Water and sanitation</t>
  </si>
  <si>
    <t>Climate-informed surveillance; resilient health services; preparedness; protection of vulnerable groups</t>
  </si>
  <si>
    <t>Ministério da Saúde — Plano de Adaptação à Mudança do Clima para a Saúde</t>
  </si>
  <si>
    <t>Arboviruses; Malaria; Leishmaniasis; Water supply; Sanitation; Basic care coverage</t>
  </si>
  <si>
    <t>Disease surveillance; vector control; emergency preparedness; resilient health services</t>
  </si>
  <si>
    <t>Fiocruz — Climate and Health Observatory</t>
  </si>
  <si>
    <t>Arboviruses; Malaria; Leishmaniasis; Sanitation; Deforestation; Population vulnerability</t>
  </si>
  <si>
    <t>Climate-health surveillance; vulnerability mapping; early warning; targeted public-health action</t>
  </si>
  <si>
    <t>AdaptaBrasil MCTI — Health indicators</t>
  </si>
  <si>
    <t>All listed Health vulnerability and exposure indicators</t>
  </si>
  <si>
    <t>Municipal risk screening; targeting sanitation, surveillance, water access and healthcare adaptation</t>
  </si>
  <si>
    <t>WHO — Belém Health Action Plan</t>
  </si>
  <si>
    <t>Health-service access; Climate-sensitive diseases; Vulnerable populations; Water and sanitation</t>
  </si>
  <si>
    <t>Climate-informed surveillance; resilient health systems; evidence-based policy; community participation</t>
  </si>
  <si>
    <t>WHO — COP30 Special Report on Health and Climate Change</t>
  </si>
  <si>
    <t>Health facilities; Disease risks; Vulnerable populations; Health-system capacity</t>
  </si>
  <si>
    <t>Resilient health infrastructure; early warning; adaptation finance; workforce capacity</t>
  </si>
  <si>
    <t>IPCC AR6 WGII — Chapter 7: Health, Wellbeing and the Changing Structure of Communities</t>
  </si>
  <si>
    <t>Vector-borne disease; Water-borne disease; Sanitation; Healthcare access; Population vulnerability</t>
  </si>
  <si>
    <t>Surveillance; vector control; water and sanitation; resilient healthcare; heat-health planning</t>
  </si>
  <si>
    <t>World Bank — The Cost of Inaction: Climate Change and Health</t>
  </si>
  <si>
    <t>Vector-borne diseases; Water-borne diseases; Malnutrition; Heat; vulnerable populations</t>
  </si>
  <si>
    <t>Preventive health adaptation; surveillance; resilient services; targeted protection</t>
  </si>
  <si>
    <t>Plano Clima — Sectoral Plan for Disaster Risk Reduction and Management</t>
  </si>
  <si>
    <t>Risk-management institutions; Early warning; Contingency plans; Land use; Drainage; Households in risk areas</t>
  </si>
  <si>
    <t>Structural and non-structural prevention; preparedness; resilient recovery; governance coordination</t>
  </si>
  <si>
    <t>Cemaden/MCTI — Geo-hydrological Risk Monitoring and Alerts</t>
  </si>
  <si>
    <t>Early warning systems; Institutions for risk management; Households in risk areas; Urban population density</t>
  </si>
  <si>
    <t>Monitoring; forecasting; alert thresholds; risk communication; municipal preparedness</t>
  </si>
  <si>
    <t>SGB/CPRM — Cartas de Suscetibilidade e Setorização de Risco</t>
  </si>
  <si>
    <t>Households in risk areas; Urban occupation in risk areas; Land use; Drainage; Inappropriate households</t>
  </si>
  <si>
    <t>Risk mapping; zoning; relocation prioritization; slope stabilization; drainage interventions</t>
  </si>
  <si>
    <t>Defesa Civil — Plano Nacional de Proteção e Defesa Civil</t>
  </si>
  <si>
    <t>Contingency plan; Risk-reduction actions; Governance; Early warning; Population with special demands</t>
  </si>
  <si>
    <t>Prevention; preparedness; response planning; capacity building; inclusive risk communication</t>
  </si>
  <si>
    <t>UNDRR — Sendai Framework for Disaster Risk Reduction</t>
  </si>
  <si>
    <t>Risk governance; Early warning; Contingency planning; Resilient cities; Households in risk areas</t>
  </si>
  <si>
    <t>Risk-informed planning; prevention investment; preparedness; build back better</t>
  </si>
  <si>
    <t>UNDRR/WMO — Global Status of Multi-Hazard Early Warning Systems</t>
  </si>
  <si>
    <t>Early warning systems; Risk-management institutions; Urban population exposure</t>
  </si>
  <si>
    <t>End-to-end warning systems; risk knowledge; monitoring; communication; response capacity</t>
  </si>
  <si>
    <t>Urban risk areas; Drainage; Basic sanitation; Vulnerable households; adaptation investment</t>
  </si>
  <si>
    <t>Resilient urban infrastructure; risk-informed land use; nature-based drainage; social protection</t>
  </si>
  <si>
    <t>Urban population density; Informal settlements; Housing; Mobility; Drainage; Healthcare facilities</t>
  </si>
  <si>
    <t>Urban planning; resilient infrastructure; ecosystem-based measures; managed relocation</t>
  </si>
  <si>
    <t>Plano Clima — Biodiversity Thematic Adaptation Plan</t>
  </si>
  <si>
    <t>Vegetation loss; Fire; Degraded pasture; Protected area; Natural coverage; Management plans</t>
  </si>
  <si>
    <t>Ecosystem restoration; connectivity; protected-area management; species and ecosystem resilience</t>
  </si>
  <si>
    <t>AdaptaBrasil MCTI — Biodiversity indicators</t>
  </si>
  <si>
    <t>All listed Biodiversity vulnerability and exposure indicators</t>
  </si>
  <si>
    <t>Spatial risk screening; prioritization of conservation, restoration and management actions</t>
  </si>
  <si>
    <t>MMA — National Biodiversity Strategy and Action Plan</t>
  </si>
  <si>
    <t>Protected area; Area for conservation; Vegetation loss; Environmental liabilities; Management plans</t>
  </si>
  <si>
    <t>Protected-area expansion; restoration; mainstreaming biodiversity; governance and monitoring</t>
  </si>
  <si>
    <t>ICMBio — Climate Change Adaptation Strategy for Federal Protected Areas</t>
  </si>
  <si>
    <t>Protected area; Natural coverage; Fire; Vegetation loss; Steering committee and management plan</t>
  </si>
  <si>
    <t>Climate-risk assessment; adaptive management; ecological connectivity; fire management; restoration</t>
  </si>
  <si>
    <t>IPCC AR6 WGII — Chapter 2: Terrestrial and Freshwater Ecosystems</t>
  </si>
  <si>
    <t>Natural coverage; Vegetation loss; Fire; Degraded pasture; Protected areas</t>
  </si>
  <si>
    <t>Ecosystem restoration; connectivity; protected areas; fire management; reduced non-climate pressures</t>
  </si>
  <si>
    <t>IUCN — Ecosystem-based Adaptation and Resilience</t>
  </si>
  <si>
    <t>Natural coverage; Protected area; Area for conservation; Vegetation loss; Degraded ecosystems</t>
  </si>
  <si>
    <t>Ecosystem restoration; sustainable management; nature-based adaptation; connectivity</t>
  </si>
  <si>
    <t>IUCN WCPA — Role of Protected Areas in Climate and Biodiversity Conservation</t>
  </si>
  <si>
    <t>Protected area; Area for conservation; Natural coverage; Management plans</t>
  </si>
  <si>
    <t>Protected-area management; connectivity; restoration; climate integration in management plans</t>
  </si>
  <si>
    <t>Amazon and Cerrado ecosystem services; Vegetation loss; Land degradation; Protected areas</t>
  </si>
  <si>
    <t>Forest protection; restoration; sustainable land use; institutional and investment reforms</t>
  </si>
  <si>
    <t>No supporting source identified in Evidence Library</t>
  </si>
  <si>
    <t>Plano Clima — Thematic Adaptation Plan for Water Resources (2025); IPCC AR6 WGII — Chapter 4: Water (2022)</t>
  </si>
  <si>
    <t>ANA — Conjuntura dos Recursos Hídricos no Brasil (2023); ANA — Atlas Águas: Segurança Hídrica do Abastecimento Urbano (2021)</t>
  </si>
  <si>
    <t>FAO — Climate Change, Water and Food Security (2011); IPCC AR6 WGII — Chapter 4: Water (2022)</t>
  </si>
  <si>
    <t>MAPA — Climate Change Adaptation Strategy for Brazilian Agriculture and Livestock (2021); FAO — Climate Change, Water and Food Security (2011)</t>
  </si>
  <si>
    <t>Plano Clima — Food and Nutritional Security Adaptation Plan (2025); FAO — Climate Change and Food Security: Risks and Responses (2015)</t>
  </si>
  <si>
    <t>Embrapa — Climate Change Science for a More Resilient Agriculture (2024); IPCC AR6 WGII — Chapter 5: Food, Fibre and Other Ecosystem Products (2022)</t>
  </si>
  <si>
    <t>IPCC AR6 WGII — Chapter 6: Cities, Settlements and Key Infrastructure (2022); IEA — Climate Resilience for Energy Security (2022)</t>
  </si>
  <si>
    <t>EPE — National Energy Plan 2050 (2020); EPE — Ten-Year Energy Expansion Plan 2034 (2024)</t>
  </si>
  <si>
    <t>Plano Clima — Sectoral Plan for Disaster Risk Reduction and Management (2025); UNDRR — Sendai Framework for Disaster Risk Reduction (2015)</t>
  </si>
  <si>
    <t>World Bank — Brazil Country Climate and Development Report (2023); Plano Clima — Sectoral Plan for Disaster Risk Reduction and Management (2025)</t>
  </si>
  <si>
    <t>SGB/CPRM — Cartas de Suscetibilidade e Setorização de Risco (2023); IPCC AR6 WGII — Chapter 6: Cities, Settlements and Key Infrastructure (2022)</t>
  </si>
  <si>
    <t>MMA — National Biodiversity Strategy and Action Plan (2017); World Bank — Brazil Country Climate and Development Report (2023)</t>
  </si>
  <si>
    <t>ICMBio — Climate Change Adaptation Strategy for Federal Protected Areas (2024); IUCN WCPA — Role of Protected Areas in Climate and Biodiversity Conservation (2023)</t>
  </si>
  <si>
    <t>IUCN — Ecosystem-based Adaptation and Resilience (2024); Plano Clima — Biodiversity Thematic Adaptation Plan (2025)</t>
  </si>
  <si>
    <t>Water Resources</t>
  </si>
  <si>
    <t>Food Security</t>
  </si>
  <si>
    <t>Energy Security</t>
  </si>
  <si>
    <t>Geohydrological Disasters</t>
  </si>
  <si>
    <t>Sector linkage threshold
A sector linkage may only be established when the action has a direct and meaningful influence on the functioning of the sector.
The existence of a plausible indirect pathway is not sufficient.
The existence of a supporting source is not sufficient.
The action must influence one or more core sector indicators through its primary implementation mechanism.
If the relationship is secondary, indirect, enabling, governance-related, educational, informational, monitoring-related or highly dependent on additional interventions, assign No effectiveness.
When uncertain, prefer No effectiveness.
Conservative scoring principle
This assessment is intended to identify strong and meaningful sector-action relationships.
False positives are considered more problematic than false negatives.
Therefore, when the relationship is uncertain, weak, indirect or generic, assign:
No effectiveness</t>
  </si>
  <si>
    <t>Plano Clima — Sectoral Adaptation Plan for Health (2025); WHO — COP30 Special Report on Health and Climate Change (2025)</t>
  </si>
  <si>
    <t>IPCC AR6 WGII — Chapter 7: Health, Wellbeing and the Changing Structure of Communities (2022); World Bank — The Cost of Inaction: Climate Change and Health (2024)</t>
  </si>
  <si>
    <t>Vulnerability Justification</t>
  </si>
  <si>
    <t>Exposure Justification</t>
  </si>
  <si>
    <t>SourceScope</t>
  </si>
  <si>
    <t>Brazil</t>
  </si>
  <si>
    <t>MCTI</t>
  </si>
  <si>
    <t>International</t>
  </si>
  <si>
    <t>IPCC</t>
  </si>
  <si>
    <t>World Bank</t>
  </si>
  <si>
    <t>AccessStatus</t>
  </si>
  <si>
    <t>HumanValidated</t>
  </si>
  <si>
    <t>WR_SRC_001</t>
  </si>
  <si>
    <t>WR_SRC_002</t>
  </si>
  <si>
    <t>WR_SRC_003</t>
  </si>
  <si>
    <t>WR_SRC_004</t>
  </si>
  <si>
    <t>WR_SRC_005</t>
  </si>
  <si>
    <t>WR_SRC_006</t>
  </si>
  <si>
    <t>WR_SRC_007</t>
  </si>
  <si>
    <t>WR_SRC_008</t>
  </si>
  <si>
    <t>Vulnerability Indicators</t>
  </si>
  <si>
    <t>Vulnerability EvidenceID</t>
  </si>
  <si>
    <t>Vulnerability Page</t>
  </si>
  <si>
    <t>Vulnerability Quote</t>
  </si>
  <si>
    <t>Exposure Indicators</t>
  </si>
  <si>
    <t>Exposure EvidenceID</t>
  </si>
  <si>
    <t>Exposure Page</t>
  </si>
  <si>
    <t>Exposure Quote</t>
  </si>
  <si>
    <t>ReviewStatus</t>
  </si>
  <si>
    <t>ReviewerComment</t>
  </si>
  <si>
    <t>RelevantComponent</t>
  </si>
  <si>
    <t>Not Checked</t>
  </si>
  <si>
    <t>EvidenceStrength</t>
  </si>
  <si>
    <t>Source Vulnerability</t>
  </si>
  <si>
    <t>Source Exposure</t>
  </si>
  <si>
    <t>Effectiveness on Vulnerability</t>
  </si>
  <si>
    <t>Effectiveness on Exposure</t>
  </si>
  <si>
    <t>Component (level 3)</t>
  </si>
  <si>
    <t>Workflow overview</t>
  </si>
  <si>
    <t>Source ID</t>
  </si>
  <si>
    <t>Geographic scope</t>
  </si>
  <si>
    <t>Document title</t>
  </si>
  <si>
    <t>Issuing institution</t>
  </si>
  <si>
    <t>Publication year</t>
  </si>
  <si>
    <t>PDF file</t>
  </si>
  <si>
    <t>Accessible</t>
  </si>
  <si>
    <t>Partially Accessible</t>
  </si>
  <si>
    <t>Not Accessible</t>
  </si>
  <si>
    <t>Both</t>
  </si>
  <si>
    <t>Direct</t>
  </si>
  <si>
    <t>Indirect</t>
  </si>
  <si>
    <t>Weak</t>
  </si>
  <si>
    <t>Not usable</t>
  </si>
  <si>
    <t>Indicators (level 6)</t>
  </si>
  <si>
    <t>Revalidation Required</t>
  </si>
  <si>
    <t>Evidence extracted</t>
  </si>
  <si>
    <t>Human validated</t>
  </si>
  <si>
    <t>Rejected</t>
  </si>
  <si>
    <t>Needs revision</t>
  </si>
  <si>
    <t>EffectivenessLevel</t>
  </si>
  <si>
    <t>Dynamic indicator references</t>
  </si>
  <si>
    <t>Vulnerability sectors</t>
  </si>
  <si>
    <t>Vulnerability components</t>
  </si>
  <si>
    <t>Exposure sectors</t>
  </si>
  <si>
    <t>Exposure components</t>
  </si>
  <si>
    <t>Vulnerability indicators: Level 6</t>
  </si>
  <si>
    <t>Exposure indicators: Level 6</t>
  </si>
  <si>
    <t>Controlled lists</t>
  </si>
  <si>
    <t>Central values for workflow dropdowns and dynamic Water Resources indicator selectors.</t>
  </si>
  <si>
    <t>Water Resources x actions</t>
  </si>
  <si>
    <t>WR_SRC_009</t>
  </si>
  <si>
    <t>WR_SRC_010</t>
  </si>
  <si>
    <t>Guidance on Water and Adaptation to Climate Change</t>
  </si>
  <si>
    <t>UNECE</t>
  </si>
  <si>
    <t>Review the Water Resources reference framework.
Verify that the Vulnerability and Exposure indicator source tables contain the complete approved indicator records and that indicator records remain structured table entries rather than manual text strings.
Verify that all indicator dropdowns and dynamic references are connected to the correct source tables.
Verify specifically that:
- C28 dynamically returns the Water Resources Vulnerability indicator library.
- C33 dynamically returns the Water Resources Exposure indicator library.
Identify missing indicators, duplicated indicators, broken dynamic references, hard-coded lists and inconsistent indicator names.
Do not modify, classify, score, rename or replace indicators. Do not assess actions.
Return only validation findings and recommended corrections.</t>
  </si>
  <si>
    <t>EXCEL COPILOT PROMPT TO RUN</t>
  </si>
  <si>
    <t>2. WEB AI PROMPT TO COPY</t>
  </si>
  <si>
    <t>3. WEB AI OUTPUT TO PASTE</t>
  </si>
  <si>
    <t>Under Pressure: Effects, Impacts, and Adaptation to Climate Change in Latin American and Caribbean Water Operators</t>
  </si>
  <si>
    <t>Inter-American Development Bank</t>
  </si>
  <si>
    <t>Water and Climate Change Adaptation in Transboundary Basins: Lessons Learned and Good Practices</t>
  </si>
  <si>
    <t>UNECE / International Network of Basin Organizations</t>
  </si>
  <si>
    <t>Flowing Forward: Freshwater Ecosystem Adaptation to Climate Change in Water Resources Management and Biodiversity Conservation</t>
  </si>
  <si>
    <t>World Bank / WWF</t>
  </si>
  <si>
    <t>Plano Nacional de Segurança Hídrica</t>
  </si>
  <si>
    <t>Programa Produtor de Água: Resultados e Perspectivas</t>
  </si>
  <si>
    <t>Ministério do Desenvolvimento Regional</t>
  </si>
  <si>
    <t>https://unece.org/sites/default/files/datastore/fileadmin/DAM/env/water/mop5/Guidance_FINAL.pdf</t>
  </si>
  <si>
    <t>https://www.dropbox.com/scl/fi/iln5nsaomw5iaxnrarjam/Te-rico-metodol-gico_Recursos_Hidricos_2.0_19_08_2025.pdf?rlkey=c92kudj42qafe1xxyojskd1ui&amp;e=1&amp;dl=0</t>
  </si>
  <si>
    <t>https://www.ipcc.ch/report/ar6/wg2/downloads/report/IPCC_AR6_WGII_Chapter04.pdf</t>
  </si>
  <si>
    <t>1. CONTEXT ELEMENTS TO PASTE WITH WEB AI PROMPT</t>
  </si>
  <si>
    <t>Objective</t>
  </si>
  <si>
    <t>Paste complete Web AI response here.</t>
  </si>
  <si>
    <t>Approved Vulnerability Indicators</t>
  </si>
  <si>
    <t>Approved Exposure Indicators</t>
  </si>
  <si>
    <t>Web AI research followed by Excel Copilot update</t>
  </si>
  <si>
    <t>Web AI Prompt</t>
  </si>
  <si>
    <t>PDF Input</t>
  </si>
  <si>
    <t>Web AI Output To Paste</t>
  </si>
  <si>
    <t>Run In Excel Copilot</t>
  </si>
  <si>
    <t>Attach one complete PDF manually.
One PDF per execution.</t>
  </si>
  <si>
    <t>IPCC_AR6_WGII_Chapter04.pdf</t>
  </si>
  <si>
    <t>Evidence added</t>
  </si>
  <si>
    <t>IPCC_AR6_WGII_Chapter04_p666</t>
  </si>
  <si>
    <t>Printed page 666</t>
  </si>
  <si>
    <t>The PDF documents participatory governance and community involvement as mechanisms that can improve adaptation effectiveness and water security. The evidence directly supports active participatory water governance, but does not quantify the performance of a specific basin committee.</t>
  </si>
  <si>
    <t>As water insecurity disproportionately affects marginalised social groups, their participation in water governance and implementation can help improve their water security.</t>
  </si>
  <si>
    <t>https://www.gov.br/ana/pt-br/assuntos/gestao-das-aguas/planos-de-recursos-hidricos/planos-de-recursos-hidricos-de-bacias-hidrograficas/planos-de-bacias-hidrograficas-interfederativas/planejamento-integrado-de-recursos-hidricos-nas-bacias-compartilhadas-pirh-parhs/copy_of_ManualparaavaliaodaimplementaodePlanosdeRecursosHdricos.pdf</t>
  </si>
  <si>
    <t>https://www.gov.br/cidades/pt-br/acesso-a-informacao/acoes-e-programas/saneamento/plano-nacional-de-saneamento-basico-plansab/arquivos/relatriodeavaliaoanualdoplansab2020.pdf</t>
  </si>
  <si>
    <t>Process:</t>
  </si>
  <si>
    <t>Objective:</t>
  </si>
  <si>
    <t>WEB AI PROMPT
Review the supplied sector and the complete approved Vulnerability and Exposure Level 6 indicator lists.
Build a new operational source portfolio from scratch.
Ignore all previously proposed candidate sources and previously proposed PDF links.
MANDATORY FRAMEWORK SOURCES
The following two sources must be included:
WR_SRC_001
Geographic scope:
Brazil
Document title:
AdaptaBrasil MCTI: Índices e Indicadores
Issuing institution:
MCTI
Publication year:
2023
WR_SRC_002
Geographic scope:
International
Document title:
IPCC AR6 WGII: Chapter 4: Water
Issuing institution:
IPCC
Publication year:
2022
Keep these two sources as the first two records.
Use the PDF links supplied below when they are functional and correspond to the stated documents.
If a supplied mandatory-source PDF link does not function or does not correspond to the stated document, find a functional PDF version of the same mandatory document.
FINAL PORTFOLIO COMPOSITION
The final portfolio must contain exactly 10 sources:
5 sources with Geographic scope equal to Brazil.
5 sources with Geographic scope equal to International.
The two mandatory sources count toward these totals.
Therefore identify:
4 additional Brazilian sources.
4 additional international sources.
Do not return more or fewer than 10 sources.
SOURCE-SELECTION OBJECTIVE
Select documents that maximise usefulness for future assessment of adaptation-action effectiveness against the approved Water Resources indicators.
Prioritise documents containing:
1. Adaptation measures.
2. Implementation mechanisms.
3. Programme or policy evaluations.
4. Monitoring results.
5. Documented outcomes.
6. Quantified results.
7. Effectiveness findings.
8. Implementation barriers.
9. Implementation success factors.
10. Implementation case studies.
11. Documented limitations or trade-offs.
BRAZILIAN SOURCE PRIORITIES
Prioritise PDF documents published by:
1. Agência Nacional de Águas e Saneamento Básico.
2. Ministério do Meio Ambiente.
3. Ministério da Ciência, Tecnologia e Inovação.
4. Federal sanitation institutions.
5. River basin institutions.
6. Brazilian public research institutions.
7. Brazilian programme-monitoring and evaluation bodies.
8. Brazilian offices or partnerships of multilateral development banks.
INTERNATIONAL SOURCE PRIORITIES
Prioritise PDF documents published by:
1. IPCC.
2. World Bank.
3. Inter-American Development Bank.
4. UNEP.
5. UNECE.
6. FAO.
7. OECD.
8. Global Center on Adaptation.
9. Other recognised multilateral development banks.
10. Peer-reviewed scientific synthesis or evaluation publications.
SOURCE ELIGIBILITY
Select a source only when all of the following conditions are satisfied:
1. The exact document title is identifiable.
2. The issuing institution is identifiable.
3. The publication year is identifiable.
4. The document is relevant to one or more approved indicators.
5. The document is likely to contain page-traceable evidence about adaptation measures, mechanisms, implementation, outcomes or effectiveness.
6. A PDF version is publicly accessible.
7. The PDF link opens the document itself or an official PDF viewer that provides access to the complete PDF.
8. The PDF link corresponds to the selected document.
9. The document is not a duplicate of another selected source.
PDF LINK VERIFICATION
Before accepting each source:
1. Open the proposed PDF link.
2. Confirm that the link functions.
3. Confirm that the linked file is a PDF or provides direct access to the complete PDF.
4. Confirm that the PDF title or document content corresponds to the selected source.
5. Confirm that the PDF is not merely an abstract, executive-summary substitute, presentation, webpage or unrelated document.
6. Confirm that the PDF contains readable and paginated content.
7. Prefer official institutional PDF links.
8. A recognised institutional repository or co-publisher is acceptable when the official issuing institution does not host the PDF directly.
9. Do not use search-result URLs.
10. Do not invent, reconstruct or approximate a PDF URL.
11. Do not accept a broken, inaccessible or mismatched PDF link.
If a document does not have a functional and corresponding PDF link, exclude it and select another eligible document.
EXCLUSIONS
Do not select:
1. News articles.
2. Press releases.
3. Presentations.
4. Abstract-only records.
5. Generic webpages.
6. Dashboards without analytical documentation.
7. Data portals without a paginated analytical report.
8. Duplicate documents.
9. Duplicate editions.
10. Translations of a document already selected.
11. Documents with unverifiable title, institution or year.
12. Documents without a functional PDF.
13. Documents whose proposed PDF link opens another publication.
14. Documents that provide only general background without evidence potential.
METADATA RULES
Use the exact document title displayed in the PDF.
Use the exact issuing institution identified in the PDF.
Use the publication year identified in the PDF.
Use only:
Brazil
International
for Geographic scope.
Assign Source IDs exactly as follows:
WR_SRC_001 to the mandatory AdaptaBrasil source.
WR_SRC_002 to the mandatory IPCC source.
WR_SRC_003 to WR_SRC_006 to the four additional Brazilian sources.
WR_SRC_007 to WR_SRC_010 to the four additional international sources.
OUTPUT REQUIREMENT
Return one complete Excel Copilot prompt and nothing else.
Do not return research commentary outside the Excel Copilot prompt.
The returned Excel Copilot prompt must be self-contained and executable without modification.
The returned Excel Copilot prompt must explicitly state:
Target structured table:
tbl_WR_SourceIdentification
The returned prompt must rebuild only tbl_WR_SourceIdentification.
The returned prompt must populate exactly these columns:
Source ID
Geographic scope
Document title
Issuing institution
Publication year
PDF file
The returned prompt must list all 10 source records explicitly.
For every source record, provide:
1. Exact Source ID.
2. Exact Geographic scope.
3. Exact Document title.
4. Exact Issuing institution.
5. Exact Publication year.
6. Exact functional PDF link.
The returned Excel Copilot prompt must instruct Excel Copilot to:
1. Preserve the existing table structure.
2. Resize the table to contain exactly 10 non-empty source records.
3. Replace previous non-mandatory source records with the newly selected portfolio.
4. Preserve WR_SRC_001 and WR_SRC_002 as the first two records.
5. Use the exact Source ID sequence WR_SRC_001 to WR_SRC_010.
6. Maintain exactly 5 Brazil records.
7. Maintain exactly 5 International records.
8. Populate the PDF file column for every record.
9. Display PDF links as normal Excel hyperlinks or complete plain-text URLs.
10. Remove visible HTML anchor code.
11. Preserve table formatting, filters and validation.
12. Create no additional column.
13. Modify no other table.
14. Modify no other worksheet section.
15. Require no selected cells or ranges.
The returned prompt must not use placeholders.
The returned prompt must not ask the user which sources to retain.
The returned prompt must not ask for confirmation.
The returned prompt must not refer to research findings outside the prompt.
The returned prompt must report:
1. The 10 Source IDs inserted.
2. The number of Brazil sources.
3. The number of International sources.
4. Confirmation that all 10 records contain a PDF file.
5. Confirmation that PDF links were verified during source selection.
6. Confirmation that no other table was modified.
END OF WEB AI PROMPT</t>
  </si>
  <si>
    <t>Paste the complete Excel Copilot prompt returned by Web AI here.</t>
  </si>
  <si>
    <t>OPERATIONAL SOURCE AND PDF REGISTER</t>
  </si>
  <si>
    <t>Agência Nacional de Águas e Saneamento Básico (ANA)</t>
  </si>
  <si>
    <t>Plano Nacional de Saneamento Básico (PLANSAB) – Revisão 2019</t>
  </si>
  <si>
    <t>Water Security and Climate Change: Insights from Country Climate and Development Reports</t>
  </si>
  <si>
    <t>https://publications.iadb.org/publications/english/document/Under-Pressure-Effects-Impacts-and-Adaptation-to-Climate-change-in-Latin-American-and-Caribbean-Water-Operators.pdf?__cf_chl_tk=ZqmNpAp_H8fWkuEESw9HVmNxbu1evfCwt_wgYC58ivM-1787664378-1.0.1.1-NvUF9ypugZ8KnrJdU3CsSmXZDz8Hbe2E15lhlFor2X4</t>
  </si>
  <si>
    <t>https://unece.org/fileadmin/DAM/env/water/publications/WAT_Good_practices/ece.mp.wat.45.pdf</t>
  </si>
  <si>
    <t>https://documents1.worldbank.org/curated/en/099124511122431814/pdf/IDU1fa8a4c3a1fd8c14810194851fb785b73d02d.pdf</t>
  </si>
  <si>
    <t>https://awsassets.panda.org/downloads/flowing_forward_freshwater_ecosystem_adaptation_to_climate_change.pdf</t>
  </si>
  <si>
    <t>&lt;&lt; Paste in Web AI</t>
  </si>
  <si>
    <t>Water balance for agriculture; Water balance for industry; Average per capita water consumption</t>
  </si>
  <si>
    <t>IPCC_AR6_WGII_Chapter04.pdf
WR_SRC_010 | Water Security and Climate Change: Insights from Country Climate and Development Reports | World Bank | 2024</t>
  </si>
  <si>
    <t>Average per capita water consumption; Income not affected by water prices</t>
  </si>
  <si>
    <t>WR_SRC_010 | Water Security and Climate Change: Insights from Country Climate and Development Reports | World Bank | 2024</t>
  </si>
  <si>
    <t>The combined evidence supports interinstitutional coordination and whole-of-government water governance as implementation conditions for climate adaptation. Effectiveness remains Medium because the source identifies governance requirements and coordination gaps but does not quantify outcomes from a specific basin committee.</t>
  </si>
  <si>
    <t>IPCC_AR6_WGII_Chapter04_p666
WR_SRC_010_p12</t>
  </si>
  <si>
    <t>Printed page 666
Printed page 10 | PDF page 12</t>
  </si>
  <si>
    <t>For communities to sustainably adapt to climate impacts on water security, their participation, cooperation and bottom-up engagement are critical in all stages of decision-making processes. In addition to enhancing the legitimacy of the decision-making process, the community’s involvement can increase the equitability and effectiveness of the adaptation approach.
"Effective water management requires a whole-of-government approach at the national level and regional cooperation for transboundary waters. In reality, water-related planning, investments, and regulation are often scattered across many agencies, requiring close coordination and collaboration across the institutions."</t>
  </si>
  <si>
    <t>WR_SRC_010_p16</t>
  </si>
  <si>
    <t>Printed page 14 | PDF page 16</t>
  </si>
  <si>
    <t>The report explicitly recommends improved evidence-based weather and flood forecasting as part of stronger water-sector monitoring. Effectiveness is Medium because it supports the forecasting and monitoring mechanism without documenting a quantified result from a specific municipal system.</t>
  </si>
  <si>
    <t>"Additionally, there is scope for systematically improving evidence-based weather and flood forecasting."</t>
  </si>
  <si>
    <t>WR_SRC_010_p6</t>
  </si>
  <si>
    <t>Printed page 4 | PDF page 6</t>
  </si>
  <si>
    <t>Diseases due to inadequate sanitation; Water quality</t>
  </si>
  <si>
    <t>Improved water and sanitation infrastructure is documented as reducing waterborne diseases and strengthening community resilience to floods and droughts. Effectiveness is Medium because the evidence supports water and sanitation services within a broader health-services action.</t>
  </si>
  <si>
    <t>"Improved water and sanitation infrastructure can reduce the spread of waterborne diseases, promote better health and education outcomes, and enable communities to better withstand the impact of droughts and floods."</t>
  </si>
  <si>
    <t>Water balance for agriculture; Water balance for industry</t>
  </si>
  <si>
    <t>The combined evidence supports water-saving technologies and irrigation modernization as adaptation mechanisms for reducing water demand. Effectiveness remains Medium because the action includes additional food, livelihood and consumption measures not evaluated in the new PDF.</t>
  </si>
  <si>
    <t>IPCC_AR6_WGII_Chapter04_p624
WR_SRC_010_p14</t>
  </si>
  <si>
    <t>Printed page 624
Printed page 12 | PDF page 14</t>
  </si>
  <si>
    <t>This measure is deemed to have economic benefits and benefits for vulnerable communities who adopt this measure (high confidence) and benefits in terms of water saving and positive ecological and sociocultural benefits (medium confidence).
"Key adaptation measures should be attentive to water demand management, including reconstruction and modernization of water infrastructure, an increased share of water-saving technologies in industry and agriculture, introduction of water-saving irrigation technologies (drip and in-soil irrigation, sprinkling, local-impulse irrigation, irrigation along furrows, regulation of irrigation of fields), and production of higher-value crops with lower water use (World Bank 2022b,g)."</t>
  </si>
  <si>
    <t>Artificial reserve; Underground storage potential; Alternatives to water supply</t>
  </si>
  <si>
    <t>Water balance for agriculture; Inefficiency in water production; Water balance for industry; Average per capita water consumption; Inefficiency in water distribution</t>
  </si>
  <si>
    <r>
      <t>Objective</t>
    </r>
    <r>
      <rPr>
        <sz val="10"/>
        <color theme="0"/>
        <rFont val="Open Sans"/>
        <family val="2"/>
        <scheme val="minor"/>
      </rPr>
      <t xml:space="preserve">: </t>
    </r>
  </si>
  <si>
    <t>AdditionalActionID</t>
  </si>
  <si>
    <t>Sustainable urban drainage systems are documented as reducing flooding while improving stormwater quality. Effectiveness is Medium because implementation evidence exists, but the source also notes limited urban-adaptation documentation and remaining technical, economic and governance barriers.</t>
  </si>
  <si>
    <t>IPCC_AR6_WGII_Chapter04_p629</t>
  </si>
  <si>
    <t>Printed page 629 | PDF page 79</t>
  </si>
  <si>
    <t>In most regions, hybrid adaptation approaches are underway. For example, sustainable urban drainage systems (SUDS) are a common adaptation measure that can reduce flooding and improve stormwater quality while reducing the urban heat island effect (e.g., Chan et al., 2019; Loiola et al., 2019; Song et al., 2019; Huang et al., 2020; Lin et al., 2020) (Box 4.6; 12.5.5.3.2; 12.7.1).</t>
  </si>
  <si>
    <t>Planned and assisted relocation can reduce the exposure of people and assets located in risk areas. Effectiveness is Medium because the source also documents risks of impoverishment and increased vulnerability when affected populations are not adequately involved.</t>
  </si>
  <si>
    <t>IPCC_AR6_WGII_Chapter04_p633</t>
  </si>
  <si>
    <t>Printed page 633 | PDF page 83</t>
  </si>
  <si>
    <t>Managed retreat refers to the planned and assisted moving of people and assets away from risk areas, such as government- or community-led resettlement (Hino et al., 2017; Maldonado and Peterson, 2018; Tadgell et al., 2018; Arnall, 2019). Such initiatives may reduce exposure to risk (Lei et al., 2017). However, they often fail to include affected populations in the process and may lead to greater impoverishment and increased vulnerability (Wilmsen and Webber, 2015) (medium confidence).</t>
  </si>
  <si>
    <t>IPCC_AR6_WGII_Chapter04_p632</t>
  </si>
  <si>
    <t>Printed page 632 | PDF page 82</t>
  </si>
  <si>
    <t>Managed retreat directly relocates people and assets away from risk areas and can therefore reduce urban-user exposure. Effectiveness is Medium because outcomes depend on inclusive planning and the source documents potential impoverishment and increased vulnerability.</t>
  </si>
  <si>
    <t>Nature reserve; Water quality; Areas with soils susceptible to erosion</t>
  </si>
  <si>
    <t>Restored wetlands, freshwater ecosystems and other natural infrastructure can enhance water quality, control erosion and mitigate water-related hazards. Effectiveness is Medium because the source reports growing evidence while noting limitations in long-term knowledge and performance at higher warming levels.</t>
  </si>
  <si>
    <t>In the context of climate change-induced water insecurity, nature-based solutions (NbS) are an adaptation response that relies on natural processes to enhance water availability and water quality and mitigate risks associated with water-related disasters while contributing to biodiversity (IUCN, 2020).</t>
  </si>
  <si>
    <t>Water quality; Nature reserve; Areas with soils susceptible to erosion</t>
  </si>
  <si>
    <t>Reducing ecosystem pressures through natural infrastructure can protect freshwater ecosystems, enhance water quality and control erosion. Effectiveness is Medium because the documented benefits are broad and the source identifies remaining uncertainty about long-term performance.</t>
  </si>
  <si>
    <t>Natural infrastructure (green and blue) uses natural or semi-natural systems, for example, wetlands, healthy freshwater ecosystems, etc., to supply clean water, regulate flooding, enhance water quality and control erosion (6.3.3.1 to 6.3.3.6.).</t>
  </si>
  <si>
    <t>Assessment Tables</t>
  </si>
  <si>
    <t>Copy the complete current tbl_WR_Assessment table.
Copy the complete current tbl_WR_AdditionalActions table.
Paste both tables into the same Web AI conversation.</t>
  </si>
  <si>
    <t>&lt;&lt; Attach in Web AI</t>
  </si>
  <si>
    <t>ADDITIONAL ACTIONS TABLE</t>
  </si>
  <si>
    <t>Vulnerability Eligibility</t>
  </si>
  <si>
    <t>Vulnerability Eligibility Justification</t>
  </si>
  <si>
    <t>Exposure Eligibility</t>
  </si>
  <si>
    <t>Exposure Eligibility Justification</t>
  </si>
  <si>
    <t>WATER RESOURCES ELIGIBILITY AND EFFECTIVENESS SUMMARY</t>
  </si>
  <si>
    <t>Record Type</t>
  </si>
  <si>
    <t>Action ID</t>
  </si>
  <si>
    <t>Action Name</t>
  </si>
  <si>
    <t>Vulnerability Effectiveness</t>
  </si>
  <si>
    <t>Exposure Effectiveness</t>
  </si>
  <si>
    <t>Copy the complete Web AI response.
Run directly in Excel Copilot.
It may update only:
tbl_WR_Assessment
tbl_WR_AdditionalActions
tbl_WR_EligibilitySummary
If Excel Copilot asks which table, rows, cells or ranges to use, stop because the Web AI response is incomplete.</t>
  </si>
  <si>
    <t>Vulnerability Evidence Count</t>
  </si>
  <si>
    <t>Exposure Evidence Count</t>
  </si>
  <si>
    <t>Not eligible</t>
  </si>
  <si>
    <t>Review required</t>
  </si>
  <si>
    <t>Eligible</t>
  </si>
  <si>
    <t>Coastal protective structures primarily reduce impacts from sea-level rise and coastal erosion and do not directly change an approved Water Resources Vulnerability indicator.</t>
  </si>
  <si>
    <t>Hazard shelters protect residents during extreme events but do not directly change an approved Water Resources Vulnerability indicator.</t>
  </si>
  <si>
    <t>Public shading primarily reduces heat exposure and does not directly change an approved Water Resources Vulnerability indicator.</t>
  </si>
  <si>
    <t>Cool surfaces primarily reduce heat absorption and energy demand and do not directly change an approved Water Resources Vulnerability indicator.</t>
  </si>
  <si>
    <t>Water-saving technologies directly reduce household, agricultural or industrial water demand and therefore directly affect Average per capita water consumption and the productive-sector water-balance indicators.</t>
  </si>
  <si>
    <t>Watershed protection directly addresses Water quality, degraded or deforested areas, erosion susceptibility and hydrological ecosystem-regulation conditions represented by approved Vulnerability indicators.</t>
  </si>
  <si>
    <t>Water-tariff reform directly affects water-consumption behaviour and household affordability represented by Average per capita water consumption and Income not affected by water prices.</t>
  </si>
  <si>
    <t>General post-disaster financial support does not directly change an approved Water Resources Vulnerability indicator.</t>
  </si>
  <si>
    <t>A firefighting brigade primarily addresses fire prevention and response and does not directly change an approved Water Resources Vulnerability indicator.</t>
  </si>
  <si>
    <t>General emergency response primarily addresses disaster preparedness rather than an approved Water Resources Vulnerability condition.</t>
  </si>
  <si>
    <t>The Municipal Risk Reduction Plan primarily manages floods and landslides and does not directly change an approved Water Resources Vulnerability indicator.</t>
  </si>
  <si>
    <t>Flood-risk land-use planning primarily changes disaster exposure and does not directly change an approved Water Resources Vulnerability indicator.</t>
  </si>
  <si>
    <t>The early-warning system addresses intense rainfall and landslide hazards rather than an approved Water Resources Vulnerability indicator.</t>
  </si>
  <si>
    <t>Integrated coastal-zone management primarily addresses sea-level rise and coastal erosion and does not directly change an approved Water Resources Vulnerability indicator.</t>
  </si>
  <si>
    <t>Coastal retreat reduces coastal-hazard impacts but does not directly change an approved Water Resources Vulnerability indicator.</t>
  </si>
  <si>
    <t>Climate-resilient building codes primarily address building and land-use safety rather than an approved Water Resources Vulnerability indicator.</t>
  </si>
  <si>
    <t>Spatial redirection primarily reduces exposure to floods, heatwaves and sea-level rise and does not directly change an approved Water Resources Vulnerability indicator.</t>
  </si>
  <si>
    <t>Livelihood diversification for fisheries and mariculture primarily addresses income stability outside the approved Water Resources Vulnerability indicators.</t>
  </si>
  <si>
    <t>Irrigation-efficiency measures directly affect Water balance for agriculture and the action explicitly supports productive activities dependent on water resources.</t>
  </si>
  <si>
    <t>Food storage and distribution infrastructure addresses food-system resilience and does not directly change an approved Water Resources Vulnerability indicator.</t>
  </si>
  <si>
    <t>Water capture and storage directly affect Artificial reserve, Underground storage potential, Alternatives to water supply and productive-sector water availability.</t>
  </si>
  <si>
    <t>Water-use efficiency, irrigation improvement and aquifer recharge directly affect water-production efficiency, productive-sector water balance, consumption and storage indicators.</t>
  </si>
  <si>
    <t>Water reuse, water upgrading, supply infrastructure and groundwater recharge directly affect Alternatives to water supply, Water quality and productive-sector water balance.</t>
  </si>
  <si>
    <t>Mobility of fishing fleets and workers primarily responds to shifting marine species and does not directly change an approved Water Resources Vulnerability indicator.</t>
  </si>
  <si>
    <t>The action protects coastal communities and assets from coastal hazards but does not directly change the presence or location of the approved water-resource user categories exposed to water scarcity or water stress.</t>
  </si>
  <si>
    <t>Temporary protection in shelters does not change the presence, location or number of water-resource users exposed to water scarcity or water stress.</t>
  </si>
  <si>
    <t>The action does not change exposure of an approved water-resource user category to water scarcity or water stress.</t>
  </si>
  <si>
    <t>The action does not change the presence, location or number of water-resource users exposed to water scarcity or water stress.</t>
  </si>
  <si>
    <t>The action changes water demand and adaptive capacity but does not directly change the presence or location of exposed water-resource users.</t>
  </si>
  <si>
    <t>Watershed protection changes environmental conditions but does not directly change the presence or location of exposed water-resource users.</t>
  </si>
  <si>
    <t>Tariff reform affects vulnerability and adaptive capacity but does not directly change the number or location of exposed water-resource users.</t>
  </si>
  <si>
    <t>Financial recovery support does not directly change the presence or location of water-resource users exposed to water stress.</t>
  </si>
  <si>
    <t>The action does not change exposure of water-resource users to water scarcity or water stress.</t>
  </si>
  <si>
    <t>Emergency response does not directly change the presence or location of users exposed to water scarcity or water stress.</t>
  </si>
  <si>
    <t>Identification of populations exposed to floods and landslides is not equivalent to exposure of water-resource users to water scarcity or water stress.</t>
  </si>
  <si>
    <t>Redirecting development from flood-prone areas does not directly change exposure of water-resource users to water scarcity or water stress.</t>
  </si>
  <si>
    <t>Warning populations about floods and landslides does not change exposure of water-resource users to water scarcity or water stress.</t>
  </si>
  <si>
    <t>Coastal hazard management does not directly change exposure of approved water-resource user categories to water scarcity or water stress.</t>
  </si>
  <si>
    <t>Relocation from coastal hazard zones changes coastal exposure, not exposure of water-resource users to water scarcity or water stress.</t>
  </si>
  <si>
    <t>Building codes do not directly change exposure of water-resource users to water scarcity or water stress.</t>
  </si>
  <si>
    <t>Redirecting development from hazard zones does not directly change exposure of water-resource users to water scarcity or water stress.</t>
  </si>
  <si>
    <t>The action does not directly change exposure of an approved water-resource user category.</t>
  </si>
  <si>
    <t>The action changes agricultural water demand and adaptive capacity but does not directly change the location or number of irrigation or animal-husbandry users exposed.</t>
  </si>
  <si>
    <t>Storage changes water availability and adaptive capacity but does not directly change the presence or location of exposed water-resource users.</t>
  </si>
  <si>
    <t>The action modifies demand, supply and adaptive capacity but does not directly relocate or remove water-resource users from exposed contexts.</t>
  </si>
  <si>
    <t>Urban water management changes water availability and service conditions but does not directly change the presence or location of exposed water-resource users.</t>
  </si>
  <si>
    <t>Fishing fleets and workers are not one of the approved exposed water-resource user categories in this framework.</t>
  </si>
  <si>
    <t>The action’s primary mechanism is urban flood conveyance and drainage capacity; stormwater-quality improvement is a secondary benefit and does not establish a direct Water Resources Vulnerability pathway for the complete action.</t>
  </si>
  <si>
    <t>The action reduces general urban flood impacts but does not directly change the presence or number of an approved Water Resources user category exposed to water stress.</t>
  </si>
  <si>
    <t>Eligibility corrected</t>
  </si>
  <si>
    <t>The primary mechanism strengthens general healthcare preparedness for extreme events; water, sanitation and waterborne-disease interventions are not explicitly implemented by the ActionDefinition.</t>
  </si>
  <si>
    <t>Healthcare preparedness does not directly change the presence or number of an approved Water Resources user category.</t>
  </si>
  <si>
    <t>Cleaning drainage channels primarily reduces obstruction and urban flooding; any improvement in water quality is secondary and does not establish a direct Water Resources Vulnerability mechanism.</t>
  </si>
  <si>
    <t>Drainage cleaning does not directly change the presence or number of approved Water Resources users exposed to water stress.</t>
  </si>
  <si>
    <t>The action concerns locating and implementing urban gardens but does not specify irrigation efficiency, water-demand management or another direct approved Water Resources mechanism.</t>
  </si>
  <si>
    <t>The action does not directly change the presence or number of an approved Water Resources user category.</t>
  </si>
  <si>
    <t>The primary mechanism is general intersectoral climate-policy coordination; explicit operational participation in water-resource management or basin committees is not part of the ActionDefinition.</t>
  </si>
  <si>
    <t>General climate-policy coordination does not directly change the presence or number of exposed Water Resources users.</t>
  </si>
  <si>
    <t>Protected-area management and sustainable tourism may provide hydrological co-benefits, but the ActionDefinition does not directly implement a mechanism represented by an approved Water Resources indicator.</t>
  </si>
  <si>
    <t>Protected-area conservation does not directly change the presence or number of an approved Water Resources user category.</t>
  </si>
  <si>
    <t>Hydrological telemetry directly produces real-time rainfall and water-level information for water-resource monitoring and can operationally support the approved Drought-related prevention actions indicator.</t>
  </si>
  <si>
    <t>Monitoring hydrological conditions does not directly change the presence or number of Water Resources users exposed to water stress.</t>
  </si>
  <si>
    <t>Environmental education may influence water-related behaviour only through an indirect behavioural pathway not specified as a direct Water Resources implementation mechanism.</t>
  </si>
  <si>
    <t>Education does not directly change the presence or number of an approved Water Resources user category.</t>
  </si>
  <si>
    <t>The primary mechanisms are safe housing, resettlement, slope stabilisation and general drainage works for disaster-risk reduction; any Water Resources effect is secondary.</t>
  </si>
  <si>
    <t>Relocation from flood and landslide zones changes general hazard exposure, not exposure of the approved Water Resources user categories to water stress.</t>
  </si>
  <si>
    <t>Hydrometeorological forecasting could directly support Drought-related prevention actions, but the ActionDefinition does not specify whether the system operationally covers drought or water-resource management.</t>
  </si>
  <si>
    <t>Forecasting and alerts do not directly change the presence or number of approved Water Resources users.</t>
  </si>
  <si>
    <t>Preventive drainage maintenance primarily prevents obstruction and urban flooding; any water-quality or sanitation effect is indirect or incidental.</t>
  </si>
  <si>
    <t>Drainage maintenance does not directly change the presence or number of approved Water Resources users exposed to water stress.</t>
  </si>
  <si>
    <t>A general Climate Action Plan is a planning framework rather than a direct Water Resources intervention and does not itself change an approved Vulnerability indicator.</t>
  </si>
  <si>
    <t>The broad plan does not directly change the presence or number of an approved Water Resources user category.</t>
  </si>
  <si>
    <t>The action explicitly implements bioswales, rain gardens and permeable surfaces to manage stormwater, providing a direct operational pathway to Water quality and erosion-related indicators.</t>
  </si>
  <si>
    <t>Green-blue infrastructure does not directly change the presence or number of approved Water Resources users exposed to water stress.</t>
  </si>
  <si>
    <t>The action is a broad settlement-rehabilitation and resettlement programme; environmental restoration and infrastructure are not defined as direct Water Resources mechanisms.</t>
  </si>
  <si>
    <t>Relocation from flood-prone areas changes general hazard exposure rather than exposure of approved Water Resources user categories.</t>
  </si>
  <si>
    <t>The ActionDefinition explicitly includes forest restoration and revitalisation of watercourses, directly affecting degraded or deforested areas and hydrological ecosystem conditions represented by approved Vulnerability indicators.</t>
  </si>
  <si>
    <t>Urban afforestation does not directly change the presence or number of approved Water Resources users.</t>
  </si>
  <si>
    <t>Slope stabilisation and drainage directly reduce erosion processes and therefore directly affect Areas with soils susceptible to erosion.</t>
  </si>
  <si>
    <t>Slope stabilisation does not directly change the presence or number of approved Water Resources users.</t>
  </si>
  <si>
    <t>General epidemiological monitoring does not directly change Diseases due to inadequate sanitation or Water quality and no specific waterborne-disease mechanism is implemented.</t>
  </si>
  <si>
    <t>Epidemiological surveillance does not directly change the presence or number of approved Water Resources users.</t>
  </si>
  <si>
    <t>Environmental-health surveillance monitors pollution effects but does not directly change Water quality or Diseases due to inadequate sanitation.</t>
  </si>
  <si>
    <t>Surveillance of pollution exposure does not change the presence or number of approved Water Resources users.</t>
  </si>
  <si>
    <t>The primary mechanisms address urban heat, building performance and biodiversity; stormwater management is a secondary co-benefit within the broader action.</t>
  </si>
  <si>
    <t>Green roofs and walls do not directly change the presence or number of approved Water Resources users.</t>
  </si>
  <si>
    <t>The action primarily restores marine and coastal habitats for coastal protection and biodiversity; possible freshwater or erosion benefits are secondary and not representative of the complete action.</t>
  </si>
  <si>
    <t>Natural-area restoration does not directly change the presence or number of approved Water Resources users.</t>
  </si>
  <si>
    <t>The broad action reduces pressures across marine and terrestrial ecosystems; water-quality and erosion benefits arise only from selected examples and are not representative of its primary mechanism.</t>
  </si>
  <si>
    <t>Reducing ecosystem pressures does not directly change the presence or number of approved Water Resources users.</t>
  </si>
  <si>
    <t>The action explicitly implements restoration and sustainable management of riverine and wetland ecosystems, directly affecting Water quality, erosion-related conditions and hydrological ecosystem regulation.</t>
  </si>
  <si>
    <t>Ecosystem-based adaptation does not directly change the presence or number of approved Water Resources users.</t>
  </si>
  <si>
    <t>General retrofitting of roads, housing and energy infrastructure does not directly change water-production or water-distribution conditions.</t>
  </si>
  <si>
    <t>General infrastructure retrofitting does not directly change the presence or number of approved Water Resources users.</t>
  </si>
  <si>
    <t>Climate-risk insurance addresses financial losses from weather hazards but does not directly change the approved water-price or Water Resources income indicators.</t>
  </si>
  <si>
    <t>Insurance does not directly change the presence or number of approved Water Resources users.</t>
  </si>
  <si>
    <t>General social-protection instruments address food security and socioeconomic resilience but do not directly modify an approved Water Resources Vulnerability indicator.</t>
  </si>
  <si>
    <t>Social safety nets do not directly change the presence or number of approved Water Resources users.</t>
  </si>
  <si>
    <t>The ActionDefinition explicitly includes clean-water and sanitation services, which directly affect Diseases due to inadequate sanitation and Water quality.</t>
  </si>
  <si>
    <t>Healthcare services do not directly change the presence or number of approved Water Resources users.</t>
  </si>
  <si>
    <t>Water-saving technologies are a narrow example within a substantially broader food, livelihood, dietary and waste-reduction action and are not representative of its primary mechanism.</t>
  </si>
  <si>
    <t>The broad food-resilience action does not directly change the presence or number of approved Water Resources users.</t>
  </si>
  <si>
    <t>Collective water management is one example within a broad action focused on fisheries, ocean governance, migration and land rights and is not representative of the complete action.</t>
  </si>
  <si>
    <t>Cooperative governance does not directly change the presence or number of approved Water Resources users.</t>
  </si>
  <si>
    <t>The primary mechanism is migration and resettlement support; water-resource management is an ancillary planning consideration rather than a direct approved Vulnerability mechanism.</t>
  </si>
  <si>
    <t>Migration from flood-prone areas changes general hazard exposure rather than exposure of approved Water Resources user categories.</t>
  </si>
  <si>
    <t>The accumulated evidence supports water-saving technology, metering and demand-management mechanisms across residential, agricultural and industrial uses. Effectiveness remains Medium because quantified evidence is available for metering, while other mechanisms and user groups remain context-dependent.</t>
  </si>
  <si>
    <t>IPCC_AR6_WGII_Chapter04_p626
WR_SRC_010_p14
WR_SRC_006_p27</t>
  </si>
  <si>
    <t>IPCC_AR6_WGII_Chapter04.pdf
WR_SRC_010 | Water Security and Climate Change: Insights from Country Climate and Development Reports | World Bank | 2024
WR_SRC_006 | Under Pressure: Effects, Impacts, and Adaptation to Climate Change in Latin American and Caribbean Water Operators | Inter-American Development Bank | 2023</t>
  </si>
  <si>
    <t>Printed page 626
Printed page 12 | PDF page 14
Printed page 27 | PDF page 27</t>
  </si>
  <si>
    <t>The use of water-saving technologies like laser levelling, micro-irrigation, efficient pumps and water distribution systems (Kumar et al., 2016); increasing irrigation efficiency (Wang et al., 2019a) through improved agronomic practices (Kakumanu et al., 2018) and economic instruments like water trading in developed countries like Australia (Kirby et al., 2014) are known to reduce water application rates and increase yields, and ‘save’ water at the plot level, but may exacerbate basin-scale water scarcity (van der Kooij et al., 2013; Zhou et al., 2021).
"Key adaptation measures should be attentive to water demand management, including reconstruction and modernization of water infrastructure, an increased share of water-saving technologies in industry and agriculture, introduction of water-saving irrigation technologies (drip and in-soil irrigation, sprinkling, local-impulse irrigation, irrigation along furrows, regulation of irrigation of fields), and production of higher-value crops with lower water use (World Bank 2022b,g)."
According to a recent IDB study in Quito, micro-metering can reduce water consumption by 8% (Carrillo et al., 2021).</t>
  </si>
  <si>
    <t>Areas with soils susceptible to erosion; Water quality; Nature reserve; Degraded and/or deforested areas</t>
  </si>
  <si>
    <t>The accumulated evidence directly supports watershed conservation and reforestation as mechanisms reducing erosion, sediment and nutrient pressure on water sources. Effectiveness is High because the new evidence reports significant water-quality benefits and a quantified reduction in drought-related economic losses.</t>
  </si>
  <si>
    <t>IPCC_AR6_WGII_Chapter04_p643
WR_SRC_010_p6
WR_SRC_006_p30</t>
  </si>
  <si>
    <t>Printed page 643
Printed page 4 | PDF page 6
Printed page 30 | PDF page 30</t>
  </si>
  <si>
    <t>Contour ridge terraces primarily controlled water runoff and soil erosion and acted as a buffer during the 2015 Ethiopian drought.
"Nature-based solutions can boost carbon sequestration, replenish water resources, and benefit poor communities that disproportionately rely on water and nature for livelihoods."
In São Paulo, reforestation could significantly reduce sediment and nutrient loading in water sources (Abell et al., 2017; Ozment et al., 2018), and economic losses from the 2014-2015 drought would have been reduced by 28% if NbS had been implemented (Stein Ciasca et al., 2023).</t>
  </si>
  <si>
    <t>The accumulated evidence supports tariffs as a direct demand-management mechanism that can encourage rational water use. Effectiveness remains Medium because the report identifies tariffs as one option within a wider group of price and non-price measures without quantifying the tariff-specific reduction in consumption.</t>
  </si>
  <si>
    <t>WR_SRC_010_p3
WR_SRC_010_p12
WR_SRC_006_p28</t>
  </si>
  <si>
    <t>WR_SRC_010 | Water Security and Climate Change: Insights from Country Climate and Development Reports | World Bank | 2024
WR_SRC_006 | Under Pressure: Effects, Impacts, and Adaptation to Climate Change in Latin American and Caribbean Water Operators | Inter-American Development Bank | 2023</t>
  </si>
  <si>
    <t>Printed page 1 | PDF page 3
Printed page 10 | PDF page 12
Printed page 28 | PDF page 28</t>
  </si>
  <si>
    <t>"Demand-side management often proves to be more cost-effective in addressing water supply shortages than investing in supply-side solutions. Effective water demand management involves adjusting water tariffs to reflect the true value of water in water allocation and use, increasing consumer awareness, and strengthening regulations and technologies to improve water use efficiency."
"However, pricing reform is politically sensitive due to affordability concerns and the perspective that access to water is a basic human right."
Measures to promote demand efficiency include the establishment of tariffs that encourage rational use, as well as non-price policy options such as s the promotion of water-saving technology, labeling schemes, social comparison through bills, and education programs (Ong et al., 2023).</t>
  </si>
  <si>
    <t>The accumulated evidence supports systematic hydrological monitoring as an operational mechanism for water-resource observation and drought-related preparedness. Effectiveness remains Medium because the PDF documents implementation by operators but does not quantify resulting reductions in drought impacts.</t>
  </si>
  <si>
    <t>WR_SRC_010_p16
WR_SRC_006_p50</t>
  </si>
  <si>
    <t>Printed page 14 | PDF page 16
Printed page 50 | PDF page 50</t>
  </si>
  <si>
    <t>"CCDRs can emphasize the importance of monitoring the results of water sector investments, especially through the systematic use of remote sensing to overcome data collection weaknesses in the water sector."
Some traditional adaptation measures not included in the table, but reported by operators under the category “Other” include the installation of photovoltaic renewable energy systems at pumping stations (Barbados), installation of automatic real-time groundwater quality monitoring stations (Barbados), interconnection of supply networks and water sources (Brazil, Colombia), purchase of water (Chile), construction and expansion of sources, expansion of plants, construction of ponds, renovation and replacement of pipes (Chile), ultrasound equipment for algae control (Colombia), and replacement and modernization of secondary network infrastructure, using more resistant materials -PEAD (Colombia).</t>
  </si>
  <si>
    <t>Water quality; Areas with soils susceptible to erosion; Nature reserve; Underground storage potential</t>
  </si>
  <si>
    <t>The accumulated evidence supports urban green infrastructure as a mechanism for managing stormwater and increasing aquifer recharge. Effectiveness remains Medium because the PDF describes the expected mechanism but does not provide a quantified outcome for a specific urban green-blue network.</t>
  </si>
  <si>
    <t>IPCC_AR6_WGII_Chapter04_p632
WR_SRC_006_p30</t>
  </si>
  <si>
    <t>IPCC_AR6_WGII_Chapter04.pdf
WR_SRC_006 | Under Pressure: Effects, Impacts, and Adaptation to Climate Change in Latin American and Caribbean Water Operators | Inter-American Development Bank | 2023</t>
  </si>
  <si>
    <t>Printed page 632 | PDF page 82
Printed page 30 | PDF page 30</t>
  </si>
  <si>
    <t>Natural infrastructure (green and blue) uses natural or semi-natural systems, for example, wetlands, healthy freshwater ecosystems, etc., to supply clean water, regulate flooding, enhance water quality and control erosion (6.3.3.1 to 6.3.3.6.). Grey infrastructure can damage biophysical and hydrological processes, seal soils and bury streams. Compared with grey physical infrastructure, natural infrastructure is often more flexible, cost-effective and can provide multiple societal and environmental benefits simultaneously (McVittie et al., 2018; UN Water, 2018; IPBES, 2019).
While these are not usually the purview of water operators, permeable pavement, green roofs, bioretention and riparian parks are often local government interventions that reduce urban flood risk and recharge aquifers, contributing to water security (Solis, 2023).</t>
  </si>
  <si>
    <t>Degraded and/or deforested areas; Water quality; Areas with soils susceptible to erosion; Nature reserve</t>
  </si>
  <si>
    <t>Reforestation directly reduces degradation pressure and sediment and nutrient loading in water sources. Effectiveness is High because the PDF reports a significant water-quality mechanism and a quantified estimate of avoided drought-related economic losses from nature-based solutions.</t>
  </si>
  <si>
    <t>WR_SRC_006_p30</t>
  </si>
  <si>
    <t>WR_SRC_006 | Under Pressure: Effects, Impacts, and Adaptation to Climate Change in Latin American and Caribbean Water Operators | Inter-American Development Bank | 2023</t>
  </si>
  <si>
    <t>Printed page 30 | PDF page 30</t>
  </si>
  <si>
    <t>In São Paulo, reforestation could significantly reduce sediment and nutrient loading in water sources (Abell et al., 2017; Ozment et al., 2018), and economic losses from the 2014-2015 drought would have been reduced by 28% if NbS had been implemented (Stein Ciasca et al., 2023).</t>
  </si>
  <si>
    <t>Nature reserve; Water quality; Areas with soils susceptible to erosion; Degraded and/or deforested areas</t>
  </si>
  <si>
    <t>The accumulated evidence supports ecosystem restoration and natural infrastructure as direct mechanisms for improving water quality, reducing sediment pressure and increasing resilience to drought. Effectiveness is High because the new evidence reports significant source-water benefits and a quantified estimate of avoided drought losses.</t>
  </si>
  <si>
    <t>WR_SRC_010_p6
IPCC_AR6_WGII_Chapter04_p632
WR_SRC_006_p30</t>
  </si>
  <si>
    <t>WR_SRC_010 | Water Security and Climate Change: Insights from Country Climate and Development Reports | World Bank | 2024
IPCC_AR6_WGII_Chapter04.pdf
WR_SRC_006 | Under Pressure: Effects, Impacts, and Adaptation to Climate Change in Latin American and Caribbean Water Operators | Inter-American Development Bank | 2023</t>
  </si>
  <si>
    <t>Printed page 4 | PDF page 6
Printed page 632 | PDF page 82
Printed page 30 | PDF page 30</t>
  </si>
  <si>
    <t>"Nature-based solutions can boost carbon sequestration, replenish water resources, and benefit poor communities that disproportionately rely on water and nature for livelihoods."
In summary, there is growing evidence on NbS effectiveness as an adaptation measure and its critical role for transformative adaptation to address climate change water-related hazards and water security (medium evidence, high agreement). Moreover, several NbS– —for example, natural (blue and green) and grey infrastructure—can help address water-related hazards such as coastal hazards, heavy precipitation, drought, erosion and low water quality (high confidence).
In São Paulo, reforestation could significantly reduce sediment and nutrient loading in water sources (Abell et al., 2017; Ozment et al., 2018), and economic losses from the 2014-2015 drought would have been reduced by 28% if NbS had been implemented (Stein Ciasca et al., 2023).</t>
  </si>
  <si>
    <t>The accumulated evidence directly supports irrigation-efficiency measures as mechanisms for reducing agricultural water demand while maintaining productive capacity. High effectiveness is retained because the evidence includes both strong agricultural outcomes and a comparative finding that pressurized irrigation was more cost-effective than storage investment.</t>
  </si>
  <si>
    <t>IPCC_AR6_WGII_Chapter04_p626
WR_SRC_006_p28</t>
  </si>
  <si>
    <t>Printed page 626
Printed page 28 | PDF page 28</t>
  </si>
  <si>
    <t>In Vietnam, irrigation improvement had the highest positive impact on crop yield among all farm-level adaptive practices (Ho and Shimada, 2019).
On the other hand, investments in pressurized irrigation proved to be more cost-effective by reducing water demand and increasing the availability of the resource (Groves et al., 2021).</t>
  </si>
  <si>
    <t>The accumulated evidence supports reserve wells and diversified storage and supply systems as direct mechanisms for maintaining water-service continuity during surface-source disruptions. High effectiveness is retained because the new evidence documents a quantified 37-hour service-autonomy outcome.</t>
  </si>
  <si>
    <t>IPCC_AR6_WGII_Chapter04_p643
WR_SRC_010_p13
WR_SRC_006_p26</t>
  </si>
  <si>
    <t>Printed page 643
Printed page 11 | PDF page 13
Printed page 26 | PDF page 26</t>
  </si>
  <si>
    <t>Sand dams increase groundwater storage in riverbanks by up to 40%, which is maintained throughout the year.
"Increase storage capacity for hydropower, irrigation, and drinking water"
In Santiago de Chile, investments have been made for an amount close to USD 190 million in the period 2013-2022, which today has afforded the city 37 hours of autonomy in the event of service problems (Solis, 2023).</t>
  </si>
  <si>
    <t>The accumulated evidence directly supports metering, leak detection, network rehabilitation and irrigation-efficiency mechanisms for reducing demand and water losses. High effectiveness is retained because the new evidence includes a quantified 8% reduction in consumption from micro-metering.</t>
  </si>
  <si>
    <t>Different irrigation techniques are associated with significant differences in irrigation water productivity (Deligios et al., 2019), and replacing inefficient systems can reduce average non-beneficial water consumption by up to 76% while maintaining stable crop yields (Jägermeyr et al., 2015).
"Key adaptation measures should be attentive to water demand management, including reconstruction and modernization of water infrastructure, an increased share of water-saving technologies in industry and agriculture, introduction of water-saving irrigation technologies (drip and in-soil irrigation, sprinkling, local-impulse irrigation, irrigation along furrows, regulation of irrigation of fields), and production of higher-value crops with lower water use (World Bank 2022b,g)."
According to a recent IDB study in Quito, micro-metering can reduce water consumption by 8% (Carrillo et al., 2021).</t>
  </si>
  <si>
    <t>Alternatives to water supply; Water quality; Water balance for agriculture; Water balance for industry; Underground storage potential</t>
  </si>
  <si>
    <t>The accumulated evidence supports diversified water sources, rainwater harvesting, wastewater reuse, desalination and groundwater as direct urban water-management mechanisms. Effectiveness remains Medium because implementation varies substantially among operators and some technologies have energy, cost or overexploitation constraints.</t>
  </si>
  <si>
    <t>IPCC_AR6_WGII_Chapter04_p624
WR_SRC_010_p14
WR_SRC_006_p26</t>
  </si>
  <si>
    <t>Printed page 624
Printed page 12 | PDF page 14
Printed page 26 | PDF page 26</t>
  </si>
  <si>
    <t>The use of non-conventional water sources, that is, desalinated and treated waste water, is emerging as an important component of increasing water availability for agriculture (DeNicola et al., 2015; Martínez-Alvarez et al., 2018b; Morote et al., 2019). While desalination has a high potential in alleviating agricultural water stress in arid coastal regions, proper management and water quality standards for desalinated irrigation water are essential to ensure continued or increased crop productivity.
"Mainstreaming water use rationalization with wastewater recycling for industrial and agricultural use would deliver additional economic benefits from water resource circularity while also reducing freshwater stresses for key economic and urban centers."
Groundwater serves as a natural reservoir, ensuring the uninterrupted supply of drinking water services during events that impact surface water sources.</t>
  </si>
  <si>
    <t>WR_ADD_0001</t>
  </si>
  <si>
    <t>Maintain and rehabilitate water and sanitation assets</t>
  </si>
  <si>
    <t>Implement risk-based preventive and corrective maintenance, rehabilitation and replacement of water-production, distribution and sanitation assets to reduce deterioration, prevent failures and maintain continuity of service under changing climate conditions.</t>
  </si>
  <si>
    <t>Preventive maintenance, rehabilitation and network replacement directly reduce deterioration and failures in water-production and distribution systems, affecting Inefficiency in water production, Inefficiency in water distribution and Investments in water resources.</t>
  </si>
  <si>
    <t>Inefficiency in water production; Inefficiency in water distribution; Investments in water resources</t>
  </si>
  <si>
    <t>Adequate asset maintenance directly preserves infrastructure performance and useful life. Effectiveness is High because the PDF reports that inadequate maintenance reduces asset life and increases replacement capital costs by at least 60% in the water sector.</t>
  </si>
  <si>
    <t>WR_SRC_006_p29</t>
  </si>
  <si>
    <t>Printed page 29 | PDF page 29</t>
  </si>
  <si>
    <t>Furthermore, in an analysis conducted for low- and middle-income countries, Rozenberg and Fay (2019) find that the lack of adequate maintenance reduces the useful life of assets and increases capital costs to replace them by at least 60% in the water sector.</t>
  </si>
  <si>
    <t>Asset maintenance changes infrastructure vulnerability and service performance but does not directly change the presence or number of approved exposed water-resource users.</t>
  </si>
  <si>
    <t>New action identified</t>
  </si>
  <si>
    <t>WR_ADD_0002</t>
  </si>
  <si>
    <t>Integrate climate risk into water infrastructure investment planning</t>
  </si>
  <si>
    <t>Apply climate-risk assessment and decision-making under deep uncertainty throughout water-infrastructure planning, design and investment selection to identify robust projects, avoid unnecessary expenditure and maintain water-supply reliability across future scenarios.</t>
  </si>
  <si>
    <t>Climate-risk integration in water-infrastructure investment planning directly affects Investments in water resources and Investments in adaptation policies through the selection of robust water-supply projects.</t>
  </si>
  <si>
    <t>Investments in water resources; Investments in adaptation policies</t>
  </si>
  <si>
    <t>Climate-informed investment planning directly improves the allocation of water-sector adaptation resources while maintaining service objectives. Effectiveness is High because the documented application removed unnecessary investments and generated savings exceeding USD 600 million without affecting water-supply reliability.</t>
  </si>
  <si>
    <t>WR_SRC_006_p28</t>
  </si>
  <si>
    <t>Printed page 28 | PDF page 28</t>
  </si>
  <si>
    <t>The identification of these investments led to savings of over USD 600 million; that is, 25% of the investment budget initially estimated by the company (Kalra et al., 2015).</t>
  </si>
  <si>
    <t>Climate-informed investment planning changes adaptive capacity and investment efficiency but does not directly change the presence or number of approved exposed water-resource users.</t>
  </si>
  <si>
    <t>WR_ADD_0003</t>
  </si>
  <si>
    <t>Use earmarked water tariffs to finance ecosystem services and climate adaptation</t>
  </si>
  <si>
    <t>Include dedicated tariff components or reserve funds in water and sanitation charges to finance ecosystem conservation, restoration, disaster-risk management and climate-adaptation measures that protect water quantity, quality and service reliability.</t>
  </si>
  <si>
    <t>Earmarked tariff revenues directly finance Investments in water resources, Investments in adaptation policies, Water quality and natural water-regulation measures.</t>
  </si>
  <si>
    <t>Investments in water resources; Investments in adaptation policies; Water quality; Nature reserve</t>
  </si>
  <si>
    <t>Earmarked water tariffs mobilize dedicated resources for ecosystem-service and climate-adaptation projects. Effectiveness is Medium because tariff mechanisms were widespread, but only 12 of the 47 companies with eligible tariffs had advanced at least one project.</t>
  </si>
  <si>
    <t>WR_SRC_006_p53</t>
  </si>
  <si>
    <t>Printed page 53 | PDF page 53</t>
  </si>
  <si>
    <t>At the date of this report’s preparation, 47 of the 50 companies nationwide have tariffs that allow them to finance MRSE projects. However, only 12 companies have advanced in the formulation, execution or completion of at least one project.</t>
  </si>
  <si>
    <t>Earmarked tariff financing changes investment and adaptive capacity but does not directly change the presence or number of approved exposed water-resource users.</t>
  </si>
  <si>
    <t>SUMMARY MATRIX</t>
  </si>
  <si>
    <t>Water Resources - Effectiveness on Vulnerability</t>
  </si>
  <si>
    <t>Water Resources - Effectiveness on Exposure</t>
  </si>
  <si>
    <t>Food Security - Effectiveness on Vulnerability</t>
  </si>
  <si>
    <t>Food Security - Effectiveness on Exposure</t>
  </si>
  <si>
    <t>Energy Security - Effectiveness on Vulnerability</t>
  </si>
  <si>
    <t>Energy Security - Effectiveness on Exposure</t>
  </si>
  <si>
    <t>Health - Effectiveness on Vulnerability</t>
  </si>
  <si>
    <t>Health - Effectiveness on Exposure</t>
  </si>
  <si>
    <t>Geohydrological Disasters - Effectiveness on Vulnerability</t>
  </si>
  <si>
    <t>Geohydrological Disasters - Effectiveness on Exposure</t>
  </si>
  <si>
    <t>Biodiversity - Effectiveness on Vulnerability</t>
  </si>
  <si>
    <t>Biodiversity - Effectiveness on Exposure</t>
  </si>
  <si>
    <t>Food Security x actions</t>
  </si>
  <si>
    <t>FOOD SECURITY ELIGIBILITY AND EFFECTIVENESS SUMMARY</t>
  </si>
  <si>
    <t>Review the Food Security reference framework.
Verify that the Vulnerability and Exposure indicator source tables contain the complete approved indicator records and that indicator records remain structured table entries rather than manual text strings.
Verify that all indicator dropdowns and dynamic references are connected to the correct source tables.
Verify specifically that:
- C28 dynamically returns the Food Security Vulnerability indicator library.
- C33 dynamically returns the Food Security Exposure indicator library.
Identify missing indicators, duplicated indicators, broken dynamic references, hard-coded lists and inconsistent indicator names.
Do not modify, classify, score, rename or replace indicators. Do not assess actions.
Return only validation findings and recommended corrections.</t>
  </si>
  <si>
    <t>WEB AI PROMPT
Review the complete supplied sector context, including:
1. Sector Name.
2. Sector Code.
3. Source ID Prefix.
4. Target Source Table.
5. Complete approved Vulnerability indicator list.
6. Complete approved Exposure indicator list.
7. Any available information about the current sector’s AdaptaBrasil framework source.
8. Any available information about the current sector’s relevant IPCC framework source.
Use the supplied sector name and approved indicators as the source-selection framework.
Build a new operational source portfolio for the supplied sector.
Do not assume that the sector is Food Security, Energy Security or another specific sector.
Determine source relevance from:
1. The supplied Sector Name.
2. The supplied approved Vulnerability indicators.
3. The supplied approved Exposure indicators.
4. The potential of each document to support future action-effectiveness assessment.
Do not use the context of a previous conversation.
Do not stop the workflow because a source record, PDF link or metadata field is incomplete.
Always return a complete portfolio of 10 source records.
==================================================
MANDATORY FRAMEWORK SOURCE ROLES
==================================================
The final portfolio must include these two mandatory framework-source roles as the first two records:
1. The official or most relevant available AdaptaBrasil methodological source for the supplied sector.
2. The most directly relevant IPCC assessment source for the supplied sector.
These are mandatory source roles.
They do not need to be fully supplied in advance by the user.
If metadata for these sources is supplied in the context:
1. Use the supplied information.
2. Correct obvious inconsistencies when reliable information is available.
3. Preserve the supplied Source IDs.
4. Use the supplied PDF links when they appear usable.
If metadata is incomplete:
1. Identify the most appropriate AdaptaBrasil source for the supplied sector.
2. Identify the most relevant IPCC source for the supplied sector.
3. Complete as much metadata as reasonably available.
4. Continue building the portfolio even when a PDF link cannot be found.
5. Do not stop the workflow.
6. Do not refuse to create the remaining source records.
If the exact sector-specific AdaptaBrasil methodological PDF cannot be identified:
1. Select the most relevant official AdaptaBrasil sector document, methodological document, indicator document, technical report or official sector page available.
2. Use the exact title when identifiable.
3. Use AdaptaBrasil MCTI, MCTI, INPE or the exact issuing institution identified in the source.
4. Leave Publication year blank only when it cannot be identified reliably.
5. Leave PDF file blank when no PDF link is available.
6. Keep this record as the first source.
7. Clearly instruct Excel Copilot to leave the missing field blank for later user completion.
If the most relevant IPCC PDF cannot be identified:
1. Select the IPCC report, chapter, technical paper or special report most directly relevant to the supplied sector and indicators.
2. Use the exact title when identifiable.
3. Use IPCC as the issuing institution.
4. Leave Publication year blank only when it cannot be identified reliably.
5. Leave PDF file blank when no PDF link is available.
6. Keep this record as the second source.
7. Continue building the complete portfolio.
Do not require full verification of the two framework sources before continuing.
Do not return:
Portfolio inserted: no
Do not return:
Mandatory source incomplete
as a reason for stopping the workflow.
==================================================
FINAL PORTFOLIO COMPOSITION
==================================================
Return exactly 10 source records:
5 records with Geographic scope equal to:
Brazil
5 records with Geographic scope equal to:
International
The two mandatory framework-source roles count toward these totals.
Therefore identify:
1. The current sector’s AdaptaBrasil framework source.
2. The current sector’s relevant IPCC framework source.
3. Four additional Brazilian sources.
4. Four additional international sources.
Do not return more than 10 sources.
Do not return fewer than 10 sources.
Do not create duplicate documents.
Avoid duplicate editions of the same document.
When two sources substantially overlap, retain the document with greater evidence potential.
==================================================
SOURCE-SELECTION OBJECTIVE
==================================================
Select documents that maximise usefulness for future assessment of adaptation-action effectiveness against the supplied approved indicators.
Prioritise documents containing:
1. Explicit adaptation actions.
2. Defined implementation mechanisms.
3. Programme evaluations.
4. Policy evaluations.
5. Monitoring results.
6. Documented outcomes.
7. Quantified results.
8. Effectiveness findings.
9. Implementation barriers.
10. Implementation success factors.
11. Case studies.
12. Trade-offs.
13. Limitations.
14. Evidence about direct action-to-indicator pathways.
15. Evidence about the implementation of sector-specific adaptation measures.
16. Evidence that can be traced to a document section or page.
The portfolio should provide complementary evidence.
Seek coverage across different action types, mechanisms and approved indicators where possible.
Do not select all additional sources around the same narrow intervention.
Do not prioritise a document solely because:
1. Its title contains the sector name.
2. It uses terminology similar to an indicator.
3. It discusses a relevant climate hazard.
4. It provides only general sector background.
5. It is published by a well-known institution.
6. It contains the word adaptation without documenting actions or mechanisms.
==================================================
BRAZILIAN SOURCE PRIORITIES
==================================================
Prioritise Brazilian documents produced by:
1. Federal institutions directly responsible for the supplied sector.
2. Ministries with a direct mandate for the supplied sector.
3. Brazilian public research institutions.
4. Brazilian programme-monitoring institutions.
5. Brazilian programme-evaluation institutions.
6. Relevant regulatory institutions.
7. Relevant territorial or sector-governance bodies.
8. Federal or state public agencies.
9. Universities and public research networks.
10. Brazilian offices or partnerships of multilateral development banks.
Determine institutional relevance from the supplied sector and approved indicators.
Do not use a fixed institutional list copied from another sector.
For Food Security, Energy Security, Food Security, Health, Biodiversity or another sector, adapt the institutional search to the actual sector.
==================================================
INTERNATIONAL SOURCE PRIORITIES
==================================================
Prioritise international documents produced by:
1. IPCC.
2. Relevant United Nations agencies.
3. World Bank.
4. Inter-American Development Bank.
5. Other recognised multilateral development banks.
6. OECD.
7. Global Center on Adaptation.
8. International research organisations with a direct mandate for the supplied sector.
9. International sector-specific organisations.
10. Peer-reviewed scientific synthesis publications.
11. Peer-reviewed programme or intervention evaluations.
Select international organisations according to the supplied sector and approved indicators.
Do not assume that FAO, UNEP, UNECE, WHO, IEA or another organisation is relevant unless the document has evidence potential for the supplied sector.
==================================================
SOURCE SELECTION RULES
==================================================
Prefer a source when:
1. The document title is identifiable.
2. The issuing institution is identifiable.
3. The publication year is identifiable.
4. The document is relevant to at least one supplied approved indicator.
5. The document is likely to contain evidence about adaptation actions, implementation, outcomes or effectiveness.
6. The document adds material evidence potential to the portfolio.
7. The document is not a duplicate.
8. The document appears sufficiently detailed for future review.
9. A PDF or downloadable report is available.
A source may still be retained when:
1. Its relevance is strong.
2. Its title and institution are identifiable.
3. A direct PDF link cannot be found.
4. The user can reasonably complete the PDF field later.
Do not exclude an otherwise useful source only because:
1. The direct PDF link is unavailable.
2. The PDF link could not be fully tested.
3. The publication year is temporarily unavailable.
4. One metadata field remains incomplete.
5. The official source is currently available only through an institutional publication page.
The absence of a verified PDF link must not prevent completion of the 10-source portfolio.
==================================================
PDF LINK APPROACH
==================================================
Make a reasonable effort to identify a functional PDF link for every selected document.
Prefer links in this order:
1. Direct official institutional PDF.
2. Official institutional document viewer providing access to the complete PDF.
3. Recognised institutional repository.
4. Official co-publisher.
5. University or public research repository.
6. Stable publication page containing access to the PDF.
When a functional PDF link is confidently available:
1. Populate the PDF file field.
2. Use the complete URL.
3. Do not encode the URL as visible HTML.
4. Do not shorten or modify the URL.
When a direct PDF link is not available but an official publication page is available:
1. Use the official publication-page URL in the PDF file field.
2. Do not stop the workflow.
3. Do not exclude the source only for this reason.
When no reliable link is available:
1. Keep the selected source.
2. Leave the PDF file field blank.
3. Instruct Excel Copilot to preserve the blank cell for later user completion.
4. Do not insert placeholder text in the Excel cell.
5. Do not invent or reconstruct a URL.
6. Continue building the remaining records.
Do not require every PDF link to be verified before returning the portfolio.
Do not reject the complete portfolio because one or more PDF links are missing.
==================================================
EXCLUSIONS
==================================================
Do not select:
1. News articles when a complete report is available.
2. Press releases when a complete report is available.
3. Presentations when a complete analytical document is available.
4. Abstract-only records when a full document is available.
5. Generic webpages with no identifiable publication.
6. Dashboards without analytical documentation.
7. Data portals without a relevant supporting report.
8. Duplicate documents.
9. Duplicate editions.
10. Translations of an already selected document unless no other usable edition is available.
11. Documents with no identifiable title.
12. Documents with no identifiable issuing institution.
13. Documents with no clear relevance to the supplied indicators.
14. Documents selected only because of keyword similarity.
15. Documents providing only generic climate background with no action-evidence potential.
A missing PDF link alone is not an exclusion criterion.
A missing publication year alone is not an exclusion criterion.
==================================================
METADATA RULES
==================================================
For each source, provide the best available values for:
1. Source ID.
2. Geographic scope.
3. Document title.
4. Issuing institution.
5. Publication year.
6. PDF file.
Use the exact document title when identifiable.
Use the exact issuing institution when identifiable.
Use the publication year when identifiable.
Do not invent an exact year.
If the year cannot be identified reliably:
leave Publication year blank.
If a reliable link cannot be identified:
leave PDF file blank.
Do not insert text such as:
To be completed
PDF missing
Not found
Unknown
N/A
Verification required
inside metadata cells.
Use an empty value for missing metadata.
Use only these Geographic scope values:
Brazil
International
==================================================
SOURCE IDS
==================================================
Use the Source ID Prefix supplied in the context.
Assign exactly 10 sequential Source IDs.
For a prefix ending with an underscore, use:
[Source ID Prefix]001
[Source ID Prefix]002
[Source ID Prefix]003
[Source ID Prefix]004
[Source ID Prefix]005
[Source ID Prefix]006
[Source ID Prefix]007
[Source ID Prefix]008
[Source ID Prefix]009
[Source ID Prefix]010
Do not omit leading zeroes.
Do not reuse an ID.
Use:
[Source ID Prefix]001
for the AdaptaBrasil framework-source role.
Use:
[Source ID Prefix]002
for the IPCC framework-source role.
Use:
[Source ID Prefix]003 through [Source ID Prefix]006
for the four additional Brazilian sources.
Use:
[Source ID Prefix]007 through [Source ID Prefix]010
for the four additional international sources.
If Source IDs for the mandatory sources are already supplied in the context, retain those IDs when they follow the configured prefix and sequence.
==================================================
OUTPUT REQUIREMENT
==================================================
Return one complete, self-contained Excel Copilot prompt and nothing else.
Do not return research commentary outside the Excel Copilot prompt.
Do not return a diagnostic report instead of the Excel Copilot prompt.
Do not stop because metadata or PDF links are incomplete.
The returned Excel Copilot prompt must explicitly state:
Target structured table:
Use the exact Target Source Table supplied in the context.
The returned Excel Copilot prompt may rebuild only that target source table.
It may not modify another table or worksheet section.
Populate exactly these existing columns:
Source ID
Geographic scope
Document title
Issuing institution
Publication year
PDF file
List all 10 source records explicitly.
For each source record provide the exact available value to write for:
1. Source ID.
2. Geographic scope.
3. Document title.
4. Issuing institution.
5. Publication year.
6. PDF file.
If Publication year is unavailable:
instruct Excel Copilot to leave the cell blank.
If PDF file is unavailable:
instruct Excel Copilot to leave the cell blank.
Do not omit the source record.
Do not replace a missing value with a placeholder.
Do not ask the user to select cells, ranges or tables.
Do not ask which sources to retain.
Do not ask for confirmation.
Do not ask for missing metadata.
Always return the complete 10-source Excel Copilot prompt in the current response.
==================================================
EXCEL COPILOT EXECUTION INSTRUCTIONS
==================================================
Instruct Excel Copilot to:
1. Use the exact Target Source Table supplied in the context.
2. Preserve the existing table name.
3. Preserve the existing six-column structure.
4. Preserve the existing column order.
5. Resize the table to contain exactly 10 non-empty source records.
6. Keep the AdaptaBrasil framework source as row 1.
7. Keep the IPCC framework source as row 2.
8. Replace previous non-mandatory records with the newly selected portfolio.
9. Use the exact Source ID Prefix supplied in the context.
10. Use the complete sequential Source ID series from 001 through 010.
11. Maintain exactly 5 Brazil records.
12. Maintain exactly 5 International records.
13. Populate every available PDF link.
14. Leave PDF file blank only when no reliable link is available.
15. Leave Publication year blank only when no reliable year is available.
16. Store available links as normal Excel hyperlinks or complete plain-text URLs.
17. Remove visible HTML anchor code.
18. Preserve table formatting.
19. Preserve filters.
20. Preserve validation.
21. Create</t>
  </si>
  <si>
    <t>FS_SRC_001</t>
  </si>
  <si>
    <t>FS_SRC_002</t>
  </si>
  <si>
    <t>Copy the complete current tbl_FS_Assessment table.
Copy the complete current tbl_FS_AdditionalActions table.
Paste both tables into the same Web AI conversation.</t>
  </si>
  <si>
    <t>Copy the complete Web AI response.
Run directly in Excel Copilot.
It may update only:
tbl_FS_Assessment
tbl_FS_AdditionalActions
tbl_FS_EligibilitySummary
If Excel Copilot asks which table, rows, cells or ranges to use, stop because the Web AI response is incomplete.</t>
  </si>
  <si>
    <t>AdaptaBrasil MCTI: Índices e Indicadores</t>
  </si>
  <si>
    <t>MCTI / INPE</t>
  </si>
  <si>
    <t>https://adaptabrasil.mcti.gov.br/sobre/lista-de-indicadores</t>
  </si>
  <si>
    <t>Climate Change 2022: Impacts, Adaptation and Vulnerability (AR6 WGII), Chapter 5: Food, Fibre and Other Ecosystem Products</t>
  </si>
  <si>
    <t>https://www.ipcc.ch/report/ar6/wg2/chapter/chapter-5/</t>
  </si>
  <si>
    <t>FS_SRC_003</t>
  </si>
  <si>
    <t>Estratégia de Adaptação à Mudança do Clima para a Agropecuária Brasileira</t>
  </si>
  <si>
    <t>Ministério da Agricultura e Pecuária (MAPA)</t>
  </si>
  <si>
    <t>https://repositorio-dspace.agricultura.gov.br/bitstream/1/2120/4/PORTUGU%C3%8AS_NAP-Brazil-adaptation-report-pt-July03.pdf</t>
  </si>
  <si>
    <t>FS_SRC_004</t>
  </si>
  <si>
    <t>Adaptation Strategy: Food and Nutritional Security</t>
  </si>
  <si>
    <t>Ministério do Meio Ambiente</t>
  </si>
  <si>
    <t>https://antigo.mma.gov.br/images/arquivo/80182/Adaptation%20Strategy%20-%20Food%20and%20Nutritional%20Security.pdf</t>
  </si>
  <si>
    <t>FS_SRC_005</t>
  </si>
  <si>
    <t>Brazil National Pathways to Sustainable Food Systems</t>
  </si>
  <si>
    <t>Government of Brazil / UN Food Systems Summit</t>
  </si>
  <si>
    <t>https://www.unfoodsystemshub.org/docs/unfoodsystemslibraries/national-pathways/brazil/2023-07-21-caminhos-nacionais-ii-eng.pdf</t>
  </si>
  <si>
    <t>FS_SRC_006</t>
  </si>
  <si>
    <t>Food and Nutrition Security in Brazil</t>
  </si>
  <si>
    <t>InterAmerican Network of Academies of Sciences (IANAS)</t>
  </si>
  <si>
    <t>https://ianas.org/wp-content/uploads/2025/04/fchap03.pdf</t>
  </si>
  <si>
    <t>FS_SRC_007</t>
  </si>
  <si>
    <t>Climate-smart Agriculture for Food Security</t>
  </si>
  <si>
    <t>FAO</t>
  </si>
  <si>
    <t>https://openknowledge.fao.org/server/api/core/bitstreams/83ce8fff-f030-436e-aee3-b8d85ca4e492/content</t>
  </si>
  <si>
    <t>FS_SRC_008</t>
  </si>
  <si>
    <t>Future of Food: Shaping a Climate-Smart Global Food System</t>
  </si>
  <si>
    <t>https://www.worldbank.org/en/topic/agriculture/publication/shaping-a-climate-smart-global-food-system</t>
  </si>
  <si>
    <t>FS_SRC_009</t>
  </si>
  <si>
    <t>Climate, Agriculture and Food Security: A Strategy for Change</t>
  </si>
  <si>
    <t>https://documents1.worldbank.org/curated/en/330581468162838292/pdf/521170WP0CCAFS10Box345553B01PUBLIC1.pdf</t>
  </si>
  <si>
    <t>FS_SRC_010</t>
  </si>
  <si>
    <t>Rising to the Challenge: Success Stories and Strategies for Achieving Climate Adaptation and Resilience</t>
  </si>
  <si>
    <t>https://www.worldbank.org/en/publication/rising-to-the-challenge-climate-adaptation-resilience</t>
  </si>
  <si>
    <t>Pathways to sustainability in Brazilian agriculture: technological drivers, governance, and policy linkages</t>
  </si>
  <si>
    <t>FS_SRC_011</t>
  </si>
  <si>
    <t>https://www.alice.cnptia.embrapa.br/alice/bitstream/doc/1179658/1/Pathways-of-sustainability.pdf</t>
  </si>
  <si>
    <t>Proagro coverage plus; PSR coverage</t>
  </si>
  <si>
    <t>Direct source water shortage; Compromised water quality; Child malnutrition; Occurrence of diseases related to inadequate environmental sanitation</t>
  </si>
  <si>
    <t>Susceptibility of agricultural productivity; Susceptibility of livestock productivity; Irrigation susceptibility; Technical guidance; Homogeneity of agricultural production</t>
  </si>
  <si>
    <t>Storage capacity; Distance from warehouses; Municipalities without a basic food supply network</t>
  </si>
  <si>
    <t>Irrigation susceptibility; Agriculture and water availability; Water deficit</t>
  </si>
  <si>
    <t>Population density; Total population</t>
  </si>
  <si>
    <t>Reviewed</t>
  </si>
  <si>
    <t>The primary mechanism addresses coastal protection structures against sea-level rise and erosion. It does not directly change an approved Food Security Vulnerability indicator without an indirect or unsupported pathway.</t>
  </si>
  <si>
    <t>The primary mechanism addresses urban drainage upgrades to reduce flooding. It does not directly change an approved Food Security Vulnerability indicator without an indirect or unsupported pathway.</t>
  </si>
  <si>
    <t>The primary mechanism addresses temporary emergency shelters during climate hazards. It does not directly change an approved Food Security Vulnerability indicator without an indirect or unsupported pathway.</t>
  </si>
  <si>
    <t>The primary mechanism addresses public shading to reduce heat exposure. It does not directly change an approved Food Security Vulnerability indicator without an indirect or unsupported pathway.</t>
  </si>
  <si>
    <t>The primary mechanism addresses reflective pavements and roofs to reduce urban heat. It does not directly change an approved Food Security Vulnerability indicator without an indirect or unsupported pathway.</t>
  </si>
  <si>
    <t>The primary mechanism addresses water-tariff pricing for efficient and equitable consumption. It does not directly change an approved Food Security Vulnerability indicator without an indirect or unsupported pathway.</t>
  </si>
  <si>
    <t>The primary mechanism addresses post-disaster financial assistance and recovery support. It does not directly change an approved Food Security Vulnerability indicator without an indirect or unsupported pathway.</t>
  </si>
  <si>
    <t>The primary mechanism addresses healthcare emergency response for climate-event victims. It does not directly change an approved Food Security Vulnerability indicator without an indirect or unsupported pathway.</t>
  </si>
  <si>
    <t>The primary mechanism addresses drainage-channel cleaning and flood-blockage reduction. It does not directly change an approved Food Security Vulnerability indicator without an indirect or unsupported pathway.</t>
  </si>
  <si>
    <t>The primary mechanism addresses coordination and participation in climate policy. It does not directly change an approved Food Security Vulnerability indicator without an indirect or unsupported pathway.</t>
  </si>
  <si>
    <t>The primary mechanism addresses hydrological and meteorological monitoring. It does not directly change an approved Food Security Vulnerability indicator without an indirect or unsupported pathway.</t>
  </si>
  <si>
    <t>The primary mechanism addresses environmental education and climate awareness. It does not directly change an approved Food Security Vulnerability indicator without an indirect or unsupported pathway.</t>
  </si>
  <si>
    <t>The primary mechanism addresses emergency preparedness and response planning. It does not directly change an approved Food Security Vulnerability indicator without an indirect or unsupported pathway.</t>
  </si>
  <si>
    <t>The primary mechanism addresses safe-housing construction and resettlement. It does not directly change an approved Food Security Vulnerability indicator without an indirect or unsupported pathway.</t>
  </si>
  <si>
    <t>The primary mechanism addresses hydrometeorological forecasting and alerts. It does not directly change an approved Food Security Vulnerability indicator without an indirect or unsupported pathway.</t>
  </si>
  <si>
    <t>The primary mechanism addresses risk-reduction planning and vulnerable-group identification. It does not directly change an approved Food Security Vulnerability indicator without an indirect or unsupported pathway.</t>
  </si>
  <si>
    <t>The primary mechanism addresses preventive maintenance of urban drainage. It does not directly change an approved Food Security Vulnerability indicator without an indirect or unsupported pathway.</t>
  </si>
  <si>
    <t>The primary mechanism addresses citywide climate planning. It does not directly change an approved Food Security Vulnerability indicator without an indirect or unsupported pathway.</t>
  </si>
  <si>
    <t>The primary mechanism addresses flood mapping and land-use planning revisions. It does not directly change an approved Food Security Vulnerability indicator without an indirect or unsupported pathway.</t>
  </si>
  <si>
    <t>The primary mechanism addresses urban green-blue infrastructure and corridors. It does not directly change an approved Food Security Vulnerability indicator without an indirect or unsupported pathway.</t>
  </si>
  <si>
    <t>The primary mechanism addresses resident relocation and settlement restoration. It does not directly change an approved Food Security Vulnerability indicator without an indirect or unsupported pathway.</t>
  </si>
  <si>
    <t>The primary mechanism addresses urban afforestation and tree planting. It does not directly change an approved Food Security Vulnerability indicator without an indirect or unsupported pathway.</t>
  </si>
  <si>
    <t>The primary mechanism addresses multi-hazard warning and preparedness. It does not directly change an approved Food Security Vulnerability indicator without an indirect or unsupported pathway.</t>
  </si>
  <si>
    <t>The primary mechanism addresses slope stabilization and hillside drainage. It does not directly change an approved Food Security Vulnerability indicator without an indirect or unsupported pathway.</t>
  </si>
  <si>
    <t>The primary mechanism addresses epidemiological monitoring and health information. It does not directly change an approved Food Security Vulnerability indicator without an indirect or unsupported pathway.</t>
  </si>
  <si>
    <t>The primary mechanism addresses integrated coastal-zone planning. It does not directly change an approved Food Security Vulnerability indicator without an indirect or unsupported pathway.</t>
  </si>
  <si>
    <t>The primary mechanism addresses environmental-health surveillance of pollution exposure. It does not directly change an approved Food Security Vulnerability indicator without an indirect or unsupported pathway.</t>
  </si>
  <si>
    <t>The primary mechanism addresses green roofs and walls for heat and stormwater resilience. It does not directly change an approved Food Security Vulnerability indicator without an indirect or unsupported pathway.</t>
  </si>
  <si>
    <t>The primary mechanism addresses planned coastal relocation. It does not directly change an approved Food Security Vulnerability indicator without an indirect or unsupported pathway.</t>
  </si>
  <si>
    <t>The primary mechanism addresses marine and coastal habitat restoration. It does not directly change an approved Food Security Vulnerability indicator without an indirect or unsupported pathway.</t>
  </si>
  <si>
    <t>The primary mechanism addresses reduction of pollution and ecosystem pressures. It does not directly change an approved Food Security Vulnerability indicator without an indirect or unsupported pathway.</t>
  </si>
  <si>
    <t>Implementing agroecology and vegetation management directly changes agricultural production conditions and vegetation cover. The direct approved indicators are Susceptibility of agricultural productivity and Vegetation cover losses.</t>
  </si>
  <si>
    <t>The primary mechanism addresses retrofitting infrastructure against climate hazards. It does not directly change an approved Food Security Vulnerability indicator without an indirect or unsupported pathway.</t>
  </si>
  <si>
    <t>The primary mechanism addresses climate-resilient building codes. It does not directly change an approved Food Security Vulnerability indicator without an indirect or unsupported pathway.</t>
  </si>
  <si>
    <t>The primary mechanism addresses zoning and spatial direction of development. It does not directly change an approved Food Security Vulnerability indicator without an indirect or unsupported pathway.</t>
  </si>
  <si>
    <t>Expanding agricultural and index-based climate insurance directly changes agricultural insurance coverage represented by Proagro coverage plus and PSR coverage.</t>
  </si>
  <si>
    <t>Training, microcredit and value-chain connections for alternative income activities directly diversify livelihood revenue sources represented by Diversity of revenues.</t>
  </si>
  <si>
    <t>Cash transfers and school feeding directly affect household food access and nutrition represented by Food and nutritional insecurity and Child malnutrition. Generic programmes do not directly establish PNAE or family-allowance coverage.</t>
  </si>
  <si>
    <t>Delivering nutrition, clean-water and sanitation services directly changes the listed water, nutrition and sanitation-related approved indicators.</t>
  </si>
  <si>
    <t>Improved breeds, irrigation efficiency, extension services, technical assistance and crop diversification directly change agricultural and livestock production conditions represented by the listed approved indicators.</t>
  </si>
  <si>
    <t>Constructing storage facilities and upgrading food-distribution networks directly change Storage capacity, Distance from warehouses and Municipalities without a basic food supply network.</t>
  </si>
  <si>
    <t>Food-access support, low-cost storage and dietary change directly affect Food and nutritional insecurity, Storage capacity and Overweight and obesity. Broader agricultural and livelihood effects are not attributed without a more specific mechanism.</t>
  </si>
  <si>
    <t>On-farm ponds, harvesting systems and water-storage tanks directly increase agricultural water availability and reduce Water deficit. Generic tanks do not directly establish coverage of a named cistern programme.</t>
  </si>
  <si>
    <t>Precision and drip irrigation directly change agricultural irrigation efficiency and water demand represented by Irrigation susceptibility, Agriculture and water availability and Water deficit.</t>
  </si>
  <si>
    <t>The primary mechanism addresses seasonal mobility of fishing fleets and workers. It does not directly change an approved Food Security Vulnerability indicator without an indirect or unsupported pathway.</t>
  </si>
  <si>
    <t>The primary mechanism addresses cooperative and transboundary climate governance. It does not directly change an approved Food Security Vulnerability indicator without an indirect or unsupported pathway.</t>
  </si>
  <si>
    <t>The primary mechanism addresses permanent resettlement and migration. It does not directly change an approved Food Security Vulnerability indicator without an indirect or unsupported pathway.</t>
  </si>
  <si>
    <t>Compromised water quality; Vegetation cover losses</t>
  </si>
  <si>
    <t>Susceptibility of agricultural productivity; Vegetation cover losses</t>
  </si>
  <si>
    <t>Food and nutritional insecurity; Child malnutrition</t>
  </si>
  <si>
    <t>Food and nutritional insecurity; Overweight and obesity; Storage capacity</t>
  </si>
  <si>
    <t>Agriculture and water availability; Water deficit</t>
  </si>
  <si>
    <t>The primary mechanism addresses coastal protection structures against sea-level rise and erosion but does not directly change the presence, spatial location or number represented by an approved Food Security Exposure indicator. Protection, hazard reduction, monitoring or planning does not itself change Exposure.</t>
  </si>
  <si>
    <t>The primary mechanism addresses urban drainage upgrades to reduce flooding but does not directly change the presence, spatial location or number represented by an approved Food Security Exposure indicator. Protection, hazard reduction, monitoring or planning does not itself change Exposure.</t>
  </si>
  <si>
    <t>The primary mechanism addresses temporary emergency shelters during climate hazards but does not directly change the presence, spatial location or number represented by an approved Food Security Exposure indicator. Protection, hazard reduction, monitoring or planning does not itself change Exposure.</t>
  </si>
  <si>
    <t>The primary mechanism addresses public shading to reduce heat exposure but does not directly change the presence, spatial location or number represented by an approved Food Security Exposure indicator. Protection, hazard reduction, monitoring or planning does not itself change Exposure.</t>
  </si>
  <si>
    <t>The primary mechanism addresses reflective pavements and roofs to reduce urban heat but does not directly change the presence, spatial location or number represented by an approved Food Security Exposure indicator. Protection, hazard reduction, monitoring or planning does not itself change Exposure.</t>
  </si>
  <si>
    <t>The primary mechanism addresses general water-saving technologies but does not directly change the presence, spatial location or number represented by an approved Food Security Exposure indicator. Protection, hazard reduction, monitoring or planning does not itself change Exposure.</t>
  </si>
  <si>
    <t>The primary mechanism addresses watershed conservation and pollution prevention but does not directly change the presence, spatial location or number represented by an approved Food Security Exposure indicator. Protection, hazard reduction, monitoring or planning does not itself change Exposure.</t>
  </si>
  <si>
    <t>The primary mechanism addresses water-tariff pricing for efficient and equitable consumption but does not directly change the presence, spatial location or number represented by an approved Food Security Exposure indicator. Protection, hazard reduction, monitoring or planning does not itself change Exposure.</t>
  </si>
  <si>
    <t>The primary mechanism addresses post-disaster financial assistance and recovery support but does not directly change the presence, spatial location or number represented by an approved Food Security Exposure indicator. Protection, hazard reduction, monitoring or planning does not itself change Exposure.</t>
  </si>
  <si>
    <t>The primary mechanism addresses healthcare emergency response for climate-event victims but does not directly change the presence, spatial location or number represented by an approved Food Security Exposure indicator. Protection, hazard reduction, monitoring or planning does not itself change Exposure.</t>
  </si>
  <si>
    <t>The primary mechanism addresses drainage-channel cleaning and flood-blockage reduction but does not directly change the presence, spatial location or number represented by an approved Food Security Exposure indicator. Protection, hazard reduction, monitoring or planning does not itself change Exposure.</t>
  </si>
  <si>
    <t>The primary mechanism addresses coordination and participation in climate policy but does not directly change the presence, spatial location or number represented by an approved Food Security Exposure indicator. Protection, hazard reduction, monitoring or planning does not itself change Exposure.</t>
  </si>
  <si>
    <t>The primary mechanism addresses protected-area management but does not directly change the presence, spatial location or number represented by an approved Food Security Exposure indicator. Protection, hazard reduction, monitoring or planning does not itself change Exposure.</t>
  </si>
  <si>
    <t>The primary mechanism addresses rural fire prevention and response but does not directly change the presence, spatial location or number represented by an approved Food Security Exposure indicator. Protection, hazard reduction, monitoring or planning does not itself change Exposure.</t>
  </si>
  <si>
    <t>The primary mechanism addresses hydrological and meteorological monitoring but does not directly change the presence, spatial location or number represented by an approved Food Security Exposure indicator. Protection, hazard reduction, monitoring or planning does not itself change Exposure.</t>
  </si>
  <si>
    <t>The primary mechanism addresses environmental education and climate awareness but does not directly change the presence, spatial location or number represented by an approved Food Security Exposure indicator. Protection, hazard reduction, monitoring or planning does not itself change Exposure.</t>
  </si>
  <si>
    <t>The primary mechanism addresses emergency preparedness and response planning but does not directly change the presence, spatial location or number represented by an approved Food Security Exposure indicator. Protection, hazard reduction, monitoring or planning does not itself change Exposure.</t>
  </si>
  <si>
    <t>Constructing safe housing and resettling families directly changes population location and distribution represented by Population density and Total population.</t>
  </si>
  <si>
    <t>The primary mechanism addresses hydrometeorological forecasting and alerts but does not directly change the presence, spatial location or number represented by an approved Food Security Exposure indicator. Protection, hazard reduction, monitoring or planning does not itself change Exposure.</t>
  </si>
  <si>
    <t>The primary mechanism addresses risk-reduction planning and vulnerable-group identification but does not directly change the presence, spatial location or number represented by an approved Food Security Exposure indicator. Protection, hazard reduction, monitoring or planning does not itself change Exposure.</t>
  </si>
  <si>
    <t>The primary mechanism addresses preventive maintenance of urban drainage but does not directly change the presence, spatial location or number represented by an approved Food Security Exposure indicator. Protection, hazard reduction, monitoring or planning does not itself change Exposure.</t>
  </si>
  <si>
    <t>The primary mechanism addresses citywide climate planning but does not directly change the presence, spatial location or number represented by an approved Food Security Exposure indicator. Protection, hazard reduction, monitoring or planning does not itself change Exposure.</t>
  </si>
  <si>
    <t>The primary mechanism addresses flood mapping and land-use planning revisions but does not directly change the presence, spatial location or number represented by an approved Food Security Exposure indicator. Protection, hazard reduction, monitoring or planning does not itself change Exposure.</t>
  </si>
  <si>
    <t>The primary mechanism addresses urban green-blue infrastructure and corridors but does not directly change the presence, spatial location or number represented by an approved Food Security Exposure indicator. Protection, hazard reduction, monitoring or planning does not itself change Exposure.</t>
  </si>
  <si>
    <t>Relocating residents from flood-prone areas directly changes population location and distribution represented by Population density and Total population.</t>
  </si>
  <si>
    <t>The primary mechanism addresses urban afforestation and tree planting but does not directly change the presence, spatial location or number represented by an approved Food Security Exposure indicator. Protection, hazard reduction, monitoring or planning does not itself change Exposure.</t>
  </si>
  <si>
    <t>The primary mechanism addresses multi-hazard warning and preparedness but does not directly change the presence, spatial location or number represented by an approved Food Security Exposure indicator. Protection, hazard reduction, monitoring or planning does not itself change Exposure.</t>
  </si>
  <si>
    <t>The primary mechanism addresses slope stabilization and hillside drainage but does not directly change the presence, spatial location or number represented by an approved Food Security Exposure indicator. Protection, hazard reduction, monitoring or planning does not itself change Exposure.</t>
  </si>
  <si>
    <t>The primary mechanism addresses epidemiological monitoring and health information but does not directly change the presence, spatial location or number represented by an approved Food Security Exposure indicator. Protection, hazard reduction, monitoring or planning does not itself change Exposure.</t>
  </si>
  <si>
    <t>The primary mechanism addresses integrated coastal-zone planning but does not directly change the presence, spatial location or number represented by an approved Food Security Exposure indicator. Protection, hazard reduction, monitoring or planning does not itself change Exposure.</t>
  </si>
  <si>
    <t>The primary mechanism addresses environmental-health surveillance of pollution exposure but does not directly change the presence, spatial location or number represented by an approved Food Security Exposure indicator. Protection, hazard reduction, monitoring or planning does not itself change Exposure.</t>
  </si>
  <si>
    <t>The primary mechanism addresses green roofs and walls for heat and stormwater resilience but does not directly change the presence, spatial location or number represented by an approved Food Security Exposure indicator. Protection, hazard reduction, monitoring or planning does not itself change Exposure.</t>
  </si>
  <si>
    <t>Planned relocation from coastal hazard zones directly changes population location and distribution represented by Population density and Total population.</t>
  </si>
  <si>
    <t>The primary mechanism addresses marine and coastal habitat restoration but does not directly change the presence, spatial location or number represented by an approved Food Security Exposure indicator. Protection, hazard reduction, monitoring or planning does not itself change Exposure.</t>
  </si>
  <si>
    <t>The primary mechanism addresses reduction of pollution and ecosystem pressures but does not directly change the presence, spatial location or number represented by an approved Food Security Exposure indicator. Protection, hazard reduction, monitoring or planning does not itself change Exposure.</t>
  </si>
  <si>
    <t>The primary mechanism addresses agroecology and ecosystem restoration but does not directly change the presence, spatial location or number represented by an approved Food Security Exposure indicator. Protection, hazard reduction, monitoring or planning does not itself change Exposure.</t>
  </si>
  <si>
    <t>The primary mechanism addresses retrofitting infrastructure against climate hazards but does not directly change the presence, spatial location or number represented by an approved Food Security Exposure indicator. Protection, hazard reduction, monitoring or planning does not itself change Exposure.</t>
  </si>
  <si>
    <t>The primary mechanism addresses climate-resilient building codes but does not directly change the presence, spatial location or number represented by an approved Food Security Exposure indicator. Protection, hazard reduction, monitoring or planning does not itself change Exposure.</t>
  </si>
  <si>
    <t>The primary mechanism addresses agricultural climate-risk insurance but does not directly change the presence, spatial location or number represented by an approved Food Security Exposure indicator. Protection, hazard reduction, monitoring or planning does not itself change Exposure.</t>
  </si>
  <si>
    <t>The primary mechanism addresses livelihood diversification but does not directly change the presence, spatial location or number represented by an approved Food Security Exposure indicator. Protection, hazard reduction, monitoring or planning does not itself change Exposure.</t>
  </si>
  <si>
    <t>The primary mechanism addresses social safety nets but does not directly change the presence, spatial location or number represented by an approved Food Security Exposure indicator. Protection, hazard reduction, monitoring or planning does not itself change Exposure.</t>
  </si>
  <si>
    <t>The primary mechanism addresses health, nutrition, clean-water and sanitation services but does not directly change the presence, spatial location or number represented by an approved Food Security Exposure indicator. Protection, hazard reduction, monitoring or planning does not itself change Exposure.</t>
  </si>
  <si>
    <t>The primary mechanism addresses climate-resilient farming practices but does not directly change the presence, spatial location or number represented by an approved Food Security Exposure indicator. Protection, hazard reduction, monitoring or planning does not itself change Exposure.</t>
  </si>
  <si>
    <t>The primary mechanism addresses food storage and distribution infrastructure but does not directly change the presence, spatial location or number represented by an approved Food Security Exposure indicator. Protection, hazard reduction, monitoring or planning does not itself change Exposure.</t>
  </si>
  <si>
    <t>The primary mechanism addresses food access, storage and dietary change but does not directly change the presence, spatial location or number represented by an approved Food Security Exposure indicator. Protection, hazard reduction, monitoring or planning does not itself change Exposure.</t>
  </si>
  <si>
    <t>The primary mechanism addresses water capture and storage but does not directly change the presence, spatial location or number represented by an approved Food Security Exposure indicator. Protection, hazard reduction, monitoring or planning does not itself change Exposure.</t>
  </si>
  <si>
    <t>The primary mechanism addresses efficient irrigation and water demand but does not directly change the presence, spatial location or number represented by an approved Food Security Exposure indicator. Protection, hazard reduction, monitoring or planning does not itself change Exposure.</t>
  </si>
  <si>
    <t>The primary mechanism addresses urban water management but does not directly change the presence, spatial location or number represented by an approved Food Security Exposure indicator. Protection, hazard reduction, monitoring or planning does not itself change Exposure.</t>
  </si>
  <si>
    <t>The primary mechanism addresses seasonal mobility of fishing fleets and workers but does not directly change the presence, spatial location or number represented by an approved Food Security Exposure indicator. Protection, hazard reduction, monitoring or planning does not itself change Exposure.</t>
  </si>
  <si>
    <t>The primary mechanism addresses cooperative and transboundary climate governance but does not directly change the presence, spatial location or number represented by an approved Food Security Exposure indicator. Protection, hazard reduction, monitoring or planning does not itself change Exposure.</t>
  </si>
  <si>
    <t>Permanent resettlement and rural-to-urban migration directly change population location and distribution represented by Population density and Total population.</t>
  </si>
  <si>
    <t>FS_ADD_0001</t>
  </si>
  <si>
    <t>Implement participatory plant breeding for climate-resilient crops</t>
  </si>
  <si>
    <t>Farmers, Indigenous or local knowledge holders and plant breeders jointly select, breed and release locally adapted crop varieties with climate-resilient and farmer-prioritised traits.</t>
  </si>
  <si>
    <t>Joint selection, breeding and release of locally adapted varieties directly change Susceptibility of agricultural productivity, Homogeneity of agricultural production, Technical guidance and Associativism.</t>
  </si>
  <si>
    <t>Susceptibility of agricultural productivity; Homogeneity of agricultural production; Technical guidance; Associativism</t>
  </si>
  <si>
    <t>Participatory plant breeding produced quantified yield gains, released farmer-preferred varieties and increased breeding knowledge, demonstrating a strong direct result for the approved indicators.</t>
  </si>
  <si>
    <t>Participatory breeding changes crop varieties, knowledge and farmer organisation but does not directly change the presence, spatial location or number represented by an approved Food Security Exposure indicator.</t>
  </si>
  <si>
    <t>FS_ADD_0002</t>
  </si>
  <si>
    <t>Deploy climate-resilient aquaponic and hydroponic food-production systems</t>
  </si>
  <si>
    <t>Install and operate protected soilless or integrated fish-and-plant production systems using controlled water and nutrient circulation.</t>
  </si>
  <si>
    <t>Installing controlled soilless and integrated fish-and-plant systems directly changes Susceptibility of agricultural productivity, Agriculture and water availability and Water deficit.</t>
  </si>
  <si>
    <t>Susceptibility of agricultural productivity; Agriculture and water availability; Water deficit</t>
  </si>
  <si>
    <t>Aquaponic and hydroponic systems show higher yields and a lower footprint, but implementation and climate-impact evidence remain limited; effectiveness is demonstrated but conditional.</t>
  </si>
  <si>
    <t>FS_ADD_0003</t>
  </si>
  <si>
    <t>Establish farmer-managed staple-food storehouses linked to seasonal credit</t>
  </si>
  <si>
    <t>Farmer associations manage regional staple-food stores where producers deposit harvests, receive credit and sell later in the season.</t>
  </si>
  <si>
    <t>Association-managed storage and seasonal credit directly change Storage capacity, Associativism and Diversity of revenues.</t>
  </si>
  <si>
    <t>Storage capacity; Associativism; Diversity of revenues</t>
  </si>
  <si>
    <t>Farmer-managed storehouses linked to seasonal credit strengthen local supplies and farmer income, demonstrating a direct but context-specific result for storage, association and revenue pathways.</t>
  </si>
  <si>
    <t>IPCC_AR6_WGII_Chapter05_p89_01</t>
  </si>
  <si>
    <t>Farmer associations can manage regional staple food storehouses, in which farmers store their harvest and receive credit, and can sell their harvest later in the season and pay back the credit with interest, strengthening local supplies and farmer income</t>
  </si>
  <si>
    <t>Storehouses and seasonal credit change storage and income mechanisms but do not directly change the presence, spatial location or number represented by an approved Food Security Exposure indicator.</t>
  </si>
  <si>
    <t>FS_ADD_0004</t>
  </si>
  <si>
    <t>Implement forecast-based financing for acute food insecurity</t>
  </si>
  <si>
    <t>Automatically release financial support when predefined climate-forecast thresholds are reached so vulnerable households can obtain food before an extreme event.</t>
  </si>
  <si>
    <t>Forecast-triggered financial support directly changes household food access represented by Food and nutritional insecurity.</t>
  </si>
  <si>
    <t>Forecast-triggered financing enabled low-income households to access better-quality food without debt before a flood, a direct but context-specific food-access result.</t>
  </si>
  <si>
    <t>IPCC_AR6_WGII_Chapter05_p89_02</t>
  </si>
  <si>
    <t>Forecast-based financing, which automatically disperses funds when threshold forecasts are reached for an extreme event, used in Bangladesh prior to a 2017 flood event allowed low-income, flood-prone communities to access better-quality food in the short term without accruing debt</t>
  </si>
  <si>
    <t>Forecast-triggered financing changes pre-event food access but does not directly change the presence, spatial location or number represented by an approved Food Security Exposure indicator.</t>
  </si>
  <si>
    <t>FS_ADD_0005</t>
  </si>
  <si>
    <t>Develop terrain-adapted agricultural machinery for soil conservation</t>
  </si>
  <si>
    <t>Develop agricultural machinery and implements adapted to terrain characteristics to conserve soil and its biodiversity in productive areas.</t>
  </si>
  <si>
    <t>Developing terrain-adapted machinery and implements directly addresses erosion susceptibility in productive land represented by Agricultural areas with soil susceptible to erosion.</t>
  </si>
  <si>
    <t>Machinery development does not directly change the presence, spatial location or number represented by an approved Food Security Exposure indicator.</t>
  </si>
  <si>
    <t>No demonstrated effectiveness</t>
  </si>
  <si>
    <t>FS_ADD_0006</t>
  </si>
  <si>
    <t>Implement Agricultural Climate Risk Zoning (ZARC)</t>
  </si>
  <si>
    <t>Use Agricultural Climate Risk Zoning (ZARC) to identify suitable planting locations and planting periods using climate, crop and agrometeorological information to support climate-resilient agricultural decisions.</t>
  </si>
  <si>
    <t>The mechanism guides agricultural decision-making but does not directly change the presence, location or number represented by an approved Food Security Exposure indicator.</t>
  </si>
  <si>
    <t>FS_ADD_0007</t>
  </si>
  <si>
    <t>Deploy precision agriculture and smart farming systems</t>
  </si>
  <si>
    <t>Adopt precision agriculture, smart farming systems, sensors, automation and data-driven decision-making to optimize resource management and farm operations.</t>
  </si>
  <si>
    <t>The mechanism directly improves management of water and agricultural production systems. It directly affects Agriculture and water availability, Water deficit and Technical guidance.</t>
  </si>
  <si>
    <t>Agriculture and water availability; Water deficit; Technical guidance</t>
  </si>
  <si>
    <t>The mechanism improves farm management but does not directly change the presence, location or number represented by an approved Exposure indicator.</t>
  </si>
  <si>
    <t>Food Security eligibility reassessed independently for Vulnerability and Exposure using the direct-mechanism rule and all cumulative evidence permitted for this review.</t>
  </si>
  <si>
    <t>The primary mechanism is general household and business water conservation through rainwater harvesting, efficient fixtures and leak reduction. Food Security is not centrally or explicitly implemented, so any effect on an approved Vulnerability indicator would be indirect.</t>
  </si>
  <si>
    <t>The action has a direct approved-indicator pathway, but no evaluated outcome for this specific mechanism is available in the permitted sources.</t>
  </si>
  <si>
    <t>The primary mechanism identifies and assesses potential urban-garden sites rather than installing or operating food production. It therefore does not directly change an approved Food Security Vulnerability indicator.</t>
  </si>
  <si>
    <t>The primary mechanism identifies potential garden sites but does not implement a change in the presence, spatial location or number represented by an approved Exposure indicator.</t>
  </si>
  <si>
    <t>The primary mechanism expands and manages protected areas for environmental conservation and ecotourism. Any effect on an approved Food Security Vulnerability indicator is indirect because no Food Security mechanism is centrally or explicitly implemented.</t>
  </si>
  <si>
    <t>The primary mechanism uses zoning and land-use planning to redirect future development. Planning alone does not directly relocate a population or change Population density or Total population.</t>
  </si>
  <si>
    <t>The report documents the cash-transfer mechanism for purchasing food but does not report an evaluated outcome for Food and nutritional insecurity or Child malnutrition; effectiveness is not demonstrated.</t>
  </si>
  <si>
    <t>FS_SRC_005_p103_01</t>
  </si>
  <si>
    <t>The Bolsa Familia Program operates a cash transfer, through a bankcard, which provides poor families with a monthly amount to complement their income to buy food.</t>
  </si>
  <si>
    <t>Retained evidence identifies storage and transport adaptations but explicitly states that effectiveness evidence under climate change is limited; no approved-indicator outcome is demonstrated.</t>
  </si>
  <si>
    <t>IPCC_AR6_WGII_Chapter05_p79&lt;br&gt;IPCC_AR6_WGII_Chapter05_p80</t>
  </si>
  <si>
    <t>Climate Change 2022: Impacts, Adaptation and Vulnerability (AR6 WGII), Chapter 5: Food, Fibre and Other Ecosystem Products&lt;br&gt;Climate Change 2022: Impacts, Adaptation and Vulnerability (AR6 WGII), Chapter 5: Food, Fibre and Other Ecosystem Products</t>
  </si>
  <si>
    <t>79&lt;br&gt;80</t>
  </si>
  <si>
    <t>Specific examples of post-harvest technical adaptation options that are already available but could be more widely adopted include solar driers, cold storage facilities and transport and use of ultrasonic humidification of selected fruits and vegetables, a technology that has been shown in Europe to reduce losses in each post-harvest stage by 20% or more&lt;br&gt;The evidence on their effectiveness, especially in the face of increased climate change impacts, is limited.</t>
  </si>
  <si>
    <t>The report documents dietary guidance toward minimally processed foods but reports no evaluated outcome for Food and nutritional insecurity, Overweight and obesity or Storage capacity; effectiveness is not demonstrated.</t>
  </si>
  <si>
    <t>FS_SRC_005_p98_01</t>
  </si>
  <si>
    <t>The latest edition of the “Dietary Guidelines for the Brazilian Population: Promoting a Healthy Diet”, in 2014, emphasizes the consumption of in natura or minimally processed foods, especially vegetables, over soft drinks and sweets.</t>
  </si>
  <si>
    <t>Pathways to sustainability in Brazilian agriculture: technological drivers, governance, and policy linkages&lt;br&gt;Food and Nutrition Security in Brazil</t>
  </si>
  <si>
    <t>IPCC_AR6_WGII_Chapter05_p33_03&lt;br&gt;IPCC_AR6_WGII_Chapter05_p33_04</t>
  </si>
  <si>
    <t>33&lt;br&gt;33</t>
  </si>
  <si>
    <t>Farmers who adopted these varieties increased yield, income and food security, alongside increased technical knowledge of plant breeding, and increased breeders’ understanding of local farmers’ varietal requirements&lt;br&gt;PPB done primarily with women farmers, led to 1500 landraces safeguarded, 12 farmer-preferred varieties released and 30 landraces released, bred for improved yield (15–20% increases), drought resistance, taste, market potential and other priority traits</t>
  </si>
  <si>
    <t>IPCC_AR6_WGII_Chapter05_p75_01&lt;br&gt;IPCC_AR6_WGII_Chapter05_p75_02</t>
  </si>
  <si>
    <t>75&lt;br&gt;75</t>
  </si>
  <si>
    <t>While studies indicate that aquaponics and hydroponics have higher yields and a lower environmental footprint than conventional agriculture (medium confidence)&lt;br&gt;As yet, these systems are not widely implemented and information on their climate change impacts is limited.</t>
  </si>
  <si>
    <t>The primary mechanism installs and operates soilless food-production systems. It does not directly change the presence, spatial location or number represented by an approved Exposure indicator.</t>
  </si>
  <si>
    <t>The primary mechanism provides climate-risk zoning information on suitable planting locations and periods. Information and decision guidance alone do not directly implement a change in Susceptibility of agricultural productivity.</t>
  </si>
  <si>
    <t>The report states that precision agriculture and automation improve management and enable productive, sustainable complex systems, demonstrating a direct but qualitative result; cumulative effectiveness is Medium.</t>
  </si>
  <si>
    <t>FS_SRC_004_p3_04&lt;br&gt;FS_SRC_005_p85_01</t>
  </si>
  <si>
    <t>3&lt;br&gt;85</t>
  </si>
  <si>
    <t>These technologies allow farmers to optimize resource management, including water, nutrients, and energy, potentially resulting in more efficient and sustainable farming practices&lt;br&gt;Machines tell us where, how and how much fertilizer to apply considering the soil characteristics, making precision agriculture part of farmers’ lives. Automation is contributing to better management of the production system and allows more complex systems to be productive and sustainable.</t>
  </si>
  <si>
    <t>Ciência para o clima e soluções da agricultura brasileira: estratégias, tecnologias e indicadores de adaptação à mudança climática e de controle de emissões de gases de efeito-estufa na agricultura tropical.</t>
  </si>
  <si>
    <t>FS_SRC_012</t>
  </si>
  <si>
    <t>Embrapa</t>
  </si>
  <si>
    <t>https://www.embrapa.br/busca-de-publicacoes/-/publicacao/1181212/ciencia-para-o-clima-e-solucoes-da-agricultura-brasileira-estrategias-tecnologias-e-indicadores-de-adaptacao-a-mudanca-climatica-e-de-controle-de-emissoes-de-gases-de-efeito-estufa-na-agricultura-tropical</t>
  </si>
  <si>
    <t>Cumulative evidence shows increased production per area, recovery of degraded areas and productivity gains from integrated and conservation systems. Existing evidence also reports transition-phase yield reductions and context dependence, so effectiveness remains Medium.</t>
  </si>
  <si>
    <t>IPCC_AR6_WGII_Chapter05_p118&lt;br&gt;FS_SRC_003_p8_01&lt;br&gt;FS_SRC_005_p92_01&lt;br&gt;FS_SRC_011_p56_01&lt;br&gt;FS_SRC_011_p62_01</t>
  </si>
  <si>
    <t>Climate Change 2022: Impacts, Adaptation and Vulnerability (AR6 WGII), Chapter 5: Food, Fibre and Other Ecosystem Products&lt;br&gt;Estratégia de Adaptação à Mudança do Clima para a Agropecuária Brasileira&lt;br&gt;Food and Nutrition Security in Brazil&lt;br&gt;Ciência para o clima e soluções da agricultura brasileira&lt;br&gt;Ciência para o clima e soluções da agricultura brasileira</t>
  </si>
  <si>
    <t>118&lt;br&gt;8&lt;br&gt;92&lt;br&gt;56&lt;br&gt;62</t>
  </si>
  <si>
    <t>Introduction of agroecological approaches and integrated biomass/food crop production can result in lower food crop yields per hectare, particularly during transition phases, potentially causing indirect land use change, but can also support higher and more stable yields, reduce costs, and increase profitability under climate change&lt;br&gt;A adoção de sistemas consorciados e práticas conservacionistas têm demonstrado maior capacidade adaptativa aos sistemas agropecuários frente a eventos climáticos adversos, conferindo maior resiliência à mudança do clima.&lt;br&gt;According to the type of trees (native and exotic) and spatial arrangements (single, double or triple tree rows), there is a decrease of 2°C to 8°C in local temperatures within ICLFS systems, when compared with pastures without trees. As a direct result of the thermal comfort provided, there is improvement in productive and reproductive performances (Karvatte Jr. et al., 2016).&lt;br&gt;A ampliação das áreas cultivadas nas diversas modalidades de ILPF proporciona ao Brasil um modelo de uso sustentável da terra, com menor impacto ambiental e diversificação de renda. Esse resultado decorre de características inerentes ao sistema, como a diversificação e o aumento de produção por área, a provisão de serviços ambientais, a redução de emissão de GEE e o aumento do sequestro de carbono, além do efeito poupa-terra, que favorece a preservação ambiental (Oliveira et al., 2024b).&lt;br&gt;O sistema, além de uma solução que confere sustentabilidade à agricultura brasileira por recuperar áreas degradadas e aumentar a produtividade das culturas, exerce também um efeito positivo indireto na conservação ambiental por estimular a preservação de áreas naturais.</t>
  </si>
  <si>
    <t>Cumulative evidence demonstrates substantial operational coverage through Proagro and PSR, including R$ 22.48 billion enrolled and more than R$ 51.6 billion insured; this is a strong quantified result for Proagro coverage plus and PSR coverage.</t>
  </si>
  <si>
    <t>IPCC_AR6_WGII_Chapter05_p72&lt;br&gt;FS_SRC_011_p54_01</t>
  </si>
  <si>
    <t>Climate Change 2022: Impacts, Adaptation and Vulnerability (AR6 WGII), Chapter 5: Food, Fibre and Other Ecosystem Products&lt;br&gt;Ciência para o clima e soluções da agricultura brasileira</t>
  </si>
  <si>
    <t>72&lt;br&gt;54</t>
  </si>
  <si>
    <t>Alongside other risk management tools such as weather-based index insurance, risk pooling may find wide application in different farming systems as an effective adaptation measure (medium agreement, limited evidence)&lt;br&gt;Em 2024, o valor enquadrado nas operações do Proagro, de acordo com a Matriz de Dados do Banco Central do Brasil, foi de R$ 22,48 bilhões (Banco Central do Brasil, 2025). Já no PSR, a importância segurada em 2023 superou os R$ 51,6 bilhões (Brasil, 2024).</t>
  </si>
  <si>
    <t>Cumulative evidence shows quantified gains in livestock thermal resilience, forage production and dry-season weight gain, together with crop productivity and stability benefits. Outcomes vary by system and local context, so overall effectiveness remains Medium.</t>
  </si>
  <si>
    <t>IPCC_AR6_WGII_Chapter05_p33_01&lt;br&gt;IPCC_AR6_WGII_Chapter05_p33_02&lt;br&gt;IPCC_AR6_WGII_Chapter05_p71_01&lt;br&gt;IPCC_AR6_WGII_Chapter05_p71_02&lt;br&gt;FS_SRC_003_p8_02&lt;br&gt;FS_SRC_004_p3_01&lt;br&gt;FS_SRC_005_p92_01&lt;br&gt;FS_SRC_005_p104_01&lt;br&gt;FS_SRC_011_p57_01&lt;br&gt;FS_SRC_011_p68_01&lt;br&gt;FS_SRC_011_p69_01</t>
  </si>
  <si>
    <t>Climate Change 2022: Impacts, Adaptation and Vulnerability (AR6 WGII), Chapter 5: Food, Fibre and Other Ecosystem Products&lt;br&gt;Climate Change 2022: Impacts, Adaptation and Vulnerability (AR6 WGII), Chapter 5: Food, Fibre and Other Ecosystem Products&lt;br&gt;Climate Change 2022: Impacts, Adaptation and Vulnerability (AR6 WGII), Chapter 5: Food, Fibre and Other Ecosystem Products&lt;br&gt;Climate Change 2022: Impacts, Adaptation and Vulnerability (AR6 WGII), Chapter 5: Food, Fibre and Other Ecosystem Products&lt;br&gt;Estratégia de Adaptação à Mudança do Clima para a Agropecuária Brasileira&lt;br&gt;Pathways to sustainability in Brazilian agriculture: technological drivers, governance, and policy linkages&lt;br&gt;Food and Nutrition Security in Brazil&lt;br&gt;Food and Nutrition Security in Brazil&lt;br&gt;Ciência para o clima e soluções da agricultura brasileira&lt;br&gt;Ciência para o clima e soluções da agricultura brasileira&lt;br&gt;Ciência para o clima e soluções da agricultura brasileira</t>
  </si>
  <si>
    <t>33&lt;br&gt;33&lt;br&gt;71&lt;br&gt;71&lt;br&gt;8&lt;br&gt;3&lt;br&gt;92&lt;br&gt;104&lt;br&gt;57&lt;br&gt;68&lt;br&gt;69</t>
  </si>
  <si>
    <t>For example, a study in Canada comparing diversified rotations and monoculture corn found significant positive yield impacts, yield stability and increased SOC under both RCP4.5 and RCP8.5 by 2100&lt;br&gt;Can decrease yield variability under dry conditions and increase rainfed annual crop yield productivity (high agreement)&lt;br&gt;Overall, there is high confidence that farm strategies that integrate mixed crop–livestock systems can improve farm productivity and have positive sustainability outcomes&lt;br&gt;However, the benefits of managing crop–livestock interactions in response to climate change depend on local context.&lt;br&gt;A adoção de sistemas consorciados e práticas conservacionistas têm demonstrado maior capacidade adaptativa aos sistemas agropecuários frente a eventos climáticos adversos, conferindo maior resiliência à mudança do clima.&lt;br&gt;SAI integrates a range of practices, such as crop rotation, cover cropping and no-till planting, integrated pest management, precision agriculture, crop-livestock-forest systems, and precision management, that can help to improve soil health, reduce water pollution, increase biodiversity, and mitigate and adapt to climate change&lt;br&gt;According to the type of trees (native and exotic) and spatial arrangements (single, double or triple tree rows), there is a decrease of 2°C to 8°C in local temperatures within ICLFS systems, when compared with pastures without trees. As a direct result of the thermal comfort provided, there is improvement in productive and reproductive performances (Karvatte Jr. et al., 2016).&lt;br&gt;Biological control of virus in soybeans production resulted in huge cost savings in pesticides use, including positive effects on environmental protection, with substantial gains in yields and production of healthy cereal for human and animal consumption.&lt;br&gt;Pezzopane et al. (2019) verificaram que sistemas silvipastoris com eucalipto ou espécies nativas foram capazes de postergar o início de estresse térmico animal em até 2,2 ºC na temperatura média, em comparação a sistemas sem árvores.&lt;br&gt;As pastagens degradadas (DP0) produziram 3,07 t de matéria seca por hectare nessa época, enquanto as pastagens recuperadas, corrigidas e fertilizadas, apresentaram produção de 4,57 t/ha com 200 kg de nitrogênio (N) por hectare ao ano (RP200), 9,45 t/ha com 400 kg de N por hectare ao ano (RP400) e 10,44 t/ha, quando irrigadas e sobressemeadas no outono/inverno e fertilizadas com 600 kg de N por hectare ao ano (IR600).&lt;br&gt;Esse fato proporcionou, em solos bastante arenosos com baixa retenção de água, melhor composição nutricional da dieta e ganho de peso médio diário por animal para fêmeas na época seca do ano (0,29 kg/dia), usando apenas a suplementação mineral comum, valor bastante superior ao ganho de peso (0,03 kg/dia) obtido nas pastagens fertilizadas com 200 kg de N por hectare e suplementadas com suplemento mineral proteinado.</t>
  </si>
  <si>
    <t>The report documents significant rainy-season water accumulation for use during droughts through cisterns, underground dams and small retention structures, directly supporting Agriculture and water availability and Water deficit; the result is positive but not quantified.</t>
  </si>
  <si>
    <t>FS_SRC_011_p71_01</t>
  </si>
  <si>
    <t>Ciência para o clima e soluções da agricultura brasileira</t>
  </si>
  <si>
    <t>Essas tecnologias sociais transformaram o desenvolvimento sustentável no Semiárido, uma vez que permitem o acúmulo significativo de água durante o período chuvoso para uso como reserva hídrica nos períodos de estiagens.</t>
  </si>
  <si>
    <t>Cumulative evidence demonstrates improved dry-season water-use efficiency and forage production from drip irrigation, while deficit irrigation raises water productivity but causes production loss. The positive results are direct but mixed, so effectiveness is Medium.</t>
  </si>
  <si>
    <t>FS_SRC_004_p3_02&lt;br&gt;FS_SRC_005_p84_01&lt;br&gt;FS_SRC_011_p58_01&lt;br&gt;FS_SRC_011_p60_01</t>
  </si>
  <si>
    <t>Pathways to sustainability in Brazilian agriculture: technological drivers, governance, and policy linkages&lt;br&gt;Food and Nutrition Security in Brazil&lt;br&gt;Ciência para o clima e soluções da agricultura brasileira&lt;br&gt;Ciência para o clima e soluções da agricultura brasileira</t>
  </si>
  <si>
    <t>3&lt;br&gt;84&lt;br&gt;58&lt;br&gt;60</t>
  </si>
  <si>
    <t>These technologies allow farmers to optimize resource management, including water, nutrients, and energy, potentially resulting in more efficient and sustainable farming practices&lt;br&gt;Despite the importance of these production regions for the country and the severity of water shortages, science has not yet been able to understand this complexity and come up with solutions that not only protect the ecosystem, but also help farmers increase productivity. The development of varieties that use water efficiently and water-saving technology are key elements for consideration.&lt;br&gt;Pesquisas indicam que a aplicação controlada e oportuna de água por meio de irrigação por gotejamento aumenta a produção de forragem e especialmente a eficiência de uso da água durante as estações secas, levando à utilização mais eficaz da terra, fertilizantes e água disponíveis (Jha et al., 2016).&lt;br&gt;Embora isso resulte inevitavelmente em estresse hídrico para as plantas e, consequentemente, em perda de produção, a produtividade da água (kg/m3) pode, de fato, aumentar. Raeisi et al. (2019) relataram aumento da produtividade física da água em trigo de 0,37 kg/m3 (com irrigação total) para 0,56 kg/m3 com a implementação da irrigação deficitária (50% de déficit).</t>
  </si>
  <si>
    <t>The primary mechanism implements irrigation infrastructure, water reuse and water upgrading. These directly change Agriculture and water availability, Direct source water shortage and Compromised water quality.</t>
  </si>
  <si>
    <t>Agriculture and water availability; Direct source water shortage; Compromised water quality</t>
  </si>
  <si>
    <t>Wastewater reuse maintained or increased grain production compared with river-water irrigation, demonstrating a direct but context-specific alternative water-supply result; cumulative effectiveness is Medium.</t>
  </si>
  <si>
    <t>FS_SRC_011_p61_01</t>
  </si>
  <si>
    <t>Miranda et al. (2008) demonstraram que a produção de grãos obtida com o uso do efluente da carcinicultura foi semelhante àquela obtida com o uso da água de rio, quando foi utilizada na adubação uma dose de N-P-K equivalente a 100% da dose recomendada para a cultura. Já quando foi utilizada uma dose de N-P-K equivalente a 75% daquela recomendada para a cultura do arroz, o uso do efluente na irrigação proporcionou maior produção de grãos em comparação com a irrigação utilizando a água do rio.</t>
  </si>
  <si>
    <t>FS_ADD_0008</t>
  </si>
  <si>
    <t>Apply biochar and hydrogel soil conditioners for water retention</t>
  </si>
  <si>
    <t>Apply biochar or hydrogel in sandy agricultural soils to retain water in the root zone, reduce crop water consumption and improve water productivity under climate-related water stress.</t>
  </si>
  <si>
    <t>Applying biochar or hydrogel directly increases root-zone water retention and reduces crop water demand. This directly changes Agriculture and water availability, Water deficit and Susceptibility of agricultural productivity.</t>
  </si>
  <si>
    <t>The report quantifies large reductions in cashew water consumption and higher water productivity with biochar and hydrogel, demonstrating a strong direct outcome.</t>
  </si>
  <si>
    <t>FS_SRC_011_p60_02</t>
  </si>
  <si>
    <t>Gondim et al. (2020) relatam uma redução do consumo hídrico em mudas de cajueiro no primeiro ano de 120 L por planta ao ano para 70 L por planta ano e 55 L por planta ao ano, utilizando biocarvão de lenha de cajueiro e hidrogel, respectivamente. Em plantas adultas de cajueiro-anão irrigado, Gondim et al. (2024) observaram redução de 14.098 L por planta ao ano para 11.962 L por planta ao ano, com máxima produtividade da água de 1,2 kg/m3 de castanhas (tratamento controle 0,93 kg/m3) e 8,9 kg/m3 de pedúnculos (tratamento controle 8,1 kg/m3).</t>
  </si>
  <si>
    <t>The primary mechanism changes soil water retention and crop water use. It does not directly change the presence, spatial location or number represented by an approved Exposure indicator.</t>
  </si>
  <si>
    <t>FS_ADD_0009</t>
  </si>
  <si>
    <t>Apply microbial bioinputs to improve crop drought tolerance</t>
  </si>
  <si>
    <t>Apply microbial bioinputs such as Bacillus aryabhattai to crop root systems to improve water absorption and physiological response during water deficits.</t>
  </si>
  <si>
    <t>Applying drought-tolerance microbial bioinputs directly changes crop response to water stress. This directly changes Susceptibility of agricultural productivity.</t>
  </si>
  <si>
    <t>The report describes the direct root-hydration and water-absorption mechanism but provides no evaluated outcome for Susceptibility of agricultural productivity.</t>
  </si>
  <si>
    <t>FS_SRC_011_p66_01</t>
  </si>
  <si>
    <t>Esse microrganismo, isolado de solos da Caatinga, tem a capacidade de hidratar as raízes e atuar na fisiologia dos vegetais, permitindo que as plantas respondam melhor aos déficits hídricos. Além disso, Bacillus aryabhattai estimula o desenvolvimento do sistema radicular, proporcionando maior absorção de água (May et al., 2021; Fuga et al., 2023).</t>
  </si>
  <si>
    <t>The primary mechanism changes crop physiological response to drought. It does not directly change the presence, spatial location or number represented by an approved Exposure indicator.</t>
  </si>
  <si>
    <t>FS_ADD_0010</t>
  </si>
  <si>
    <t>Deploy managed bee colonies for crop pollination</t>
  </si>
  <si>
    <t>Install or rent managed bee colonies and distribute hives near crops to increase effective pollinator flow, reduce pollination deficits and improve crop production resilience.</t>
  </si>
  <si>
    <t>Installing managed bee colonies directly increases crop pollination and productivity. This directly changes Susceptibility of agricultural productivity.</t>
  </si>
  <si>
    <t>Pollinator presence increased soybean productivity by up to 18.24%, but the outcome depends on variety, environmental conditions and crop management; effectiveness is Medium.</t>
  </si>
  <si>
    <t>FS_SRC_011_p71_02</t>
  </si>
  <si>
    <t>Isso implica que a produção de soja não depende da presença de polinizadores, contudo estudos comprovam que a presença de polinizadores na cultura da soja, principalmente abelhas, aumenta a produtividade em até 18,24%, dependendo da variedade usada, das condições ambientais e dos tratos culturais às quais a cultura foi exposta (Gazzoni; Barateiro, 2023).</t>
  </si>
  <si>
    <t>The primary mechanism changes pollinator provision and crop productivity. It does not directly change the presence, spatial location or number represented by an approved Exposure indicator.</t>
  </si>
  <si>
    <t>The primary mechanism prevents watershed pollution and conserves watershed vegetation. This directly changes Compromised water quality and Vegetation cover losses.</t>
  </si>
  <si>
    <t>The primary mechanism trains and equips rural communities for fire prevention and first-response firefighting. This directly changes Fire hotspots.</t>
  </si>
  <si>
    <t>Action IPCC normalisée</t>
  </si>
  <si>
    <t>Définition opérationnelle fondée sur le chapitre 5</t>
  </si>
  <si>
    <t>Citation IPCC courte et page PDF</t>
  </si>
  <si>
    <t>Meilleur proxy parmi tes actions actuelles</t>
  </si>
  <si>
    <t>Robustesse de la correspondance</t>
  </si>
  <si>
    <t>Diversify agricultural production systems</t>
  </si>
  <si>
    <t>Diversifier les cultures, rotations, espèces et composantes de l’exploitation afin de répartir les risques, améliorer la stabilité des rendements et diversifier les revenus et l’offre alimentaire.</t>
  </si>
  <si>
    <t>“Diversifying agricultural systems is an adaptation strategy that can strengthen resilience to climate change.” Page PDF 34. [IPCC_AR6_W..._Chapter05 | PDF]</t>
  </si>
  <si>
    <t>Integrate crop, livestock, forestry, fisheries and aquaculture systems</t>
  </si>
  <si>
    <t>Mettre en place des systèmes productifs intégrés afin d’augmenter la production par unité de surface, recycler les nutriments, réduire les risques climatiques et renforcer la capacité tampon de l’exploitation.</t>
  </si>
  <si>
    <t>“Agricultural production systems that integrate crops, livestock, forestry, fisheries and aquaculture.” Page PDF 11. [IPCC_AR6_W..._Chapter05 | PDF]</t>
  </si>
  <si>
    <t>Implement agroecology and agroforestry</t>
  </si>
  <si>
    <t>Déployer l’agroécologie, l’agroforesterie, les cultures associées, les couverts, les amendements organiques et le pâturage tournant pour améliorer la résilience, la stabilité productive et les services écosystémiques.</t>
  </si>
  <si>
    <t>“Agroecological approaches can increase food system resilience.” Page PDF 103. [IPCC_AR6_W..._Chapter05 | PDF]</t>
  </si>
  <si>
    <t>Implement participatory plant breeding</t>
  </si>
  <si>
    <t>Associer agriculteurs, détenteurs de connaissances locales et sélectionneurs pour développer et diffuser des variétés adaptées aux conditions socioécologiques locales et aux aléas climatiques.</t>
  </si>
  <si>
    <t>“Participatory plant breeding… can be an effective adaptation strategy in generating varieties well adapted to the socio-ecological context and climate hazards.” Page PDF 34. [IPCC_AR6_W..._Chapter05 | PDF]</t>
  </si>
  <si>
    <t>Improve crop cultivars and climate-resilient genetic traits</t>
  </si>
  <si>
    <t>Développer et adopter des cultivars ou variétés présentant des caractéristiques d’adaptation à la sécheresse, à la chaleur, aux maladies et aux autres stress climatiques.</t>
  </si>
  <si>
    <t>“Cultivar improvements are one effective countermeasure against climate change.” Page PDF 31. [IPCC_AR6_W..._Chapter05 | PDF]</t>
  </si>
  <si>
    <t>Adapt livestock breeds, species and management to heat and drought</t>
  </si>
  <si>
    <t>Utiliser des races ou espèces plus tolérantes, adapter l’alimentation, le pâturage, l’accès à l’eau, l’ombrage et la ventilation afin de réduire les pertes de productivité animale liées au climat.</t>
  </si>
  <si>
    <t>Le chapitre cite notamment la sélection pour la thermotolérance, le changement d’espèces, l’ombrage, la ventilation et le refroidissement. Page PDF 40. [IPCC_AR6_W..._Chapter05 | PDF]</t>
  </si>
  <si>
    <t>Improve agricultural water efficiency</t>
  </si>
  <si>
    <t>Mettre en œuvre l’irrigation de précision, le goutte-à-goutte, l’irrigation déficitaire et d’autres techniques réduisant la consommation d’eau par unité produite.</t>
  </si>
  <si>
    <t>“Rainwater storage and deficit irrigation techniques are frequently mentioned as adaptation options.” Page PDF 31. [IPCC_AR6_W..._Chapter05 | PDF]</t>
  </si>
  <si>
    <t>Increase agricultural water capture and storage</t>
  </si>
  <si>
    <t>Installer des infrastructures de collecte et de stockage de l’eau, notamment réserves à la ferme, citernes, bassins ou autres solutions permettant d’utiliser l’eau pendant les périodes sèches.</t>
  </si>
  <si>
    <t>“Rainwater storage… can minimise the burden on off-farm water supplies.” Page PDF 31. [IPCC_AR6_W..._Chapter05 | PDF]</t>
  </si>
  <si>
    <t>Reuse or upgrade water for agricultural production</t>
  </si>
  <si>
    <t>Traiter, réutiliser ou améliorer la qualité de ressources hydriques afin de fournir une source complémentaire pour l’irrigation et la production alimentaire.</t>
  </si>
  <si>
    <t>La réutilisation d’eaux riches en nutriments est explicitement incluse dans les systèmes aquaponiques et hydroponiques. Page PDF 75. [IPCC_AR6_W..._Chapter05 | PDF]</t>
  </si>
  <si>
    <t>Deploy aquaponic and hydroponic food-production systems</t>
  </si>
  <si>
    <t>Installer des systèmes protégés hors-sol ou intégrés poisson-plante avec circulation contrôlée de l’eau et des nutriments.</t>
  </si>
  <si>
    <t>“Aquaponics and hydroponics have higher yields and a lower environmental footprint than conventional agriculture.” Page PDF 75. [IPCC_AR6_W..._Chapter05 | PDF]</t>
  </si>
  <si>
    <t>Expand agricultural climate insurance</t>
  </si>
  <si>
    <t>Développer l’assurance agricole traditionnelle, l’assurance indicielle fondée sur la pluie ou la température et les mécanismes de mutualisation des risques.</t>
  </si>
  <si>
    <t>“Insurance is a financial adaptation strategy increasingly used in agriculture and aquaculture.” Page PDF 102. [IPCC_AR6_W..._Chapter05 | PDF]</t>
  </si>
  <si>
    <t>Diversify agricultural and rural livelihoods</t>
  </si>
  <si>
    <t>Développer plusieurs sources de revenus agricoles et non agricoles afin de réduire la dépendance économique à une activité ou une production particulièrement exposée.</t>
  </si>
  <si>
    <t>Le chapitre indique que les stratégies agricoles vont jusqu’à la “livelihood diversification and income protection”. Page PDF 30. [IPCC_AR6_W..._Chapter05 | PDF]</t>
  </si>
  <si>
    <t>Improve climate-resilient post-harvest storage and transport</t>
  </si>
  <si>
    <t>Investir dans les séchoirs, chambres froides, stockage hermétique, contrôle de l’humidité et de la température et transport adapté aux denrées périssables.</t>
  </si>
  <si>
    <t>“Specific examples… include solar driers, cold storage facilities and transport.” Page PDF 79. [IPCC_AR6_W..._Chapter05 | PDF]</t>
  </si>
  <si>
    <t>Establish farmer-managed staple-food storehouses</t>
  </si>
  <si>
    <t>Mettre en place des entrepôts collectifs gérés par des associations de producteurs, associés à des mécanismes de crédit permettant de différer la vente des récoltes.</t>
  </si>
  <si>
    <t>Le mécanisme IPCC associe stockage collectif, crédit saisonnier, approvisionnement local et revenu des producteurs.</t>
  </si>
  <si>
    <t>Strengthen local and regional food systems</t>
  </si>
  <si>
    <t>Renforcer les systèmes alimentaires territoriaux par l’accès local aux terres, semences et eau, des chaînes plus courtes, des réseaux de semences et une meilleure capacité d’action des communautés.</t>
  </si>
  <si>
    <t>“Strengthening both local and regional food systems is a strategy to increase resilience.” Page PDF 106. [IPCC_AR6_W..._Chapter05 | PDF]</t>
  </si>
  <si>
    <t>Implement adaptive social protection for food security</t>
  </si>
  <si>
    <t>Combiner transferts sociaux, programmes alimentaires, protection des ménages vulnérables et gestion des risques de catastrophe en fonction des risques climatiques et nutritionnels.</t>
  </si>
  <si>
    <t>Le tableau de synthèse mentionne “nutrition and gender-sensitive agriculture programmes, adaptive social protection and disaster risk management”. Page PDF 11. [IPCC_AR6_W..._Chapter05 | PDF]</t>
  </si>
  <si>
    <t>Déclencher automatiquement un financement avant un événement extrême lorsque des seuils de prévision prédéfinis sont atteints, afin de permettre l’achat anticipé de nourriture.</t>
  </si>
  <si>
    <t>Le chapitre documente le décaissement automatique de fonds lorsque des seuils de prévision sont atteints.</t>
  </si>
  <si>
    <t>Promote healthy and climate-resilient diets</t>
  </si>
  <si>
    <t>Encourager des régimes plus diversifiés et plus sains, accompagnés de mesures sur les prix, l’offre alimentaire, l’environnement commercial et l’accès des groupes défavorisés.</t>
  </si>
  <si>
    <t>Le chapitre reconnaît des options portant sur les habitudes alimentaires, l’environnement de vente au détail et les incitations économiques.</t>
  </si>
  <si>
    <t>Reduce post-harvest food loss and waste</t>
  </si>
  <si>
    <t>Déployer des technologies et des pratiques de production, stockage, transformation et transport réduisant les pertes alimentaires liées aux conditions climatiques.</t>
  </si>
  <si>
    <t>Le chapitre présente des “adaptation approaches from production to transportation to reduce food loss and waste”. Page PDF 79. [IPCC_AR6_W..._Chapter05 | PDF]</t>
  </si>
  <si>
    <t>Strengthen urban and peri-urban food production</t>
  </si>
  <si>
    <t>Développer des jardins, fermes urbaines, systèmes de toiture, serres, aquaponie et production périurbaine pour améliorer l’offre alimentaire locale et certains services écosystémiques.</t>
  </si>
  <si>
    <t>Le chapitre présente l’agriculture urbaine et périurbaine comme contribuant à l’alimentation locale et à la résilience, avec des limites selon les systèmes. Page PDF 88. [IPCC_AR6_W..._Chapter05 | PDF]</t>
  </si>
  <si>
    <t>Improve food-safety surveillance under climate change</t>
  </si>
  <si>
    <t>Renforcer la détection des maladies d’origine alimentaire, la surveillance des agents pathogènes et l’intégration des systèmes de surveillance végétale, animale et humaine.</t>
  </si>
  <si>
    <t>Le chapitre cite des méthodes de surveillance améliorées et l’intégration des systèmes sous l’approche One Health. Page PDF 79. [IPCC_AR6_W..._Chapter05 | PDF]</t>
  </si>
  <si>
    <t>ipcc_0096 Strengthen climate resilience in farming and fisheries</t>
  </si>
  <si>
    <t>Exacte pour la diversification agricole. La définition existante mentionne explicitement la diversification des cultures et les systèmes agroécologiques.</t>
  </si>
  <si>
    <t>Exacte à forte. Le proxy couvre les systèmes agroécologiques et l’intégration des activités, mais son intitulé pourrait mieux mentionner les systèmes intégrés.</t>
  </si>
  <si>
    <t>ipcc_0086 Implement ecosystem-based adaptation measures</t>
  </si>
  <si>
    <t>Exacte pour le sous-mécanisme agroécologique. La ligne existante est toutefois plus large, car elle inclut également des écosystèmes marins, côtiers, urbains et humides.</t>
  </si>
  <si>
    <t>FS_ADD_0001 Implement participatory plant breeding for climate-resilient crops</t>
  </si>
  <si>
    <t>Exacte. Même mécanisme, mêmes acteurs et même résultat attendu. Aucun ajout n’est nécessaire.</t>
  </si>
  <si>
    <t>Partielle. ipcc_0096 couvre les variétés améliorées, mais la sélection variétale conventionnelle constitue un mécanisme plus précis que l’action générique actuelle.</t>
  </si>
  <si>
    <t>Forte mais agrégée. Le proxy couvre les races, l’alimentation et les pratiques d’élevage. Une action séparée ne serait utile que si tu veux distinguer explicitement adaptation végétale et animale.</t>
  </si>
  <si>
    <t>ipcc_0100 Improve Efficient water use/demand</t>
  </si>
  <si>
    <t>Exacte. Même mécanisme d’irrigation efficiente et de réduction de la demande agricole en eau.</t>
  </si>
  <si>
    <t>ipcc_0099 Increase Water Capture and Storage</t>
  </si>
  <si>
    <t>Exacte. Le proxy couvre directement la collecte et le stockage de l’eau, y compris les solutions à la ferme.</t>
  </si>
  <si>
    <t>ipcc_0101 Improve urban water management</t>
  </si>
  <si>
    <t>Partielle. Le mécanisme de réutilisation est présent, mais l’intitulé “urban water management” est plus large et moins explicitement agricole.</t>
  </si>
  <si>
    <t>FS_ADD_0002 Deploy climate-resilient aquaponic and hydroponic food-production systems</t>
  </si>
  <si>
    <t>Exacte. L’action additionnelle reprend précisément le mécanisme IPCC.</t>
  </si>
  <si>
    <t>ipcc_0090 Expand climate risk insurance coverage</t>
  </si>
  <si>
    <t>Exacte. Le proxy inclut assurances agricoles, produits indiciels et mécanismes de déclenchement automatique.</t>
  </si>
  <si>
    <t>ipcc_0091 Support livelihood diversification for climate resilience</t>
  </si>
  <si>
    <t>Exacte. La ligne existante couvre explicitement formation, microcrédit, transformation, artisanat, services et diversification des chaînes de valeur.</t>
  </si>
  <si>
    <t>ipcc_0097 Upgrade food storage and distribution for climate resilience</t>
  </si>
  <si>
    <t>Exacte. Même mécanisme de stockage post-récolte et de distribution.</t>
  </si>
  <si>
    <t>FS_ADD_0003 Establish farmer-managed staple-food storehouses linked to seasonal credit</t>
  </si>
  <si>
    <t>Exacte. Action distincte de ipcc_0097, car elle ajoute une gouvernance associative et un mécanisme financier spécifique.</t>
  </si>
  <si>
    <t>ipcc_0097 Upgrade food storage and distribution for climate resilience et ipcc_0098 Increase resilience by improving access to food…</t>
  </si>
  <si>
    <t>Partielle et répartie entre deux actions. Aucun proxy actuel ne couvre seul les systèmes alimentaires territoriaux, les semences, les ressources et les chaînes courtes.</t>
  </si>
  <si>
    <t>ipcc_0092 Expand climate-responsive social safety nets</t>
  </si>
  <si>
    <t>Exacte. Même mécanisme de protection sociale adaptative et de soutien alimentaire.</t>
  </si>
  <si>
    <t>FS_ADD_0004 Implement forecast-based financing for acute food insecurity</t>
  </si>
  <si>
    <t>Exacte. Il s’agit d’un mécanisme spécifique, distinct d’un filet social permanent ou d’une aide post-catastrophe.</t>
  </si>
  <si>
    <t>ipcc_0098 Increase resilience by improving access to food, improving livelihoods and promoting dietary shifts and food waste reduction</t>
  </si>
  <si>
    <t>Exacte pour la composante alimentation. L’action existante est toutefois composite, car elle regroupe également production, stockage, accès et gaspillage.</t>
  </si>
  <si>
    <t>ipcc_0097 Upgrade food storage and distribution for climate resilience et ipcc_0098…food waste reduction</t>
  </si>
  <si>
    <t>Forte mais répartie. ipcc_0097 couvre les infrastructures, tandis que ipcc_0098 couvre explicitement la réduction du gaspillage.</t>
  </si>
  <si>
    <t>icare_0156 Improve Implementation of urban gardens</t>
  </si>
  <si>
    <t>Partielle et insuffisante. L’action actuelle ne fait qu’identifier et évaluer des sites. Elle n’installe ni n’exploite réellement les jardins.</t>
  </si>
  <si>
    <t>icare_0185 Improve Creation of An Epidemiological Intelligence Center</t>
  </si>
  <si>
    <t>Faible à partielle. Le proxy concerne la surveillance sanitaire générale, mais ne prévoit pas explicitement la sécurité sanitaire des aliments ni les agents pathogènes alimentaires.</t>
  </si>
  <si>
    <t>Energy Security x actions</t>
  </si>
  <si>
    <t>ENERGY SECURITY ELIGIBILITY AND EFFECTIVENESS SUMMARY</t>
  </si>
  <si>
    <t>WEB AI PROMPT
Review the complete supplied sector context, including:
1. Sector Name.
2. Sector Code.
3. Source ID Prefix.
4. Target Source Table.
5. Complete approved Vulnerability indicator list.
6. Complete approved Exposure indicator list.
7. Any available information about the current sector’s AdaptaBrasil framework source.
8. Any available information about the current sector’s relevant IPCC framework source.
Use the supplied sector name and approved indicators as the source-selection framework.
Build a new operational source portfolio for the supplied sector.
Use Energy Security as the supplied sector and do not substitute another sector.
Determine source relevance from:
1. The supplied Sector Name.
2. The supplied approved Vulnerability indicators.
3. The supplied approved Exposure indicators.
4. The potential of each document to support future action-effectiveness assessment.
Do not use the context of a previous conversation.
Do not stop the workflow because a source record, PDF link or metadata field is incomplete.
Always return a complete portfolio of 10 source records.
==================================================
MANDATORY FRAMEWORK SOURCE ROLES
==================================================
The final portfolio must include these two mandatory framework-source roles as the first two records:
1. The official or most relevant available AdaptaBrasil methodological source for the supplied sector.
2. The most directly relevant IPCC assessment source for the supplied sector.
These are mandatory source roles.
They do not need to be fully supplied in advance by the user.
If metadata for these sources is supplied in the context:
1. Use the supplied information.
2. Correct obvious inconsistencies when reliable information is available.
3. Preserve the supplied Source IDs.
4. Use the supplied PDF links when they appear usable.
If metadata is incomplete:
1. Identify the most appropriate AdaptaBrasil source for the supplied sector.
2. Identify the most relevant IPCC source for the supplied sector.
3. Complete as much metadata as reasonably available.
4. Continue building the portfolio even when a PDF link cannot be found.
5. Do not stop the workflow.
6. Do not refuse to create the remaining source records.
If the exact sector-specific AdaptaBrasil methodological PDF cannot be identified:
1. Select the most relevant official AdaptaBrasil sector document, methodological document, indicator document, technical report or official sector page available.
2. Use the exact title when identifiable.
3. Use AdaptaBrasil MCTI, MCTI, INPE or the exact issuing institution identified in the source.
4. Leave Publication year blank only when it cannot be identified reliably.
5. Leave PDF file blank when no PDF link is available.
6. Keep this record as the first source.
7. Clearly instruct Excel Copilot to leave the missing field blank for later user completion.
If the most relevant IPCC PDF cannot be identified:
1. Select the IPCC report, chapter, technical paper or special report most directly relevant to the supplied sector and indicators.
2. Use the exact title when identifiable.
3. Use IPCC as the issuing institution.
4. Leave Publication year blank only when it cannot be identified reliably.
5. Leave PDF file blank when no PDF link is available.
6. Keep this record as the second source.
7. Continue building the complete portfolio.
Do not require full verification of the two framework sources before continuing.
Do not return:
Portfolio inserted: no
Do not return:
Mandatory source incomplete
as a reason for stopping the workflow.
==================================================
FINAL PORTFOLIO COMPOSITION
==================================================
Return exactly 10 source records:
5 records with Geographic scope equal to:
Brazil
5 records with Geographic scope equal to:
International
The two mandatory framework-source roles count toward these totals.
Therefore identify:
1. The current sector’s AdaptaBrasil framework source.
2. The current sector’s relevant IPCC framework source.
3. Four additional Brazilian sources.
4. Four additional international sources.
Do not return more than 10 sources.
Do not return fewer than 10 sources.
Do not create duplicate documents.
Avoid duplicate editions of the same document.
When two sources substantially overlap, retain the document with greater evidence potential.
==================================================
SOURCE-SELECTION OBJECTIVE
==================================================
Select documents that maximise usefulness for future assessment of adaptation-action effectiveness against the supplied approved indicators.
Prioritise documents containing:
1. Explicit adaptation actions.
2. Defined implementation mechanisms.
3. Programme evaluations.
4. Policy evaluations.
5. Monitoring results.
6. Documented outcomes.
7. Quantified results.
8. Effectiveness findings.
9. Implementation barriers.
10. Implementation success factors.
11. Case studies.
12. Trade-offs.
13. Limitations.
14. Evidence about direct action-to-indicator pathways.
15. Evidence about the implementation of sector-specific adaptation measures.
16. Evidence that can be traced to a document section or page.
The portfolio should provide complementary evidence.
Seek coverage across different action types, mechanisms and approved indicators where possible.
Do not select all additional sources around the same narrow intervention.
Do not prioritise a document solely because:
1. Its title contains the sector name.
2. It uses terminology similar to an indicator.
3. It discusses a relevant climate hazard.
4. It provides only general sector background.
5. It is published by a well-known institution.
6. It contains the word adaptation without documenting actions or mechanisms.
==================================================
BRAZILIAN SOURCE PRIORITIES
==================================================
Prioritise Brazilian documents produced by:
1. Federal institutions directly responsible for the supplied sector.
2. Ministries with a direct mandate for the supplied sector.
3. Brazilian public research institutions.
4. Brazilian programme-monitoring institutions.
5. Brazilian programme-evaluation institutions.
6. Relevant regulatory institutions.
7. Relevant territorial or sector-governance bodies.
8. Federal or state public agencies.
9. Universities and public research networks.
10. Brazilian offices or partnerships of multilateral development banks.
Determine institutional relevance from the supplied sector and approved indicators.
Do not use a fixed institutional list copied from another sector.
For Energy Security, Energy Security, Energy Security, Health, Biodiversity or another sector, adapt the institutional search to the actual sector.
==================================================
INTERNATIONAL SOURCE PRIORITIES
==================================================
Prioritise international documents produced by:
1. IPCC.
2. Relevant United Nations agencies.
3. World Bank.
4. Inter-American Development Bank.
5. Other recognised multilateral development banks.
6. OECD.
7. Global Center on Adaptation.
8. International research organisations with a direct mandate for the supplied sector.
9. International sector-specific organisations.
10. Peer-reviewed scientific synthesis publications.
11. Peer-reviewed programme or intervention evaluations.
Select international organisations according to the supplied sector and approved indicators.
Do not assume that FAO, UNEP, UNECE, WHO, IEA or another organisation is relevant unless the document has evidence potential for the supplied sector.
==================================================
SOURCE SELECTION RULES
==================================================
Prefer a source when:
1. The document title is identifiable.
2. The issuing institution is identifiable.
3. The publication year is identifiable.
4. The document is relevant to at least one supplied approved indicator.
5. The document is likely to contain evidence about adaptation actions, implementation, outcomes or effectiveness.
6. The document adds material evidence potential to the portfolio.
7. The document is not a duplicate.
8. The document appears sufficiently detailed for future review.
9. A PDF or downloadable report is available.
A source may still be retained when:
1. Its relevance is strong.
2. Its title and institution are identifiable.
3. A direct PDF link cannot be found.
4. The user can reasonably complete the PDF field later.
Do not exclude an otherwise useful source only because:
1. The direct PDF link is unavailable.
2. The PDF link could not be fully tested.
3. The publication year is temporarily unavailable.
4. One metadata field remains incomplete.
5. The official source is currently available only through an institutional publication page.
The absence of a verified PDF link must not prevent completion of the 10-source portfolio.
==================================================
PDF LINK APPROACH
==================================================
Make a reasonable effort to identify a functional PDF link for every selected document.
Prefer links in this order:
1. Direct official institutional PDF.
2. Official institutional document viewer providing access to the complete PDF.
3. Recognised institutional repository.
4. Official co-publisher.
5. University or public research repository.
6. Stable publication page containing access to the PDF.
When a functional PDF link is confidently available:
1. Populate the PDF file field.
2. Use the complete URL.
3. Do not encode the URL as visible HTML.
4. Do not shorten or modify the URL.
When a direct PDF link is not available but an official publication page is available:
1. Use the official publication-page URL in the PDF file field.
2. Do not stop the workflow.
3. Do not exclude the source only for this reason.
When no reliable link is available:
1. Keep the selected source.
2. Leave the PDF file field blank.
3. Instruct Excel Copilot to preserve the blank cell for later user completion.
4. Do not insert placeholder text in the Excel cell.
5. Do not invent or reconstruct a URL.
6. Continue building the remaining records.
Do not require every PDF link to be verified before returning the portfolio.
Do not reject the complete portfolio because one or more PDF links are missing.
==================================================
EXCLUSIONS
==================================================
Do not select:
1. News articles when a complete report is available.
2. Press releases when a complete report is available.
3. Presentations when a complete analytical document is available.
4. Abstract-only records when a full document is available.
5. Generic webpages with no identifiable publication.
6. Dashboards without analytical documentation.
7. Data portals without a relevant supporting report.
8. Duplicate documents.
9. Duplicate editions.
10. Translations of an already selected document unless no other usable edition is available.
11. Documents with no identifiable title.
12. Documents with no identifiable issuing institution.
13. Documents with no clear relevance to the supplied indicators.
14. Documents selected only because of keyword similarity.
15. Documents providing only generic climate background with no action-evidence potential.
A missing PDF link alone is not an exclusion criterion.
A missing publication year alone is not an exclusion criterion.
==================================================
METADATA RULES
==================================================
For each source, provide the best available values for:
1. Source ID.
2. Geographic scope.
3. Document title.
4. Issuing institution.
5. Publication year.
6. PDF file.
Use the exact document title when identifiable.
Use the exact issuing institution when identifiable.
Use the publication year when identifiable.
Do not invent an exact year.
If the year cannot be identified reliably:
leave Publication year blank.
If a reliable link cannot be identified:
leave PDF file blank.
Do not insert text such as:
To be completed
PDF missing
Not found
Unknown
N/A
Verification required
inside metadata cells.
Use an empty value for missing metadata.
Use only these Geographic scope values:
Brazil
International
==================================================
SOURCE IDS
==================================================
Use the Source ID Prefix supplied in the context.
Assign exactly 10 sequential Source IDs.
For a prefix ending with an underscore, use:
[Source ID Prefix]001
[Source ID Prefix]002
[Source ID Prefix]003
[Source ID Prefix]004
[Source ID Prefix]005
[Source ID Prefix]006
[Source ID Prefix]007
[Source ID Prefix]008
[Source ID Prefix]009
[Source ID Prefix]010
Do not omit leading zeroes.
Do not reuse an ID.
Use:
[Source ID Prefix]001
for the AdaptaBrasil framework-source role.
Use:
[Source ID Prefix]002
for the IPCC framework-source role.
Use:
[Source ID Prefix]003 through [Source ID Prefix]006
for the four additional Brazilian sources.
Use:
[Source ID Prefix]007 through [Source ID Prefix]010
for the four additional international sources.
If Source IDs for the mandatory sources are already supplied in the context, retain those IDs when they follow the configured prefix and sequence.
==================================================
OUTPUT REQUIREMENT
==================================================
Return one complete, self-contained Excel Copilot prompt and nothing else.
Do not return research commentary outside the Excel Copilot prompt.
Do not return a diagnostic report instead of the Excel Copilot prompt.
Do not stop because metadata or PDF links are incomplete.
The returned Excel Copilot prompt must explicitly state:
Target structured table:
Use the exact Target Source Table supplied in the context.
The returned Excel Copilot prompt may rebuild only that target source table.
It may not modify another table or worksheet section.
Populate exactly these existing columns:
Source ID
Geographic scope
Document title
Issuing institution
Publication year
PDF file
List all 10 source records explicitly.
For each source record provide the exact available value to write for:
1. Source ID.
2. Geographic scope.
3. Document title.
4. Issuing institution.
5. Publication year.
6. PDF file.
If Publication year is unavailable:
instruct Excel Copilot to leave the cell blank.
If PDF file is unavailable:
instruct Excel Copilot to leave the cell blank.
Do not omit the source record.
Do not replace a missing value with a placeholder.
Do not ask the user to select cells, ranges or tables.
Do not ask which sources to retain.
Do not ask for confirmation.
Do not ask for missing metadata.
Always return the complete 10-source Excel Copilot prompt in the current response.
==================================================
EXCEL COPILOT EXECUTION INSTRUCTIONS
==================================================
Instruct Excel Copilot to:
1. Use the exact Target Source Table supplied in the context.
2. Preserve the existing table name.
3. Preserve the existing six-column structure.
4. Preserve the existing column order.
5. Resize the table to contain exactly 10 non-empty source records.
6. Keep the AdaptaBrasil framework source as row 1.
7. Keep the IPCC framework source as row 2.
8. Replace previous non-mandatory records with the newly selected portfolio.
9. Use the exact Source ID Prefix supplied in the context.
10. Use the complete sequential Source ID series from 001 through 010.
11. Maintain exactly 5 Brazil records.
12. Maintain exactly 5 International records.
13. Populate every available PDF link.
14. Leave PDF file blank only when no reliable link is available.
15. Leave Publication year blank only when no reliable year is available.
16. Store available links as normal Excel hyperlinks or complete plain-text URLs.
17. Remove visible HTML anchor code.
18. Preserve table formatting.
19. Preserve filters.
20. Preserve validation.
21. Create</t>
  </si>
  <si>
    <t>ES_SRC_001</t>
  </si>
  <si>
    <t>ES_SRC_002</t>
  </si>
  <si>
    <t>ES_SRC_003</t>
  </si>
  <si>
    <t>ES_SRC_004</t>
  </si>
  <si>
    <t>ES_SRC_005</t>
  </si>
  <si>
    <t>ES_SRC_006</t>
  </si>
  <si>
    <t>ES_SRC_007</t>
  </si>
  <si>
    <t>ES_SRC_008</t>
  </si>
  <si>
    <t>ES_SRC_009</t>
  </si>
  <si>
    <t>ES_SRC_010</t>
  </si>
  <si>
    <t>ES_SRC_011</t>
  </si>
  <si>
    <t>ES_SRC_012</t>
  </si>
  <si>
    <t>Copy the complete current tbl_ES_Assessment table.
Copy the complete current tbl_ES_AdditionalActions table.
Paste both tables into the same Web AI conversation.</t>
  </si>
  <si>
    <t>Copy the complete Web AI response.
Run directly in Excel Copilot.
It may update only:
tbl_ES_Assessment
tbl_ES_AdditionalActions
tbl_ES_EligibilitySummary
If Excel Copilot asks which table, rows, cells or ranges to use, stop because the Web AI response is incomplete.</t>
  </si>
  <si>
    <t>Energy poverty, Electricity interruption, Residential electrical consumption, Electrical energy intensity, Electricity self-producers, Distributed electricity generation, Energy stored in hydroelectric reservoirs, Diversification of electricity generation, Municipal GDP per capita, Income greater than two minimum wages, Resilient cities</t>
  </si>
  <si>
    <t>Population density, Energy-intensive industries</t>
  </si>
  <si>
    <t>Review the Energy Security reference framework.
Verify that the Vulnerability and Exposure indicator source tables contain the complete approved indicator records and that indicator records remain structured table entries rather than manual text strings.
Verify that all indicator dropdowns and dynamic references are connected to the correct source tables.
Verify specifically that:
- C78 dynamically returns the Energy Security Vulnerability indicator library.
- C83 dynamically returns the Energy Security Exposure indicator library.
Identify missing indicators, duplicated indicators, broken dynamic references, hard-coded lists and inconsistent indicator names.
Do not modify, classify, score, rename or replace indicators. Do not assess actions.
Return only validation findings and recommended corrections.</t>
  </si>
  <si>
    <t>Sector:
Energy Security
Approved Vulnerability Indicators:
Energy poverty, Electricity interruption, Residential electrical consumption, Electrical energy intensity, Electricity self-producers, Distributed electricity generation, Energy stored in hydroelectric reservoirs, Diversification of electricity generation, Municipal GDP per capita, Income greater than two minimum wages, Resilient cities
Approved Exposure Indicators:
Population density, Energy-intensive industries
Mandatory framework sources:
ES_SRC_001 | Brazil | AdaptaBrasil MCTI: Índices e Indicadores | MCTI | 2023
ES_SRC_002 | International | IPCC AR6 WGII</t>
  </si>
  <si>
    <t>Health x actions</t>
  </si>
  <si>
    <t>HEALTH ELIGIBILITY AND EFFECTIVENESS SUMMARY</t>
  </si>
  <si>
    <t>WEB AI PROMPT
Review the complete supplied sector context, including:
1. Sector Name.
2. Sector Code.
3. Source ID Prefix.
4. Target Source Table.
5. Complete approved Vulnerability indicator list.
6. Complete approved Exposure indicator list.
7. Any available information about the current sector’s AdaptaBrasil framework source.
8. Any available information about the current sector’s relevant IPCC framework source.
Use the supplied sector name and approved indicators as the source-selection framework.
Build a new operational source portfolio for the supplied sector.
Use Health as the supplied sector and do not substitute another sector.
Determine source relevance from:
1. The supplied Sector Name.
2. The supplied approved Vulnerability indicators.
3. The supplied approved Exposure indicators.
4. The potential of each document to support future action-effectiveness assessment.
Do not use the context of a previous conversation.
Do not stop the workflow because a source record, PDF link or metadata field is incomplete.
Always return a complete portfolio of 10 source records.
==================================================
MANDATORY FRAMEWORK SOURCE ROLES
==================================================
The final portfolio must include these two mandatory framework-source roles as the first two records:
1. The official or most relevant available AdaptaBrasil methodological source for the supplied sector.
2. The most directly relevant IPCC assessment source for the supplied sector.
These are mandatory source roles.
They do not need to be fully supplied in advance by the user.
If metadata for these sources is supplied in the context:
1. Use the supplied information.
2. Correct obvious inconsistencies when reliable information is available.
3. Preserve the supplied Source IDs.
4. Use the supplied PDF links when they appear usable.
If metadata is incomplete:
1. Identify the most appropriate AdaptaBrasil source for the supplied sector.
2. Identify the most relevant IPCC source for the supplied sector.
3. Complete as much metadata as reasonably available.
4. Continue building the portfolio even when a PDF link cannot be found.
5. Do not stop the workflow.
6. Do not refuse to create the remaining source records.
If the exact sector-specific AdaptaBrasil methodological PDF cannot be identified:
1. Select the most relevant official AdaptaBrasil sector document, methodological document, indicator document, technical report or official sector page available.
2. Use the exact title when identifiable.
3. Use AdaptaBrasil MCTI, MCTI, INPE or the exact issuing institution identified in the source.
4. Leave Publication year blank only when it cannot be identified reliably.
5. Leave PDF file blank when no PDF link is available.
6. Keep this record as the first source.
7. Clearly instruct Excel Copilot to leave the missing field blank for later user completion.
If the most relevant IPCC PDF cannot be identified:
1. Select the IPCC report, chapter, technical paper or special report most directly relevant to the supplied sector and indicators.
2. Use the exact title when identifiable.
3. Use IPCC as the issuing institution.
4. Leave Publication year blank only when it cannot be identified reliably.
5. Leave PDF file blank when no PDF link is available.
6. Keep this record as the second source.
7. Continue building the complete portfolio.
Do not require full verification of the two framework sources before continuing.
Do not return:
Portfolio inserted: no
Do not return:
Mandatory source incomplete
as a reason for stopping the workflow.
==================================================
FINAL PORTFOLIO COMPOSITION
==================================================
Return exactly 10 source records:
5 records with Geographic scope equal to:
Brazil
5 records with Geographic scope equal to:
International
The two mandatory framework-source roles count toward these totals.
Therefore identify:
1. The current sector’s AdaptaBrasil framework source.
2. The current sector’s relevant IPCC framework source.
3. Four additional Brazilian sources.
4. Four additional international sources.
Do not return more than 10 sources.
Do not return fewer than 10 sources.
Do not create duplicate documents.
Avoid duplicate editions of the same document.
When two sources substantially overlap, retain the document with greater evidence potential.
==================================================
SOURCE-SELECTION OBJECTIVE
==================================================
Select documents that maximise usefulness for future assessment of adaptation-action effectiveness against the supplied approved indicators.
Prioritise documents containing:
1. Explicit adaptation actions.
2. Defined implementation mechanisms.
3. Programme evaluations.
4. Policy evaluations.
5. Monitoring results.
6. Documented outcomes.
7. Quantified results.
8. Effectiveness findings.
9. Implementation barriers.
10. Implementation success factors.
11. Case studies.
12. Trade-offs.
13. Limitations.
14. Evidence about direct action-to-indicator pathways.
15. Evidence about the implementation of sector-specific adaptation measures.
16. Evidence that can be traced to a document section or page.
The portfolio should provide complementary evidence.
Seek coverage across different action types, mechanisms and approved indicators where possible.
Do not select all additional sources around the same narrow intervention.
Do not prioritise a document solely because:
1. Its title contains the sector name.
2. It uses terminology similar to an indicator.
3. It discusses a relevant climate hazard.
4. It provides only general sector background.
5. It is published by a well-known institution.
6. It contains the word adaptation without documenting actions or mechanisms.
==================================================
BRAZILIAN SOURCE PRIORITIES
==================================================
Prioritise Brazilian documents produced by:
1. Federal institutions directly responsible for the supplied sector.
2. Ministries with a direct mandate for the supplied sector.
3. Brazilian public research institutions.
4. Brazilian programme-monitoring institutions.
5. Brazilian programme-evaluation institutions.
6. Relevant regulatory institutions.
7. Relevant territorial or sector-governance bodies.
8. Federal or state public agencies.
9. Universities and public research networks.
10. Brazilian offices or partnerships of multilateral development banks.
Determine institutional relevance from the supplied sector and approved indicators.
Do not use a fixed institutional list copied from another sector.
For Health, Health, Health, Health, Biodiversity or another sector, adapt the institutional search to the actual sector.
==================================================
INTERNATIONAL SOURCE PRIORITIES
==================================================
Prioritise international documents produced by:
1. IPCC.
2. Relevant United Nations agencies.
3. World Bank.
4. Inter-American Development Bank.
5. Other recognised multilateral development banks.
6. OECD.
7. Global Center on Adaptation.
8. International research organisations with a direct mandate for the supplied sector.
9. International sector-specific organisations.
10. Peer-reviewed scientific synthesis publications.
11. Peer-reviewed programme or intervention evaluations.
Select international organisations according to the supplied sector and approved indicators.
Do not assume that FAO, UNEP, UNECE, WHO, IEA or another organisation is relevant unless the document has evidence potential for the supplied sector.
==================================================
SOURCE SELECTION RULES
==================================================
Prefer a source when:
1. The document title is identifiable.
2. The issuing institution is identifiable.
3. The publication year is identifiable.
4. The document is relevant to at least one supplied approved indicator.
5. The document is likely to contain evidence about adaptation actions, implementation, outcomes or effectiveness.
6. The document adds material evidence potential to the portfolio.
7. The document is not a duplicate.
8. The document appears sufficiently detailed for future review.
9. A PDF or downloadable report is available.
A source may still be retained when:
1. Its relevance is strong.
2. Its title and institution are identifiable.
3. A direct PDF link cannot be found.
4. The user can reasonably complete the PDF field later.
Do not exclude an otherwise useful source only because:
1. The direct PDF link is unavailable.
2. The PDF link could not be fully tested.
3. The publication year is temporarily unavailable.
4. One metadata field remains incomplete.
5. The official source is currently available only through an institutional publication page.
The absence of a verified PDF link must not prevent completion of the 10-source portfolio.
==================================================
PDF LINK APPROACH
==================================================
Make a reasonable effort to identify a functional PDF link for every selected document.
Prefer links in this order:
1. Direct official institutional PDF.
2. Official institutional document viewer providing access to the complete PDF.
3. Recognised institutional repository.
4. Official co-publisher.
5. University or public research repository.
6. Stable publication page containing access to the PDF.
When a functional PDF link is confidently available:
1. Populate the PDF file field.
2. Use the complete URL.
3. Do not encode the URL as visible HTML.
4. Do not shorten or modify the URL.
When a direct PDF link is not available but an official publication page is available:
1. Use the official publication-page URL in the PDF file field.
2. Do not stop the workflow.
3. Do not exclude the source only for this reason.
When no reliable link is available:
1. Keep the selected source.
2. Leave the PDF file field blank.
3. Instruct Excel Copilot to preserve the blank cell for later user completion.
4. Do not insert placeholder text in the Excel cell.
5. Do not invent or reconstruct a URL.
6. Continue building the remaining records.
Do not require every PDF link to be verified before returning the portfolio.
Do not reject the complete portfolio because one or more PDF links are missing.
==================================================
EXCLUSIONS
==================================================
Do not select:
1. News articles when a complete report is available.
2. Press releases when a complete report is available.
3. Presentations when a complete analytical document is available.
4. Abstract-only records when a full document is available.
5. Generic webpages with no identifiable publication.
6. Dashboards without analytical documentation.
7. Data portals without a relevant supporting report.
8. Duplicate documents.
9. Duplicate editions.
10. Translations of an already selected document unless no other usable edition is available.
11. Documents with no identifiable title.
12. Documents with no identifiable issuing institution.
13. Documents with no clear relevance to the supplied indicators.
14. Documents selected only because of keyword similarity.
15. Documents providing only generic climate background with no action-evidence potential.
A missing PDF link alone is not an exclusion criterion.
A missing publication year alone is not an exclusion criterion.
==================================================
METADATA RULES
==================================================
For each source, provide the best available values for:
1. Source ID.
2. Geographic scope.
3. Document title.
4. Issuing institution.
5. Publication year.
6. PDF file.
Use the exact document title when identifiable.
Use the exact issuing institution when identifiable.
Use the publication year when identifiable.
Do not invent an exact year.
If the year cannot be identified reliably:
leave Publication year blank.
If a reliable link cannot be identified:
leave PDF file blank.
Do not insert text such as:
To be completed
PDF missing
Not found
Unknown
N/A
Verification required
inside metadata cells.
Use an empty value for missing metadata.
Use only these Geographic scope values:
Brazil
International
==================================================
SOURCE IDS
==================================================
Use the Source ID Prefix supplied in the context.
Assign exactly 10 sequential Source IDs.
For a prefix ending with an underscore, use:
[Source ID Prefix]001
[Source ID Prefix]002
[Source ID Prefix]003
[Source ID Prefix]004
[Source ID Prefix]005
[Source ID Prefix]006
[Source ID Prefix]007
[Source ID Prefix]008
[Source ID Prefix]009
[Source ID Prefix]010
Do not omit leading zeroes.
Do not reuse an ID.
Use:
[Source ID Prefix]001
for the AdaptaBrasil framework-source role.
Use:
[Source ID Prefix]002
for the IPCC framework-source role.
Use:
[Source ID Prefix]003 through [Source ID Prefix]006
for the four additional Brazilian sources.
Use:
[Source ID Prefix]007 through [Source ID Prefix]010
for the four additional international sources.
If Source IDs for the mandatory sources are already supplied in the context, retain those IDs when they follow the configured prefix and sequence.
==================================================
OUTPUT REQUIREMENT
==================================================
Return one complete, self-contained Excel Copilot prompt and nothing else.
Do not return research commentary outside the Excel Copilot prompt.
Do not return a diagnostic report instead of the Excel Copilot prompt.
Do not stop because metadata or PDF links are incomplete.
The returned Excel Copilot prompt must explicitly state:
Target structured table:
Use the exact Target Source Table supplied in the context.
The returned Excel Copilot prompt may rebuild only that target source table.
It may not modify another table or worksheet section.
Populate exactly these existing columns:
Source ID
Geographic scope
Document title
Issuing institution
Publication year
PDF file
List all 10 source records explicitly.
For each source record provide the exact available value to write for:
1. Source ID.
2. Geographic scope.
3. Document title.
4. Issuing institution.
5. Publication year.
6. PDF file.
If Publication year is unavailable:
instruct Excel Copilot to leave the cell blank.
If PDF file is unavailable:
instruct Excel Copilot to leave the cell blank.
Do not omit the source record.
Do not replace a missing value with a placeholder.
Do not ask the user to select cells, ranges or tables.
Do not ask which sources to retain.
Do not ask for confirmation.
Do not ask for missing metadata.
Always return the complete 10-source Excel Copilot prompt in the current response.
==================================================
EXCEL COPILOT EXECUTION INSTRUCTIONS
==================================================
Instruct Excel Copilot to:
1. Use the exact Target Source Table supplied in the context.
2. Preserve the existing table name.
3. Preserve the existing six-column structure.
4. Preserve the existing column order.
5. Resize the table to contain exactly 10 non-empty source records.
6. Keep the AdaptaBrasil framework source as row 1.
7. Keep the IPCC framework source as row 2.
8. Replace previous non-mandatory records with the newly selected portfolio.
9. Use the exact Source ID Prefix supplied in the context.
10. Use the complete sequential Source ID series from 001 through 010.
11. Maintain exactly 5 Brazil records.
12. Maintain exactly 5 International records.
13. Populate every available PDF link.
14. Leave PDF file blank only when no reliable link is available.
15. Leave Publication year blank only when no reliable year is available.
16. Store available links as normal Excel hyperlinks or complete plain-text URLs.
17. Remove visible HTML anchor code.
18. Preserve table formatting.
19. Preserve filters.
20. Preserve validation.
21. Create</t>
  </si>
  <si>
    <t>H_SRC_001</t>
  </si>
  <si>
    <t>H_SRC_002</t>
  </si>
  <si>
    <t>H_SRC_003</t>
  </si>
  <si>
    <t>H_SRC_004</t>
  </si>
  <si>
    <t>H_SRC_005</t>
  </si>
  <si>
    <t>H_SRC_006</t>
  </si>
  <si>
    <t>H_SRC_007</t>
  </si>
  <si>
    <t>H_SRC_008</t>
  </si>
  <si>
    <t>H_SRC_009</t>
  </si>
  <si>
    <t>H_SRC_010</t>
  </si>
  <si>
    <t>H_SRC_011</t>
  </si>
  <si>
    <t>H_SRC_012</t>
  </si>
  <si>
    <t>Copy the complete current tbl_H_Assessment table.
Copy the complete current tbl_H_AdditionalActions table.
Paste both tables into the same Web AI conversation.</t>
  </si>
  <si>
    <t>Copy the complete Web AI response.
Run directly in Excel Copilot.
It may update only:
tbl_H_Assessment
tbl_H_AdditionalActions
tbl_H_EligibilitySummary
If Excel Copilot asks which table, rows, cells or ranges to use, stop because the Web AI response is incomplete.</t>
  </si>
  <si>
    <t>Exposure indicators: Approved Health framework</t>
  </si>
  <si>
    <t>Indicators (official framework)</t>
  </si>
  <si>
    <t>Review the Health reference framework.
Verify that the Vulnerability and Exposure indicator source records contain the complete approved Health indicators and remain structured records rather than manual text strings.
Verify that all indicator dropdowns and dynamic references are connected to the correct source table.
Verify specifically that:
- C78 dynamically returns the Health Vulnerability indicator library.
- C83 dynamically returns the Health Exposure indicator library.
Identify missing indicators, duplicated indicators, broken dynamic references, hard-coded lists and inconsistent indicator names.
Do not modify, classify, score, rename or replace indicators. Do not assess actions.
Return only validation findings and recommended corrections.</t>
  </si>
  <si>
    <t>Biodiversity x actions</t>
  </si>
  <si>
    <t>BIODIVERSITY ELIGIBILITY AND EFFECTIVENESS SUMMARY</t>
  </si>
  <si>
    <t>Review the Biodiversity reference framework.
Verify that the Vulnerability and Exposure indicator source records contain the complete approved Biodiversity indicators and remain structured records rather than manual text strings.
Verify that all indicator dropdowns and dynamic references are connected to the correct source table.
Verify specifically that:
- C78 dynamically returns the Biodiversity Vulnerability indicator library.
- C83 dynamically returns the Biodiversity Exposure indicator library.
Identify missing indicators, duplicated indicators, broken dynamic references, hard-coded lists and inconsistent indicator names.
Do not modify, classify, score, rename or replace indicators. Do not assess actions.
Return only validation findings and recommended corrections.</t>
  </si>
  <si>
    <t>Exposure indicators: Approved Biodiversity framework</t>
  </si>
  <si>
    <t>WEB AI PROMPT
Review the complete supplied sector context, including:
1. Sector Name.
2. Sector Code.
3. Source ID Prefix.
4. Target Source Table.
5. Complete approved Vulnerability indicator list.
6. Complete approved Exposure indicator list.
7. Any available information about the current sector’s AdaptaBrasil framework source.
8. Any available information about the current sector’s relevant IPCC framework source.
Use the supplied sector name and approved indicators as the source-selection framework.
Build a new operational source portfolio for the supplied sector.
Use Biodiversity as the supplied sector and do not substitute another sector.
Determine source relevance from:
1. The supplied Sector Name.
2. The supplied approved Vulnerability indicators.
3. The supplied approved Exposure indicators.
4. The potential of each document to support future action-effectiveness assessment.
Do not use the context of a previous conversation.
Do not stop the workflow because a source record, PDF link or metadata field is incomplete.
Always return a complete portfolio of 10 source records.
==================================================
MANDATORY FRAMEWORK SOURCE ROLES
==================================================
The final portfolio must include these two mandatory framework-source roles as the first two records:
1. The official or most relevant available AdaptaBrasil methodological source for the supplied sector.
2. The most directly relevant IPCC assessment source for the supplied sector.
These are mandatory source roles.
They do not need to be fully supplied in advance by the user.
If metadata for these sources is supplied in the context:
1. Use the supplied information.
2. Correct obvious inconsistencies when reliable information is available.
3. Preserve the supplied Source IDs.
4. Use the supplied PDF links when they appear usable.
If metadata is incomplete:
1. Identify the most appropriate AdaptaBrasil source for the supplied sector.
2. Identify the most relevant IPCC source for the supplied sector.
3. Complete as much metadata as reasonably available.
4. Continue building the portfolio even when a PDF link cannot be found.
5. Do not stop the workflow.
6. Do not refuse to create the remaining source records.
If the exact sector-specific AdaptaBrasil methodological PDF cannot be identified:
1. Select the most relevant official AdaptaBrasil sector document, methodological document, indicator document, technical report or official sector page available.
2. Use the exact title when identifiable.
3. Use AdaptaBrasil MCTI, MCTI, INPE or the exact issuing institution identified in the source.
4. Leave Publication year blank only when it cannot be identified reliably.
5. Leave PDF file blank when no PDF link is available.
6. Keep this record as the first source.
7. Clearly instruct Excel Copilot to leave the missing field blank for later user completion.
If the most relevant IPCC PDF cannot be identified:
1. Select the IPCC report, chapter, technical paper or special report most directly relevant to the supplied sector and indicators.
2. Use the exact title when identifiable.
3. Use IPCC as the issuing institution.
4. Leave Publication year blank only when it cannot be identified reliably.
5. Leave PDF file blank when no PDF link is available.
6. Keep this record as the second source.
7. Continue building the complete portfolio.
Do not require full verification of the two framework sources before continuing.
Do not return:
Portfolio inserted: no
Do not return:
Mandatory source incomplete
as a reason for stopping the workflow.
==================================================
FINAL PORTFOLIO COMPOSITION
==================================================
Return exactly 10 source records:
5 records with Geographic scope equal to:
Brazil
5 records with Geographic scope equal to:
International
The two mandatory framework-source roles count toward these totals.
Therefore identify:
1. The current sector’s AdaptaBrasil framework source.
2. The current sector’s relevant IPCC framework source.
3. Four additional Brazilian sources.
4. Four additional international sources.
Do not return more than 10 sources.
Do not return fewer than 10 sources.
Do not create duplicate documents.
Avoid duplicate editions of the same document.
When two sources substantially overlap, retain the document with greater evidence potential.
==================================================
SOURCE-SELECTION OBJECTIVE
==================================================
Select documents that maximise usefulness for future assessment of adaptation-action effectiveness against the supplied approved indicators.
Prioritise documents containing:
1. Explicit adaptation actions.
2. Defined implementation mechanisms.
3. Programme evaluations.
4. Policy evaluations.
5. Monitoring results.
6. Documented outcomes.
7. Quantified results.
8. Effectiveness findings.
9. Implementation barriers.
10. Implementation success factors.
11. Case studies.
12. Trade-offs.
13. Limitations.
14. Evidence about direct action-to-indicator pathways.
15. Evidence about the implementation of sector-specific adaptation measures.
16. Evidence that can be traced to a document section or page.
The portfolio should provide complementary evidence.
Seek coverage across different action types, mechanisms and approved indicators where possible.
Do not select all additional sources around the same narrow intervention.
Do not prioritise a document solely because:
1. Its title contains the sector name.
2. It uses terminology similar to an indicator.
3. It discusses a relevant climate hazard.
4. It provides only general sector background.
5. It is published by a well-known institution.
6. It contains the word adaptation without documenting actions or mechanisms.
==================================================
BRAZILIAN SOURCE PRIORITIES
==================================================
Prioritise Brazilian documents produced by:
1. Federal institutions directly responsible for the supplied sector.
2. Ministries with a direct mandate for the supplied sector.
3. Brazilian public research institutions.
4. Brazilian programme-monitoring institutions.
5. Brazilian programme-evaluation institutions.
6. Relevant regulatory institutions.
7. Relevant territorial or sector-governance bodies.
8. Federal or state public agencies.
9. Universities and public research networks.
10. Brazilian offices or partnerships of multilateral development banks.
Determine institutional relevance from the supplied sector and approved indicators.
Do not use a fixed institutional list copied from another sector.
For Biodiversity, Biodiversity, Biodiversity, Biodiversity, Biodiversity or another sector, adapt the institutional search to the actual sector.
==================================================
INTERNATIONAL SOURCE PRIORITIES
==================================================
Prioritise international documents produced by:
1. IPCC.
2. Relevant United Nations agencies.
3. World Bank.
4. Inter-American Development Bank.
5. Other recognised multilateral development banks.
6. OECD.
7. Global Center on Adaptation.
8. International research organisations with a direct mandate for the supplied sector.
9. International sector-specific organisations.
10. Peer-reviewed scientific synthesis publications.
11. Peer-reviewed programme or intervention evaluations.
Select international organisations according to the supplied sector and approved indicators.
Do not assume that FAO, UNEP, UNECE, WHO, IEA or another organisation is relevant unless the document has evidence potential for the supplied sector.
==================================================
SOURCE SELECTION RULES
==================================================
Prefer a source when:
1. The document title is identifiable.
2. The issuing institution is identifiable.
3. The publication year is identifiable.
4. The document is relevant to at least one supplied approved indicator.
5. The document is likely to contain evidence about adaptation actions, implementation, outcomes or effectiveness.
6. The document adds material evidence potential to the portfolio.
7. The document is not a duplicate.
8. The document appears sufficiently detailed for future review.
9. A PDF or downloadable report is available.
A source may still be retained when:
1. Its relevance is strong.
2. Its title and institution are identifiable.
3. A direct PDF link cannot be found.
4. The user can reasonably complete the PDF field later.
Do not exclude an otherwise useful source only because:
1. The direct PDF link is unavailable.
2. The PDF link could not be fully tested.
3. The publication year is temporarily unavailable.
4. One metadata field remains incomplete.
5. The official source is currently available only through an institutional publication page.
The absence of a verified PDF link must not prevent completion of the 10-source portfolio.
==================================================
PDF LINK APPROACH
==================================================
Make a reasonable effort to identify a functional PDF link for every selected document.
Prefer links in this order:
1. Direct official institutional PDF.
2. Official institutional document viewer providing access to the complete PDF.
3. Recognised institutional repository.
4. Official co-publisher.
5. University or public research repository.
6. Stable publication page containing access to the PDF.
When a functional PDF link is confidently available:
1. Populate the PDF file field.
2. Use the complete URL.
3. Do not encode the URL as visible HTML.
4. Do not shorten or modify the URL.
When a direct PDF link is not available but an official publication page is available:
1. Use the official publication-page URL in the PDF file field.
2. Do not stop the workflow.
3. Do not exclude the source only for this reason.
When no reliable link is available:
1. Keep the selected source.
2. Leave the PDF file field blank.
3. Instruct Excel Copilot to preserve the blank cell for later user completion.
4. Do not insert placeholder text in the Excel cell.
5. Do not invent or reconstruct a URL.
6. Continue building the remaining records.
Do not require every PDF link to be verified before returning the portfolio.
Do not reject the complete portfolio because one or more PDF links are missing.
==================================================
EXCLUSIONS
==================================================
Do not select:
1. News articles when a complete report is available.
2. Press releases when a complete report is available.
3. Presentations when a complete analytical document is available.
4. Abstract-only records when a full document is available.
5. Generic webpages with no identifiable publication.
6. Dashboards without analytical documentation.
7. Data portals without a relevant supporting report.
8. Duplicate documents.
9. Duplicate editions.
10. Translations of an already selected document unless no other usable edition is available.
11. Documents with no identifiable title.
12. Documents with no identifiable issuing institution.
13. Documents with no clear relevance to the supplied indicators.
14. Documents selected only because of keyword similarity.
15. Documents providing only generic climate background with no action-evidence potential.
A missing PDF link alone is not an exclusion criterion.
A missing publication year alone is not an exclusion criterion.
==================================================
METADATA RULES
==================================================
For each source, provide the best available values for:
1. Source ID.
2. Geographic scope.
3. Document title.
4. Issuing institution.
5. Publication year.
6. PDF file.
Use the exact document title when identifiable.
Use the exact issuing institution when identifiable.
Use the publication year when identifiable.
Do not invent an exact year.
If the year cannot be identified reliably:
leave Publication year blank.
If a reliable link cannot be identified:
leave PDF file blank.
Do not insert text such as:
To be completed
PDF missing
Not found
Unknown
N/A
Verification required
inside metadata cells.
Use an empty value for missing metadata.
Use only these Geographic scope values:
Brazil
International
==================================================
SOURCE IDS
==================================================
Use the Source ID Prefix supplied in the context.
Assign exactly 10 sequential Source IDs.
For a prefix ending with an underscore, use:
[Source ID Prefix]001
[Source ID Prefix]002
[Source ID Prefix]003
[Source ID Prefix]004
[Source ID Prefix]005
[Source ID Prefix]006
[Source ID Prefix]007
[Source ID Prefix]008
[Source ID Prefix]009
[Source ID Prefix]010
Do not omit leading zeroes.
Do not reuse an ID.
Use:
[Source ID Prefix]001
for the AdaptaBrasil framework-source role.
Use:
[Source ID Prefix]002
for the IPCC framework-source role.
Use:
[Source ID Prefix]003 through [Source ID Prefix]006
for the four additional Brazilian sources.
Use:
[Source ID Prefix]007 through [Source ID Prefix]010
for the four additional international sources.
If Source IDs for the mandatory sources are already supplied in the context, retain those IDs when they follow the configured prefix and sequence.
==================================================
OUTPUT REQUIREMENT
==================================================
Return one complete, self-contained Excel Copilot prompt and nothing else.
Do not return research commentary outside the Excel Copilot prompt.
Do not return a diagnostic report instead of the Excel Copilot prompt.
Do not stop because metadata or PDF links are incomplete.
The returned Excel Copilot prompt must explicitly state:
Target structured table:
Use the exact Target Source Table supplied in the context.
The returned Excel Copilot prompt may rebuild only that target source table.
It may not modify another table or worksheet section.
Populate exactly these existing columns:
Source ID
Geographic scope
Document title
Issuing institution
Publication year
PDF file
List all 10 source records explicitly.
For each source record provide the exact available value to write for:
1. Source ID.
2. Geographic scope.
3. Document title.
4. Issuing institution.
5. Publication year.
6. PDF file.
If Publication year is unavailable:
instruct Excel Copilot to leave the cell blank.
If PDF file is unavailable:
instruct Excel Copilot to leave the cell blank.
Do not omit the source record.
Do not replace a missing value with a placeholder.
Do not ask the user to select cells, ranges or tables.
Do not ask which sources to retain.
Do not ask for confirmation.
Do not ask for missing metadata.
Always return the complete 10-source Excel Copilot prompt in the current response.
==================================================
EXCEL COPILOT EXECUTION INSTRUCTIONS
==================================================
Instruct Excel Copilot to:
1. Use the exact Target Source Table supplied in the context.
2. Preserve the existing table name.
3. Preserve the existing six-column structure.
4. Preserve the existing column order.
5. Resize the table to contain exactly 10 non-empty source records.
6. Keep the AdaptaBrasil framework source as row 1.
7. Keep the IPCC framework source as row 2.
8. Replace previous non-mandatory records with the newly selected portfolio.
9. Use the exact Source ID Prefix supplied in the context.
10. Use the complete sequential Source ID series from 001 through 010.
11. Maintain exactly 5 Brazil records.
12. Maintain exactly 5 International records.
13. Populate every available PDF link.
14. Leave PDF file blank only when no reliable link is available.
15. Leave Publication year blank only when no reliable year is available.
16. Store available links as normal Excel hyperlinks or complete plain-text URLs.
17. Remove visible HTML anchor code.
18. Preserve table formatting.
19. Preserve filters.
20. Preserve validation.
21. Create</t>
  </si>
  <si>
    <t>B_SRC_001</t>
  </si>
  <si>
    <t>B_SRC_002</t>
  </si>
  <si>
    <t>B_SRC_003</t>
  </si>
  <si>
    <t>B_SRC_004</t>
  </si>
  <si>
    <t>B_SRC_005</t>
  </si>
  <si>
    <t>B_SRC_006</t>
  </si>
  <si>
    <t>B_SRC_007</t>
  </si>
  <si>
    <t>B_SRC_008</t>
  </si>
  <si>
    <t>B_SRC_009</t>
  </si>
  <si>
    <t>B_SRC_010</t>
  </si>
  <si>
    <t>B_SRC_011</t>
  </si>
  <si>
    <t>B_SRC_012</t>
  </si>
  <si>
    <t>Copy the complete current tbl_B_Assessment table.
Copy the complete current tbl_B_AdditionalActions table.
Paste both tables into the same Web AI conversation.</t>
  </si>
  <si>
    <t>Copy the complete Web AI response.
Run directly in Excel Copilot.
It may update only:
tbl_B_Assessment
tbl_B_AdditionalActions
tbl_B_EligibilitySummary
If Excel Copilot asks which table, rows, cells or ranges to use, stop because the Web AI response is incomplete.</t>
  </si>
  <si>
    <t>GEOHYDROLOGICAL DISASTERS ELIGIBILITY AND EFFECTIVENESS SUMMARY</t>
  </si>
  <si>
    <t>Review the Geohydrological Disasters reference framework.
Verify that the Vulnerability and Exposure indicator source records contain the complete approved Geohydrological Disasters indicators and remain structured records rather than manual text strings.
Verify that all indicator dropdowns and dynamic references are connected to the correct source table.
Verify specifically that:
- C78 dynamically returns the Geohydrological Disasters Vulnerability indicator library.
- C83 dynamically returns the Geohydrological Disasters Exposure indicator library.
Identify missing indicators, duplicated indicators, broken dynamic references, hard-coded lists and inconsistent indicator names.
Do not modify, classify, score, rename or replace indicators. Do not assess actions.
Return only validation findings and recommended corrections.</t>
  </si>
  <si>
    <t>Exposure indicators: Approved Geohydrological Disasters framework</t>
  </si>
  <si>
    <t>WEB AI PROMPT
Review the complete supplied sector context, including:
1. Sector Name.
2. Sector Code.
3. Source ID Prefix.
4. Target Source Table.
5. Complete approved Vulnerability indicator list.
6. Complete approved Exposure indicator list.
7. Any available information about the current sector’s AdaptaBrasil framework source.
8. Any available information about the current sector’s relevant IPCC framework source.
Use the supplied sector name and approved indicators as the source-selection framework.
Build a new operational source portfolio for the supplied sector.
Use Geohydrological Disasters as the supplied sector and do not substitute another sector.
Determine source relevance from:
1. The supplied Sector Name.
2. The supplied approved Vulnerability indicators.
3. The supplied approved Exposure indicators.
4. The potential of each document to support future action-effectiveness assessment.
Do not use the context of a previous conversation.
Do not stop the workflow because a source record, PDF link or metadata field is incomplete.
Always return a complete portfolio of 10 source records.
==================================================
MANDATORY FRAMEWORK SOURCE ROLES
==================================================
The final portfolio must include these two mandatory framework-source roles as the first two records:
1. The official or most relevant available AdaptaBrasil methodological source for the supplied sector.
2. The most directly relevant IPCC assessment source for the supplied sector.
These are mandatory source roles.
They do not need to be fully supplied in advance by the user.
If metadata for these sources is supplied in the context:
1. Use the supplied information.
2. Correct obvious inconsistencies when reliable information is available.
3. Preserve the supplied Source IDs.
4. Use the supplied PDF links when they appear usable.
If metadata is incomplete:
1. Identify the most appropriate AdaptaBrasil source for the supplied sector.
2. Identify the most relevant IPCC source for the supplied sector.
3. Complete as much metadata as reasonably available.
4. Continue building the portfolio even when a PDF link cannot be found.
5. Do not stop the workflow.
6. Do not refuse to create the remaining source records.
If the exact sector-specific AdaptaBrasil methodological PDF cannot be identified:
1. Select the most relevant official AdaptaBrasil sector document, methodological document, indicator document, technical report or official sector page available.
2. Use the exact title when identifiable.
3. Use AdaptaBrasil MCTI, MCTI, INPE or the exact issuing institution identified in the source.
4. Leave Publication year blank only when it cannot be identified reliably.
5. Leave PDF file blank when no PDF link is available.
6. Keep this record as the first source.
7. Clearly instruct Excel Copilot to leave the missing field blank for later user completion.
If the most relevant IPCC PDF cannot be identified:
1. Select the IPCC report, chapter, technical paper or special report most directly relevant to the supplied sector and indicators.
2. Use the exact title when identifiable.
3. Use IPCC as the issuing institution.
4. Leave Publication year blank only when it cannot be identified reliably.
5. Leave PDF file blank when no PDF link is available.
6. Keep this record as the second source.
7. Continue building the complete portfolio.
Do not require full verification of the two framework sources before continuing.
Do not return:
Portfolio inserted: no
Do not return:
Mandatory source incomplete
as a reason for stopping the workflow.
==================================================
FINAL PORTFOLIO COMPOSITION
==================================================
Return exactly 10 source records:
5 records with Geographic scope equal to:
Brazil
5 records with Geographic scope equal to:
International
The two mandatory framework-source roles count toward these totals.
Therefore identify:
1. The current sector’s AdaptaBrasil framework source.
2. The current sector’s relevant IPCC framework source.
3. Four additional Brazilian sources.
4. Four additional international sources.
Do not return more than 10 sources.
Do not return fewer than 10 sources.
Do not create duplicate documents.
Avoid duplicate editions of the same document.
When two sources substantially overlap, retain the document with greater evidence potential.
==================================================
SOURCE-SELECTION OBJECTIVE
==================================================
Select documents that maximise usefulness for future assessment of adaptation-action effectiveness against the supplied approved indicators.
Prioritise documents containing:
1. Explicit adaptation actions.
2. Defined implementation mechanisms.
3. Programme evaluations.
4. Policy evaluations.
5. Monitoring results.
6. Documented outcomes.
7. Quantified results.
8. Effectiveness findings.
9. Implementation barriers.
10. Implementation success factors.
11. Case studies.
12. Trade-offs.
13. Limitations.
14. Evidence about direct action-to-indicator pathways.
15. Evidence about the implementation of sector-specific adaptation measures.
16. Evidence that can be traced to a document section or page.
The portfolio should provide complementary evidence.
Seek coverage across different action types, mechanisms and approved indicators where possible.
Do not select all additional sources around the same narrow intervention.
Do not prioritise a document solely because:
1. Its title contains the sector name.
2. It uses terminology similar to an indicator.
3. It discusses a relevant climate hazard.
4. It provides only general sector background.
5. It is published by a well-known institution.
6. It contains the word adaptation without documenting actions or mechanisms.
==================================================
BRAZILIAN SOURCE PRIORITIES
==================================================
Prioritise Brazilian documents produced by:
1. Federal institutions directly responsible for the supplied sector.
2. Ministries with a direct mandate for the supplied sector.
3. Brazilian public research institutions.
4. Brazilian programme-monitoring institutions.
5. Brazilian programme-evaluation institutions.
6. Relevant regulatory institutions.
7. Relevant territorial or sector-governance bodies.
8. Federal or state public agencies.
9. Universities and public research networks.
10. Brazilian offices or partnerships of multilateral development banks.
Determine institutional relevance from the supplied sector and approved indicators.
Do not use a fixed institutional list copied from another sector.
For Geohydrological Disasters, Geohydrological Disasters, Geohydrological Disasters, Geohydrological Disasters, Geohydrological Disasters or another sector, adapt the institutional search to the actual sector.
==================================================
INTERNATIONAL SOURCE PRIORITIES
==================================================
Prioritise international documents produced by:
1. IPCC.
2. Relevant United Nations agencies.
3. World Bank.
4. Inter-American Development Bank.
5. Other recognised multilateral development banks.
6. OECD.
7. Global Center on Adaptation.
8. International research organisations with a direct mandate for the supplied sector.
9. International sector-specific organisations.
10. Peer-reviewed scientific synthesis publications.
11. Peer-reviewed programme or intervention evaluations.
Select international organisations according to the supplied sector and approved indicators.
Do not assume that FAO, UNEP, UNECE, WHO, IEA or another organisation is relevant unless the document has evidence potential for the supplied sector.
==================================================
SOURCE SELECTION RULES
==================================================
Prefer a source when:
1. The document title is identifiable.
2. The issuing institution is identifiable.
3. The publication year is identifiable.
4. The document is relevant to at least one supplied approved indicator.
5. The document is likely to contain evidence about adaptation actions, implementation, outcomes or effectiveness.
6. The document adds material evidence potential to the portfolio.
7. The document is not a duplicate.
8. The document appears sufficiently detailed for future review.
9. A PDF or downloadable report is available.
A source may still be retained when:
1. Its relevance is strong.
2. Its title and institution are identifiable.
3. A direct PDF link cannot be found.
4. The user can reasonably complete the PDF field later.
Do not exclude an otherwise useful source only because:
1. The direct PDF link is unavailable.
2. The PDF link could not be fully tested.
3. The publication year is temporarily unavailable.
4. One metadata field remains incomplete.
5. The official source is currently available only through an institutional publication page.
The absence of a verified PDF link must not prevent completion of the 10-source portfolio.
==================================================
PDF LINK APPROACH
==================================================
Make a reasonable effort to identify a functional PDF link for every selected document.
Prefer links in this order:
1. Direct official institutional PDF.
2. Official institutional document viewer providing access to the complete PDF.
3. Recognised institutional repository.
4. Official co-publisher.
5. University or public research repository.
6. Stable publication page containing access to the PDF.
When a functional PDF link is confidently available:
1. Populate the PDF file field.
2. Use the complete URL.
3. Do not encode the URL as visible HTML.
4. Do not shorten or modify the URL.
When a direct PDF link is not available but an official publication page is available:
1. Use the official publication-page URL in the PDF file field.
2. Do not stop the workflow.
3. Do not exclude the source only for this reason.
When no reliable link is available:
1. Keep the selected source.
2. Leave the PDF file field blank.
3. Instruct Excel Copilot to preserve the blank cell for later user completion.
4. Do not insert placeholder text in the Excel cell.
5. Do not invent or reconstruct a URL.
6. Continue building the remaining records.
Do not require every PDF link to be verified before returning the portfolio.
Do not reject the complete portfolio because one or more PDF links are missing.
==================================================
EXCLUSIONS
==================================================
Do not select:
1. News articles when a complete report is available.
2. Press releases when a complete report is available.
3. Presentations when a complete analytical document is available.
4. Abstract-only records when a full document is available.
5. Generic webpages with no identifiable publication.
6. Dashboards without analytical documentation.
7. Data portals without a relevant supporting report.
8. Duplicate documents.
9. Duplicate editions.
10. Translations of an already selected document unless no other usable edition is available.
11. Documents with no identifiable title.
12. Documents with no identifiable issuing institution.
13. Documents with no clear relevance to the supplied indicators.
14. Documents selected only because of keyword similarity.
15. Documents providing only generic climate background with no action-evidence potential.
A missing PDF link alone is not an exclusion criterion.
A missing publication year alone is not an exclusion criterion.
==================================================
METADATA RULES
==================================================
For each source, provide the best available values for:
1. Source ID.
2. Geographic scope.
3. Document title.
4. Issuing institution.
5. Publication year.
6. PDF file.
Use the exact document title when identifiable.
Use the exact issuing institution when identifiable.
Use the publication year when identifiable.
Do not invent an exact year.
If the year cannot be identified reliably:
leave Publication year blank.
If a reliable link cannot be identified:
leave PDF file blank.
Do not insert text such as:
To be completed
PDF missing
Not found
Unknown
N/A
Verification required
inside metadata cells.
Use an empty value for missing metadata.
Use only these Geographic scope values:
Brazil
International
==================================================
SOURCE IDS
==================================================
Use the Source ID Prefix supplied in the context.
Assign exactly 10 sequential Source IDs.
For a prefix ending with an underscore, use:
[Source ID Prefix]001
[Source ID Prefix]002
[Source ID Prefix]003
[Source ID Prefix]004
[Source ID Prefix]005
[Source ID Prefix]006
[Source ID Prefix]007
[Source ID Prefix]008
[Source ID Prefix]009
[Source ID Prefix]010
Do not omit leading zeroes.
Do not reuse an ID.
Use:
[Source ID Prefix]001
for the AdaptaBrasil framework-source role.
Use:
[Source ID Prefix]002
for the IPCC framework-source role.
Use:
[Source ID Prefix]003 through [Source ID Prefix]006
for the four additional Brazilian sources.
Use:
[Source ID Prefix]007 through [Source ID Prefix]010
for the four additional international sources.
If Source IDs for the mandatory sources are already supplied in the context, retain those IDs when they follow the configured prefix and sequence.
==================================================
OUTPUT REQUIREMENT
==================================================
Return one complete, self-contained Excel Copilot prompt and nothing else.
Do not return research commentary outside the Excel Copilot prompt.
Do not return a diagnostic report instead of the Excel Copilot prompt.
Do not stop because metadata or PDF links are incomplete.
The returned Excel Copilot prompt must explicitly state:
Target structured table:
Use the exact Target Source Table supplied in the context.
The returned Excel Copilot prompt may rebuild only that target source table.
It may not modify another table or worksheet section.
Populate exactly these existing columns:
Source ID
Geographic scope
Document title
Issuing institution
Publication year
PDF file
List all 10 source records explicitly.
For each source record provide the exact available value to write for:
1. Source ID.
2. Geographic scope.
3. Document title.
4. Issuing institution.
5. Publication year.
6. PDF file.
If Publication year is unavailable:
instruct Excel Copilot to leave the cell blank.
If PDF file is unavailable:
instruct Excel Copilot to leave the cell blank.
Do not omit the source record.
Do not replace a missing value with a placeholder.
Do not ask the user to select cells, ranges or tables.
Do not ask which sources to retain.
Do not ask for confirmation.
Do not ask for missing metadata.
Always return the complete 10-source Excel Copilot prompt in the current response.
==================================================
EXCEL COPILOT EXECUTION INSTRUCTIONS
==================================================
Instruct Excel Copilot to:
1. Use the exact Target Source Table supplied in the context.
2. Preserve the existing table name.
3. Preserve the existing six-column structure.
4. Preserve the existing column order.
5. Resize the table to contain exactly 10 non-empty source records.
6. Keep the AdaptaBrasil framework source as row 1.
7. Keep the IPCC framework source as row 2.
8. Replace previous non-mandatory records with the newly selected portfolio.
9. Use the exact Source ID Prefix supplied in the context.
10. Use the complete sequential Source ID series from 001 through 010.
11. Maintain exactly 5 Brazil records.
12. Maintain exactly 5 International records.
13. Populate every available PDF link.
14. Leave PDF file blank only when no reliable link is available.
15. Leave Publication year blank only when no reliable year is available.
16. Store available links as normal Excel hyperlinks or complete plain-text URLs.
17. Remove visible HTML anchor code.
18. Preserve table formatting.
19. Preserve filters.
20. Preserve validation.
21. Create</t>
  </si>
  <si>
    <t>GS_SRC_001</t>
  </si>
  <si>
    <t>GS_SRC_002</t>
  </si>
  <si>
    <t>GS_SRC_003</t>
  </si>
  <si>
    <t>GS_SRC_004</t>
  </si>
  <si>
    <t>GS_SRC_005</t>
  </si>
  <si>
    <t>GS_SRC_006</t>
  </si>
  <si>
    <t>GS_SRC_007</t>
  </si>
  <si>
    <t>GS_SRC_008</t>
  </si>
  <si>
    <t>GS_SRC_009</t>
  </si>
  <si>
    <t>GS_SRC_010</t>
  </si>
  <si>
    <t>GS_SRC_011</t>
  </si>
  <si>
    <t>GS_SRC_012</t>
  </si>
  <si>
    <t>Copy the complete current tbl_GS_Assessment table.
Copy the complete current tbl_GS_AdditionalActions table.
Paste both tables into the same Web AI conversation.</t>
  </si>
  <si>
    <t>Copy the complete Web AI response.
Run directly in Excel Copilot.
It may update only:
tbl_GS_Assessment
tbl_GS_AdditionalActions
tbl_GS_EligibilitySummary
If Excel Copilot asks which table, rows, cells or ranges to use, stop because the Web AI response is incomplete.</t>
  </si>
  <si>
    <t>Geohydrological Disasters x actions</t>
  </si>
  <si>
    <t>AdaptaBrasil MCTI: Índices e Indicadores de Risco Climático para Biodiversidade</t>
  </si>
  <si>
    <t>Ministério da Ciência, Tecnologia e Inovação (MCTI) / INPE / RNP</t>
  </si>
  <si>
    <t>https://adaptabrasil.mcti.gov.br/detalhes-biodiversidade</t>
  </si>
  <si>
    <t>Climate Change 2022: Impacts, Adaptation and Vulnerability (AR6 WGII)</t>
  </si>
  <si>
    <t>https://www.ipcc.ch/report/ar6/wg2/</t>
  </si>
  <si>
    <t>Estratégia e Plano de Ação Nacionais para a Biodiversidade (EPANB 2025–2030)</t>
  </si>
  <si>
    <t>Ministério do Meio Ambiente e Mudança do Clima (MMA)</t>
  </si>
  <si>
    <t>https://www.gov.br/mma/pt-br/centrais-de-conteudo/publicacoes/biodiversidade-e-biomas/epanb-2025-2030.pdf</t>
  </si>
  <si>
    <t>Plano Clima Adaptação: Estratégia Nacional de Adaptação</t>
  </si>
  <si>
    <t>Ministério do Meio Ambiente e Mudança do Clima / MCTI / Casa Civil</t>
  </si>
  <si>
    <t>https://www.gov.br/mma/pt-br/centrais-de-conteudo/publicacoes/mudanca-do-clima/estrategia-nacional-de-adaptacao.pdf</t>
  </si>
  <si>
    <t>Plano Nacional de Adaptação à Mudança do Clima</t>
  </si>
  <si>
    <t>Governo Federal do Brasil</t>
  </si>
  <si>
    <t>https://unfccc.int/sites/default/files/resource/NAP_Brazil_2016_PR.pdf</t>
  </si>
  <si>
    <t>Climate Change and Biodiversity in Brazil: What We Know, What We Don’t, and Paris Agreement’s Risk Reduction Potential</t>
  </si>
  <si>
    <t>Universidade Federal do Rio de Janeiro (UFRJ) / International Institute for Sustainability (IIS)</t>
  </si>
  <si>
    <t>https://www.iis-rio.org/wp-content/uploads/2025/04/Malecha-et-al.-2025-PECON_estudo.pdf</t>
  </si>
  <si>
    <t>Harnessing Nature to Build Climate Resilience: Scaling Up the Use of Ecosystem-based Adaptation</t>
  </si>
  <si>
    <t>United Nations Environment Programme (UNEP)</t>
  </si>
  <si>
    <t>https://www.adaptation-undp.org/resources/reports/harnessing-nature-build-climate-resilience-scaling-use-ecosystem-based-adaptation</t>
  </si>
  <si>
    <t>Ecosystem-based Adaptation Stakeholder Dialogue Report</t>
  </si>
  <si>
    <t>https://www.unep.org/resources/publication/ecosystem-based-adaptation-stakeholder-dialogue-report</t>
  </si>
  <si>
    <t>Ecosystem-based Adaptation: Working with Nature to Adapt to a Changing Climate</t>
  </si>
  <si>
    <t>UNEP-WCMC</t>
  </si>
  <si>
    <t>https://www.unep-wcmc.org/en/adaptation</t>
  </si>
  <si>
    <t>Climate Change 2022: Impacts, Adaptation and Vulnerability - Chapter 2: Terrestrial and Freshwater Ecosystems and their Services</t>
  </si>
  <si>
    <t>https://www.ipcc.ch/report/ar6/wg2/chapter/chapter-2/</t>
  </si>
  <si>
    <t>AdaptaBrasil MCTI: Desastres Geo-hidrológicos</t>
  </si>
  <si>
    <t>https://adaptabrasil.mcti.gov.br/detalhes-desastres-geo-hidrologicos</t>
  </si>
  <si>
    <t>Climate Change 2022: Impacts, Adaptation and Vulnerability</t>
  </si>
  <si>
    <t>Gestão Integrada de Riscos e Desastres: Caderno Técnico GIRD+10</t>
  </si>
  <si>
    <t>Ministério do Desenvolvimento Regional / Secretaria Nacional de Proteção e Defesa Civil</t>
  </si>
  <si>
    <t>https://www.gov.br/mdr/pt-br/assuntos/protecao-e-defesa-civil/gestao-integrada-de-riscos-e-desastres</t>
  </si>
  <si>
    <t>Manual para Apresentação de Propostas para Sistemas de Drenagem Urbana Sustentável e de Manejo de Águas Pluviais</t>
  </si>
  <si>
    <t>Ministério do Desenvolvimento Regional / Secretaria Nacional de Saneamento</t>
  </si>
  <si>
    <t>https://www.gov.br/mdr/pt-br/assuntos/emendasparlamentares/acao_10SG_drenagem_urbana.pdf</t>
  </si>
  <si>
    <t>Scaling Up Flood Risk Management in Brazil to Build Community-Level Resilience: Identifying Disaster Risk and Building Capacity to Inform Urban Resilience Strategies at Both the National and Local Levels</t>
  </si>
  <si>
    <t>https://thedocs.worldbank.org/en/doc/7d99a71998e1aae72110dffda1b27be1-0360012021/original/RIR-Brazil-20210407-Final-sy-bmj-1.pdf</t>
  </si>
  <si>
    <t>Coping with Losses: Options for Disaster Risk Financing in Brazil</t>
  </si>
  <si>
    <t>https://documents1.worldbank.org/curated/en/138651519418943510/pdf/111953-PUBLIC-OptionsforDisasterRiskFinancinginBrazil-FINAL-Low.pdf</t>
  </si>
  <si>
    <t>Making Cities Resilient Report 2019: A Snapshot of How Local Governments Progress in Reducing Disaster Risks in Alignment with the Sendai Framework for Disaster Risk Reduction</t>
  </si>
  <si>
    <t>United Nations Office for Disaster Risk Reduction (UNDRR)</t>
  </si>
  <si>
    <t>https://www.unisdr.org/campaign/resilientcities/assets/toolkit/documents/UNDRR_Making%20Cities%20Resilient%20Report%202019_April2019.pdf</t>
  </si>
  <si>
    <t>Making Cities Resilient 2030 (MCR2030): Initial Proposal</t>
  </si>
  <si>
    <t>https://mcr2030.undrr.org/sites/default/files/2021-04/MCR2030%20in%20English%20ver.2%20%2820210302%29.pdf?startDownload=true</t>
  </si>
  <si>
    <t>Early Warnings for All: Executive Action Plan 2023–2027</t>
  </si>
  <si>
    <t>World Meteorological Organization (WMO)</t>
  </si>
  <si>
    <t>https://digitallibrary.un.org/record/4001006?v=pdf</t>
  </si>
  <si>
    <t>Lifelines: The Resilient Infrastructure Opportunity</t>
  </si>
  <si>
    <t>https://documents1.worldbank.org/curated/en/111181560974989791/pdf/Lifelines-The-Resilient-Infrastructure-Opportunity.pdf</t>
  </si>
  <si>
    <t>AdaptaBrasil MCTI: Saúde - Índices e Indicadores</t>
  </si>
  <si>
    <t>https://adaptabrasil.mcti.gov.br/detalhes-saude</t>
  </si>
  <si>
    <t>Plano Nacional de Adaptação à Mudança do Clima - Saúde</t>
  </si>
  <si>
    <t>Ministério da Saúde / Governo Federal do Brasil</t>
  </si>
  <si>
    <t>https://www.gov.br/mma/pt-br/assuntos/climaozonio/arquivo/pdf/pna-volume-saude.pdf</t>
  </si>
  <si>
    <t>Plano de Ação Nacional de Saúde Ambiental</t>
  </si>
  <si>
    <t>Ministério da Saúde</t>
  </si>
  <si>
    <t>https://bvsms.saude.gov.br/bvs/publicacoes/plano_acao_nacional_saude_ambiental.pdf</t>
  </si>
  <si>
    <t>Vigilância em Saúde de Populações Expostas a Eventos Climáticos Extremos</t>
  </si>
  <si>
    <t>https://www.gov.br/saude/pt-br/composicao/svsa/vigilancia-em-saude-ambiental</t>
  </si>
  <si>
    <t>Saúde Brasil 2023: Uma Análise da Situação de Saúde e das Doenças e Agravos Relacionados ao Clima</t>
  </si>
  <si>
    <t>https://www.gov.br/saude/pt-br/centrais-de-conteudo/publicacoes/svsa/saude-brasil</t>
  </si>
  <si>
    <t>Protecting Human Health from Climate Change: Vulnerability and Adaptation Assessment</t>
  </si>
  <si>
    <t>World Health Organization (WHO)</t>
  </si>
  <si>
    <t>https://apps.who.int/iris/handle/10665/345824</t>
  </si>
  <si>
    <t>Operational Framework for Building Climate Resilient Health Systems</t>
  </si>
  <si>
    <t>https://apps.who.int/iris/handle/10665/189951</t>
  </si>
  <si>
    <t>Guidance for Climate Resilient and Environmentally Sustainable Health Care Facilities</t>
  </si>
  <si>
    <t>https://apps.who.int/iris/handle/10665/335909</t>
  </si>
  <si>
    <t>The Lancet Countdown on Health and Climate Change: Policy Brief for Brazil</t>
  </si>
  <si>
    <t>Lancet Countdown / Fundação Oswaldo Cruz (Fiocruz)</t>
  </si>
  <si>
    <t>https://www.lancetcountdown.org/resources/</t>
  </si>
  <si>
    <t>AdaptaBrasil MCTI: Segurança Energética</t>
  </si>
  <si>
    <t>https://adaptabrasil.mcti.gov.br/detalhes-energia</t>
  </si>
  <si>
    <t>https://www.ipcc.ch/report/sixth-assessment-report-working-group-ii/</t>
  </si>
  <si>
    <t>Plano Nacional de Adaptação à Mudança do Clima: Volume II, Estratégias Setoriais e Temáticas</t>
  </si>
  <si>
    <t>https://www.comitebaixotiete.org/wp-content/uploads/2024/07/Plano-Nacional-de-adaptacao-a-mudanca-do-clima.pdf</t>
  </si>
  <si>
    <t>Electricity Transmission and Climate Change: Roadmap for Climate Resilience in the Brazilian Power System</t>
  </si>
  <si>
    <t>Empresa de Pesquisa Energética (EPE)</t>
  </si>
  <si>
    <t>https://www.epe.gov.br/sites-pt/publicacoes-dados-abertos/publicacoes/PublicacoesArquivos/publicacao-852/topico-736/Electricity%20transmission%20and%20climate%20change.pdf</t>
  </si>
  <si>
    <t>Brazil 2025 Energy Policy Review</t>
  </si>
  <si>
    <t>International Energy Agency (IEA) / Government of Brazil</t>
  </si>
  <si>
    <t>https://iea.blob.core.windows.net/assets/6ea1af14-d51f-47f5-8fe7-76bfd55b0ea0/Brazil2025-EnergyPolicyReview.pdf</t>
  </si>
  <si>
    <t>Brazil Country Climate and Development Report</t>
  </si>
  <si>
    <t>World Bank Group</t>
  </si>
  <si>
    <t>https://openknowledge.worldbank.org/server/api/core/bitstreams/8c0713d7-5768-4f2c-9be5-e5aa1a3855b5/content</t>
  </si>
  <si>
    <t>Climate Resilience: Part of Electricity Security 2021</t>
  </si>
  <si>
    <t>International Energy Agency (IEA)</t>
  </si>
  <si>
    <t>https://iea.blob.core.windows.net/assets/62c056f7-deed-4e3a-9a1f-a3ca8cc83813/Climate_Resilience.pdf</t>
  </si>
  <si>
    <t>Climate Resilience for Energy Security</t>
  </si>
  <si>
    <t>https://iea.blob.core.windows.net/assets/10229b31-fd82-4371-b92c-a554f95369ea/ClimateResilienceforEnergySecurity.pdf</t>
  </si>
  <si>
    <t>Stronger Power: Improving Power Sector Resilience to Natural Hazards</t>
  </si>
  <si>
    <t>https://documents1.worldbank.org/curated/en/200771560790885170/pdf/Stronger-Power-Improving-Power-Sector-Resilience-to-Natural-Hazards.pdf</t>
  </si>
  <si>
    <t>Enhancing Resilience: Climate-proofing Power Infrastructure</t>
  </si>
  <si>
    <t>International Renewable Energy Agency (IRENA)</t>
  </si>
  <si>
    <t>https://www.irena.org/-/media/Files/IRENA/Agency/Publication/2025/Dec/IRENA_TEC_Enhancing_resilience_power_infrastructure_2025.pdf</t>
  </si>
  <si>
    <t>The primary mechanism protects and conserves natural watershed areas against pollution and encroachment. This directly prevents Vegetation loss.</t>
  </si>
  <si>
    <t>The primary mechanism trains and equips rural first-response brigades for fire prevention and firefighting. This directly changes Fire.</t>
  </si>
  <si>
    <t>The primary mechanism plants and connects urban green spaces and ecological corridors. This directly reduces Vegetation loss.</t>
  </si>
  <si>
    <t>The primary mechanism creates and expands connected green and blue-green areas. This directly changes Natural coverage.</t>
  </si>
  <si>
    <t>The primary mechanism plants trees and restores forests in urban spaces and ecological parks. This directly reduces Vegetation loss.</t>
  </si>
  <si>
    <t>The primary mechanism creates green areas and restores forests. This directly changes Natural coverage.</t>
  </si>
  <si>
    <t>The primary mechanism restores natural habitats and creates marine protected areas. This directly changes Natural coverage and Protected area.</t>
  </si>
  <si>
    <t>Natural coverage; Protected area</t>
  </si>
  <si>
    <t>The primary mechanism restores ecosystems and implements agroecology and vegetation corridors. This directly changes No sustainable agricultural practice and Vegetation loss.</t>
  </si>
  <si>
    <t>No sustainable agricultural practice; Vegetation loss</t>
  </si>
  <si>
    <t>No sustainable agricultural practice; Technical guidance</t>
  </si>
  <si>
    <t>B_SRC_006_p6_01</t>
  </si>
  <si>
    <t>Climate change and biodiversity in Brazil: What we know, what we don’t, and Paris Agreement’s risk reduction potential</t>
  </si>
  <si>
    <t>To achieve greater biodiversity conservation, however, we need to combine strong mitigation with adaptation measures, such as expansion and adaptation of protected areas in the context of climate change (Malecha et al., 2023; Manes and Vale, 2022).</t>
  </si>
  <si>
    <t>The primary mechanism is to strengthen coastal protection infrastructure. It does not directly change any approved Biodiversity Vulnerability indicator; any pathway would be indirect, secondary, or unsupported.</t>
  </si>
  <si>
    <t>The primary mechanism is to strengthen coastal protection infrastructure. It does not directly change any approved Biodiversity Exposure indicator; any pathway would be indirect, secondary, or unsupported.</t>
  </si>
  <si>
    <t>Biodiversity eligibility reassessed independently for Vulnerability and Exposure using the direct-mechanism rule and the complete permitted PDF evidence.</t>
  </si>
  <si>
    <t>The primary mechanism is to upgrade urban drainage systems. It does not directly change any approved Biodiversity Vulnerability indicator; any pathway would be indirect, secondary, or unsupported.</t>
  </si>
  <si>
    <t>The primary mechanism is to upgrade urban drainage systems. It does not directly change any approved Biodiversity Exposure indicator; any pathway would be indirect, secondary, or unsupported.</t>
  </si>
  <si>
    <t>The primary mechanism is to build and maintain shelters for critical climate hazards. It does not directly change any approved Biodiversity Vulnerability indicator; any pathway would be indirect, secondary, or unsupported.</t>
  </si>
  <si>
    <t>The primary mechanism is to build and maintain shelters for critical climate hazards. It does not directly change any approved Biodiversity Exposure indicator; any pathway would be indirect, secondary, or unsupported.</t>
  </si>
  <si>
    <t>The primary mechanism is to provide public shading in heat hotspots. It does not directly change any approved Biodiversity Vulnerability indicator; any pathway would be indirect, secondary, or unsupported.</t>
  </si>
  <si>
    <t>The primary mechanism is to provide public shading in heat hotspots. It does not directly change any approved Biodiversity Exposure indicator; any pathway would be indirect, secondary, or unsupported.</t>
  </si>
  <si>
    <t>The primary mechanism is to deploy cool pavements and cool roofs on heat‑exposed streets and buildings. It does not directly change any approved Biodiversity Vulnerability indicator; any pathway would be indirect, secondary, or unsupported.</t>
  </si>
  <si>
    <t>The primary mechanism is to deploy cool pavements and cool roofs on heat‑exposed streets and buildings. It does not directly change any approved Biodiversity Exposure indicator; any pathway would be indirect, secondary, or unsupported.</t>
  </si>
  <si>
    <t>The primary mechanism is to promote water-saving technologies and practices. It does not directly change any approved Biodiversity Vulnerability indicator; any pathway would be indirect, secondary, or unsupported.</t>
  </si>
  <si>
    <t>The primary mechanism is to promote water-saving technologies and practices. It does not directly change any approved Biodiversity Exposure indicator; any pathway would be indirect, secondary, or unsupported.</t>
  </si>
  <si>
    <t>The action has a direct approved-indicator pathway, but the permitted PDF provides no evaluated outcome for this specific mechanism.</t>
  </si>
  <si>
    <t>The primary mechanism is to improve watershed protection and management. It does not directly change any approved Biodiversity Exposure indicator; any pathway would be indirect, secondary, or unsupported.</t>
  </si>
  <si>
    <t>The primary mechanism is to reform water tariffs to support efficiency and equity. It does not directly change any approved Biodiversity Vulnerability indicator; any pathway would be indirect, secondary, or unsupported.</t>
  </si>
  <si>
    <t>The primary mechanism is to reform water tariffs to support efficiency and equity. It does not directly change any approved Biodiversity Exposure indicator; any pathway would be indirect, secondary, or unsupported.</t>
  </si>
  <si>
    <t>The primary mechanism is to establish a financial support program for extreme weather events. It does not directly change any approved Biodiversity Vulnerability indicator; any pathway would be indirect, secondary, or unsupported.</t>
  </si>
  <si>
    <t>The primary mechanism is to establish a financial support program for extreme weather events. It does not directly change any approved Biodiversity Exposure indicator; any pathway would be indirect, secondary, or unsupported.</t>
  </si>
  <si>
    <t>The primary mechanism is to strengthen the healthcare system to respond effectively to extreme events. It does not directly change any approved Biodiversity Vulnerability indicator; any pathway would be indirect, secondary, or unsupported.</t>
  </si>
  <si>
    <t>The primary mechanism is to strengthen the healthcare system to respond effectively to extreme events. It does not directly change any approved Biodiversity Exposure indicator; any pathway would be indirect, secondary, or unsupported.</t>
  </si>
  <si>
    <t>The primary mechanism is to clean and unclog drainage channels and install eco-barriers. It does not directly change any approved Biodiversity Vulnerability indicator; any pathway would be indirect, secondary, or unsupported.</t>
  </si>
  <si>
    <t>The primary mechanism is to clean and unclog drainage channels and install eco-barriers. It does not directly change any approved Biodiversity Exposure indicator; any pathway would be indirect, secondary, or unsupported.</t>
  </si>
  <si>
    <t>The primary mechanism is to improve implementation of urban gardens. It does not directly change any approved Biodiversity Vulnerability indicator; any pathway would be indirect, secondary, or unsupported.</t>
  </si>
  <si>
    <t>The primary mechanism is to improve implementation of urban gardens. It does not directly change any approved Biodiversity Exposure indicator; any pathway would be indirect, secondary, or unsupported.</t>
  </si>
  <si>
    <t>The primary mechanism is to establish mechanisms for intersectoral coordination and public participation in climate policy. It does not directly change any approved Biodiversity Vulnerability indicator; any pathway would be indirect, secondary, or unsupported.</t>
  </si>
  <si>
    <t>The primary mechanism is to establish mechanisms for intersectoral coordination and public participation in climate policy. It does not directly change any approved Biodiversity Exposure indicator; any pathway would be indirect, secondary, or unsupported.</t>
  </si>
  <si>
    <t>The primary mechanism develops management plans for conservation units. This directly changes Steering committee and management plan.</t>
  </si>
  <si>
    <t>The primary mechanism expands protected areas. This directly changes Protected area.</t>
  </si>
  <si>
    <t>The permitted PDF documents the same protected-area expansion mechanism but reports no evaluated outcome for Protected area, so effectiveness is not demonstrated.</t>
  </si>
  <si>
    <t>The primary mechanism is to establish a first‑response firefighting brigade. It does not directly change any approved Biodiversity Exposure indicator; any pathway would be indirect, secondary, or unsupported.</t>
  </si>
  <si>
    <t>The primary mechanism is to improve hydrological monitoring system with telemetry stations. It does not directly change any approved Biodiversity Vulnerability indicator; any pathway would be indirect, secondary, or unsupported.</t>
  </si>
  <si>
    <t>The primary mechanism is to improve hydrological monitoring system with telemetry stations. It does not directly change any approved Biodiversity Exposure indicator; any pathway would be indirect, secondary, or unsupported.</t>
  </si>
  <si>
    <t>The primary mechanism is to develop an environmental education plan. It does not directly change any approved Biodiversity Vulnerability indicator; any pathway would be indirect, secondary, or unsupported.</t>
  </si>
  <si>
    <t>The primary mechanism is to develop an environmental education plan. It does not directly change any approved Biodiversity Exposure indicator; any pathway would be indirect, secondary, or unsupported.</t>
  </si>
  <si>
    <t>The primary mechanism is to establish a plan for preparation and emergency response measures in the event of extreme weather events. It does not directly change any approved Biodiversity Vulnerability indicator; any pathway would be indirect, secondary, or unsupported.</t>
  </si>
  <si>
    <t>The primary mechanism is to establish a plan for preparation and emergency response measures in the event of extreme weather events. It does not directly change any approved Biodiversity Exposure indicator; any pathway would be indirect, secondary, or unsupported.</t>
  </si>
  <si>
    <t>The primary mechanism is to build safe housing and implement urban rehabilitation projects for populations living in high-risk areas. It does not directly change any approved Biodiversity Vulnerability indicator; any pathway would be indirect, secondary, or unsupported.</t>
  </si>
  <si>
    <t>The primary mechanism is to build safe housing and implement urban rehabilitation projects for populations living in high-risk areas. It does not directly change any approved Biodiversity Exposure indicator; any pathway would be indirect, secondary, or unsupported.</t>
  </si>
  <si>
    <t>The primary mechanism is to improve the hydrometeorological forecasting, monitoring, and alert system for climate risks. It does not directly change any approved Biodiversity Vulnerability indicator; any pathway would be indirect, secondary, or unsupported.</t>
  </si>
  <si>
    <t>The primary mechanism is to improve the hydrometeorological forecasting, monitoring, and alert system for climate risks. It does not directly change any approved Biodiversity Exposure indicator; any pathway would be indirect, secondary, or unsupported.</t>
  </si>
  <si>
    <t>The primary mechanism is to develop and implement the municipal risk reduction plan (pmrr) and identify population groups vulnerable to climate risks. It does not directly change any approved Biodiversity Vulnerability indicator; any pathway would be indirect, secondary, or unsupported.</t>
  </si>
  <si>
    <t>The primary mechanism is to develop and implement the municipal risk reduction plan (pmrr) and identify population groups vulnerable to climate risks. It does not directly change any approved Biodiversity Exposure indicator; any pathway would be indirect, secondary, or unsupported.</t>
  </si>
  <si>
    <t>The primary mechanism is to preventive maintenance of drainage systems. It does not directly change any approved Biodiversity Vulnerability indicator; any pathway would be indirect, secondary, or unsupported.</t>
  </si>
  <si>
    <t>The primary mechanism is to preventive maintenance of drainage systems. It does not directly change any approved Biodiversity Exposure indicator; any pathway would be indirect, secondary, or unsupported.</t>
  </si>
  <si>
    <t>The primary mechanism is to develop a climate action plan. It does not directly change any approved Biodiversity Vulnerability indicator; any pathway would be indirect, secondary, or unsupported.</t>
  </si>
  <si>
    <t>The primary mechanism is to develop a climate action plan. It does not directly change any approved Biodiversity Exposure indicator; any pathway would be indirect, secondary, or unsupported.</t>
  </si>
  <si>
    <t>The primary mechanism is to redirect urban development through climate‑risk spatial planning. It does not directly change any approved Biodiversity Vulnerability indicator; any pathway would be indirect, secondary, or unsupported.</t>
  </si>
  <si>
    <t>The primary mechanism is to redirect urban development through climate‑risk spatial planning. It does not directly change any approved Biodiversity Exposure indicator; any pathway would be indirect, secondary, or unsupported.</t>
  </si>
  <si>
    <t>The primary mechanism is to restore in vulnerable areas. It does not directly change any approved Biodiversity Vulnerability indicator; any pathway would be indirect, secondary, or unsupported.</t>
  </si>
  <si>
    <t>The primary mechanism is to restore in vulnerable areas. It does not directly change any approved Biodiversity Exposure indicator; any pathway would be indirect, secondary, or unsupported.</t>
  </si>
  <si>
    <t>The primary mechanism is to implement multi-hazard early warning systems (mh-ews). It does not directly change any approved Biodiversity Vulnerability indicator; any pathway would be indirect, secondary, or unsupported.</t>
  </si>
  <si>
    <t>The primary mechanism is to implement multi-hazard early warning systems (mh-ews). It does not directly change any approved Biodiversity Exposure indicator; any pathway would be indirect, secondary, or unsupported.</t>
  </si>
  <si>
    <t>The primary mechanism is to upgrade slope stabilization and drainage. It does not directly change any approved Biodiversity Vulnerability indicator; any pathway would be indirect, secondary, or unsupported.</t>
  </si>
  <si>
    <t>The primary mechanism is to upgrade slope stabilization and drainage. It does not directly change any approved Biodiversity Exposure indicator; any pathway would be indirect, secondary, or unsupported.</t>
  </si>
  <si>
    <t>The primary mechanism is to improve creation of an epidemiological intelligence center. It does not directly change any approved Biodiversity Vulnerability indicator; any pathway would be indirect, secondary, or unsupported.</t>
  </si>
  <si>
    <t>The primary mechanism is to improve creation of an epidemiological intelligence center. It does not directly change any approved Biodiversity Exposure indicator; any pathway would be indirect, secondary, or unsupported.</t>
  </si>
  <si>
    <t>The primary mechanism is to implement integrated coastal zone management. It does not directly change any approved Biodiversity Vulnerability indicator; any pathway would be indirect, secondary, or unsupported.</t>
  </si>
  <si>
    <t>The primary mechanism is to implement integrated coastal zone management. It does not directly change any approved Biodiversity Exposure indicator; any pathway would be indirect, secondary, or unsupported.</t>
  </si>
  <si>
    <t>The primary mechanism is to create an environmental health surveillance program related to populations exposed to air pollution, noise pollution, water pollution, and soil pollution. It does not directly change any approved Biodiversity Vulnerability indicator; any pathway would be indirect, secondary, or unsupported.</t>
  </si>
  <si>
    <t>The primary mechanism is to create an environmental health surveillance program related to populations exposed to air pollution, noise pollution, water pollution, and soil pollution. It does not directly change any approved Biodiversity Exposure indicator; any pathway would be indirect, secondary, or unsupported.</t>
  </si>
  <si>
    <t>The primary mechanism is to implement green roofs and walls. It does not directly change any approved Biodiversity Vulnerability indicator; any pathway would be indirect, secondary, or unsupported.</t>
  </si>
  <si>
    <t>The primary mechanism is to implement green roofs and walls. It does not directly change any approved Biodiversity Exposure indicator; any pathway would be indirect, secondary, or unsupported.</t>
  </si>
  <si>
    <t>The primary mechanism is to plan strategic coastal retreat for vulnerable communities. It does not directly change any approved Biodiversity Vulnerability indicator; any pathway would be indirect, secondary, or unsupported.</t>
  </si>
  <si>
    <t>The primary mechanism is to plan strategic coastal retreat for vulnerable communities. It does not directly change any approved Biodiversity Exposure indicator; any pathway would be indirect, secondary, or unsupported.</t>
  </si>
  <si>
    <t>The primary mechanism restores vegetated marine and coastal habitats and increases forest cover. This directly reduces Vegetation loss.</t>
  </si>
  <si>
    <t>The action has a direct approved-indicator pathway, but the permitted PDF provides no evaluated outcome for the marine and coastal restoration or marine-protected-area mechanism.</t>
  </si>
  <si>
    <t>The primary mechanism is to reduce pressures on ecosystems to build resilience. It does not directly change any approved Biodiversity Vulnerability indicator; any pathway would be indirect, secondary, or unsupported.</t>
  </si>
  <si>
    <t>The primary mechanism is to reduce pressures on ecosystems to build resilience. It does not directly change any approved Biodiversity Exposure indicator; any pathway would be indirect, secondary, or unsupported.</t>
  </si>
  <si>
    <t>The primary mechanism restores terrestrial and aquatic ecosystems. This directly changes Natural coverage.</t>
  </si>
  <si>
    <t>The primary mechanism is to improve infrastructure retrofitting. It does not directly change any approved Biodiversity Vulnerability indicator; any pathway would be indirect, secondary, or unsupported.</t>
  </si>
  <si>
    <t>The primary mechanism is to improve infrastructure retrofitting. It does not directly change any approved Biodiversity Exposure indicator; any pathway would be indirect, secondary, or unsupported.</t>
  </si>
  <si>
    <t>The primary mechanism is to update and enforce climate‑resilient building codes. It does not directly change any approved Biodiversity Vulnerability indicator; any pathway would be indirect, secondary, or unsupported.</t>
  </si>
  <si>
    <t>The primary mechanism is to update and enforce climate‑resilient building codes. It does not directly change any approved Biodiversity Exposure indicator; any pathway would be indirect, secondary, or unsupported.</t>
  </si>
  <si>
    <t>The primary mechanism is to spatially redirect development. It does not directly change any approved Biodiversity Vulnerability indicator; any pathway would be indirect, secondary, or unsupported.</t>
  </si>
  <si>
    <t>The primary mechanism is to spatially redirect development. It does not directly change any approved Biodiversity Exposure indicator; any pathway would be indirect, secondary, or unsupported.</t>
  </si>
  <si>
    <t>The primary mechanism is to expand climate risk insurance coverage. It does not directly change any approved Biodiversity Vulnerability indicator; any pathway would be indirect, secondary, or unsupported.</t>
  </si>
  <si>
    <t>The primary mechanism is to expand climate risk insurance coverage. It does not directly change any approved Biodiversity Exposure indicator; any pathway would be indirect, secondary, or unsupported.</t>
  </si>
  <si>
    <t>The primary mechanism is to support livelihood diversification for climate resilience. It does not directly change any approved Biodiversity Vulnerability indicator; any pathway would be indirect, secondary, or unsupported.</t>
  </si>
  <si>
    <t>The primary mechanism is to support livelihood diversification for climate resilience. It does not directly change any approved Biodiversity Exposure indicator; any pathway would be indirect, secondary, or unsupported.</t>
  </si>
  <si>
    <t>The primary mechanism is to expand climate‑responsive social safety nets. It does not directly change any approved Biodiversity Vulnerability indicator; any pathway would be indirect, secondary, or unsupported.</t>
  </si>
  <si>
    <t>The primary mechanism is to expand climate‑responsive social safety nets. It does not directly change any approved Biodiversity Exposure indicator; any pathway would be indirect, secondary, or unsupported.</t>
  </si>
  <si>
    <t>The primary mechanism is to strengthen climate‑resilient health services. It does not directly change any approved Biodiversity Vulnerability indicator; any pathway would be indirect, secondary, or unsupported.</t>
  </si>
  <si>
    <t>The primary mechanism is to strengthen climate‑resilient health services. It does not directly change any approved Biodiversity Exposure indicator; any pathway would be indirect, secondary, or unsupported.</t>
  </si>
  <si>
    <t>The primary mechanism supports adoption of agroecological systems and sustainable practices through extension and technical assistance. This directly changes No sustainable agricultural practice and Technical guidance.</t>
  </si>
  <si>
    <t>The primary mechanism is to strengthen climate resilience in farming and fisheries. It does not directly change any approved Biodiversity Exposure indicator; any pathway would be indirect, secondary, or unsupported.</t>
  </si>
  <si>
    <t>The primary mechanism is to upgrade food storage and distribution for climate resilience. It does not directly change any approved Biodiversity Vulnerability indicator; any pathway would be indirect, secondary, or unsupported.</t>
  </si>
  <si>
    <t>The primary mechanism is to upgrade food storage and distribution for climate resilience. It does not directly change any approved Biodiversity Exposure indicator; any pathway would be indirect, secondary, or unsupported.</t>
  </si>
  <si>
    <t>The primary mechanism is to increase resilience by improving access to food, improving livelihoods and promoting dietary shifts and food waste reduction. It does not directly change any approved Biodiversity Vulnerability indicator; any pathway would be indirect, secondary, or unsupported.</t>
  </si>
  <si>
    <t>The primary mechanism is to increase resilience by improving access to food, improving livelihoods and promoting dietary shifts and food waste reduction. It does not directly change any approved Biodiversity Exposure indicator; any pathway would be indirect, secondary, or unsupported.</t>
  </si>
  <si>
    <t>The primary mechanism is to increase water capture and storage. It does not directly change any approved Biodiversity Vulnerability indicator; any pathway would be indirect, secondary, or unsupported.</t>
  </si>
  <si>
    <t>The primary mechanism is to increase water capture and storage. It does not directly change any approved Biodiversity Exposure indicator; any pathway would be indirect, secondary, or unsupported.</t>
  </si>
  <si>
    <t>The primary mechanism is to improve efficient water use/demand. It does not directly change any approved Biodiversity Vulnerability indicator; any pathway would be indirect, secondary, or unsupported.</t>
  </si>
  <si>
    <t>The primary mechanism is to improve efficient water use/demand. It does not directly change any approved Biodiversity Exposure indicator; any pathway would be indirect, secondary, or unsupported.</t>
  </si>
  <si>
    <t>The primary mechanism is to improve urban water management. It does not directly change any approved Biodiversity Vulnerability indicator; any pathway would be indirect, secondary, or unsupported.</t>
  </si>
  <si>
    <t>The primary mechanism is to improve urban water management. It does not directly change any approved Biodiversity Exposure indicator; any pathway would be indirect, secondary, or unsupported.</t>
  </si>
  <si>
    <t>The primary mechanism is to facilitate seasonal and temporary mobility strategies. It does not directly change any approved Biodiversity Vulnerability indicator; any pathway would be indirect, secondary, or unsupported.</t>
  </si>
  <si>
    <t>The primary mechanism is to facilitate seasonal and temporary mobility strategies. It does not directly change any approved Biodiversity Exposure indicator; any pathway would be indirect, secondary, or unsupported.</t>
  </si>
  <si>
    <t>The primary mechanism is to strengthen cooperative climate governance. It does not directly change any approved Biodiversity Vulnerability indicator; any pathway would be indirect, secondary, or unsupported.</t>
  </si>
  <si>
    <t>The primary mechanism is to strengthen cooperative climate governance. It does not directly change any approved Biodiversity Exposure indicator; any pathway would be indirect, secondary, or unsupported.</t>
  </si>
  <si>
    <t>The primary mechanism is to plan and support permanent climate‑related migration. It does not directly change any approved Biodiversity Vulnerability indicator; any pathway would be indirect, secondary, or unsupported.</t>
  </si>
  <si>
    <t>The primary mechanism is to plan and support permanent climate‑related migration. It does not directly change any approved Biodiversity Exposure indicator; any pathway would be indirect, secondary, or unsupported.</t>
  </si>
  <si>
    <t>Summary Matrix</t>
  </si>
  <si>
    <t>Score assessments</t>
  </si>
  <si>
    <t>Completed pilot and reference workflow</t>
  </si>
  <si>
    <t>Date</t>
  </si>
  <si>
    <t>Author</t>
  </si>
  <si>
    <t>Version</t>
  </si>
  <si>
    <t>26/08/2026</t>
  </si>
  <si>
    <t>Working draft</t>
  </si>
  <si>
    <t>What is this workbook for?</t>
  </si>
  <si>
    <t>How is the process structured?</t>
  </si>
  <si>
    <t>Important note on AI use</t>
  </si>
  <si>
    <t>How to use the workbook</t>
  </si>
  <si>
    <t>Key worksheets</t>
  </si>
  <si>
    <t>Consolidated links and effectiveness values</t>
  </si>
  <si>
    <t>Other sector worksheets</t>
  </si>
  <si>
    <t>Downstream Impact Assessment tests</t>
  </si>
  <si>
    <t>I Care Brasil</t>
  </si>
  <si>
    <t>Sector-action linkage assessment</t>
  </si>
  <si>
    <t>Methodological workbook for sector eligibility and effectiveness assessment using AI-supported evidence review</t>
  </si>
  <si>
    <t>This workbook establishes direct links between adaptation actions and sectors. Eligibility is assessed first; effectiveness is assessed only for eligible actions. The resulting effectiveness values are intended to become inputs to the Impact Assessment.</t>
  </si>
  <si>
    <t>AI is used as a decision-support tool. Outputs depend on source quality, PDF coverage, prompt design and interpretation of evidence. Extensive validation rules reduce risks, but limitations and uncertainty remain. Human review is recommended for critical methodological decisions. Results should be interpreted as evidence-supported expert judgement, not fully automated conclusions.</t>
  </si>
  <si>
    <t>Run Step 2A and Step 2B independently for each sector</t>
  </si>
  <si>
    <t>Sector workflow for constructing the approved indicator framework, validating PDF evidence sources, assessing direct sector eligibility and evaluating cumulative effectiveness evidence.</t>
  </si>
  <si>
    <t>Red text identifies prompts to run with AI; all resulting assessments require evidence checks and human review.</t>
  </si>
  <si>
    <t>Step 0 – Indicator Framework Construction</t>
  </si>
  <si>
    <t>Purpose: build the official Water Resources assessment framework.
1. Aggregate all approved Vulnerability indicators (Level 6) under the Vulnerability component (Level 3).
2. Aggregate all approved Exposure indicators (Level 6) under the Exposure component (Level 3).
3. Produce the approved indicator lists used throughout the subsequent assessment process.
These lists constitute the official sector assessment framework. Indicators must be retrieved from the workbook source tables and must not be renamed, regrouped, reinterpreted or replaced.</t>
  </si>
  <si>
    <t>Step 1 – Source Identification</t>
  </si>
  <si>
    <t>Purpose: identify and validate the evidence base for the Water Resources assessment.
Build a portfolio of exactly 5 Brazilian and 5 International sources. Each source must contain adaptation-related evidence, provide a verifiable PDF, describe implementation mechanisms or adaptation interventions, and include monitoring, evaluation or effectiveness information.
This step may be repeated as needed. It performs no action–sector eligibility assessment and assigns no effectiveness level. Its sole output is a validated portfolio of PDF evidence sources.</t>
  </si>
  <si>
    <t>Step 2A – Eligibility Assessment / Step 2B – Effectiveness Assessment</t>
  </si>
  <si>
    <t>STEP 2A – ELIGIBILITY ASSESSMENT
Using the AdaptaBrasil methodology, determine separately for Vulnerability and Exposure whether each action belongs to Water Resources through a direct relationship with an approved indicator. For each action: identify the implementation mechanism; identify the condition directly affected; test the direct indicator relationship; and exclude thematic-only links, hazard-only links, indirect pathways and co-benefits. The output is Eligible or Not eligible for each component. No effectiveness level is assigned during Step 2A.
STEP 2B – EFFECTIVENESS ASSESSMENT
Assess effectiveness only for components classified as Eligible in Step 2A. Review the available PDFs, record exact quotations and page references, append new evidence rather than replacing prior evidence, and maintain a cumulative evidence base. Each new PDF review may change the evidence-supported effectiveness level. Use only High effectiveness, Medium effectiveness, Low effectiveness or No demonstrated effectiveness. These values become inputs to the Impact Assessment calculations.</t>
  </si>
  <si>
    <t>Review the complete PDF attached to this prompt.
Use only:
1. The attached PDF.
2. The approved Vulnerability indicators supplied in this message.
3. The approved Exposure indicators supplied in this message.
4. The complete current tbl_WR_Assessment table.
5. The complete current tbl_WR_AdditionalActions table.
Do not search the web.
Do not use external knowledge.
Do not use another document.
Do not use previous conversations.
OBJECTIVE
STEP 2A – ELIGIBILITY ASSESSMENT
Using the AdaptaBrasil methodology and the approved sector indicators, determine separately for Vulnerability and Exposure whether each action has a direct indicator relationship. Identify the implementation mechanism, the condition directly affected and the exact approved indicator. Exclude thematic-only links, hazard-only links, indirect pathways and co-benefits. Return only Eligible or Not eligible. Do not assign an effectiveness level during Step 2A.
STEP 2B – EFFECTIVENESS ASSESSMENT
Assess effectiveness only for components classified as Eligible in Step 2A. Review the available PDF evidence, preserve exact quotations and verified page references, append new evidence rather than replacing previous evidence, and reassess effectiveness using the cumulative evidence base. Use only High effectiveness, Medium effectiveness, Low effectiveness or No demonstrated effectiveness.
Also identify genuinely additional actions explicitly documented in the PDF, absent from both action tables and supported by an eligible direct relationship plus a verified quotation and page.
==================================================
METHODOLOGICAL SEQUENCE
==================================================
For every action and every component, follow this sequence:
1. Interpret the action.
2. Identify the primary implementation mechanism.
3. Identify the directly affected system, resource, population, user or activity.
4. Determine component eligibility.
5. Attribute exact approved indicators only when the component is eligible.
6. Assess cumulative evidence.
7. Calculate Evidence Count.
8. Assess effectiveness only when Eligibility equals Eligible.
Do not begin with indicator matching.
Eligibility and effectiveness are separate methodological decisions.
Do not infer eligibility from:
1. Existing effectiveness values.
2. Existing evidence.
3. Existing indicators.
4. ReviewStatus.
5. EvidenceID.
6. Evidence Count.
7. Shared terminology.
8. Water-related hazards.
==================================================
STRICT ELIGIBILITY RULE
==================================================
Use only:
Eligible
Not eligible
Apply the eligibility test strictly.
Indirect effects are not eligible.
Secondary effects are not eligible.
Co-benefits are not eligible.
Generic resilience benefits are not eligible.
Generic adaptation benefits are not eligible.
Generic governance benefits are not eligible.
A water-related hazard does not establish eligibility.
A relationship with one or more indicators must result from the action’s direct implementation mechanism.
==================================================
ELIGIBLE
==================================================
Use Eligible only when all of the following are true:
1. The primary implementation mechanism directly affects at least one approved indicator.
2. The action-to-indicator pathway is explicit.
3. No unsupported intermediate assumption is required.
4. The Water Resources mechanism is central to the action or explicitly implemented.
5. The relationship is not merely a co-benefit.
6. The indicator directly represents the affected condition.
==================================================
NOT ELIGIBLE
==================================================
Use Not eligible when:
1. The pathway is indirect.
2. The pathway is secondary.
3. The pathway is a co-benefit.
4. The pathway requires unsupported assumptions.
5. The action primarily addresses another sector.
6. The relationship depends only on thematic similarity.
7. The relationship depends only on a common hazard.
8. The PDF evidence concerns a materially different mechanism.
9. The action reduces general climate risk rather than an approved Water Resources condition.
10. The Water Resources effect is not central to the action.
==================================================
VULNERABILITY ELIGIBILITY
==================================================
Assess whether the implementation mechanism directly changes a condition represented by at least one approved Vulnerability indicator.
Return:
Vulnerability Eligibility
Vulnerability Eligibility Justification
Justification requirements:
1. State the primary implementation mechanism.
2. State the direct indicator pathway or explain its absence.
3. Reference exact approved indicators when applicable.
4. Explain the eligibility decision.
Maximum length:
Two concise sentences.
==================================================
EXPOSURE ELIGIBILITY
==================================================
Assess whether the action’s primary implementation mechanism directly changes a condition represented by one or more approved Exposure indicators supplied for the current sector. Use only exact approved indicator names from the supplied sector framework. Do not substitute generic exposure categories or indicators from another sector.
Return:
Exposure Eligibility
Exposure Eligibility Justification
The justification must identify the implementation mechanism, the directly affected condition and the exact approved indicator, or explain why no direct relationship exists.
Maximum length: two concise sentences.
==================================================
EFFECTIVENESS DEPENDENCY
==================================================
Assess effectiveness only when Eligibility = Eligible.
For Vulnerability:
Required fields:
Vulnerability Evidence Count
Effectiveness on Vulnerability
Vulnerability Indicators
Vulnerability Justification
Vulnerability EvidenceID
Source Vulnerability
Vulnerability Page
Vulnerability Quote
For Exposure:
Required fields:
Exposure Evidence Count
Effectiveness on Exposure
Exposure Indicators
Exposure Justification
Exposure EvidenceID
Source Exposure
Exposure Page
Exposure Quote
==================================================
EVIDENCE COUNT
==================================================
Evidence Count is the cumulative number of unique quotations currently stored for the eligible component.
Count each quotation only once.
Do not count duplicates.
When a new quotation is appended:
increase Evidence Count by 1.
Reassess:
1. Eligibility.
2. Evidence Count.
3. Effectiveness.
using all accumulated evidence.
Do not evaluate the new PDF in isolation.
==================================================
CONFLICTING EVIDENCE
==================================================
When conflicting findings exist:
1. Preserve all quotations.
2. Preserve all sources.
3. Preserve all pages.
4. Reassess effectiveness using all evidence.
5. Explain contradictions briefly in the justification.
6. Count conflicting quotations in Evidence Count.
==================================================
EFFECTIVENESS LEVELS
==================================================
Use only:
High effectiveness
Medium effectiveness
Low effectiveness
No demonstrated effectiveness
High effectiveness
Use when:
1. Direct mechanism.
2. Direct indicator relationship.
3. Strong or quantified outcome.
Medium effectiveness
Use when:
1. Direct mechanism.
2. Direct indicator relationship.
3. Moderate, conditional or context-dependent outcome.
Low effectiveness
Use when:
1. Direct mechanism.
2. Direct indicator relationship.
3. Explicitly limited outcome.
Do not use Low for uncertainty.
No demonstrated effectiveness
Use only when:
1. Eligibility is Eligible.
2. The PDF discusses the mechanism.
3. The evidence does not demonstrate an effect.
==================================================
EVIDENCE REQUIREMENTS
==================================================
Every High, Medium or Low result must include:
1. Exact approved indicator names.
2. PDF title.
3. Verified page.
4. Exact quotation.
5. Concise effectiveness justification.
6. Evidence Count.
Preserve quotations exactly.
Do not paraphrase quotations.
Do not invent:
1. Quotations.
2. Pages.
3. Indicators.
4. Findings.
==================================================
ADDITIONAL ACTIONS
==================================================
Identify adaptation actions that:
1. Are explicitly documented in the PDF.
2. Do not already exist in tbl_WR_Assessment.
3. Do not already exist in tbl_WR_AdditionalActions.
4. Have a distinct implementation mechanism.
5. Have an Eligible Vulnerability or Exposure relationship.
6. Include at least one verified quotation and page.
Do not create an action when:
1. An equivalent action already exists.
2. The item is a hazard.
3. The item is an indicator.
4. The item is a general objective.
5. The Water Resources relationship is indirect.
6. Both Exposure and Vulnerability would be Not eligible.
==================================================
OUTPUT
==================================================
Return one complete self-contained Excel Copilot prompt and nothing else.
The returned prompt may update only:
1. tbl_WR_Assessment
2. tbl_WR_AdditionalActions
3. tbl_WR_EligibilitySummary
BLOCK 1
Eligibility</t>
  </si>
  <si>
    <t>Purpose: build the official Food Security assessment framework.
1. Aggregate all approved Vulnerability indicators (Level 6) under the Vulnerability component (Level 3).
2. Aggregate all approved Exposure indicators (Level 6) under the Exposure component (Level 3).
3. Produce the approved indicator lists used throughout the subsequent assessment process.
These lists constitute the official sector assessment framework. Indicators must be retrieved from the workbook source tables and must not be renamed, regrouped, reinterpreted or replaced.</t>
  </si>
  <si>
    <t>Purpose: identify and validate the evidence base for the Food Security assessment.
Build a portfolio of exactly 5 Brazilian and 5 International sources. Each source must contain adaptation-related evidence, provide a verifiable PDF, describe implementation mechanisms or adaptation interventions, and include monitoring, evaluation or effectiveness information.
This step may be repeated as needed. It performs no action–sector eligibility assessment and assigns no effectiveness level. Its sole output is a validated portfolio of PDF evidence sources.</t>
  </si>
  <si>
    <t>STEP 2A – ELIGIBILITY ASSESSMENT
Using the AdaptaBrasil methodology, determine separately for Vulnerability and Exposure whether each action belongs to Food Security through a direct relationship with an approved indicator. For each action: identify the implementation mechanism; identify the condition directly affected; test the direct indicator relationship; and exclude thematic-only links, hazard-only links, indirect pathways and co-benefits. The output is Eligible or Not eligible for each component. No effectiveness level is assigned during Step 2A.
STEP 2B – EFFECTIVENESS ASSESSMENT
Assess effectiveness only for components classified as Eligible in Step 2A. Review the available PDFs, record exact quotations and page references, append new evidence rather than replacing prior evidence, and maintain a cumulative evidence base. Each new PDF review may change the evidence-supported effectiveness level. Use only High effectiveness, Medium effectiveness, Low effectiveness or No demonstrated effectiveness. These values become inputs to the Impact Assessment calculations.</t>
  </si>
  <si>
    <t>Review the complete PDF attached to this prompt.
Use only:
1. The attached PDF.
2. The approved Vulnerability indicators supplied in this message.
3. The approved Exposure indicators supplied in this message.
4. The complete current tbl_FS_Assessment table.
5. The complete current tbl_FS_AdditionalActions table.
Do not search the web.
Do not use external knowledge.
Do not use another document.
Do not use previous conversations.
OBJECTIVE
STEP 2A – ELIGIBILITY ASSESSMENT
Using the AdaptaBrasil methodology and the approved sector indicators, determine separately for Vulnerability and Exposure whether each action has a direct indicator relationship. Identify the implementation mechanism, the condition directly affected and the exact approved indicator. Exclude thematic-only links, hazard-only links, indirect pathways and co-benefits. Return only Eligible or Not eligible. Do not assign an effectiveness level during Step 2A.
STEP 2B – EFFECTIVENESS ASSESSMENT
Assess effectiveness only for components classified as Eligible in Step 2A. Review the available PDF evidence, preserve exact quotations and verified page references, append new evidence rather than replacing previous evidence, and reassess effectiveness using the cumulative evidence base. Use only High effectiveness, Medium effectiveness, Low effectiveness or No demonstrated effectiveness.
Also identify genuinely additional actions explicitly documented in the PDF, absent from both action tables and supported by an eligible direct relationship plus a verified quotation and page.
==================================================
METHODOLOGICAL SEQUENCE
==================================================
For every action and every component, follow this sequence:
1. Interpret the action.
2. Identify the primary implementation mechanism.
3. Identify the directly affected system, resource, population, user or activity.
4. Determine component eligibility.
5. Attribute exact approved indicators only when the component is eligible.
6. Assess cumulative evidence.
7. Calculate Evidence Count.
8. Assess effectiveness only when Eligibility equals Eligible.
Do not begin with indicator matching.
Eligibility and effectiveness are separate methodological decisions.
Do not infer eligibility from:
1. Existing effectiveness values.
2. Existing evidence.
3. Existing indicators.
4. ReviewStatus.
5. EvidenceID.
6. Evidence Count.
7. Shared terminology.
8. Food Security-related climate risks.
==================================================
STRICT ELIGIBILITY RULE
==================================================
Use only:
Eligible
Not eligible
Apply the eligibility test strictly.
Indirect effects are not eligible.
Secondary effects are not eligible.
Co-benefits are not eligible.
Generic resilience benefits are not eligible.
Generic adaptation benefits are not eligible.
Generic governance benefits are not eligible.
A water-related hazard does not establish eligibility.
A relationship with one or more indicators must result from the action’s direct implementation mechanism.
==================================================
ELIGIBLE
==================================================
Use Eligible only when all of the following are true:
1. The primary implementation mechanism directly affects at least one approved indicator.
2. The action-to-indicator pathway is explicit.
3. No unsupported intermediate assumption is required.
4. The Food Security mechanism is central to the action or explicitly implemented.
5. The relationship is not merely a co-benefit.
6. The indicator directly represents the affected condition.
==================================================
NOT ELIGIBLE
==================================================
Use Not eligible when:
1. The pathway is indirect.
2. The pathway is secondary.
3. The pathway is a co-benefit.
4. The pathway requires unsupported assumptions.
5. The action primarily addresses another sector.
6. The relationship depends only on thematic similarity.
7. The relationship depends only on a common hazard.
8. The PDF evidence concerns a materially different mechanism.
9. The action reduces general climate risk rather than an approved Food Security condition.
10. The Food Security effect is not central to the action.
==================================================
VULNERABILITY ELIGIBILITY
==================================================
Assess whether the implementation mechanism directly changes a condition represented by at least one approved Vulnerability indicator.
Return:
Vulnerability Eligibility
Vulnerability Eligibility Justification
Justification requirements:
1. State the primary implementation mechanism.
2. State the direct indicator pathway or explain its absence.
3. Reference exact approved indicators when applicable.
4. Explain the eligibility decision.
Maximum length:
Two concise sentences.
==================================================
EXPOSURE ELIGIBILITY
==================================================
Assess whether the action’s primary implementation mechanism directly changes a condition represented by one or more approved Exposure indicators supplied for the current sector. Use only exact approved indicator names from the supplied sector framework. Do not substitute generic exposure categories or indicators from another sector.
Return:
Exposure Eligibility
Exposure Eligibility Justification
The justification must identify the implementation mechanism, the directly affected condition and the exact approved indicator, or explain why no direct relationship exists.
Maximum length: two concise sentences.
==================================================
EFFECTIVENESS DEPENDENCY
==================================================
Assess effectiveness only when Eligibility = Eligible.
For Vulnerability:
Required fields:
Vulnerability Evidence Count
Effectiveness on Vulnerability
Vulnerability Indicators
Vulnerability Justification
Vulnerability EvidenceID
Source Vulnerability
Vulnerability Page
Vulnerability Quote
For Exposure:
Required fields:
Exposure Evidence Count
Effectiveness on Exposure
Exposure Indicators
Exposure Justification
Exposure EvidenceID
Source Exposure
Exposure Page
Exposure Quote
==================================================
EVIDENCE COUNT
==================================================
Evidence Count is the cumulative number of unique quotations currently stored for the eligible component.
Count each quotation only once.
Do not count duplicates.
When a new quotation is appended:
increase Evidence Count by 1.
Reassess:
1. Eligibility.
2. Evidence Count.
3. Effectiveness.
using all accumulated evidence.
Do not evaluate the new PDF in isolation.
==================================================
CONFLICTING EVIDENCE
==================================================
When conflicting findings exist:
1. Preserve all quotations.
2. Preserve all sources.
3. Preserve all pages.
4. Reassess effectiveness using all evidence.
5. Explain contradictions briefly in the justification.
6. Count conflicting quotations in Evidence Count.
==================================================
EFFECTIVENESS LEVELS
==================================================
Use only:
High effectiveness
Medium effectiveness
Low effectiveness
No demonstrated effectiveness
High effectiveness
Use when:
1. Direct mechanism.
2. Direct indicator relationship.
3. Strong or quantified outcome.
Medium effectiveness
Use when:
1. Direct mechanism.
2. Direct indicator relationship.
3. Moderate, conditional or context-dependent outcome.
Low effectiveness
Use when:
1. Direct mechanism.
2. Direct indicator relationship.
3. Explicitly limited outcome.
Do not use Low for uncertainty.
No demonstrated effectiveness
Use only when:
1. Eligibility is Eligible.
2. The PDF discusses the mechanism.
3. The evidence does not demonstrate an effect.
==================================================
EVIDENCE REQUIREMENTS
==================================================
Every High, Medium or Low result must include:
1. Exact approved indicator names.
2. PDF title.
3. Verified page.
4. Exact quotation.
5. Concise effectiveness justification.
6. Evidence Count.
Preserve quotations exactly.
Do not paraphrase quotations.
Do not invent:
1. Quotations.
2. Pages.
3. Indicators.
4. Findings.
==================================================
ADDITIONAL ACTIONS
==================================================
Identify adaptation actions that:
1. Are explicitly documented in the PDF.
2. Do not already exist in tbl_FS_Assessment.
3. Do not already exist in tbl_FS_AdditionalActions.
4. Have a distinct implementation mechanism.
5. Have an Eligible Vulnerability or Exposure relationship.
6. Include at least one verified quotation and page.
Do not create an action when:
1. An equivalent action already exists.
2. The item is a hazard.
3. The item is an indicator.
4. The item is a general objective.
5. The Food Security relationship is indirect.
6. Both Exposure and Vulnerability would be Not eligible.
==================================================
OUTPUT
==================================================
Return one complete self-contained Excel Copilot prompt and nothing else.
The returned prompt may update only:
1. tbl_FS_Assessment
2. tbl_FS_AdditionalActions
3. tbl_FS_EligibilitySummary
BLOCK 1
Eligibility</t>
  </si>
  <si>
    <t>Purpose: build the official Energy Security assessment framework.
1. Aggregate all approved Vulnerability indicators (Level 6) under the Vulnerability component (Level 3).
2. Aggregate all approved Exposure indicators (Level 6) under the Exposure component (Level 3).
3. Produce the approved indicator lists used throughout the subsequent assessment process.
These lists constitute the official sector assessment framework. Indicators must be retrieved from the workbook source tables and must not be renamed, regrouped, reinterpreted or replaced.</t>
  </si>
  <si>
    <t>Purpose: identify and validate the evidence base for the Energy Security assessment.
Build a portfolio of exactly 5 Brazilian and 5 International sources. Each source must contain adaptation-related evidence, provide a verifiable PDF, describe implementation mechanisms or adaptation interventions, and include monitoring, evaluation or effectiveness information.
This step may be repeated as needed. It performs no action–sector eligibility assessment and assigns no effectiveness level. Its sole output is a validated portfolio of PDF evidence sources.</t>
  </si>
  <si>
    <t>STEP 2A – ELIGIBILITY ASSESSMENT
Using the AdaptaBrasil methodology, determine separately for Vulnerability and Exposure whether each action belongs to Energy Security through a direct relationship with an approved indicator. For each action: identify the implementation mechanism; identify the condition directly affected; test the direct indicator relationship; and exclude thematic-only links, hazard-only links, indirect pathways and co-benefits. The output is Eligible or Not eligible for each component. No effectiveness level is assigned during Step 2A.
STEP 2B – EFFECTIVENESS ASSESSMENT
Assess effectiveness only for components classified as Eligible in Step 2A. Review the available PDFs, record exact quotations and page references, append new evidence rather than replacing prior evidence, and maintain a cumulative evidence base. Each new PDF review may change the evidence-supported effectiveness level. Use only High effectiveness, Medium effectiveness, Low effectiveness or No demonstrated effectiveness. These values become inputs to the Impact Assessment calculations.</t>
  </si>
  <si>
    <t>Review the complete PDF attached to this prompt.
Use only:
1. The attached PDF.
2. The approved Vulnerability indicators supplied in this message.
3. The approved Exposure indicators supplied in this message.
4. The complete current tbl_ES_Assessment table.
5. The complete current tbl_ES_AdditionalActions table.
Do not search the web.
Do not use external knowledge.
Do not use another document.
Do not use previous conversations.
OBJECTIVE
STEP 2A – ELIGIBILITY ASSESSMENT
Using the AdaptaBrasil methodology and the approved sector indicators, determine separately for Vulnerability and Exposure whether each action has a direct indicator relationship. Identify the implementation mechanism, the condition directly affected and the exact approved indicator. Exclude thematic-only links, hazard-only links, indirect pathways and co-benefits. Return only Eligible or Not eligible. Do not assign an effectiveness level during Step 2A.
STEP 2B – EFFECTIVENESS ASSESSMENT
Assess effectiveness only for components classified as Eligible in Step 2A. Review the available PDF evidence, preserve exact quotations and verified page references, append new evidence rather than replacing previous evidence, and reassess effectiveness using the cumulative evidence base. Use only High effectiveness, Medium effectiveness, Low effectiveness or No demonstrated effectiveness.
Also identify genuinely additional actions explicitly documented in the PDF, absent from both action tables and supported by an eligible direct relationship plus a verified quotation and page.
==================================================
METHODOLOGICAL SEQUENCE
==================================================
For every action and every component, follow this sequence:
1. Interpret the action.
2. Identify the primary implementation mechanism.
3. Identify the directly affected system, resource, population, user or activity.
4. Determine component eligibility.
5. Attribute exact approved indicators only when the component is eligible.
6. Assess cumulative evidence.
7. Calculate Evidence Count.
8. Assess effectiveness only when Eligibility equals Eligible.
Do not begin with indicator matching.
Eligibility and effectiveness are separate methodological decisions.
Do not infer eligibility from:
1. Existing effectiveness values.
2. Existing evidence.
3. Existing indicators.
4. ReviewStatus.
5. EvidenceID.
6. Evidence Count.
7. Shared terminology.
8. Energy Security-related climate risks.
==================================================
STRICT ELIGIBILITY RULE
==================================================
Use only:
Eligible
Not eligible
Apply the eligibility test strictly.
Indirect effects are not eligible.
Secondary effects are not eligible.
Co-benefits are not eligible.
Generic resilience benefits are not eligible.
Generic adaptation benefits are not eligible.
Generic governance benefits are not eligible.
A water-related hazard does not establish eligibility.
A relationship with one or more indicators must result from the action’s direct implementation mechanism.
==================================================
ELIGIBLE
==================================================
Use Eligible only when all of the following are true:
1. The primary implementation mechanism directly affects at least one approved indicator.
2. The action-to-indicator pathway is explicit.
3. No unsupported intermediate assumption is required.
4. The Energy Security mechanism is central to the action or explicitly implemented.
5. The relationship is not merely a co-benefit.
6. The indicator directly represents the affected condition.
==================================================
NOT ELIGIBLE
==================================================
Use Not eligible when:
1. The pathway is indirect.
2. The pathway is secondary.
3. The pathway is a co-benefit.
4. The pathway requires unsupported assumptions.
5. The action primarily addresses another sector.
6. The relationship depends only on thematic similarity.
7. The relationship depends only on a common hazard.
8. The PDF evidence concerns a materially different mechanism.
9. The action reduces general climate risk rather than an approved Energy Security condition.
10. The Energy Security effect is not central to the action.
==================================================
VULNERABILITY ELIGIBILITY
==================================================
Assess whether the implementation mechanism directly changes a condition represented by at least one approved Vulnerability indicator.
Return:
Vulnerability Eligibility
Vulnerability Eligibility Justification
Justification requirements:
1. State the primary implementation mechanism.
2. State the direct indicator pathway or explain its absence.
3. Reference exact approved indicators when applicable.
4. Explain the eligibility decision.
Maximum length:
Two concise sentences.
==================================================
EXPOSURE ELIGIBILITY
==================================================
Assess whether the action’s primary implementation mechanism directly changes a condition represented by one or more approved Exposure indicators supplied for the current sector. Use only exact approved indicator names from the supplied sector framework. Do not substitute generic exposure categories or indicators from another sector.
Return:
Exposure Eligibility
Exposure Eligibility Justification
The justification must identify the implementation mechanism, the directly affected condition and the exact approved indicator, or explain why no direct relationship exists.
Maximum length: two concise sentences.
==================================================
EFFECTIVENESS DEPENDENCY
==================================================
Assess effectiveness only when Eligibility = Eligible.
For Vulnerability:
Required fields:
Vulnerability Evidence Count
Effectiveness on Vulnerability
Vulnerability Indicators
Vulnerability Justification
Vulnerability EvidenceID
Source Vulnerability
Vulnerability Page
Vulnerability Quote
For Exposure:
Required fields:
Exposure Evidence Count
Effectiveness on Exposure
Exposure Indicators
Exposure Justification
Exposure EvidenceID
Source Exposure
Exposure Page
Exposure Quote
==================================================
EVIDENCE COUNT
==================================================
Evidence Count is the cumulative number of unique quotations currently stored for the eligible component.
Count each quotation only once.
Do not count duplicates.
When a new quotation is appended:
increase Evidence Count by 1.
Reassess:
1. Eligibility.
2. Evidence Count.
3. Effectiveness.
using all accumulated evidence.
Do not evaluate the new PDF in isolation.
==================================================
CONFLICTING EVIDENCE
==================================================
When conflicting findings exist:
1. Preserve all quotations.
2. Preserve all sources.
3. Preserve all pages.
4. Reassess effectiveness using all evidence.
5. Explain contradictions briefly in the justification.
6. Count conflicting quotations in Evidence Count.
==================================================
EFFECTIVENESS LEVELS
==================================================
Use only:
High effectiveness
Medium effectiveness
Low effectiveness
No demonstrated effectiveness
High effectiveness
Use when:
1. Direct mechanism.
2. Direct indicator relationship.
3. Strong or quantified outcome.
Medium effectiveness
Use when:
1. Direct mechanism.
2. Direct indicator relationship.
3. Moderate, conditional or context-dependent outcome.
Low effectiveness
Use when:
1. Direct mechanism.
2. Direct indicator relationship.
3. Explicitly limited outcome.
Do not use Low for uncertainty.
No demonstrated effectiveness
Use only when:
1. Eligibility is Eligible.
2. The PDF discusses the mechanism.
3. The evidence does not demonstrate an effect.
==================================================
EVIDENCE REQUIREMENTS
==================================================
Every High, Medium or Low result must include:
1. Exact approved indicator names.
2. PDF title.
3. Verified page.
4. Exact quotation.
5. Concise effectiveness justification.
6. Evidence Count.
Preserve quotations exactly.
Do not paraphrase quotations.
Do not invent:
1. Quotations.
2. Pages.
3. Indicators.
4. Findings.
==================================================
ADDITIONAL ACTIONS
==================================================
Identify adaptation actions that:
1. Are explicitly documented in the PDF.
2. Do not already exist in tbl_ES_Assessment.
3. Do not already exist in tbl_ES_AdditionalActions.
4. Have a distinct implementation mechanism.
5. Have an Eligible Vulnerability or Exposure relationship.
6. Include at least one verified quotation and page.
Do not create an action when:
1. An equivalent action already exists.
2. The item is a hazard.
3. The item is an indicator.
4. The item is a general objective.
5. The Energy Security relationship is indirect.
6. Both Exposure and Vulnerability would be Not eligible.
==================================================
OUTPUT
==================================================
Return one complete self-contained Excel Copilot prompt and nothing else.
The returned prompt may update only:
1. tbl_ES_Assessment
2. tbl_ES_AdditionalActions
3. tbl_ES_EligibilitySummary
BLOCK 1
Eligibility</t>
  </si>
  <si>
    <t>Purpose: build the official Health assessment framework.
1. Aggregate all approved Vulnerability indicators (Level 6) under the Vulnerability component (Level 3).
2. Aggregate all approved Exposure indicators (Level 6) under the Exposure component (Level 3).
3. Produce the approved indicator lists used throughout the subsequent assessment process.
These lists constitute the official sector assessment framework. Indicators must be retrieved from the workbook source tables and must not be renamed, regrouped, reinterpreted or replaced.</t>
  </si>
  <si>
    <t>Purpose: identify and validate the evidence base for the Health assessment.
Build a portfolio of exactly 5 Brazilian and 5 International sources. Each source must contain adaptation-related evidence, provide a verifiable PDF, describe implementation mechanisms or adaptation interventions, and include monitoring, evaluation or effectiveness information.
This step may be repeated as needed. It performs no action–sector eligibility assessment and assigns no effectiveness level. Its sole output is a validated portfolio of PDF evidence sources.</t>
  </si>
  <si>
    <t>STEP 2A – ELIGIBILITY ASSESSMENT
Using the AdaptaBrasil methodology, determine separately for Vulnerability and Exposure whether each action belongs to Health through a direct relationship with an approved indicator. For each action: identify the implementation mechanism; identify the condition directly affected; test the direct indicator relationship; and exclude thematic-only links, hazard-only links, indirect pathways and co-benefits. The output is Eligible or Not eligible for each component. No effectiveness level is assigned during Step 2A.
STEP 2B – EFFECTIVENESS ASSESSMENT
Assess effectiveness only for components classified as Eligible in Step 2A. Review the available PDFs, record exact quotations and page references, append new evidence rather than replacing prior evidence, and maintain a cumulative evidence base. Each new PDF review may change the evidence-supported effectiveness level. Use only High effectiveness, Medium effectiveness, Low effectiveness or No demonstrated effectiveness. These values become inputs to the Impact Assessment calculations.</t>
  </si>
  <si>
    <t>Review the complete PDF attached to this prompt.
Use only:
1. The attached PDF.
2. The approved Vulnerability indicators supplied in this message.
3. The approved Exposure indicators supplied in this message.
4. The complete current tbl_H_Assessment table.
5. The complete current tbl_H_AdditionalActions table.
Do not search the web.
Do not use external knowledge.
Do not use another document.
Do not use previous conversations.
OBJECTIVE
STEP 2A – ELIGIBILITY ASSESSMENT
Using the AdaptaBrasil methodology and the approved sector indicators, determine separately for Vulnerability and Exposure whether each action has a direct indicator relationship. Identify the implementation mechanism, the condition directly affected and the exact approved indicator. Exclude thematic-only links, hazard-only links, indirect pathways and co-benefits. Return only Eligible or Not eligible. Do not assign an effectiveness level during Step 2A.
STEP 2B – EFFECTIVENESS ASSESSMENT
Assess effectiveness only for components classified as Eligible in Step 2A. Review the available PDF evidence, preserve exact quotations and verified page references, append new evidence rather than replacing previous evidence, and reassess effectiveness using the cumulative evidence base. Use only High effectiveness, Medium effectiveness, Low effectiveness or No demonstrated effectiveness.
Also identify genuinely additional actions explicitly documented in the PDF, absent from both action tables and supported by an eligible direct relationship plus a verified quotation and page.
==================================================
METHODOLOGICAL SEQUENCE
==================================================
For every action and every component, follow this sequence:
1. Interpret the action.
2. Identify the primary implementation mechanism.
3. Identify the directly affected system, resource, population, user or activity.
4. Determine component eligibility.
5. Attribute exact approved indicators only when the component is eligible.
6. Assess cumulative evidence.
7. Calculate Evidence Count.
8. Assess effectiveness only when Eligibility equals Eligible.
Do not begin with indicator matching.
Eligibility and effectiveness are separate methodological decisions.
Do not infer eligibility from:
1. Existing effectiveness values.
2. Existing evidence.
3. Existing indicators.
4. ReviewStatus.
5. EvidenceID.
6. Evidence Count.
7. Shared terminology.
8. Health-related climate risks.
==================================================
STRICT ELIGIBILITY RULE
==================================================
Use only:
Eligible
Not eligible
Apply the eligibility test strictly.
Indirect effects are not eligible.
Secondary effects are not eligible.
Co-benefits are not eligible.
Generic resilience benefits are not eligible.
Generic adaptation benefits are not eligible.
Generic governance benefits are not eligible.
A water-related hazard does not establish eligibility.
A relationship with one or more indicators must result from the action’s direct implementation mechanism.
==================================================
ELIGIBLE
==================================================
Use Eligible only when all of the following are true:
1. The primary implementation mechanism directly affects at least one approved indicator.
2. The action-to-indicator pathway is explicit.
3. No unsupported intermediate assumption is required.
4. The Health mechanism is central to the action or explicitly implemented.
5. The relationship is not merely a co-benefit.
6. The indicator directly represents the affected condition.
==================================================
NOT ELIGIBLE
==================================================
Use Not eligible when:
1. The pathway is indirect.
2. The pathway is secondary.
3. The pathway is a co-benefit.
4. The pathway requires unsupported assumptions.
5. The action primarily addresses another sector.
6. The relationship depends only on thematic similarity.
7. The relationship depends only on a common hazard.
8. The PDF evidence concerns a materially different mechanism.
9. The action reduces general climate risk rather than an approved Health condition.
10. The Health effect is not central to the action.
==================================================
VULNERABILITY ELIGIBILITY
==================================================
Assess whether the implementation mechanism directly changes a condition represented by at least one approved Vulnerability indicator.
Return:
Vulnerability Eligibility
Vulnerability Eligibility Justification
Justification requirements:
1. State the primary implementation mechanism.
2. State the direct indicator pathway or explain its absence.
3. Reference exact approved indicators when applicable.
4. Explain the eligibility decision.
Maximum length:
Two concise sentences.
==================================================
EXPOSURE ELIGIBILITY
==================================================
Assess whether the action’s primary implementation mechanism directly changes a condition represented by one or more approved Exposure indicators supplied for the current sector. Use only exact approved indicator names from the supplied sector framework. Do not substitute generic exposure categories or indicators from another sector.
Return:
Exposure Eligibility
Exposure Eligibility Justification
The justification must identify the implementation mechanism, the directly affected condition and the exact approved indicator, or explain why no direct relationship exists.
Maximum length: two concise sentences.
==================================================
EFFECTIVENESS DEPENDENCY
==================================================
Assess effectiveness only when Eligibility = Eligible.
For Vulnerability:
Required fields:
Vulnerability Evidence Count
Effectiveness on Vulnerability
Vulnerability Indicators
Vulnerability Justification
Vulnerability EvidenceID
Source Vulnerability
Vulnerability Page
Vulnerability Quote
For Exposure:
Required fields:
Exposure Evidence Count
Effectiveness on Exposure
Exposure Indicators
Exposure Justification
Exposure EvidenceID
Source Exposure
Exposure Page
Exposure Quote
==================================================
EVIDENCE COUNT
==================================================
Evidence Count is the cumulative number of unique quotations currently stored for the eligible component.
Count each quotation only once.
Do not count duplicates.
When a new quotation is appended:
increase Evidence Count by 1.
Reassess:
1. Eligibility.
2. Evidence Count.
3. Effectiveness.
using all accumulated evidence.
Do not evaluate the new PDF in isolation.
==================================================
CONFLICTING EVIDENCE
==================================================
When conflicting findings exist:
1. Preserve all quotations.
2. Preserve all sources.
3. Preserve all pages.
4. Reassess effectiveness using all evidence.
5. Explain contradictions briefly in the justification.
6. Count conflicting quotations in Evidence Count.
==================================================
EFFECTIVENESS LEVELS
==================================================
Use only:
High effectiveness
Medium effectiveness
Low effectiveness
No demonstrated effectiveness
High effectiveness
Use when:
1. Direct mechanism.
2. Direct indicator relationship.
3. Strong or quantified outcome.
Medium effectiveness
Use when:
1. Direct mechanism.
2. Direct indicator relationship.
3. Moderate, conditional or context-dependent outcome.
Low effectiveness
Use when:
1. Direct mechanism.
2. Direct indicator relationship.
3. Explicitly limited outcome.
Do not use Low for uncertainty.
No demonstrated effectiveness
Use only when:
1. Eligibility is Eligible.
2. The PDF discusses the mechanism.
3. The evidence does not demonstrate an effect.
==================================================
EVIDENCE REQUIREMENTS
==================================================
Every High, Medium or Low result must include:
1. Exact approved indicator names.
2. PDF title.
3. Verified page.
4. Exact quotation.
5. Concise effectiveness justification.
6. Evidence Count.
Preserve quotations exactly.
Do not paraphrase quotations.
Do not invent:
1. Quotations.
2. Pages.
3. Indicators.
4. Findings.
==================================================
ADDITIONAL ACTIONS
==================================================
Identify adaptation actions that:
1. Are explicitly documented in the PDF.
2. Do not already exist in tbl_H_Assessment.
3. Do not already exist in tbl_H_AdditionalActions.
4. Have a distinct implementation mechanism.
5. Have an Eligible Vulnerability or Exposure relationship.
6. Include at least one verified quotation and page.
Do not create an action when:
1. An equivalent action already exists.
2. The item is a hazard.
3. The item is an indicator.
4. The item is a general objective.
5. The Health relationship is indirect.
6. Both Exposure and Vulnerability would be Not eligible.
==================================================
OUTPUT
==================================================
Return one complete self-contained Excel Copilot prompt and nothing else.
The returned prompt may update only:
1. tbl_H_Assessment
2. tbl_H_AdditionalActions
3. tbl_H_EligibilitySummary
BLOCK 1
Eligibility</t>
  </si>
  <si>
    <t>Purpose: build the official Geohydrological Disasters assessment framework.
1. Aggregate all approved Vulnerability indicators (Level 6) under the Vulnerability component (Level 3).
2. Aggregate all approved Exposure indicators (Level 6) under the Exposure component (Level 3).
3. Produce the approved indicator lists used throughout the subsequent assessment process.
These lists constitute the official sector assessment framework. Indicators must be retrieved from the workbook source tables and must not be renamed, regrouped, reinterpreted or replaced.</t>
  </si>
  <si>
    <t>Purpose: identify and validate the evidence base for the Geohydrological Disasters assessment.
Build a portfolio of exactly 5 Brazilian and 5 International sources. Each source must contain adaptation-related evidence, provide a verifiable PDF, describe implementation mechanisms or adaptation interventions, and include monitoring, evaluation or effectiveness information.
This step may be repeated as needed. It performs no action–sector eligibility assessment and assigns no effectiveness level. Its sole output is a validated portfolio of PDF evidence sources.</t>
  </si>
  <si>
    <t>STEP 2A – ELIGIBILITY ASSESSMENT
Using the AdaptaBrasil methodology, determine separately for Vulnerability and Exposure whether each action belongs to Geohydrological Disasters through a direct relationship with an approved indicator. For each action: identify the implementation mechanism; identify the condition directly affected; test the direct indicator relationship; and exclude thematic-only links, hazard-only links, indirect pathways and co-benefits. The output is Eligible or Not eligible for each component. No effectiveness level is assigned during Step 2A.
STEP 2B – EFFECTIVENESS ASSESSMENT
Assess effectiveness only for components classified as Eligible in Step 2A. Review the available PDFs, record exact quotations and page references, append new evidence rather than replacing prior evidence, and maintain a cumulative evidence base. Each new PDF review may change the evidence-supported effectiveness level. Use only High effectiveness, Medium effectiveness, Low effectiveness or No demonstrated effectiveness. These values become inputs to the Impact Assessment calculations.</t>
  </si>
  <si>
    <t>Review the complete PDF attached to this prompt.
Use only:
1. The attached PDF.
2. The approved Vulnerability indicators supplied in this message.
3. The approved Exposure indicators supplied in this message.
4. The complete current tbl_GS_Assessment table.
5. The complete current tbl_GS_AdditionalActions table.
Do not search the web.
Do not use external knowledge.
Do not use another document.
Do not use previous conversations.
OBJECTIVE
STEP 2A – ELIGIBILITY ASSESSMENT
Using the AdaptaBrasil methodology and the approved sector indicators, determine separately for Vulnerability and Exposure whether each action has a direct indicator relationship. Identify the implementation mechanism, the condition directly affected and the exact approved indicator. Exclude thematic-only links, hazard-only links, indirect pathways and co-benefits. Return only Eligible or Not eligible. Do not assign an effectiveness level during Step 2A.
STEP 2B – EFFECTIVENESS ASSESSMENT
Assess effectiveness only for components classified as Eligible in Step 2A. Review the available PDF evidence, preserve exact quotations and verified page references, append new evidence rather than replacing previous evidence, and reassess effectiveness using the cumulative evidence base. Use only High effectiveness, Medium effectiveness, Low effectiveness or No demonstrated effectiveness.
Also identify genuinely additional actions explicitly documented in the PDF, absent from both action tables and supported by an eligible direct relationship plus a verified quotation and page.
==================================================
METHODOLOGICAL SEQUENCE
==================================================
For every action and every component, follow this sequence:
1. Interpret the action.
2. Identify the primary implementation mechanism.
3. Identify the directly affected system, resource, population, user or activity.
4. Determine component eligibility.
5. Attribute exact approved indicators only when the component is eligible.
6. Assess cumulative evidence.
7. Calculate Evidence Count.
8. Assess effectiveness only when Eligibility equals Eligible.
Do not begin with indicator matching.
Eligibility and effectiveness are separate methodological decisions.
Do not infer eligibility from:
1. Existing effectiveness values.
2. Existing evidence.
3. Existing indicators.
4. ReviewStatus.
5. EvidenceID.
6. Evidence Count.
7. Shared terminology.
8. Geohydrological Disasters-related climate risks.
==================================================
STRICT ELIGIBILITY RULE
==================================================
Use only:
Eligible
Not eligible
Apply the eligibility test strictly.
Indirect effects are not eligible.
Secondary effects are not eligible.
Co-benefits are not eligible.
Generic resilience benefits are not eligible.
Generic adaptation benefits are not eligible.
Generic governance benefits are not eligible.
A water-related hazard does not establish eligibility.
A relationship with one or more indicators must result from the action’s direct implementation mechanism.
==================================================
ELIGIBLE
==================================================
Use Eligible only when all of the following are true:
1. The primary implementation mechanism directly affects at least one approved indicator.
2. The action-to-indicator pathway is explicit.
3. No unsupported intermediate assumption is required.
4. The Geohydrological Disasters mechanism is central to the action or explicitly implemented.
5. The relationship is not merely a co-benefit.
6. The indicator directly represents the affected condition.
==================================================
NOT ELIGIBLE
==================================================
Use Not eligible when:
1. The pathway is indirect.
2. The pathway is secondary.
3. The pathway is a co-benefit.
4. The pathway requires unsupported assumptions.
5. The action primarily addresses another sector.
6. The relationship depends only on thematic similarity.
7. The relationship depends only on a common hazard.
8. The PDF evidence concerns a materially different mechanism.
9. The action reduces general climate risk rather than an approved Geohydrological Disasters condition.
10. The Geohydrological Disasters effect is not central to the action.
==================================================
VULNERABILITY ELIGIBILITY
==================================================
Assess whether the implementation mechanism directly changes a condition represented by at least one approved Vulnerability indicator.
Return:
Vulnerability Eligibility
Vulnerability Eligibility Justification
Justification requirements:
1. State the primary implementation mechanism.
2. State the direct indicator pathway or explain its absence.
3. Reference exact approved indicators when applicable.
4. Explain the eligibility decision.
Maximum length:
Two concise sentences.
==================================================
EXPOSURE ELIGIBILITY
==================================================
Assess whether the implementation mechanism directly changes the presence, location or number represented by an exact approved Geohydrological Disasters Exposure indicator supplied above.
Do not use any Exposure category or indicator outside the approved Geohydrological Disasters Exposure framework.
Return:
Exposure Eligibility
Exposure Eligibility Justification
Maximum length:
Two concise sentences.
=================================================
EFFECTIVENESS DEPENDENCY
==================================================
Assess effectiveness only when Eligibility = Eligible.
For Vulnerability:
Required fields:
Vulnerability Evidence Count
Effectiveness on Vulnerability
Vulnerability Indicators
Vulnerability Justification
Vulnerability EvidenceID
Source Vulnerability
Vulnerability Page
Vulnerability Quote
For Exposure:
Required fields:
Exposure Evidence Count
Effectiveness on Exposure
Exposure Indicators
Exposure Justification
Exposure EvidenceID
Source Exposure
Exposure Page
Exposure Quote
==================================================
EVIDENCE COUNT
==================================================
Evidence Count is the cumulative number of unique quotations currently stored for the eligible component.
Count each quotation only once.
Do not count duplicates.
When a new quotation is appended:
increase Evidence Count by 1.
Reassess:
1. Eligibility.
2. Evidence Count.
3. Effectiveness.
using all accumulated evidence.
Do not evaluate the new PDF in isolation.
==================================================
CONFLICTING EVIDENCE
==================================================
When conflicting findings exist:
1. Preserve all quotations.
2. Preserve all sources.
3. Preserve all pages.
4. Reassess effectiveness using all evidence.
5. Explain contradictions briefly in the justification.
6. Count conflicting quotations in Evidence Count.
==================================================
EFFECTIVENESS LEVELS
==================================================
Use only:
High effectiveness
Medium effectiveness
Low effectiveness
No demonstrated effectiveness
High effectiveness
Use when:
1. Direct mechanism.
2. Direct indicator relationship.
3. Strong or quantified outcome.
Medium effectiveness
Use when:
1. Direct mechanism.
2. Direct indicator relationship.
3. Moderate, conditional or context-dependent outcome.
Low effectiveness
Use when:
1. Direct mechanism.
2. Direct indicator relationship.
3. Explicitly limited outcome.
Do not use Low for uncertainty.
No demonstrated effectiveness
Use only when:
1. Eligibility is Eligible.
2. The PDF discusses the mechanism.
3. The evidence does not demonstrate an effect.
==================================================
EVIDENCE REQUIREMENTS
==================================================
Every High, Medium or Low result must include:
1. Exact approved indicator names.
2. PDF title.
3. Verified page.
4. Exact quotation.
5. Concise effectiveness justification.
6. Evidence Count.
Preserve quotations exactly.
Do not paraphrase quotations.
Do not invent:
1. Quotations.
2. Pages.
3. Indicators.
4. Findings.
==================================================
ADDITIONAL ACTIONS
==================================================
Identify adaptation actions that:
1. Are explicitly documented in the PDF.
2. Do not already exist in tbl_GS_Assessment.
3. Do not already exist in tbl_GS_AdditionalActions.
4. Have a distinct implementation mechanism.
5. Have an Eligible Vulnerability or Exposure relationship.
6. Include at least one verified quotation and page.
Do not create an action when:
1. An equivalent action already exists.
2. The item is a hazard.
3. The item is an indicator.
4. The item is a general objective.
5. The Geohydrological Disasters relationship is indirect.
6. Both Exposure and Vulnerability would be Not eligible.
==================================================
OUTPUT
==================================================
Return one complete self-contained Excel Copilot prompt and nothing else.
The returned prompt may update only:
1. tbl_GS_Assessment
2. tbl_GS_AdditionalActions
3. tbl_GS_EligibilitySummary
BLOCK 1
Eligibility</t>
  </si>
  <si>
    <t>Purpose: build the official Biodiversity assessment framework.
1. Aggregate all approved Vulnerability indicators (Level 6) under the Vulnerability component (Level 3).
2. Aggregate all approved Exposure indicators (Level 6) under the Exposure component (Level 3).
3. Produce the approved indicator lists used throughout the subsequent assessment process.
These lists constitute the official sector assessment framework. Indicators must be retrieved from the workbook source tables and must not be renamed, regrouped, reinterpreted or replaced.</t>
  </si>
  <si>
    <t>Purpose: identify and validate the evidence base for the Biodiversity assessment.
Build a portfolio of exactly 5 Brazilian and 5 International sources. Each source must contain adaptation-related evidence, provide a verifiable PDF, describe implementation mechanisms or adaptation interventions, and include monitoring, evaluation or effectiveness information.
This step may be repeated as needed. It performs no action–sector eligibility assessment and assigns no effectiveness level. Its sole output is a validated portfolio of PDF evidence sources.</t>
  </si>
  <si>
    <t>STEP 2A – ELIGIBILITY ASSESSMENT
Using the AdaptaBrasil methodology, determine separately for Vulnerability and Exposure whether each action belongs to Biodiversity through a direct relationship with an approved indicator. For each action: identify the implementation mechanism; identify the condition directly affected; test the direct indicator relationship; and exclude thematic-only links, hazard-only links, indirect pathways and co-benefits. The output is Eligible or Not eligible for each component. No effectiveness level is assigned during Step 2A.
STEP 2B – EFFECTIVENESS ASSESSMENT
Assess effectiveness only for components classified as Eligible in Step 2A. Review the available PDFs, record exact quotations and page references, append new evidence rather than replacing prior evidence, and maintain a cumulative evidence base. Each new PDF review may change the evidence-supported effectiveness level. Use only High effectiveness, Medium effectiveness, Low effectiveness or No demonstrated effectiveness. These values become inputs to the Impact Assessment calculations.</t>
  </si>
  <si>
    <t>Review the complete PDF attached to this prompt.
Use only:
1. The attached PDF.
2. The approved Vulnerability indicators supplied in this message.
3. The approved Exposure indicators supplied in this message.
4. The complete current tbl_B_Assessment table.
5. The complete current tbl_B_AdditionalActions table.
Do not search the web.
Do not use external knowledge.
Do not use another document.
Do not use previous conversations.
OBJECTIVE
STEP 2A – ELIGIBILITY ASSESSMENT
Using the AdaptaBrasil methodology and the approved sector indicators, determine separately for Vulnerability and Exposure whether each action has a direct indicator relationship. Identify the implementation mechanism, the condition directly affected and the exact approved indicator. Exclude thematic-only links, hazard-only links, indirect pathways and co-benefits. Return only Eligible or Not eligible. Do not assign an effectiveness level during Step 2A.
STEP 2B – EFFECTIVENESS ASSESSMENT
Assess effectiveness only for components classified as Eligible in Step 2A. Review the available PDF evidence, preserve exact quotations and verified page references, append new evidence rather than replacing previous evidence, and reassess effectiveness using the cumulative evidence base. Use only High effectiveness, Medium effectiveness, Low effectiveness or No demonstrated effectiveness.
Also identify genuinely additional actions explicitly documented in the PDF, absent from both action tables and supported by an eligible direct relationship plus a verified quotation and page.
==================================================
METHODOLOGICAL SEQUENCE
==================================================
For every action and every component, follow this sequence:
1. Interpret the action.
2. Identify the primary implementation mechanism.
3. Identify the directly affected system, resource, population, user or activity.
4. Determine component eligibility.
5. Attribute exact approved indicators only when the component is eligible.
6. Assess cumulative evidence.
7. Calculate Evidence Count.
8. Assess effectiveness only when Eligibility equals Eligible.
Do not begin with indicator matching.
Eligibility and effectiveness are separate methodological decisions.
Do not infer eligibility from:
1. Existing effectiveness values.
2. Existing evidence.
3. Existing indicators.
4. ReviewStatus.
5. EvidenceID.
6. Evidence Count.
7. Shared terminology.
8. Biodiversity-related climate risks.
==================================================
STRICT ELIGIBILITY RULE
==================================================
Use only:
Eligible
Not eligible
Apply the eligibility test strictly.
Indirect effects are not eligible.
Secondary effects are not eligible.
Co-benefits are not eligible.
Generic resilience benefits are not eligible.
Generic adaptation benefits are not eligible.
Generic governance benefits are not eligible.
A water-related hazard does not establish eligibility.
A relationship with one or more indicators must result from the action’s direct implementation mechanism.
==================================================
ELIGIBLE
==================================================
Use Eligible only when all of the following are true:
1. The primary implementation mechanism directly affects at least one approved indicator.
2. The action-to-indicator pathway is explicit.
3. No unsupported intermediate assumption is required.
4. The Biodiversity mechanism is central to the action or explicitly implemented.
5. The relationship is not merely a co-benefit.
6. The indicator directly represents the affected condition.
==================================================
NOT ELIGIBLE
==================================================
Use Not eligible when:
1. The pathway is indirect.
2. The pathway is secondary.
3. The pathway is a co-benefit.
4. The pathway requires unsupported assumptions.
5. The action primarily addresses another sector.
6. The relationship depends only on thematic similarity.
7. The relationship depends only on a common hazard.
8. The PDF evidence concerns a materially different mechanism.
9. The action reduces general climate risk rather than an approved Biodiversity condition.
10. The Biodiversity effect is not central to the action.
==================================================
VULNERABILITY ELIGIBILITY
==================================================
Assess whether the implementation mechanism directly changes a condition represented by at least one approved Vulnerability indicator.
Return:
Vulnerability Eligibility
Vulnerability Eligibility Justification
Justification requirements:
1. State the primary implementation mechanism.
2. State the direct indicator pathway or explain its absence.
3. Reference exact approved indicators when applicable.
4. Explain the eligibility decision.
Maximum length:
Two concise sentences.
==================================================
EXPOSURE ELIGIBILITY
==================================================
Assess whether the implementation mechanism directly changes the presence or spatial extent represented by an exact approved Biodiversity Exposure indicator supplied above.
Do not use any Exposure category or indicator outside the approved Biodiversity Exposure framework.
Return:
Exposure Eligibility
Exposure Eligibility Justification
Maximum length:
Two concise sentences.
=================================================
EFFECTIVENESS DEPENDENCY
==================================================
Assess effectiveness only when Eligibility = Eligible.
For Vulnerability:
Required fields:
Vulnerability Evidence Count
Effectiveness on Vulnerability
Vulnerability Indicators
Vulnerability Justification
Vulnerability EvidenceID
Source Vulnerability
Vulnerability Page
Vulnerability Quote
For Exposure:
Required fields:
Exposure Evidence Count
Effectiveness on Exposure
Exposure Indicators
Exposure Justification
Exposure EvidenceID
Source Exposure
Exposure Page
Exposure Quote
==================================================
EVIDENCE COUNT
==================================================
Evidence Count is the cumulative number of unique quotations currently stored for the eligible component.
Count each quotation only once.
Do not count duplicates.
When a new quotation is appended:
increase Evidence Count by 1.
Reassess:
1. Eligibility.
2. Evidence Count.
3. Effectiveness.
using all accumulated evidence.
Do not evaluate the new PDF in isolation.
==================================================
CONFLICTING EVIDENCE
==================================================
When conflicting findings exist:
1. Preserve all quotations.
2. Preserve all sources.
3. Preserve all pages.
4. Reassess effectiveness using all evidence.
5. Explain contradictions briefly in the justification.
6. Count conflicting quotations in Evidence Count.
==================================================
EFFECTIVENESS LEVELS
==================================================
Use only:
High effectiveness
Medium effectiveness
Low effectiveness
No demonstrated effectiveness
High effectiveness
Use when:
1. Direct mechanism.
2. Direct indicator relationship.
3. Strong or quantified outcome.
Medium effectiveness
Use when:
1. Direct mechanism.
2. Direct indicator relationship.
3. Moderate, conditional or context-dependent outcome.
Low effectiveness
Use when:
1. Direct mechanism.
2. Direct indicator relationship.
3. Explicitly limited outcome.
Do not use Low for uncertainty.
No demonstrated effectiveness
Use only when:
1. Eligibility is Eligible.
2. The PDF discusses the mechanism.
3. The evidence does not demonstrate an effect.
==================================================
EVIDENCE REQUIREMENTS
==================================================
Every High, Medium or Low result must include:
1. Exact approved indicator names.
2. PDF title.
3. Verified page.
4. Exact quotation.
5. Concise effectiveness justification.
6. Evidence Count.
Preserve quotations exactly.
Do not paraphrase quotations.
Do not invent:
1. Quotations.
2. Pages.
3. Indicators.
4. Findings.
==================================================
ADDITIONAL ACTIONS
==================================================
Identify adaptation actions that:
1. Are explicitly documented in the PDF.
2. Do not already exist in tbl_B_Assessment.
3. Do not already exist in tbl_B_AdditionalActions.
4. Have a distinct implementation mechanism.
5. Have an Eligible Vulnerability or Exposure relationship.
6. Include at least one verified quotation and page.
Do not create an action when:
1. An equivalent action already exists.
2. The item is a hazard.
3. The item is an indicator.
4. The item is a general objective.
5. The Biodiversity relationship is indirect.
6. Both Exposure and Vulnerability would be Not eligible.
==================================================
OUTPUT
==================================================
Return one complete self-contained Excel Copilot prompt and nothing else.
The returned prompt may update only:
1. tbl_B_Assessment
2. tbl_B_AdditionalActions
3. tbl_B_EligibilitySummary
BLOCK 1
Eligibility</t>
  </si>
  <si>
    <t>Additional Actions Log — Output from Step 2B</t>
  </si>
  <si>
    <t>This section records additional adaptation actions identified during Step 2B. Include an action only when it is explicitly documented in a reviewed PDF, is absent from both the existing-action and additional-action tables, has a distinct implementation mechanism, has an Eligible direct relationship with an approved sector indicator, and is supported by an exact quotation and verified page reference. This is an output log, not a separate methodological step.</t>
  </si>
  <si>
    <t>CURRENT PROCESS
1. Step 0 — Indicator Framework Construction: build the approved sector framework by grouping Level 6 Vulnerability and Exposure indicators under their respective Level 3 components.
2. Step 1 — Source Identification: identify and validate 5 Brazilian and 5 international PDF sources.
3. Step 2 — Combined Assessment: the same prompt assesses sector eligibility and effectiveness together using the available evidence.</t>
  </si>
  <si>
    <t>Target process</t>
  </si>
  <si>
    <t>TARGET PROCESS
1. Step 0 — Indicator Framework Construction: retain the same approved sector framework.
2. Step 1 — Source Identification: retain the same validated PDF portfolio.
3. Step 2A — Eligibility Assessment: run a dedicated prompt that determines only whether each action has a direct relationship with approved Vulnerability or Exposure indicators. No effectiveness level is assigned.
4. Human review: validate the eligibility results before proceeding.
5. Step 2B — Effectiveness Assessment: run a separate prompt, limited to actions already classified as Eligible, and progressively append evidence from reviewed PDFs.</t>
  </si>
  <si>
    <t>Why separate eligibility and effectiveness?</t>
  </si>
  <si>
    <t>Eligibility asks: “Does the action belong to this sector through a direct indicator relationship?” Effectiveness asks: “How strong is the evidence that this action reduces the approved indicator?” Keeping them in separate prompts prevents the effectiveness evidence from influencing the prior eligibility decision.</t>
  </si>
  <si>
    <t>1. The current sector worksheets still use a combined Step 2 prompt.
2. Use Water Resources x actions as the completed current-process example.
3. For the target process, run a standalone Step 2A prompt, validate eligibility, then run a separate Step 2B prompt for Eligible actions only.
4. Review consolidated results in Summary Matrix and use effectiveness values in the Impact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</si>
</sst>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0.00;[Red]\(0.00\);\-"/>
  </numFmts>
  <fonts count="48">
    <font>
      <sz val="10"/>
      <color rgb="FF000000"/>
      <name val="Open Sans"/>
      <scheme val="minor"/>
    </font>
    <font>
      <sz val="11"/>
      <color theme="1"/>
      <name val="Open Sans"/>
      <family val="2"/>
      <scheme val="minor"/>
    </font>
    <font>
      <sz val="10"/>
      <color theme="1"/>
      <name val="Open Sans"/>
      <family val="2"/>
      <scheme val="minor"/>
    </font>
    <font>
      <u/>
      <sz val="10"/>
      <color rgb="FF0000FF"/>
      <name val="Roboto"/>
    </font>
    <font>
      <u/>
      <sz val="10"/>
      <color rgb="FF434343"/>
      <name val="Roboto"/>
    </font>
    <font>
      <sz val="10"/>
      <color rgb="FF000000"/>
      <name val="Open Sans"/>
      <family val="2"/>
      <scheme val="minor"/>
    </font>
    <font>
      <b/>
      <sz val="10"/>
      <color rgb="FF000000"/>
      <name val="Open Sans"/>
      <family val="2"/>
      <scheme val="minor"/>
    </font>
    <font>
      <b/>
      <sz val="14"/>
      <color rgb="FFFFFFFF"/>
      <name val="Open Sans"/>
      <family val="2"/>
      <scheme val="minor"/>
    </font>
    <font>
      <b/>
      <sz val="10"/>
      <color rgb="FFFFFFFF"/>
      <name val="Open Sans"/>
      <family val="2"/>
      <scheme val="minor"/>
    </font>
    <font>
      <b/>
      <sz val="12"/>
      <color rgb="FFFFFFFF"/>
      <name val="Open Sans"/>
      <family val="2"/>
      <scheme val="minor"/>
    </font>
    <font>
      <i/>
      <sz val="10"/>
      <color rgb="FF000000"/>
      <name val="Open Sans"/>
      <family val="2"/>
      <scheme val="minor"/>
    </font>
    <font>
      <b/>
      <sz val="10"/>
      <color rgb="FFFFFFFF"/>
      <name val="Open Sans"/>
      <family val="2"/>
      <scheme val="minor"/>
    </font>
    <font>
      <b/>
      <sz val="10"/>
      <color rgb="FF000000"/>
      <name val="Open Sans"/>
      <family val="2"/>
      <scheme val="minor"/>
    </font>
    <font>
      <b/>
      <sz val="12"/>
      <color rgb="FFFFFFFF"/>
      <name val="Open Sans"/>
      <family val="2"/>
      <scheme val="minor"/>
    </font>
    <font>
      <sz val="10"/>
      <color rgb="FF000000"/>
      <name val="Open Sans"/>
      <family val="2"/>
      <scheme val="minor"/>
    </font>
    <font>
      <sz val="10"/>
      <color theme="0"/>
      <name val="Open Sans"/>
      <family val="2"/>
      <scheme val="minor"/>
    </font>
    <font>
      <b/>
      <sz val="10"/>
      <color theme="0"/>
      <name val="Open Sans"/>
      <family val="2"/>
      <scheme val="minor"/>
    </font>
    <font>
      <sz val="10"/>
      <color theme="1"/>
      <name val="Open Sans"/>
      <family val="2"/>
      <scheme val="minor"/>
    </font>
    <font>
      <b/>
      <sz val="11"/>
      <color rgb="FFFFFFFF"/>
      <name val="Open Sans"/>
      <family val="2"/>
      <scheme val="minor"/>
    </font>
    <font>
      <b/>
      <sz val="10"/>
      <name val="Open Sans"/>
      <family val="2"/>
      <scheme val="minor"/>
    </font>
    <font>
      <b/>
      <sz val="17"/>
      <color rgb="FFFFFFFF"/>
      <name val="Open Sans"/>
      <family val="2"/>
      <scheme val="minor"/>
    </font>
    <font>
      <b/>
      <sz val="10"/>
      <color theme="1"/>
      <name val="Open Sans"/>
      <family val="2"/>
      <scheme val="minor"/>
    </font>
    <font>
      <b/>
      <sz val="18"/>
      <color rgb="FFFFFFFF"/>
      <name val="Open Sans"/>
      <family val="2"/>
      <scheme val="minor"/>
    </font>
    <font>
      <b/>
      <sz val="10"/>
      <color rgb="FFFFFFFF"/>
      <name val="Open Sans"/>
      <scheme val="minor"/>
    </font>
    <font>
      <b/>
      <sz val="18"/>
      <color rgb="FFFFFFFF"/>
      <name val="Open Sans"/>
      <scheme val="minor"/>
    </font>
    <font>
      <b/>
      <sz val="12"/>
      <color rgb="FFFFFFFF"/>
      <name val="Open Sans"/>
      <scheme val="minor"/>
    </font>
    <font>
      <b/>
      <sz val="14"/>
      <color rgb="FFFFFFFF"/>
      <name val="Open Sans"/>
      <scheme val="minor"/>
    </font>
    <font>
      <sz val="10"/>
      <color rgb="FF666666"/>
      <name val="Open Sans"/>
      <family val="2"/>
      <scheme val="minor"/>
    </font>
    <font>
      <sz val="8"/>
      <name val="Open Sans"/>
      <scheme val="minor"/>
    </font>
    <font>
      <b/>
      <sz val="11"/>
      <color rgb="FFFFFFFF"/>
      <name val="Open Sans"/>
      <scheme val="minor"/>
    </font>
    <font>
      <sz val="10"/>
      <color rgb="FFFFFFFF"/>
      <name val="Open Sans"/>
      <family val="2"/>
      <scheme val="minor"/>
    </font>
    <font>
      <b/>
      <sz val="16"/>
      <color rgb="FFFFFFFF"/>
      <name val="Open Sans"/>
      <family val="2"/>
      <scheme val="minor"/>
    </font>
    <font>
      <i/>
      <sz val="10"/>
      <color rgb="FF666666"/>
      <name val="Open Sans"/>
      <family val="2"/>
      <scheme val="minor"/>
    </font>
    <font>
      <u/>
      <sz val="10"/>
      <color theme="10"/>
      <name val="Open Sans"/>
      <scheme val="minor"/>
    </font>
    <font>
      <sz val="10"/>
      <color rgb="FF1F1F1F"/>
      <name val="Aptos"/>
      <family val="2"/>
    </font>
    <font>
      <sz val="10"/>
      <color rgb="FF1F1F1F"/>
      <name val="Open Sans"/>
      <family val="2"/>
      <scheme val="minor"/>
    </font>
    <font>
      <b/>
      <sz val="10"/>
      <color rgb="FF1F1F1F"/>
      <name val="Open Sans"/>
      <family val="2"/>
      <scheme val="minor"/>
    </font>
    <font>
      <sz val="10"/>
      <color theme="0"/>
      <name val="Aptos"/>
      <family val="2"/>
    </font>
    <font>
      <sz val="10"/>
      <color rgb="FF17365D"/>
      <name val="Aptos"/>
      <family val="2"/>
    </font>
    <font>
      <b/>
      <sz val="10"/>
      <color rgb="FF1F1F1F"/>
      <name val="Open Sans"/>
      <scheme val="minor"/>
    </font>
    <font>
      <sz val="10"/>
      <color rgb="FF000000"/>
      <name val="Arial Unicode MS"/>
    </font>
    <font>
      <sz val="11"/>
      <color theme="1"/>
      <name val="Calibri"/>
      <family val="2"/>
    </font>
    <font>
      <b/>
      <sz val="20"/>
      <color rgb="FF374957"/>
      <name val="Calibri"/>
    </font>
    <font>
      <sz val="11"/>
      <color rgb="FF707E8B"/>
      <name val="Calibri"/>
    </font>
    <font>
      <sz val="11"/>
      <color rgb="FF374957"/>
      <name val="Calibri"/>
    </font>
    <font>
      <b/>
      <sz val="12"/>
      <color rgb="FF2A7F86"/>
      <name val="Calibri"/>
    </font>
    <font>
      <b/>
      <sz val="11"/>
      <color rgb="FF374957"/>
      <name val="Calibri"/>
    </font>
    <font>
      <sz val="11"/>
      <color rgb="FF707E8B"/>
      <name val="Calibri"/>
      <family val="2"/>
    </font>
  </fonts>
  <fills count="46">
    <fill>
      <patternFill patternType="none"/>
    </fill>
    <fill>
      <patternFill patternType="gray125"/>
    </fill>
    <fill>
      <patternFill patternType="solid">
        <fgColor rgb="FFFCE4D6"/>
        <bgColor indexed="64"/>
      </patternFill>
    </fill>
    <fill>
      <patternFill patternType="solid">
        <fgColor theme="0" tint="-0.14999847407452621"/>
        <bgColor indexed="64"/>
      </patternFill>
    </fill>
    <fill>
      <patternFill patternType="solid">
        <fgColor theme="4" tint="-0.499984740745262"/>
        <bgColor indexed="64"/>
      </patternFill>
    </fill>
    <fill>
      <patternFill patternType="solid">
        <fgColor rgb="FF008080"/>
        <bgColor indexed="64"/>
      </patternFill>
    </fill>
    <fill>
      <patternFill patternType="solid">
        <fgColor rgb="FFD9EAD3"/>
        <bgColor indexed="64"/>
      </patternFill>
    </fill>
    <fill>
      <patternFill patternType="solid">
        <fgColor rgb="FFF0F0F0"/>
        <bgColor indexed="64"/>
      </patternFill>
    </fill>
    <fill>
      <patternFill patternType="solid">
        <fgColor theme="0"/>
        <bgColor indexed="64"/>
      </patternFill>
    </fill>
    <fill>
      <patternFill patternType="solid">
        <fgColor rgb="FFFFFF00"/>
        <bgColor indexed="64"/>
      </patternFill>
    </fill>
    <fill>
      <patternFill patternType="solid">
        <fgColor theme="7" tint="-0.249977111117893"/>
        <bgColor indexed="64"/>
      </patternFill>
    </fill>
    <fill>
      <patternFill patternType="solid">
        <fgColor rgb="FFFFFFFF"/>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4B5563"/>
        <bgColor indexed="64"/>
      </patternFill>
    </fill>
    <fill>
      <patternFill patternType="solid">
        <fgColor rgb="FF6B7280"/>
        <bgColor indexed="64"/>
      </patternFill>
    </fill>
    <fill>
      <patternFill patternType="solid">
        <fgColor rgb="FF59636E"/>
        <bgColor indexed="64"/>
      </patternFill>
    </fill>
    <fill>
      <patternFill patternType="solid">
        <fgColor rgb="FF291B23"/>
        <bgColor indexed="64"/>
      </patternFill>
    </fill>
    <fill>
      <patternFill patternType="solid">
        <fgColor rgb="FF1B8782"/>
        <bgColor indexed="64"/>
      </patternFill>
    </fill>
    <fill>
      <patternFill patternType="solid">
        <fgColor rgb="FFE7E6E6"/>
        <bgColor indexed="64"/>
      </patternFill>
    </fill>
    <fill>
      <patternFill patternType="solid">
        <fgColor rgb="FFE2F0D9"/>
        <bgColor indexed="64"/>
      </patternFill>
    </fill>
    <fill>
      <patternFill patternType="solid">
        <fgColor theme="1" tint="-0.499984740745262"/>
        <bgColor indexed="64"/>
      </patternFill>
    </fill>
    <fill>
      <patternFill patternType="solid">
        <fgColor rgb="FF70AD47"/>
        <bgColor indexed="64"/>
      </patternFill>
    </fill>
    <fill>
      <patternFill patternType="solid">
        <fgColor rgb="FFFFF2CC"/>
        <bgColor indexed="64"/>
      </patternFill>
    </fill>
    <fill>
      <patternFill patternType="solid">
        <fgColor rgb="FFF7F7F7"/>
        <bgColor indexed="64"/>
      </patternFill>
    </fill>
    <fill>
      <patternFill patternType="solid">
        <fgColor theme="8"/>
        <bgColor indexed="64"/>
      </patternFill>
    </fill>
    <fill>
      <patternFill patternType="solid">
        <fgColor theme="8" tint="0.79998168889431442"/>
        <bgColor indexed="64"/>
      </patternFill>
    </fill>
    <fill>
      <patternFill patternType="solid">
        <fgColor theme="1" tint="-0.249977111117893"/>
        <bgColor indexed="64"/>
      </patternFill>
    </fill>
    <fill>
      <patternFill patternType="solid">
        <fgColor rgb="FFC00000"/>
        <bgColor indexed="64"/>
      </patternFill>
    </fill>
    <fill>
      <patternFill patternType="solid">
        <fgColor theme="4"/>
        <bgColor indexed="64"/>
      </patternFill>
    </fill>
    <fill>
      <patternFill patternType="solid">
        <fgColor theme="4" tint="-0.249977111117893"/>
        <bgColor indexed="64"/>
      </patternFill>
    </fill>
    <fill>
      <patternFill patternType="solid">
        <fgColor rgb="FF7030A0"/>
        <bgColor indexed="64"/>
      </patternFill>
    </fill>
    <fill>
      <patternFill patternType="solid">
        <fgColor rgb="FF0E4341"/>
        <bgColor indexed="64"/>
      </patternFill>
    </fill>
    <fill>
      <patternFill patternType="solid">
        <fgColor theme="8" tint="0.39997558519241921"/>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rgb="FFF2F2F2"/>
        <bgColor indexed="64"/>
      </patternFill>
    </fill>
    <fill>
      <patternFill patternType="solid">
        <fgColor rgb="FFDDEBF7"/>
        <bgColor indexed="64"/>
      </patternFill>
    </fill>
    <fill>
      <patternFill patternType="solid">
        <fgColor rgb="FF1F4E3D"/>
        <bgColor indexed="64"/>
      </patternFill>
    </fill>
    <fill>
      <patternFill patternType="solid">
        <fgColor rgb="FFD9D9D9"/>
        <bgColor indexed="64"/>
      </patternFill>
    </fill>
    <fill>
      <patternFill patternType="solid">
        <fgColor theme="2"/>
        <bgColor indexed="64"/>
      </patternFill>
    </fill>
    <fill>
      <patternFill patternType="solid">
        <fgColor rgb="FFD9EAF7"/>
        <bgColor indexed="64"/>
      </patternFill>
    </fill>
    <fill>
      <patternFill patternType="solid">
        <fgColor rgb="FFE4DDF0"/>
        <bgColor indexed="64"/>
      </patternFill>
    </fill>
    <fill>
      <patternFill patternType="solid">
        <fgColor rgb="FF6F5E8C"/>
        <bgColor indexed="64"/>
      </patternFill>
    </fill>
    <fill>
      <patternFill patternType="solid">
        <fgColor rgb="FF7A7A7A"/>
        <bgColor indexed="64"/>
      </patternFill>
    </fill>
    <fill>
      <patternFill patternType="solid">
        <fgColor rgb="FF0F5B5D"/>
        <bgColor indexed="64"/>
      </patternFill>
    </fill>
  </fills>
  <borders count="43">
    <border>
      <left/>
      <right/>
      <top/>
      <bottom/>
      <diagonal/>
    </border>
    <border>
      <left/>
      <right/>
      <top style="thin">
        <color auto="1"/>
      </top>
      <bottom/>
      <diagonal/>
    </border>
    <border>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style="thin">
        <color theme="1"/>
      </left>
      <right style="thin">
        <color theme="1"/>
      </right>
      <top style="medium">
        <color theme="1"/>
      </top>
      <bottom style="medium">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medium">
        <color theme="1"/>
      </bottom>
      <diagonal/>
    </border>
    <border>
      <left/>
      <right/>
      <top style="thin">
        <color rgb="FFD9E2F3"/>
      </top>
      <bottom/>
      <diagonal/>
    </border>
    <border>
      <left/>
      <right/>
      <top style="thin">
        <color rgb="FFD9E2F3"/>
      </top>
      <bottom style="thin">
        <color rgb="FFD9E2F3"/>
      </bottom>
      <diagonal/>
    </border>
    <border>
      <left/>
      <right/>
      <top/>
      <bottom style="thin">
        <color rgb="FFD9E2F3"/>
      </bottom>
      <diagonal/>
    </border>
    <border>
      <left style="thin">
        <color rgb="FFD9E2F3"/>
      </left>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style="thin">
        <color rgb="FFD9E2F3"/>
      </right>
      <top style="thin">
        <color rgb="FFD9E2F3"/>
      </top>
      <bottom style="thin">
        <color rgb="FFD9E2F3"/>
      </bottom>
      <diagonal/>
    </border>
    <border>
      <left/>
      <right style="thin">
        <color indexed="64"/>
      </right>
      <top/>
      <bottom style="thin">
        <color rgb="FF70AD47"/>
      </bottom>
      <diagonal/>
    </border>
    <border>
      <left style="thin">
        <color rgb="FFB7C9C0"/>
      </left>
      <right style="thin">
        <color rgb="FFB7C9C0"/>
      </right>
      <top style="thin">
        <color rgb="FFB7C9C0"/>
      </top>
      <bottom style="thin">
        <color rgb="FFB7C9C0"/>
      </bottom>
      <diagonal/>
    </border>
    <border>
      <left/>
      <right/>
      <top/>
      <bottom style="medium">
        <color rgb="FF2A7F86"/>
      </bottom>
      <diagonal/>
    </border>
    <border>
      <left/>
      <right/>
      <top/>
      <bottom style="thin">
        <color rgb="FFE8EEF1"/>
      </bottom>
      <diagonal/>
    </border>
    <border>
      <left/>
      <right/>
      <top style="thin">
        <color rgb="FFE8EEF1"/>
      </top>
      <bottom style="thin">
        <color rgb="FFE8EEF1"/>
      </bottom>
      <diagonal/>
    </border>
    <border>
      <left style="thin">
        <color indexed="64"/>
      </left>
      <right/>
      <top/>
      <bottom style="medium">
        <color rgb="FF2A7F86"/>
      </bottom>
      <diagonal/>
    </border>
    <border>
      <left/>
      <right style="thin">
        <color indexed="64"/>
      </right>
      <top/>
      <bottom style="medium">
        <color rgb="FF2A7F86"/>
      </bottom>
      <diagonal/>
    </border>
    <border>
      <left style="thin">
        <color indexed="64"/>
      </left>
      <right/>
      <top/>
      <bottom style="thin">
        <color rgb="FFE8EEF1"/>
      </bottom>
      <diagonal/>
    </border>
    <border>
      <left/>
      <right style="thin">
        <color indexed="64"/>
      </right>
      <top/>
      <bottom style="thin">
        <color rgb="FFE8EEF1"/>
      </bottom>
      <diagonal/>
    </border>
    <border>
      <left style="thin">
        <color indexed="64"/>
      </left>
      <right/>
      <top style="thin">
        <color rgb="FFE8EEF1"/>
      </top>
      <bottom style="thin">
        <color rgb="FFE8EEF1"/>
      </bottom>
      <diagonal/>
    </border>
    <border>
      <left/>
      <right style="thin">
        <color indexed="64"/>
      </right>
      <top style="thin">
        <color rgb="FFE8EEF1"/>
      </top>
      <bottom style="thin">
        <color rgb="FFE8EEF1"/>
      </bottom>
      <diagonal/>
    </border>
  </borders>
  <cellStyleXfs count="6">
    <xf numFmtId="0" fontId="0" fillId="0" borderId="0"/>
    <xf numFmtId="43" fontId="5" fillId="0" borderId="0" applyFont="0" applyFill="0" applyBorder="0" applyAlignment="0" applyProtection="0"/>
    <xf numFmtId="0" fontId="1" fillId="0" borderId="0"/>
    <xf numFmtId="0" fontId="5" fillId="0" borderId="0"/>
    <xf numFmtId="0" fontId="33" fillId="0" borderId="0" applyNumberFormat="0" applyFill="0" applyBorder="0" applyAlignment="0" applyProtection="0"/>
    <xf numFmtId="0" fontId="41" fillId="0" borderId="0"/>
  </cellStyleXfs>
  <cellXfs count="227">
    <xf numFmtId="0" fontId="0" fillId="0" borderId="0" xfId="0"/>
    <xf numFmtId="0" fontId="2" fillId="0" borderId="0" xfId="0" applyFont="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0" fillId="0" borderId="0" xfId="0" applyAlignment="1">
      <alignment wrapText="1"/>
    </xf>
    <xf numFmtId="0" fontId="0" fillId="0" borderId="7" xfId="0" applyBorder="1"/>
    <xf numFmtId="0" fontId="0" fillId="0" borderId="18" xfId="0" applyBorder="1" applyAlignment="1">
      <alignment vertical="center"/>
    </xf>
    <xf numFmtId="0" fontId="0" fillId="0" borderId="7" xfId="0" applyBorder="1" applyAlignment="1">
      <alignment vertical="center"/>
    </xf>
    <xf numFmtId="0" fontId="0" fillId="0" borderId="19" xfId="0" applyBorder="1" applyAlignment="1">
      <alignment vertical="center"/>
    </xf>
    <xf numFmtId="3" fontId="6" fillId="7" borderId="18" xfId="0" applyNumberFormat="1" applyFont="1" applyFill="1" applyBorder="1" applyAlignment="1">
      <alignment horizontal="center" vertical="center"/>
    </xf>
    <xf numFmtId="3" fontId="6" fillId="7" borderId="7" xfId="0" applyNumberFormat="1" applyFont="1" applyFill="1" applyBorder="1" applyAlignment="1">
      <alignment horizontal="center" vertical="center"/>
    </xf>
    <xf numFmtId="3" fontId="6" fillId="7" borderId="19" xfId="0" applyNumberFormat="1" applyFont="1" applyFill="1" applyBorder="1" applyAlignment="1">
      <alignment horizontal="center" vertical="center"/>
    </xf>
    <xf numFmtId="0" fontId="0" fillId="0" borderId="0" xfId="0" applyAlignment="1">
      <alignment vertical="center"/>
    </xf>
    <xf numFmtId="0" fontId="12" fillId="6" borderId="20" xfId="0" applyFont="1" applyFill="1" applyBorder="1" applyAlignment="1">
      <alignment horizontal="center" vertical="center"/>
    </xf>
    <xf numFmtId="0" fontId="12" fillId="6" borderId="12" xfId="0" applyFont="1" applyFill="1" applyBorder="1" applyAlignment="1">
      <alignment horizontal="center" vertical="center"/>
    </xf>
    <xf numFmtId="0" fontId="12" fillId="6" borderId="21" xfId="0" applyFont="1" applyFill="1" applyBorder="1" applyAlignment="1">
      <alignment horizontal="center" vertical="center"/>
    </xf>
    <xf numFmtId="0" fontId="6" fillId="7" borderId="7" xfId="0" applyFont="1" applyFill="1" applyBorder="1" applyAlignment="1">
      <alignment horizontal="center"/>
    </xf>
    <xf numFmtId="0" fontId="12" fillId="6" borderId="7" xfId="0" applyFont="1" applyFill="1" applyBorder="1" applyAlignment="1">
      <alignment horizontal="center"/>
    </xf>
    <xf numFmtId="164" fontId="0" fillId="0" borderId="7" xfId="1" applyNumberFormat="1" applyFont="1" applyBorder="1" applyAlignment="1">
      <alignment horizontal="center"/>
    </xf>
    <xf numFmtId="164" fontId="0" fillId="0" borderId="7" xfId="1" applyNumberFormat="1" applyFont="1" applyFill="1" applyBorder="1" applyAlignment="1">
      <alignment horizontal="center"/>
    </xf>
    <xf numFmtId="0" fontId="0" fillId="0" borderId="3" xfId="0" applyBorder="1" applyAlignment="1">
      <alignment vertical="center"/>
    </xf>
    <xf numFmtId="0" fontId="15" fillId="0" borderId="0" xfId="0" applyFont="1" applyAlignment="1">
      <alignment horizontal="left" vertical="center"/>
    </xf>
    <xf numFmtId="0" fontId="17" fillId="0" borderId="0" xfId="0" applyFont="1" applyAlignment="1">
      <alignment vertical="center"/>
    </xf>
    <xf numFmtId="0" fontId="0" fillId="0" borderId="22" xfId="0" applyBorder="1" applyAlignment="1">
      <alignment vertical="center"/>
    </xf>
    <xf numFmtId="0" fontId="0" fillId="0" borderId="11" xfId="0" applyBorder="1" applyAlignment="1">
      <alignment vertical="center"/>
    </xf>
    <xf numFmtId="0" fontId="0" fillId="9" borderId="0" xfId="0" applyFill="1"/>
    <xf numFmtId="0" fontId="0" fillId="0" borderId="3" xfId="0" applyBorder="1" applyAlignment="1">
      <alignment horizontal="left" vertical="center"/>
    </xf>
    <xf numFmtId="0" fontId="0" fillId="0" borderId="11" xfId="0" applyBorder="1" applyAlignment="1">
      <alignment horizontal="left" vertical="center"/>
    </xf>
    <xf numFmtId="0" fontId="0" fillId="0" borderId="14" xfId="0" applyBorder="1" applyAlignment="1">
      <alignment vertical="center"/>
    </xf>
    <xf numFmtId="2" fontId="0" fillId="0" borderId="0" xfId="0" applyNumberFormat="1"/>
    <xf numFmtId="0" fontId="10" fillId="3" borderId="0" xfId="0" applyFont="1" applyFill="1" applyAlignment="1">
      <alignment horizontal="left"/>
    </xf>
    <xf numFmtId="0" fontId="10" fillId="3" borderId="0" xfId="0" applyFont="1" applyFill="1" applyAlignment="1">
      <alignment horizontal="center"/>
    </xf>
    <xf numFmtId="0" fontId="19" fillId="3" borderId="7" xfId="0" applyFont="1" applyFill="1" applyBorder="1" applyAlignment="1">
      <alignment horizontal="center" vertical="center" wrapText="1"/>
    </xf>
    <xf numFmtId="0" fontId="12" fillId="3" borderId="7" xfId="0" applyFont="1" applyFill="1" applyBorder="1"/>
    <xf numFmtId="164" fontId="12" fillId="3" borderId="7" xfId="1" applyNumberFormat="1" applyFont="1" applyFill="1" applyBorder="1"/>
    <xf numFmtId="0" fontId="12" fillId="12" borderId="7" xfId="0" applyFont="1" applyFill="1" applyBorder="1"/>
    <xf numFmtId="164" fontId="12" fillId="12" borderId="7" xfId="1" applyNumberFormat="1" applyFont="1" applyFill="1" applyBorder="1"/>
    <xf numFmtId="0" fontId="0" fillId="13" borderId="11" xfId="0" applyFill="1" applyBorder="1"/>
    <xf numFmtId="0" fontId="16" fillId="10" borderId="3" xfId="0" applyFont="1" applyFill="1" applyBorder="1"/>
    <xf numFmtId="0" fontId="8" fillId="16" borderId="0" xfId="0" applyFont="1" applyFill="1" applyAlignment="1">
      <alignment horizontal="center" vertical="center" wrapText="1"/>
    </xf>
    <xf numFmtId="0" fontId="8" fillId="18" borderId="0" xfId="0" applyFont="1" applyFill="1"/>
    <xf numFmtId="0" fontId="0" fillId="19" borderId="0" xfId="0" applyFill="1"/>
    <xf numFmtId="2" fontId="0" fillId="19" borderId="0" xfId="0" applyNumberFormat="1" applyFill="1"/>
    <xf numFmtId="0" fontId="0" fillId="20" borderId="0" xfId="0" applyFill="1"/>
    <xf numFmtId="2" fontId="0" fillId="20" borderId="0" xfId="0" applyNumberFormat="1" applyFill="1"/>
    <xf numFmtId="0" fontId="11" fillId="16" borderId="23" xfId="0" applyFont="1" applyFill="1" applyBorder="1" applyAlignment="1">
      <alignment horizontal="center" vertical="center" wrapText="1"/>
    </xf>
    <xf numFmtId="0" fontId="8" fillId="16" borderId="23" xfId="0" applyFont="1" applyFill="1" applyBorder="1" applyAlignment="1">
      <alignment horizontal="center" vertical="center" wrapText="1"/>
    </xf>
    <xf numFmtId="0" fontId="0" fillId="8" borderId="7" xfId="0" applyFill="1" applyBorder="1" applyAlignment="1">
      <alignment vertical="center" wrapText="1"/>
    </xf>
    <xf numFmtId="0" fontId="0" fillId="2" borderId="7" xfId="0" applyFill="1" applyBorder="1" applyAlignment="1">
      <alignment vertical="center" wrapText="1"/>
    </xf>
    <xf numFmtId="2" fontId="0" fillId="8" borderId="7" xfId="0" applyNumberFormat="1" applyFill="1" applyBorder="1" applyAlignment="1">
      <alignment vertical="center" wrapText="1"/>
    </xf>
    <xf numFmtId="10" fontId="0" fillId="8" borderId="7" xfId="0" applyNumberFormat="1" applyFill="1" applyBorder="1" applyAlignment="1">
      <alignment vertical="center" wrapText="1"/>
    </xf>
    <xf numFmtId="2" fontId="16" fillId="21" borderId="7" xfId="0" applyNumberFormat="1" applyFont="1" applyFill="1" applyBorder="1" applyAlignment="1">
      <alignment vertical="center" wrapText="1"/>
    </xf>
    <xf numFmtId="0" fontId="20" fillId="14" borderId="0" xfId="0" applyFont="1" applyFill="1" applyAlignment="1">
      <alignment vertical="center"/>
    </xf>
    <xf numFmtId="0" fontId="18" fillId="15" borderId="0" xfId="0" applyFont="1" applyFill="1"/>
    <xf numFmtId="0" fontId="12" fillId="0" borderId="0" xfId="0" applyFont="1" applyAlignment="1">
      <alignment vertical="center" wrapText="1"/>
    </xf>
    <xf numFmtId="0" fontId="0" fillId="0" borderId="0" xfId="0" applyAlignment="1">
      <alignment vertical="center" wrapText="1"/>
    </xf>
    <xf numFmtId="2" fontId="12" fillId="0" borderId="0" xfId="0" applyNumberFormat="1" applyFont="1" applyAlignment="1">
      <alignment horizontal="center" vertical="center"/>
    </xf>
    <xf numFmtId="2" fontId="21" fillId="0" borderId="24" xfId="0" applyNumberFormat="1" applyFont="1" applyBorder="1" applyAlignment="1">
      <alignment horizontal="center" vertical="center"/>
    </xf>
    <xf numFmtId="0" fontId="14" fillId="0" borderId="0" xfId="0" applyFont="1" applyAlignment="1">
      <alignment vertical="center" wrapText="1"/>
    </xf>
    <xf numFmtId="2" fontId="21" fillId="0" borderId="25" xfId="0" applyNumberFormat="1" applyFont="1" applyBorder="1" applyAlignment="1">
      <alignment horizontal="center" vertical="center"/>
    </xf>
    <xf numFmtId="0" fontId="0" fillId="11" borderId="7" xfId="0" applyFill="1" applyBorder="1" applyAlignment="1">
      <alignment vertical="center" wrapText="1"/>
    </xf>
    <xf numFmtId="0" fontId="0" fillId="0" borderId="30" xfId="0" applyBorder="1" applyAlignment="1">
      <alignment vertical="top"/>
    </xf>
    <xf numFmtId="0" fontId="0" fillId="0" borderId="30" xfId="0" applyBorder="1" applyAlignment="1">
      <alignment vertical="top" wrapText="1"/>
    </xf>
    <xf numFmtId="0" fontId="0" fillId="23" borderId="30" xfId="0" applyFill="1" applyBorder="1" applyAlignment="1">
      <alignment horizontal="center" vertical="top"/>
    </xf>
    <xf numFmtId="0" fontId="0" fillId="24" borderId="30" xfId="0" applyFill="1" applyBorder="1" applyAlignment="1">
      <alignment vertical="top" wrapText="1"/>
    </xf>
    <xf numFmtId="0" fontId="0" fillId="23" borderId="30" xfId="0" applyFill="1" applyBorder="1" applyAlignment="1">
      <alignment horizontal="center" vertical="top" wrapText="1"/>
    </xf>
    <xf numFmtId="0" fontId="23" fillId="27" borderId="0" xfId="0" applyFont="1" applyFill="1" applyAlignment="1">
      <alignment horizontal="center" vertical="center" wrapText="1"/>
    </xf>
    <xf numFmtId="0" fontId="23" fillId="29" borderId="0" xfId="0" applyFont="1" applyFill="1" applyAlignment="1">
      <alignment horizontal="center" vertical="center" wrapText="1"/>
    </xf>
    <xf numFmtId="0" fontId="23" fillId="29" borderId="0" xfId="0" applyFont="1" applyFill="1" applyAlignment="1">
      <alignment vertical="center" wrapText="1"/>
    </xf>
    <xf numFmtId="0" fontId="0" fillId="0" borderId="30" xfId="0" applyBorder="1" applyAlignment="1">
      <alignment horizontal="left" vertical="top" wrapText="1"/>
    </xf>
    <xf numFmtId="0" fontId="15" fillId="28" borderId="0" xfId="0" applyFont="1" applyFill="1" applyAlignment="1">
      <alignment horizontal="center" vertical="center"/>
    </xf>
    <xf numFmtId="0" fontId="5" fillId="0" borderId="0" xfId="0" applyFont="1" applyAlignment="1">
      <alignment wrapText="1"/>
    </xf>
    <xf numFmtId="43" fontId="0" fillId="0" borderId="0" xfId="1" applyFont="1"/>
    <xf numFmtId="0" fontId="0" fillId="0" borderId="0" xfId="0" applyAlignment="1">
      <alignment vertical="top"/>
    </xf>
    <xf numFmtId="0" fontId="0" fillId="0" borderId="0" xfId="0" applyAlignment="1">
      <alignment horizontal="left" vertical="center"/>
    </xf>
    <xf numFmtId="0" fontId="0" fillId="0" borderId="0" xfId="0" applyAlignment="1">
      <alignment horizontal="center" vertical="top"/>
    </xf>
    <xf numFmtId="0" fontId="15" fillId="0" borderId="0" xfId="3" applyFont="1" applyAlignment="1">
      <alignment horizontal="left" vertical="center"/>
    </xf>
    <xf numFmtId="0" fontId="5" fillId="0" borderId="0" xfId="3"/>
    <xf numFmtId="0" fontId="2" fillId="0" borderId="0" xfId="3" applyFont="1" applyAlignment="1">
      <alignment vertical="center"/>
    </xf>
    <xf numFmtId="0" fontId="5" fillId="0" borderId="0" xfId="0" applyFont="1" applyAlignment="1">
      <alignment vertical="top"/>
    </xf>
    <xf numFmtId="0" fontId="8" fillId="31" borderId="0" xfId="0" applyFont="1" applyFill="1" applyAlignment="1">
      <alignment vertical="top"/>
    </xf>
    <xf numFmtId="0" fontId="6" fillId="0" borderId="6" xfId="0" applyFont="1" applyBorder="1" applyAlignment="1">
      <alignment vertical="center"/>
    </xf>
    <xf numFmtId="0" fontId="30" fillId="28" borderId="0" xfId="0" applyFont="1" applyFill="1" applyAlignment="1">
      <alignment vertical="top"/>
    </xf>
    <xf numFmtId="0" fontId="8" fillId="28" borderId="0" xfId="0" applyFont="1" applyFill="1" applyAlignment="1">
      <alignment vertical="top"/>
    </xf>
    <xf numFmtId="0" fontId="33" fillId="0" borderId="0" xfId="4" applyAlignment="1">
      <alignment vertical="top"/>
    </xf>
    <xf numFmtId="1" fontId="0" fillId="0" borderId="0" xfId="0" applyNumberFormat="1" applyAlignment="1">
      <alignment vertical="top"/>
    </xf>
    <xf numFmtId="0" fontId="34" fillId="11" borderId="0" xfId="0" applyFont="1" applyFill="1" applyAlignment="1">
      <alignment vertical="top"/>
    </xf>
    <xf numFmtId="0" fontId="5" fillId="0" borderId="0" xfId="0" applyFont="1" applyAlignment="1">
      <alignment horizontal="center" vertical="top"/>
    </xf>
    <xf numFmtId="0" fontId="8" fillId="38" borderId="0" xfId="0" applyFont="1" applyFill="1" applyAlignment="1">
      <alignment vertical="top"/>
    </xf>
    <xf numFmtId="0" fontId="35" fillId="37" borderId="0" xfId="0" applyFont="1" applyFill="1" applyAlignment="1">
      <alignment vertical="top"/>
    </xf>
    <xf numFmtId="0" fontId="37" fillId="28" borderId="0" xfId="0" applyFont="1" applyFill="1" applyAlignment="1">
      <alignment vertical="top"/>
    </xf>
    <xf numFmtId="0" fontId="30" fillId="40" borderId="0" xfId="0" applyFont="1" applyFill="1" applyAlignment="1">
      <alignment vertical="top"/>
    </xf>
    <xf numFmtId="0" fontId="16" fillId="38" borderId="0" xfId="0" applyFont="1" applyFill="1" applyAlignment="1">
      <alignment vertical="top"/>
    </xf>
    <xf numFmtId="165" fontId="0" fillId="0" borderId="0" xfId="1" applyNumberFormat="1" applyFont="1"/>
    <xf numFmtId="0" fontId="8" fillId="38" borderId="0" xfId="0" applyFont="1" applyFill="1" applyAlignment="1">
      <alignment horizontal="left" vertical="top"/>
    </xf>
    <xf numFmtId="0" fontId="34" fillId="11" borderId="33" xfId="0" applyFont="1" applyFill="1" applyBorder="1" applyAlignment="1">
      <alignment horizontal="left" vertical="top"/>
    </xf>
    <xf numFmtId="0" fontId="38" fillId="41" borderId="33" xfId="0" applyFont="1" applyFill="1" applyBorder="1" applyAlignment="1">
      <alignment horizontal="left" vertical="top"/>
    </xf>
    <xf numFmtId="0" fontId="38" fillId="41" borderId="0" xfId="0" applyFont="1" applyFill="1" applyAlignment="1">
      <alignment vertical="top"/>
    </xf>
    <xf numFmtId="0" fontId="35" fillId="11" borderId="0" xfId="0" applyFont="1" applyFill="1" applyAlignment="1">
      <alignment horizontal="left" vertical="top"/>
    </xf>
    <xf numFmtId="0" fontId="5" fillId="42" borderId="0" xfId="0" applyFont="1" applyFill="1" applyAlignment="1">
      <alignment vertical="top"/>
    </xf>
    <xf numFmtId="0" fontId="5" fillId="36" borderId="0" xfId="0" applyFont="1" applyFill="1" applyAlignment="1">
      <alignment vertical="top"/>
    </xf>
    <xf numFmtId="0" fontId="8" fillId="43" borderId="0" xfId="0" applyFont="1" applyFill="1" applyAlignment="1">
      <alignment vertical="top"/>
    </xf>
    <xf numFmtId="0" fontId="8" fillId="44" borderId="0" xfId="0" applyFont="1" applyFill="1" applyAlignment="1">
      <alignment vertical="top"/>
    </xf>
    <xf numFmtId="0" fontId="36" fillId="39" borderId="0" xfId="0" applyFont="1" applyFill="1" applyAlignment="1">
      <alignment horizontal="center" vertical="center"/>
    </xf>
    <xf numFmtId="0" fontId="39" fillId="39" borderId="0" xfId="0" applyFont="1" applyFill="1" applyAlignment="1">
      <alignment horizontal="center" vertical="center"/>
    </xf>
    <xf numFmtId="0" fontId="0" fillId="26" borderId="14" xfId="0" applyFill="1" applyBorder="1" applyAlignment="1">
      <alignment vertical="top"/>
    </xf>
    <xf numFmtId="0" fontId="0" fillId="35" borderId="14" xfId="0" applyFill="1" applyBorder="1" applyAlignment="1">
      <alignment vertical="top"/>
    </xf>
    <xf numFmtId="0" fontId="9" fillId="4" borderId="0" xfId="0" applyFont="1" applyFill="1"/>
    <xf numFmtId="0" fontId="25" fillId="4" borderId="0" xfId="0" applyFont="1" applyFill="1"/>
    <xf numFmtId="0" fontId="22" fillId="4" borderId="0" xfId="0" applyFont="1" applyFill="1"/>
    <xf numFmtId="0" fontId="24" fillId="4" borderId="0" xfId="0" applyFont="1" applyFill="1"/>
    <xf numFmtId="0" fontId="27" fillId="0" borderId="0" xfId="0" applyFont="1" applyAlignment="1">
      <alignment wrapText="1"/>
    </xf>
    <xf numFmtId="0" fontId="9" fillId="38" borderId="0" xfId="0" applyFont="1" applyFill="1" applyAlignment="1">
      <alignment horizontal="left" vertical="center"/>
    </xf>
    <xf numFmtId="0" fontId="7" fillId="21" borderId="0" xfId="0" applyFont="1" applyFill="1" applyAlignment="1">
      <alignment horizontal="left"/>
    </xf>
    <xf numFmtId="0" fontId="31" fillId="21" borderId="0" xfId="0" applyFont="1" applyFill="1" applyAlignment="1">
      <alignment vertical="center"/>
    </xf>
    <xf numFmtId="0" fontId="7" fillId="21" borderId="0" xfId="0" applyFont="1" applyFill="1" applyAlignment="1">
      <alignment vertical="center"/>
    </xf>
    <xf numFmtId="0" fontId="29" fillId="34" borderId="4" xfId="0" applyFont="1" applyFill="1" applyBorder="1" applyAlignment="1">
      <alignment horizontal="center" vertical="center"/>
    </xf>
    <xf numFmtId="0" fontId="29" fillId="34" borderId="8" xfId="0" applyFont="1" applyFill="1" applyBorder="1" applyAlignment="1">
      <alignment horizontal="center" vertical="center"/>
    </xf>
    <xf numFmtId="0" fontId="29" fillId="33" borderId="4" xfId="0" applyFont="1" applyFill="1" applyBorder="1" applyAlignment="1">
      <alignment horizontal="center" vertical="center"/>
    </xf>
    <xf numFmtId="0" fontId="29" fillId="33" borderId="8" xfId="0" applyFont="1" applyFill="1" applyBorder="1" applyAlignment="1">
      <alignment horizontal="center" vertical="center"/>
    </xf>
    <xf numFmtId="0" fontId="9" fillId="38" borderId="0" xfId="0" applyFont="1" applyFill="1" applyAlignment="1">
      <alignment vertical="center"/>
    </xf>
    <xf numFmtId="0" fontId="22" fillId="17" borderId="0" xfId="0" applyFont="1" applyFill="1"/>
    <xf numFmtId="0" fontId="8" fillId="17" borderId="0" xfId="0" applyFont="1" applyFill="1"/>
    <xf numFmtId="0" fontId="8" fillId="30" borderId="0" xfId="0" applyFont="1" applyFill="1" applyAlignment="1">
      <alignment wrapText="1"/>
    </xf>
    <xf numFmtId="0" fontId="0" fillId="0" borderId="0" xfId="0" applyAlignment="1">
      <alignment vertical="center" wrapText="1"/>
    </xf>
    <xf numFmtId="0" fontId="8" fillId="30" borderId="0" xfId="0" applyFont="1" applyFill="1"/>
    <xf numFmtId="0" fontId="15" fillId="28" borderId="0" xfId="0" applyFont="1" applyFill="1" applyAlignment="1">
      <alignment vertical="center" wrapText="1"/>
    </xf>
    <xf numFmtId="0" fontId="0" fillId="0" borderId="29" xfId="0" applyBorder="1"/>
    <xf numFmtId="0" fontId="0" fillId="0" borderId="27" xfId="0" applyBorder="1"/>
    <xf numFmtId="0" fontId="0" fillId="0" borderId="31" xfId="0" applyBorder="1"/>
    <xf numFmtId="0" fontId="8" fillId="4" borderId="0" xfId="0" applyFont="1" applyFill="1" applyAlignment="1">
      <alignment vertical="center" wrapText="1"/>
    </xf>
    <xf numFmtId="0" fontId="8" fillId="27" borderId="26" xfId="0" applyFont="1" applyFill="1" applyBorder="1" applyAlignment="1">
      <alignment wrapText="1"/>
    </xf>
    <xf numFmtId="0" fontId="23" fillId="27" borderId="28" xfId="0" applyFont="1" applyFill="1" applyBorder="1" applyAlignment="1">
      <alignment horizontal="center" vertical="center" wrapText="1"/>
    </xf>
    <xf numFmtId="0" fontId="0" fillId="26" borderId="0" xfId="0" applyFill="1" applyAlignment="1">
      <alignment horizontal="left" vertical="top" wrapText="1"/>
    </xf>
    <xf numFmtId="0" fontId="23" fillId="22" borderId="0" xfId="0" applyFont="1" applyFill="1"/>
    <xf numFmtId="0" fontId="0" fillId="20" borderId="0" xfId="0" applyFill="1" applyAlignment="1">
      <alignment horizontal="left" vertical="top" wrapText="1"/>
    </xf>
    <xf numFmtId="0" fontId="8" fillId="27" borderId="0" xfId="0" applyFont="1" applyFill="1" applyAlignment="1">
      <alignment wrapText="1"/>
    </xf>
    <xf numFmtId="0" fontId="26" fillId="4" borderId="0" xfId="0" applyFont="1" applyFill="1"/>
    <xf numFmtId="0" fontId="23" fillId="25" borderId="0" xfId="0" applyFont="1" applyFill="1"/>
    <xf numFmtId="0" fontId="23" fillId="30" borderId="0" xfId="0" applyFont="1" applyFill="1" applyAlignment="1">
      <alignment wrapText="1"/>
    </xf>
    <xf numFmtId="0" fontId="23" fillId="30" borderId="0" xfId="0" applyFont="1" applyFill="1"/>
    <xf numFmtId="0" fontId="0" fillId="0" borderId="30" xfId="0" applyBorder="1" applyAlignment="1">
      <alignment vertical="top" wrapText="1"/>
    </xf>
    <xf numFmtId="0" fontId="23" fillId="4" borderId="0" xfId="0" applyFont="1" applyFill="1" applyAlignment="1">
      <alignment vertical="center" wrapText="1"/>
    </xf>
    <xf numFmtId="0" fontId="23" fillId="27" borderId="0" xfId="0" applyFont="1" applyFill="1" applyAlignment="1">
      <alignment wrapText="1"/>
    </xf>
    <xf numFmtId="0" fontId="23" fillId="27" borderId="0" xfId="0" applyFont="1" applyFill="1" applyAlignment="1">
      <alignment horizontal="center" vertical="center" wrapText="1"/>
    </xf>
    <xf numFmtId="0" fontId="0" fillId="0" borderId="4" xfId="0" applyBorder="1" applyAlignment="1">
      <alignment horizontal="left" vertical="center"/>
    </xf>
    <xf numFmtId="0" fontId="0" fillId="0" borderId="8" xfId="0" applyBorder="1" applyAlignment="1">
      <alignment horizontal="left" vertical="center"/>
    </xf>
    <xf numFmtId="0" fontId="0" fillId="0" borderId="6" xfId="0" applyBorder="1" applyAlignment="1">
      <alignment horizontal="left" vertical="center"/>
    </xf>
    <xf numFmtId="0" fontId="0" fillId="0" borderId="10" xfId="0" applyBorder="1" applyAlignment="1">
      <alignment horizontal="left" vertical="center"/>
    </xf>
    <xf numFmtId="0" fontId="0" fillId="0" borderId="1" xfId="0"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0" fillId="0" borderId="9"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22"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0" fillId="0" borderId="7" xfId="0" applyBorder="1" applyAlignment="1">
      <alignment vertical="center"/>
    </xf>
    <xf numFmtId="0" fontId="13" fillId="5" borderId="0" xfId="0" applyFont="1" applyFill="1" applyAlignment="1">
      <alignment horizontal="center"/>
    </xf>
    <xf numFmtId="0" fontId="0" fillId="0" borderId="3" xfId="0" applyBorder="1" applyAlignment="1">
      <alignment vertical="center"/>
    </xf>
    <xf numFmtId="0" fontId="13" fillId="5" borderId="16" xfId="0" applyFont="1" applyFill="1" applyBorder="1" applyAlignment="1">
      <alignment horizontal="center" vertical="center"/>
    </xf>
    <xf numFmtId="0" fontId="13" fillId="5" borderId="15" xfId="0" applyFont="1" applyFill="1" applyBorder="1" applyAlignment="1">
      <alignment horizontal="center" vertical="center"/>
    </xf>
    <xf numFmtId="0" fontId="13" fillId="5" borderId="17" xfId="0" applyFont="1" applyFill="1" applyBorder="1" applyAlignment="1">
      <alignment horizontal="center" vertical="center"/>
    </xf>
    <xf numFmtId="0" fontId="7" fillId="4" borderId="0" xfId="0" applyFont="1" applyFill="1" applyAlignment="1">
      <alignment horizontal="center"/>
    </xf>
    <xf numFmtId="0" fontId="8" fillId="32" borderId="0" xfId="0" applyFont="1" applyFill="1" applyAlignment="1">
      <alignment vertical="top"/>
    </xf>
    <xf numFmtId="0" fontId="31" fillId="32" borderId="0" xfId="0" applyFont="1" applyFill="1" applyAlignment="1">
      <alignment vertical="top"/>
    </xf>
    <xf numFmtId="0" fontId="32" fillId="0" borderId="0" xfId="0" applyFont="1" applyAlignment="1">
      <alignment vertical="top" wrapText="1"/>
    </xf>
    <xf numFmtId="0" fontId="0" fillId="0" borderId="34" xfId="0" applyBorder="1"/>
    <xf numFmtId="0" fontId="46" fillId="0" borderId="35" xfId="0" applyFont="1" applyBorder="1"/>
    <xf numFmtId="0" fontId="43" fillId="0" borderId="35" xfId="0" applyFont="1" applyBorder="1"/>
    <xf numFmtId="0" fontId="46" fillId="0" borderId="36" xfId="0" applyFont="1" applyBorder="1"/>
    <xf numFmtId="0" fontId="43" fillId="0" borderId="36" xfId="0" applyFont="1" applyBorder="1"/>
    <xf numFmtId="0" fontId="5" fillId="0" borderId="0" xfId="0" applyFont="1" applyAlignment="1"/>
    <xf numFmtId="0" fontId="0" fillId="0" borderId="0" xfId="0" applyAlignment="1"/>
    <xf numFmtId="0" fontId="27" fillId="0" borderId="0" xfId="0" applyFont="1" applyAlignment="1"/>
    <xf numFmtId="0" fontId="15" fillId="28" borderId="0" xfId="0" applyFont="1" applyFill="1" applyAlignment="1"/>
    <xf numFmtId="0" fontId="27" fillId="0" borderId="0" xfId="0" applyFont="1" applyAlignment="1"/>
    <xf numFmtId="0" fontId="25" fillId="45" borderId="0" xfId="0" applyFont="1" applyFill="1" applyAlignment="1"/>
    <xf numFmtId="0" fontId="0" fillId="0" borderId="0" xfId="0" applyAlignment="1"/>
    <xf numFmtId="0" fontId="8" fillId="28" borderId="0" xfId="0" applyFont="1" applyFill="1" applyAlignment="1"/>
    <xf numFmtId="0" fontId="6" fillId="0" borderId="5" xfId="0" applyFont="1" applyBorder="1" applyAlignment="1"/>
    <xf numFmtId="0" fontId="5" fillId="20" borderId="9" xfId="0" applyFont="1" applyFill="1" applyBorder="1" applyAlignment="1"/>
    <xf numFmtId="0" fontId="5" fillId="20" borderId="32" xfId="0" applyFont="1" applyFill="1" applyBorder="1" applyAlignment="1"/>
    <xf numFmtId="0" fontId="8" fillId="38" borderId="0" xfId="0" applyFont="1" applyFill="1" applyAlignment="1"/>
    <xf numFmtId="0" fontId="6" fillId="0" borderId="7" xfId="0" applyFont="1" applyBorder="1" applyAlignment="1">
      <alignment horizontal="center" vertical="center"/>
    </xf>
    <xf numFmtId="0" fontId="6" fillId="0" borderId="7" xfId="0" applyFont="1" applyBorder="1" applyAlignment="1">
      <alignment vertical="center"/>
    </xf>
    <xf numFmtId="0" fontId="5" fillId="0" borderId="7" xfId="0" applyFont="1" applyBorder="1" applyAlignment="1">
      <alignment vertical="center"/>
    </xf>
    <xf numFmtId="0" fontId="40" fillId="0" borderId="7" xfId="0" applyFont="1" applyBorder="1" applyAlignment="1">
      <alignment vertical="center"/>
    </xf>
    <xf numFmtId="0" fontId="42" fillId="0" borderId="4" xfId="0" applyFont="1" applyBorder="1"/>
    <xf numFmtId="0" fontId="42" fillId="0" borderId="1" xfId="0" applyFont="1" applyBorder="1"/>
    <xf numFmtId="0" fontId="42" fillId="0" borderId="8" xfId="0" applyFont="1" applyBorder="1"/>
    <xf numFmtId="0" fontId="47" fillId="0" borderId="5" xfId="0" applyFont="1" applyBorder="1"/>
    <xf numFmtId="0" fontId="47" fillId="0" borderId="0" xfId="0" applyFont="1" applyBorder="1"/>
    <xf numFmtId="0" fontId="47" fillId="0" borderId="9" xfId="0" applyFont="1" applyBorder="1"/>
    <xf numFmtId="0" fontId="0" fillId="0" borderId="37" xfId="0" applyBorder="1"/>
    <xf numFmtId="0" fontId="0" fillId="0" borderId="38" xfId="0" applyBorder="1"/>
    <xf numFmtId="0" fontId="0" fillId="0" borderId="5" xfId="0" applyBorder="1"/>
    <xf numFmtId="0" fontId="0" fillId="0" borderId="0" xfId="0" applyBorder="1"/>
    <xf numFmtId="0" fontId="0" fillId="0" borderId="9" xfId="0" applyBorder="1"/>
    <xf numFmtId="0" fontId="43" fillId="0" borderId="5" xfId="0" applyFont="1" applyBorder="1"/>
    <xf numFmtId="0" fontId="44" fillId="0" borderId="0" xfId="0" applyFont="1" applyBorder="1"/>
    <xf numFmtId="0" fontId="45" fillId="0" borderId="5" xfId="0" applyFont="1" applyBorder="1"/>
    <xf numFmtId="0" fontId="45" fillId="0" borderId="0" xfId="0" applyFont="1" applyBorder="1"/>
    <xf numFmtId="0" fontId="45" fillId="0" borderId="9" xfId="0" applyFont="1" applyBorder="1"/>
    <xf numFmtId="0" fontId="44" fillId="0" borderId="5" xfId="0" applyFont="1" applyBorder="1" applyAlignment="1">
      <alignment vertical="top" wrapText="1"/>
    </xf>
    <xf numFmtId="0" fontId="44" fillId="0" borderId="0" xfId="0" applyFont="1" applyBorder="1" applyAlignment="1">
      <alignment vertical="top" wrapText="1"/>
    </xf>
    <xf numFmtId="0" fontId="44" fillId="0" borderId="9" xfId="0" applyFont="1" applyBorder="1" applyAlignment="1">
      <alignment vertical="top" wrapText="1"/>
    </xf>
    <xf numFmtId="0" fontId="46" fillId="0" borderId="39" xfId="0" applyFont="1" applyBorder="1"/>
    <xf numFmtId="0" fontId="43" fillId="0" borderId="40" xfId="0" applyFont="1" applyBorder="1"/>
    <xf numFmtId="0" fontId="46" fillId="0" borderId="41" xfId="0" applyFont="1" applyBorder="1"/>
    <xf numFmtId="0" fontId="43" fillId="0" borderId="42" xfId="0" applyFont="1" applyBorder="1"/>
    <xf numFmtId="0" fontId="0" fillId="0" borderId="6" xfId="0" applyBorder="1"/>
    <xf numFmtId="0" fontId="0" fillId="0" borderId="2" xfId="0" applyBorder="1"/>
    <xf numFmtId="0" fontId="0" fillId="0" borderId="10" xfId="0" applyBorder="1"/>
  </cellXfs>
  <cellStyles count="6">
    <cellStyle name="Lien hypertexte" xfId="4" builtinId="8"/>
    <cellStyle name="Milliers" xfId="1" builtinId="3"/>
    <cellStyle name="Normal" xfId="0" builtinId="0"/>
    <cellStyle name="Normal 2" xfId="2" xr:uid="{BC07675F-17B9-422F-981B-1B4A87451178}"/>
    <cellStyle name="Normal 3" xfId="3" xr:uid="{13B3F4E3-C536-413E-A601-5E02F43479BA}"/>
    <cellStyle name="Normal 4" xfId="5" xr:uid="{D66E5DE2-34CE-4357-996C-CC71E573F9A1}"/>
  </cellStyles>
  <dxfs count="554">
    <dxf>
      <alignment horizontal="general" vertical="center" textRotation="0" wrapText="0" indent="0" justifyLastLine="0" shrinkToFit="0" readingOrder="0"/>
    </dxf>
    <dxf>
      <alignment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font>
        <name val="Open Sans"/>
        <family val="2"/>
      </font>
      <alignment horizontal="general" vertical="top" textRotation="0" wrapText="0" indent="0" justifyLastLine="0" shrinkToFit="0" readingOrder="0"/>
    </dxf>
    <dxf>
      <font>
        <b val="0"/>
        <i val="0"/>
        <strike val="0"/>
        <condense val="0"/>
        <extend val="0"/>
        <outline val="0"/>
        <shadow val="0"/>
        <u val="none"/>
        <vertAlign val="baseline"/>
        <sz val="10"/>
        <color rgb="FFFFFFFF"/>
        <name val="Open Sans"/>
        <family val="2"/>
        <scheme val="minor"/>
      </font>
      <fill>
        <patternFill patternType="solid">
          <fgColor indexed="64"/>
          <bgColor theme="2"/>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color rgb="FFFFFFFF"/>
      </font>
      <fill>
        <patternFill patternType="solid">
          <fgColor indexed="64"/>
          <bgColor theme="2"/>
        </patternFill>
      </fill>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numFmt numFmtId="0" formatCode="General"/>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numFmt numFmtId="0" formatCode="General"/>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alignment vertical="top" textRotation="0" wrapText="0" indent="0" justifyLastLine="0" shrinkToFit="0" readingOrder="0"/>
    </dxf>
    <dxf>
      <font>
        <b/>
        <color rgb="FF1F1F1F"/>
      </font>
      <fill>
        <patternFill patternType="solid">
          <fgColor indexed="64"/>
          <bgColor rgb="FFD9D9D9"/>
        </patternFill>
      </fill>
      <alignment horizontal="center" vertical="center" textRotation="0" wrapText="0" indent="0" justifyLastLine="0" shrinkToFit="0" readingOrder="0"/>
    </dxf>
    <dxf>
      <alignment vertical="top" textRotation="0" wrapText="0" indent="0" justifyLastLine="0" shrinkToFit="0" readingOrder="0"/>
    </dxf>
    <dxf>
      <numFmt numFmtId="1" formatCode="0"/>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horizontal="center" vertical="top" textRotation="0" wrapText="0" indent="0" justifyLastLine="0" shrinkToFit="0" readingOrder="0"/>
    </dxf>
    <dxf>
      <alignment horizontal="general" vertical="center" textRotation="0" wrapText="0" indent="0" justifyLastLine="0" shrinkToFit="0" readingOrder="0"/>
    </dxf>
    <dxf>
      <alignment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font>
        <name val="Open Sans"/>
        <family val="2"/>
      </font>
      <alignment horizontal="general" vertical="top" textRotation="0" wrapText="0" indent="0" justifyLastLine="0" shrinkToFit="0" readingOrder="0"/>
    </dxf>
    <dxf>
      <font>
        <b val="0"/>
        <i val="0"/>
        <strike val="0"/>
        <condense val="0"/>
        <extend val="0"/>
        <outline val="0"/>
        <shadow val="0"/>
        <u val="none"/>
        <vertAlign val="baseline"/>
        <sz val="10"/>
        <color rgb="FFFFFFFF"/>
        <name val="Open Sans"/>
        <family val="2"/>
        <scheme val="minor"/>
      </font>
      <fill>
        <patternFill patternType="solid">
          <fgColor indexed="64"/>
          <bgColor theme="2"/>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color rgb="FFFFFFFF"/>
      </font>
      <fill>
        <patternFill patternType="solid">
          <fgColor indexed="64"/>
          <bgColor theme="2"/>
        </patternFill>
      </fill>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numFmt numFmtId="0" formatCode="General"/>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numFmt numFmtId="0" formatCode="General"/>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alignment vertical="top" textRotation="0" wrapText="0" indent="0" justifyLastLine="0" shrinkToFit="0" readingOrder="0"/>
    </dxf>
    <dxf>
      <font>
        <b/>
        <color rgb="FF1F1F1F"/>
      </font>
      <fill>
        <patternFill patternType="solid">
          <fgColor indexed="64"/>
          <bgColor rgb="FFD9D9D9"/>
        </patternFill>
      </fill>
      <alignment horizontal="center" vertical="center" textRotation="0" wrapText="0" indent="0" justifyLastLine="0" shrinkToFit="0" readingOrder="0"/>
    </dxf>
    <dxf>
      <alignment vertical="top" textRotation="0" wrapText="0" indent="0" justifyLastLine="0" shrinkToFit="0" readingOrder="0"/>
    </dxf>
    <dxf>
      <numFmt numFmtId="1" formatCode="0"/>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horizontal="center" vertical="top" textRotation="0" wrapText="0" indent="0" justifyLastLine="0" shrinkToFit="0" readingOrder="0"/>
    </dxf>
    <dxf>
      <alignment horizontal="general" vertical="center" textRotation="0" wrapText="0" indent="0" justifyLastLine="0" shrinkToFit="0" readingOrder="0"/>
    </dxf>
    <dxf>
      <alignment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font>
        <name val="Open Sans"/>
        <family val="2"/>
      </font>
      <alignment horizontal="general" vertical="top" textRotation="0" wrapText="0" indent="0" justifyLastLine="0" shrinkToFit="0" readingOrder="0"/>
    </dxf>
    <dxf>
      <font>
        <b val="0"/>
        <i val="0"/>
        <strike val="0"/>
        <condense val="0"/>
        <extend val="0"/>
        <outline val="0"/>
        <shadow val="0"/>
        <u val="none"/>
        <vertAlign val="baseline"/>
        <sz val="10"/>
        <color rgb="FFFFFFFF"/>
        <name val="Open Sans"/>
        <family val="2"/>
        <scheme val="minor"/>
      </font>
      <fill>
        <patternFill patternType="solid">
          <fgColor indexed="64"/>
          <bgColor theme="2"/>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color rgb="FFFFFFFF"/>
      </font>
      <fill>
        <patternFill patternType="solid">
          <fgColor indexed="64"/>
          <bgColor theme="2"/>
        </patternFill>
      </fill>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numFmt numFmtId="0" formatCode="General"/>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numFmt numFmtId="0" formatCode="General"/>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alignment vertical="top" textRotation="0" wrapText="0" indent="0" justifyLastLine="0" shrinkToFit="0" readingOrder="0"/>
    </dxf>
    <dxf>
      <font>
        <b/>
        <color rgb="FF1F1F1F"/>
      </font>
      <fill>
        <patternFill patternType="solid">
          <fgColor indexed="64"/>
          <bgColor rgb="FFD9D9D9"/>
        </patternFill>
      </fill>
      <alignment horizontal="center" vertical="center" textRotation="0" wrapText="0" indent="0" justifyLastLine="0" shrinkToFit="0" readingOrder="0"/>
    </dxf>
    <dxf>
      <alignment vertical="top" textRotation="0" wrapText="0" indent="0" justifyLastLine="0" shrinkToFit="0" readingOrder="0"/>
    </dxf>
    <dxf>
      <numFmt numFmtId="1" formatCode="0"/>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horizontal="center" vertical="top" textRotation="0" wrapText="0" indent="0" justifyLastLine="0" shrinkToFit="0" readingOrder="0"/>
    </dxf>
    <dxf>
      <alignment horizontal="general" vertical="center" textRotation="0" wrapText="0" indent="0" justifyLastLine="0" shrinkToFit="0" readingOrder="0"/>
    </dxf>
    <dxf>
      <alignment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font>
        <name val="Open Sans"/>
        <family val="2"/>
      </font>
      <alignment horizontal="general" vertical="top" textRotation="0" wrapText="0" indent="0" justifyLastLine="0" shrinkToFit="0" readingOrder="0"/>
    </dxf>
    <dxf>
      <font>
        <b val="0"/>
        <i val="0"/>
        <strike val="0"/>
        <condense val="0"/>
        <extend val="0"/>
        <outline val="0"/>
        <shadow val="0"/>
        <u val="none"/>
        <vertAlign val="baseline"/>
        <sz val="10"/>
        <color rgb="FFFFFFFF"/>
        <name val="Open Sans"/>
        <family val="2"/>
        <scheme val="minor"/>
      </font>
      <fill>
        <patternFill patternType="solid">
          <fgColor indexed="64"/>
          <bgColor theme="2"/>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color rgb="FFFFFFFF"/>
      </font>
      <fill>
        <patternFill patternType="solid">
          <fgColor indexed="64"/>
          <bgColor theme="2"/>
        </patternFill>
      </fill>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numFmt numFmtId="0" formatCode="General"/>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numFmt numFmtId="0" formatCode="General"/>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alignment vertical="top" textRotation="0" wrapText="0" indent="0" justifyLastLine="0" shrinkToFit="0" readingOrder="0"/>
    </dxf>
    <dxf>
      <font>
        <b/>
        <color rgb="FF1F1F1F"/>
      </font>
      <fill>
        <patternFill patternType="solid">
          <fgColor indexed="64"/>
          <bgColor rgb="FFD9D9D9"/>
        </patternFill>
      </fill>
      <alignment horizontal="center" vertical="center" textRotation="0" wrapText="0" indent="0" justifyLastLine="0" shrinkToFit="0" readingOrder="0"/>
    </dxf>
    <dxf>
      <alignment vertical="top" textRotation="0" wrapText="0" indent="0" justifyLastLine="0" shrinkToFit="0" readingOrder="0"/>
    </dxf>
    <dxf>
      <numFmt numFmtId="1" formatCode="0"/>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horizontal="center" vertical="top" textRotation="0" wrapText="0" indent="0" justifyLastLine="0" shrinkToFit="0" readingOrder="0"/>
    </dxf>
    <dxf>
      <alignment horizontal="general" vertical="center" textRotation="0" wrapText="0" indent="0" justifyLastLine="0" shrinkToFit="0" readingOrder="0"/>
    </dxf>
    <dxf>
      <alignment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font>
        <name val="Open Sans"/>
        <family val="2"/>
      </font>
      <alignment horizontal="general" vertical="top" textRotation="0" wrapText="0" indent="0" justifyLastLine="0" shrinkToFit="0" readingOrder="0"/>
    </dxf>
    <dxf>
      <font>
        <b val="0"/>
        <i val="0"/>
        <strike val="0"/>
        <condense val="0"/>
        <extend val="0"/>
        <outline val="0"/>
        <shadow val="0"/>
        <u val="none"/>
        <vertAlign val="baseline"/>
        <sz val="10"/>
        <color rgb="FFFFFFFF"/>
        <name val="Open Sans"/>
        <family val="2"/>
        <scheme val="minor"/>
      </font>
      <fill>
        <patternFill patternType="solid">
          <fgColor indexed="64"/>
          <bgColor theme="2"/>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color rgb="FFFFFFFF"/>
      </font>
      <fill>
        <patternFill patternType="solid">
          <fgColor indexed="64"/>
          <bgColor theme="2"/>
        </patternFill>
      </fill>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numFmt numFmtId="0" formatCode="General"/>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numFmt numFmtId="0" formatCode="General"/>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alignment vertical="top" textRotation="0" wrapText="0" indent="0" justifyLastLine="0" shrinkToFit="0" readingOrder="0"/>
    </dxf>
    <dxf>
      <font>
        <b/>
        <color rgb="FF1F1F1F"/>
      </font>
      <fill>
        <patternFill patternType="solid">
          <fgColor indexed="64"/>
          <bgColor rgb="FFD9D9D9"/>
        </patternFill>
      </fill>
      <alignment horizontal="center" vertical="center" textRotation="0" wrapText="0" indent="0" justifyLastLine="0" shrinkToFit="0" readingOrder="0"/>
    </dxf>
    <dxf>
      <alignment vertical="top" textRotation="0" wrapText="0" indent="0" justifyLastLine="0" shrinkToFit="0" readingOrder="0"/>
    </dxf>
    <dxf>
      <numFmt numFmtId="1" formatCode="0"/>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horizontal="center" vertical="top" textRotation="0" wrapText="0" indent="0" justifyLastLine="0" shrinkToFit="0" readingOrder="0"/>
    </dxf>
    <dxf>
      <font>
        <name val="Open Sans"/>
        <family val="2"/>
      </font>
      <alignment horizontal="general" vertical="top" textRotation="0" wrapText="0" indent="0" justifyLastLine="0" shrinkToFit="0" readingOrder="0"/>
    </dxf>
    <dxf>
      <font>
        <b val="0"/>
        <i val="0"/>
        <strike val="0"/>
        <condense val="0"/>
        <extend val="0"/>
        <outline val="0"/>
        <shadow val="0"/>
        <u val="none"/>
        <vertAlign val="baseline"/>
        <sz val="10"/>
        <color rgb="FFFFFFFF"/>
        <name val="Open Sans"/>
        <family val="2"/>
        <scheme val="minor"/>
      </font>
      <fill>
        <patternFill patternType="solid">
          <fgColor indexed="64"/>
          <bgColor theme="2"/>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general" vertical="top" textRotation="0" wrapText="0" indent="0" justifyLastLine="0" shrinkToFit="0" readingOrder="0"/>
    </dxf>
    <dxf>
      <font>
        <name val="Open Sans"/>
        <family val="2"/>
      </font>
      <alignment horizontal="center" vertical="top" textRotation="0" wrapText="0" indent="0" justifyLastLine="0" shrinkToFit="0" readingOrder="0"/>
    </dxf>
    <dxf>
      <alignment horizontal="general" vertical="center" textRotation="0" wrapText="0" indent="0" justifyLastLine="0" shrinkToFit="0" readingOrder="0"/>
    </dxf>
    <dxf>
      <alignment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color rgb="FFFFFFFF"/>
      </font>
      <fill>
        <patternFill patternType="solid">
          <fgColor indexed="64"/>
          <bgColor theme="2"/>
        </patternFill>
      </fill>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numFmt numFmtId="0" formatCode="General"/>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numFmt numFmtId="0" formatCode="General"/>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F2F2F2"/>
        </patternFill>
      </fill>
      <alignment horizontal="general" vertical="top" textRotation="0" wrapText="0" indent="0" justifyLastLine="0" shrinkToFit="0" readingOrder="0"/>
    </dxf>
    <dxf>
      <font>
        <b val="0"/>
        <i val="0"/>
        <strike val="0"/>
        <condense val="0"/>
        <extend val="0"/>
        <outline val="0"/>
        <shadow val="0"/>
        <u val="none"/>
        <vertAlign val="baseline"/>
        <sz val="10"/>
        <color rgb="FF000000"/>
        <name val="Open Sans"/>
        <family val="2"/>
        <scheme val="minor"/>
      </font>
      <fill>
        <patternFill patternType="solid">
          <fgColor indexed="64"/>
          <bgColor rgb="FFE4DDF0"/>
        </patternFill>
      </fill>
      <alignment horizontal="general"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vertical="top" textRotation="0" wrapText="0" indent="0" justifyLastLine="0" shrinkToFit="0" readingOrder="0"/>
    </dxf>
    <dxf>
      <font>
        <strike val="0"/>
        <outline val="0"/>
        <shadow val="0"/>
        <u val="none"/>
        <vertAlign val="baseline"/>
        <sz val="10"/>
      </font>
      <alignment horizontal="center" vertical="top" textRotation="0" wrapText="0" indent="0" justifyLastLine="0" shrinkToFit="0" readingOrder="0"/>
    </dxf>
    <dxf>
      <alignment vertical="top" textRotation="0" wrapText="0" indent="0" justifyLastLine="0" shrinkToFit="0" readingOrder="0"/>
    </dxf>
    <dxf>
      <font>
        <b/>
        <color rgb="FF1F1F1F"/>
      </font>
      <fill>
        <patternFill patternType="solid">
          <fgColor indexed="64"/>
          <bgColor rgb="FFD9D9D9"/>
        </patternFill>
      </fill>
      <alignment horizontal="center" vertical="center" textRotation="0" wrapText="0" indent="0" justifyLastLine="0" shrinkToFit="0" readingOrder="0"/>
    </dxf>
    <dxf>
      <alignment vertical="top" textRotation="0" wrapText="0" indent="0" justifyLastLine="0" shrinkToFit="0" readingOrder="0"/>
    </dxf>
    <dxf>
      <numFmt numFmtId="1" formatCode="0"/>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horizontal="center" vertical="top" textRotation="0" wrapText="0" indent="0" justifyLastLine="0" shrinkToFit="0" readingOrder="0"/>
    </dxf>
    <dxf>
      <fill>
        <patternFill patternType="darkUp">
          <fgColor indexed="64"/>
          <bgColor rgb="FFD9D9D9"/>
        </patternFill>
      </fill>
    </dxf>
    <dxf>
      <fill>
        <patternFill patternType="darkUp">
          <fgColor indexed="64"/>
          <bgColor rgb="FFD9D9D9"/>
        </patternFill>
      </fill>
    </dxf>
    <dxf>
      <fill>
        <patternFill patternType="darkUp">
          <fgColor indexed="64"/>
          <bgColor rgb="FFD9D9D9"/>
        </patternFill>
      </fill>
    </dxf>
    <dxf>
      <fill>
        <patternFill patternType="darkUp">
          <fgColor indexed="64"/>
          <bgColor rgb="FFD9D9D9"/>
        </patternFill>
      </fill>
    </dxf>
    <dxf>
      <fill>
        <patternFill patternType="darkUp">
          <fgColor indexed="64"/>
          <bgColor rgb="FFD9D9D9"/>
        </patternFill>
      </fill>
    </dxf>
    <dxf>
      <fill>
        <patternFill patternType="darkUp">
          <fgColor indexed="64"/>
          <bgColor rgb="FFD9D9D9"/>
        </patternFill>
      </fill>
    </dxf>
    <dxf>
      <font>
        <color rgb="FF666666"/>
      </font>
      <fill>
        <patternFill patternType="solid">
          <fgColor indexed="64"/>
          <bgColor rgb="FFD9D9D9"/>
        </patternFill>
      </fill>
    </dxf>
    <dxf>
      <font>
        <color rgb="FF666666"/>
      </font>
      <fill>
        <patternFill patternType="solid">
          <fgColor indexed="64"/>
          <bgColor rgb="FFD9D9D9"/>
        </patternFill>
      </fill>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font>
        <strike val="0"/>
        <outline val="0"/>
        <shadow val="0"/>
        <u val="none"/>
        <vertAlign val="baseline"/>
        <sz val="10"/>
        <color theme="0"/>
        <name val="Open Sans"/>
        <scheme val="minor"/>
      </font>
    </dxf>
    <dxf>
      <font>
        <strike val="0"/>
        <outline val="0"/>
        <shadow val="0"/>
        <u val="none"/>
        <vertAlign val="baseline"/>
        <sz val="10"/>
        <color theme="0"/>
        <name val="Open Sans"/>
        <scheme val="minor"/>
      </font>
    </dxf>
    <dxf>
      <font>
        <strike val="0"/>
        <outline val="0"/>
        <shadow val="0"/>
        <u val="none"/>
        <vertAlign val="baseline"/>
        <sz val="10"/>
        <color theme="0"/>
        <name val="Open Sans"/>
        <scheme val="minor"/>
      </font>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fill>
        <patternFill patternType="solid">
          <fgColor indexed="64"/>
          <bgColor rgb="FFE2F0D9"/>
        </patternFill>
      </fill>
    </dxf>
    <dxf>
      <numFmt numFmtId="2" formatCode="0.00"/>
      <fill>
        <patternFill patternType="solid">
          <fgColor indexed="64"/>
          <bgColor rgb="FFE2F0D9"/>
        </patternFill>
      </fill>
    </dxf>
    <dxf>
      <numFmt numFmtId="2" formatCode="0.00"/>
    </dxf>
    <dxf>
      <numFmt numFmtId="2" formatCode="0.00"/>
    </dxf>
    <dxf>
      <numFmt numFmtId="2" formatCode="0.00"/>
    </dxf>
    <dxf>
      <numFmt numFmtId="0" formatCode="General"/>
      <alignment horizontal="general" vertical="bottom" textRotation="0" wrapText="0" indent="0" justifyLastLine="0" shrinkToFit="0" readingOrder="0"/>
    </dxf>
    <dxf>
      <alignment wrapText="1"/>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0"/>
        <color theme="0"/>
        <name val="Open Sans"/>
        <scheme val="minor"/>
      </font>
      <numFmt numFmtId="2" formatCode="0.00"/>
      <fill>
        <patternFill patternType="solid">
          <fgColor indexed="64"/>
          <bgColor theme="1" tint="-0.49998474074526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14" formatCode="0.00%"/>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2"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CE4D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CE4D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CE4D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CE4D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CE4D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CE4D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CE4D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CE4D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rgb="FFFCE4D6"/>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alignment wrapText="1"/>
    </dxf>
    <dxf>
      <font>
        <b/>
        <color theme="1"/>
        <family val="2"/>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i val="0"/>
        <strike val="0"/>
        <condense val="0"/>
        <extend val="0"/>
        <outline val="0"/>
        <shadow val="0"/>
        <u val="none"/>
        <vertAlign val="baseline"/>
        <sz val="10"/>
        <color theme="1"/>
        <name val="Open Sans"/>
        <family val="2"/>
        <scheme val="minor"/>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style="thin">
          <color theme="1"/>
        </bottom>
      </border>
    </dxf>
    <dxf>
      <font>
        <b/>
        <i val="0"/>
        <strike val="0"/>
        <condense val="0"/>
        <extend val="0"/>
        <outline val="0"/>
        <shadow val="0"/>
        <u val="none"/>
        <vertAlign val="baseline"/>
        <sz val="10"/>
        <color rgb="FF000000"/>
        <name val="Open Sans"/>
        <family val="2"/>
        <scheme val="minor"/>
      </font>
      <numFmt numFmtId="2" formatCode="0.00"/>
      <fill>
        <patternFill patternType="none">
          <bgColor auto="1"/>
        </patternFill>
      </fill>
      <alignment horizontal="center" vertical="center" textRotation="0" wrapText="0" indent="0" justifyLastLine="0" shrinkToFit="0" readingOrder="0"/>
    </dxf>
    <dxf>
      <fill>
        <patternFill patternType="none">
          <bgColor auto="1"/>
        </patternFill>
      </fill>
      <alignment horizontal="general" vertical="center" textRotation="0" wrapText="0" indent="0" justifyLastLine="0" shrinkToFit="0" readingOrder="0"/>
    </dxf>
    <dxf>
      <fill>
        <patternFill patternType="none">
          <bgColor auto="1"/>
        </patternFill>
      </fill>
      <alignment vertical="center" wrapText="1"/>
    </dxf>
    <dxf>
      <font>
        <b/>
        <family val="2"/>
      </font>
      <numFmt numFmtId="2" formatCode="0.00"/>
      <fill>
        <patternFill patternType="none">
          <bgColor auto="1"/>
        </patternFill>
      </fill>
      <alignment horizontal="general" vertical="center" textRotation="0" wrapText="1" indent="0" justifyLastLine="0" shrinkToFit="0" readingOrder="0"/>
    </dxf>
    <dxf>
      <font>
        <b/>
        <family val="2"/>
      </font>
      <fill>
        <patternFill patternType="none">
          <bgColor auto="1"/>
        </patternFill>
      </fill>
      <alignment vertical="center" wrapText="1"/>
    </dxf>
    <dxf>
      <fill>
        <patternFill patternType="none">
          <bgColor auto="1"/>
        </patternFill>
      </fill>
      <alignment vertical="center"/>
    </dxf>
    <dxf>
      <font>
        <b/>
        <color rgb="FFFFFFFF"/>
      </font>
      <fill>
        <patternFill patternType="solid">
          <fgColor indexed="64"/>
          <bgColor rgb="FF59636E"/>
        </patternFill>
      </fill>
      <alignment horizontal="center" vertical="center" wrapText="1"/>
    </dxf>
    <dxf>
      <numFmt numFmtId="2" formatCode="0.00"/>
    </dxf>
    <dxf>
      <numFmt numFmtId="165" formatCode="0.00;[Red]\(0.00\);\-"/>
    </dxf>
    <dxf>
      <numFmt numFmtId="165" formatCode="0.00;[Red]\(0.00\);\-"/>
    </dxf>
    <dxf>
      <alignment wrapText="1"/>
    </dxf>
    <dxf>
      <numFmt numFmtId="2" formatCode="0.00"/>
    </dxf>
    <dxf>
      <numFmt numFmtId="2" formatCode="0.00"/>
    </dxf>
    <dxf>
      <numFmt numFmtId="2" formatCode="0.00"/>
    </dxf>
    <dxf>
      <numFmt numFmtId="2" formatCode="0.00"/>
    </dxf>
    <dxf>
      <numFmt numFmtId="2" formatCode="0.00"/>
    </dxf>
    <dxf>
      <numFmt numFmtId="2" formatCode="0.00"/>
    </dxf>
    <dxf>
      <alignment wrapText="1"/>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2" defaultPivotStyle="PivotStyleLight16">
    <tableStyle name="sector_risk-style" pivot="0" count="4" xr9:uid="{00000000-0011-0000-FFFF-FFFF00000000}">
      <tableStyleElement type="wholeTable" size="0" dxfId="553"/>
      <tableStyleElement type="headerRow" dxfId="552"/>
      <tableStyleElement type="firstRowStripe" dxfId="551"/>
      <tableStyleElement type="secondRowStripe" dxfId="550"/>
    </tableStyle>
    <tableStyle name="all_indicators-style" pivot="0" count="4" xr9:uid="{00000000-0011-0000-FFFF-FFFF01000000}">
      <tableStyleElement type="wholeTable" size="0" dxfId="549"/>
      <tableStyleElement type="headerRow" dxfId="548"/>
      <tableStyleElement type="firstRowStripe" dxfId="547"/>
      <tableStyleElement type="secondRowStripe" dxfId="546"/>
    </tableStyle>
    <tableStyle name="Sheet1-style" pivot="0" count="4" xr9:uid="{E3111BB6-D44D-4B68-800D-21933E4F57E7}">
      <tableStyleElement type="wholeTable" size="0" dxfId="545"/>
      <tableStyleElement type="headerRow" dxfId="544"/>
      <tableStyleElement type="firstRowStripe" dxfId="543"/>
      <tableStyleElement type="secondRowStripe" dxfId="542"/>
    </tableStyle>
  </tableStyles>
  <colors>
    <mruColors>
      <color rgb="FFFFCCCC"/>
      <color rgb="FF1C8AF8"/>
      <color rgb="FF0669CC"/>
      <color rgb="FF0322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163285</xdr:colOff>
      <xdr:row>22</xdr:row>
      <xdr:rowOff>152328</xdr:rowOff>
    </xdr:from>
    <xdr:to>
      <xdr:col>1</xdr:col>
      <xdr:colOff>2220686</xdr:colOff>
      <xdr:row>62</xdr:row>
      <xdr:rowOff>19050</xdr:rowOff>
    </xdr:to>
    <xdr:sp macro="" textlink="">
      <xdr:nvSpPr>
        <xdr:cNvPr id="2" name="Rectangle 1">
          <a:extLst>
            <a:ext uri="{FF2B5EF4-FFF2-40B4-BE49-F238E27FC236}">
              <a16:creationId xmlns:a16="http://schemas.microsoft.com/office/drawing/2014/main" id="{5A873EDA-4DB8-4E7D-9E3B-21CEA8A7F0AF}"/>
            </a:ext>
          </a:extLst>
        </xdr:cNvPr>
        <xdr:cNvSpPr/>
      </xdr:nvSpPr>
      <xdr:spPr>
        <a:xfrm>
          <a:off x="163285" y="3467028"/>
          <a:ext cx="2400301" cy="7562922"/>
        </a:xfrm>
        <a:prstGeom prst="rect">
          <a:avLst/>
        </a:prstGeom>
        <a:solidFill>
          <a:schemeClr val="bg1">
            <a:lumMod val="95000"/>
          </a:schemeClr>
        </a:solidFill>
        <a:ln w="9525">
          <a:noFill/>
        </a:ln>
        <a:effectLst/>
      </xdr:spPr>
      <xdr:style>
        <a:lnRef idx="1">
          <a:schemeClr val="accent1"/>
        </a:lnRef>
        <a:fillRef idx="3">
          <a:schemeClr val="accent1"/>
        </a:fillRef>
        <a:effectRef idx="2">
          <a:schemeClr val="accent1"/>
        </a:effectRef>
        <a:fontRef idx="minor">
          <a:schemeClr val="lt1"/>
        </a:fontRef>
      </xdr:style>
      <xdr:txBody>
        <a:bodyPr rot="0" spcFirstLastPara="0" vertOverflow="overflow" horzOverflow="overflow" vert="horz" wrap="square" lIns="36000" tIns="36000" rIns="36000" bIns="36000" numCol="1" spcCol="0" rtlCol="0" fromWordArt="0" anchor="t" anchorCtr="0" forceAA="0" compatLnSpc="1">
          <a:prstTxWarp prst="textNoShape">
            <a:avLst/>
          </a:prstTxWarp>
          <a:noAutofit/>
        </a:bodyPr>
        <a:lstStyle/>
        <a:p>
          <a:pPr algn="l"/>
          <a:r>
            <a:rPr lang="fr-FR" sz="1200" b="1" dirty="0" err="1">
              <a:solidFill>
                <a:schemeClr val="tx1"/>
              </a:solidFill>
            </a:rPr>
            <a:t>RECURSOS HÍDRICOS</a:t>
          </a:r>
          <a:r>
            <a:rPr lang="fr-FR" sz="1200" b="1" baseline="0" dirty="0" err="1">
              <a:solidFill>
                <a:schemeClr val="tx1"/>
              </a:solidFill>
            </a:rPr>
            <a:t> </a:t>
          </a:r>
          <a:endParaRPr lang="fr-FR" sz="1200" b="1" dirty="0" err="1">
            <a:solidFill>
              <a:schemeClr val="tx1"/>
            </a:solidFill>
          </a:endParaRPr>
        </a:p>
        <a:p>
          <a:pPr algn="l"/>
          <a:r>
            <a:rPr lang="fr-FR" sz="1200" b="0" dirty="0" err="1">
              <a:solidFill>
                <a:schemeClr val="tx1"/>
              </a:solidFill>
            </a:rPr>
            <a:t>xx</a:t>
          </a:r>
        </a:p>
        <a:p>
          <a:pPr algn="l"/>
          <a:endParaRPr lang="fr-FR" sz="1200" b="0" dirty="0" err="1">
            <a:solidFill>
              <a:schemeClr val="tx1"/>
            </a:solidFill>
          </a:endParaRPr>
        </a:p>
      </xdr:txBody>
    </xdr:sp>
    <xdr:clientData/>
  </xdr:twoCellAnchor>
  <xdr:twoCellAnchor>
    <xdr:from>
      <xdr:col>1</xdr:col>
      <xdr:colOff>1697505</xdr:colOff>
      <xdr:row>21</xdr:row>
      <xdr:rowOff>32657</xdr:rowOff>
    </xdr:from>
    <xdr:to>
      <xdr:col>2</xdr:col>
      <xdr:colOff>216504</xdr:colOff>
      <xdr:row>25</xdr:row>
      <xdr:rowOff>54836</xdr:rowOff>
    </xdr:to>
    <xdr:grpSp>
      <xdr:nvGrpSpPr>
        <xdr:cNvPr id="3" name="Groupe 2">
          <a:extLst>
            <a:ext uri="{FF2B5EF4-FFF2-40B4-BE49-F238E27FC236}">
              <a16:creationId xmlns:a16="http://schemas.microsoft.com/office/drawing/2014/main" id="{17F3915D-82CD-472B-9843-97D05A179BD9}"/>
            </a:ext>
          </a:extLst>
        </xdr:cNvPr>
        <xdr:cNvGrpSpPr/>
      </xdr:nvGrpSpPr>
      <xdr:grpSpPr>
        <a:xfrm>
          <a:off x="2032785" y="3964577"/>
          <a:ext cx="804999" cy="875619"/>
          <a:chOff x="3069128" y="10292911"/>
          <a:chExt cx="804999" cy="821757"/>
        </a:xfrm>
      </xdr:grpSpPr>
      <xdr:sp macro="" textlink="">
        <xdr:nvSpPr>
          <xdr:cNvPr id="4" name="Ellipse 3">
            <a:extLst>
              <a:ext uri="{FF2B5EF4-FFF2-40B4-BE49-F238E27FC236}">
                <a16:creationId xmlns:a16="http://schemas.microsoft.com/office/drawing/2014/main" id="{45BA649E-9878-E132-B3CA-5A1DAB2AA23C}"/>
              </a:ext>
            </a:extLst>
          </xdr:cNvPr>
          <xdr:cNvSpPr/>
        </xdr:nvSpPr>
        <xdr:spPr>
          <a:xfrm>
            <a:off x="3069128" y="10292911"/>
            <a:ext cx="804999" cy="821757"/>
          </a:xfrm>
          <a:prstGeom prst="ellipse">
            <a:avLst/>
          </a:prstGeom>
          <a:solidFill>
            <a:schemeClr val="bg1"/>
          </a:solidFill>
          <a:ln w="9525">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algn="ctr"/>
            <a:endParaRPr lang="fr-FR" sz="1400" dirty="0" err="1">
              <a:solidFill>
                <a:schemeClr val="tx1"/>
              </a:solidFill>
            </a:endParaRPr>
          </a:p>
        </xdr:txBody>
      </xdr:sp>
      <xdr:pic>
        <xdr:nvPicPr>
          <xdr:cNvPr id="5" name="Graphique 4" descr="Filtrer avec un remplissage uni">
            <a:extLst>
              <a:ext uri="{FF2B5EF4-FFF2-40B4-BE49-F238E27FC236}">
                <a16:creationId xmlns:a16="http://schemas.microsoft.com/office/drawing/2014/main" id="{F7A335BA-4053-99EF-C789-59BF84F2AEB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05868" y="10355400"/>
            <a:ext cx="733424" cy="756685"/>
          </a:xfrm>
          <a:prstGeom prst="rect">
            <a:avLst/>
          </a:prstGeom>
        </xdr:spPr>
      </xdr:pic>
    </xdr:grpSp>
    <xdr:clientData/>
  </xdr:twoCellAnchor>
  <xdr:twoCellAnchor>
    <xdr:from>
      <xdr:col>0</xdr:col>
      <xdr:colOff>163285</xdr:colOff>
      <xdr:row>65</xdr:row>
      <xdr:rowOff>190428</xdr:rowOff>
    </xdr:from>
    <xdr:to>
      <xdr:col>1</xdr:col>
      <xdr:colOff>2220686</xdr:colOff>
      <xdr:row>105</xdr:row>
      <xdr:rowOff>95250</xdr:rowOff>
    </xdr:to>
    <xdr:sp macro="" textlink="">
      <xdr:nvSpPr>
        <xdr:cNvPr id="6" name="Rectangle 5">
          <a:extLst>
            <a:ext uri="{FF2B5EF4-FFF2-40B4-BE49-F238E27FC236}">
              <a16:creationId xmlns:a16="http://schemas.microsoft.com/office/drawing/2014/main" id="{2ADBC63B-5108-939E-312C-FCB1CCBEDAB6}"/>
            </a:ext>
          </a:extLst>
        </xdr:cNvPr>
        <xdr:cNvSpPr/>
      </xdr:nvSpPr>
      <xdr:spPr>
        <a:xfrm>
          <a:off x="163285" y="11772828"/>
          <a:ext cx="2400301" cy="7562922"/>
        </a:xfrm>
        <a:prstGeom prst="rect">
          <a:avLst/>
        </a:prstGeom>
        <a:solidFill>
          <a:schemeClr val="bg1">
            <a:lumMod val="95000"/>
          </a:schemeClr>
        </a:solidFill>
        <a:ln w="9525">
          <a:noFill/>
        </a:ln>
        <a:effectLst/>
      </xdr:spPr>
      <xdr:style>
        <a:lnRef idx="1">
          <a:schemeClr val="accent1"/>
        </a:lnRef>
        <a:fillRef idx="3">
          <a:schemeClr val="accent1"/>
        </a:fillRef>
        <a:effectRef idx="2">
          <a:schemeClr val="accent1"/>
        </a:effectRef>
        <a:fontRef idx="minor">
          <a:schemeClr val="lt1"/>
        </a:fontRef>
      </xdr:style>
      <xdr:txBody>
        <a:bodyPr rot="0" spcFirstLastPara="0" vertOverflow="overflow" horzOverflow="overflow" vert="horz" wrap="square" lIns="36000" tIns="36000" rIns="36000" bIns="36000" numCol="1" spcCol="0" rtlCol="0" fromWordArt="0" anchor="t" anchorCtr="0" forceAA="0" compatLnSpc="1">
          <a:prstTxWarp prst="textNoShape">
            <a:avLst/>
          </a:prstTxWarp>
          <a:noAutofit/>
        </a:bodyPr>
        <a:lstStyle/>
        <a:p>
          <a:pPr algn="l"/>
          <a:r>
            <a:rPr lang="fr-FR" sz="1200" b="1" dirty="0" err="1">
              <a:solidFill>
                <a:schemeClr val="tx1"/>
              </a:solidFill>
            </a:rPr>
            <a:t>SEGURANÇA ALIMENTAR</a:t>
          </a:r>
          <a:r>
            <a:rPr lang="fr-FR" sz="1200" b="0" dirty="0" err="1">
              <a:solidFill>
                <a:schemeClr val="tx1"/>
              </a:solidFill>
            </a:rPr>
            <a:t>xx</a:t>
          </a:r>
        </a:p>
        <a:p>
          <a:pPr algn="l"/>
          <a:endParaRPr lang="fr-FR" sz="1200" b="0" dirty="0" err="1">
            <a:solidFill>
              <a:schemeClr val="tx1"/>
            </a:solidFill>
          </a:endParaRPr>
        </a:p>
      </xdr:txBody>
    </xdr:sp>
    <xdr:clientData/>
  </xdr:twoCellAnchor>
  <xdr:twoCellAnchor>
    <xdr:from>
      <xdr:col>1</xdr:col>
      <xdr:colOff>1697505</xdr:colOff>
      <xdr:row>64</xdr:row>
      <xdr:rowOff>70757</xdr:rowOff>
    </xdr:from>
    <xdr:to>
      <xdr:col>2</xdr:col>
      <xdr:colOff>216504</xdr:colOff>
      <xdr:row>68</xdr:row>
      <xdr:rowOff>92936</xdr:rowOff>
    </xdr:to>
    <xdr:grpSp>
      <xdr:nvGrpSpPr>
        <xdr:cNvPr id="7" name="Groupe 6">
          <a:extLst>
            <a:ext uri="{FF2B5EF4-FFF2-40B4-BE49-F238E27FC236}">
              <a16:creationId xmlns:a16="http://schemas.microsoft.com/office/drawing/2014/main" id="{587D7F33-CCAE-FF82-3B1F-5FDB54A69939}"/>
            </a:ext>
          </a:extLst>
        </xdr:cNvPr>
        <xdr:cNvGrpSpPr/>
      </xdr:nvGrpSpPr>
      <xdr:grpSpPr>
        <a:xfrm>
          <a:off x="2032785" y="11988437"/>
          <a:ext cx="804999" cy="845139"/>
          <a:chOff x="3069128" y="10292911"/>
          <a:chExt cx="804999" cy="821757"/>
        </a:xfrm>
      </xdr:grpSpPr>
      <xdr:sp macro="" textlink="">
        <xdr:nvSpPr>
          <xdr:cNvPr id="8" name="Ellipse 7">
            <a:extLst>
              <a:ext uri="{FF2B5EF4-FFF2-40B4-BE49-F238E27FC236}">
                <a16:creationId xmlns:a16="http://schemas.microsoft.com/office/drawing/2014/main" id="{558CB94A-050C-A6CF-A380-00B90026ED94}"/>
              </a:ext>
            </a:extLst>
          </xdr:cNvPr>
          <xdr:cNvSpPr/>
        </xdr:nvSpPr>
        <xdr:spPr>
          <a:xfrm>
            <a:off x="3069128" y="10292911"/>
            <a:ext cx="804999" cy="821757"/>
          </a:xfrm>
          <a:prstGeom prst="ellipse">
            <a:avLst/>
          </a:prstGeom>
          <a:solidFill>
            <a:schemeClr val="bg1"/>
          </a:solidFill>
          <a:ln w="9525">
            <a:noFill/>
          </a:ln>
          <a:effectLst>
            <a:outerShdw blurRad="50800" dist="38100" dir="2700000" algn="tl"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rot="0" spcFirstLastPara="0" vertOverflow="overflow" horzOverflow="overflow" vert="horz" wrap="square" lIns="36000" tIns="36000" rIns="36000" bIns="36000" numCol="1" spcCol="0" rtlCol="0" fromWordArt="0" anchor="ctr" anchorCtr="0" forceAA="0" compatLnSpc="1">
            <a:prstTxWarp prst="textNoShape">
              <a:avLst/>
            </a:prstTxWarp>
            <a:noAutofit/>
          </a:bodyPr>
          <a:lstStyle/>
          <a:p>
            <a:pPr algn="ctr"/>
            <a:endParaRPr lang="fr-FR" sz="1400" dirty="0" err="1">
              <a:solidFill>
                <a:schemeClr val="tx1"/>
              </a:solidFill>
            </a:endParaRPr>
          </a:p>
        </xdr:txBody>
      </xdr:sp>
      <xdr:pic>
        <xdr:nvPicPr>
          <xdr:cNvPr id="9" name="Graphique 8" descr="Filtrer avec un remplissage uni">
            <a:extLst>
              <a:ext uri="{FF2B5EF4-FFF2-40B4-BE49-F238E27FC236}">
                <a16:creationId xmlns:a16="http://schemas.microsoft.com/office/drawing/2014/main" id="{19B1A136-9CA3-5866-85F2-EFDA9AFAD74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05868" y="10355400"/>
            <a:ext cx="733424" cy="756685"/>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e4you-my.sharepoint.com/personal/ce-arthur_albaz_bearingpoint_com/Documents/I%20Care%20Impact%20scoring%20assessment.xlsx" TargetMode="External"/><Relationship Id="rId1" Type="http://schemas.openxmlformats.org/officeDocument/2006/relationships/externalLinkPath" Target="I%20Care%20Impact%20scoring%20assessmen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be4you.sharepoint.com/sites/LOralEmpreintebiodiv2025-2025/Shared%20Documents/LORE29%20-%20Cadre%20donn&#233;es%20nature/3.%20Docs%20de%20travail/I%20Care%20x%20L'Or&#233;al%20-%20KPI%20grid%20-%20v3.xlsx" TargetMode="External"/><Relationship Id="rId1" Type="http://schemas.openxmlformats.org/officeDocument/2006/relationships/externalLinkPath" Target="https://be4you.sharepoint.com/sites/LOralEmpreintebiodiv2025-2025/Shared%20Documents/LORE29%20-%20Cadre%20donn&#233;es%20nature/3.%20Docs%20de%20travail/I%20Care%20x%20L'Or&#233;al%20-%20KPI%20grid%20-%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ore assessments"/>
      <sheetName val="Impact scoring - detailed test"/>
      <sheetName val="Sector Assessment"/>
      <sheetName val="Sectors_Adaptabrasil"/>
      <sheetName val="Tab Google drive &gt;&gt;&gt;"/>
      <sheetName val="Bank of actions"/>
      <sheetName val="sector_risk"/>
      <sheetName val="all_indicators"/>
      <sheetName val="Finance data catalog"/>
      <sheetName val="Legal feasibility"/>
      <sheetName val="Policy documents"/>
      <sheetName val="I Care Impact scoring assessmen"/>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Project data"/>
      <sheetName val="Tool results"/>
      <sheetName val="Final KPI selection status"/>
      <sheetName val="Expert preferences"/>
      <sheetName val="&gt; Backoffice"/>
      <sheetName val="1. KPIs database"/>
      <sheetName val="2. Long list of KPIs"/>
      <sheetName val="3. Filter"/>
      <sheetName val="&gt;Databases"/>
      <sheetName val="Input data"/>
      <sheetName val="DIRO"/>
      <sheetName val="Footprint"/>
      <sheetName val="BRF Country Risk"/>
      <sheetName val="Lists"/>
      <sheetName val="1.a-Overview raw KPIs"/>
      <sheetName val="1.c-Overview simplified KPIs"/>
      <sheetName val="Feuil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L2" t="str">
            <v/>
          </cell>
        </row>
        <row r="3">
          <cell r="L3" t="str">
            <v>Adopt biocontrol solutions for pest management</v>
          </cell>
        </row>
        <row r="4">
          <cell r="L4" t="str">
            <v>Adopt fire prevention practices</v>
          </cell>
        </row>
        <row r="5">
          <cell r="L5" t="str">
            <v>Adopt measures against unintentional introduction of invasive alien species (IAS)</v>
          </cell>
        </row>
        <row r="6">
          <cell r="L6" t="str">
            <v>Adopt waste management practices at farm level</v>
          </cell>
        </row>
        <row r="7">
          <cell r="L7" t="str">
            <v>Adopt water‑efficient irrigation systems at plot level</v>
          </cell>
        </row>
        <row r="8">
          <cell r="L8" t="str">
            <v>Adopt climate-resilient crop varieties</v>
          </cell>
        </row>
        <row r="9">
          <cell r="L9" t="str">
            <v>Implement agroforestry</v>
          </cell>
        </row>
        <row r="10">
          <cell r="L10" t="str">
            <v>Balance fertilization based on crop and soil needs</v>
          </cell>
        </row>
        <row r="11">
          <cell r="L11" t="str">
            <v>Comply with CITES/IUCN species regulations</v>
          </cell>
        </row>
        <row r="12">
          <cell r="L12" t="str">
            <v>Implement a corrective action plan post-audit or a self assessment</v>
          </cell>
        </row>
        <row r="13">
          <cell r="L13" t="str">
            <v>Implement cover crop</v>
          </cell>
        </row>
        <row r="14">
          <cell r="L14" t="str">
            <v>Conduct a field-audit at producer level or a self-assessment</v>
          </cell>
        </row>
        <row r="15">
          <cell r="L15" t="str">
            <v>Identify, manage and protect HCV/HCS areas within sourcing landscapes</v>
          </cell>
        </row>
        <row r="16">
          <cell r="L16" t="str">
            <v>Implement non-productive biodiversity areas within farmland (field margins, buffer strips, hedges, etc.)</v>
          </cell>
        </row>
        <row r="17">
          <cell r="L17" t="str">
            <v>Increase crop diversity at field and landscape level (spatial &amp; temporal)</v>
          </cell>
        </row>
        <row r="18">
          <cell r="L18" t="str">
            <v>Increase practices that promote honey plant species for pollinating insects and enable staggered flowering throughout the year</v>
          </cell>
        </row>
        <row r="19">
          <cell r="L19" t="str">
            <v>Increase share of certified agricultural products</v>
          </cell>
        </row>
        <row r="20">
          <cell r="L20" t="str">
            <v>Increase the presence of beehives or bird boxes</v>
          </cell>
        </row>
        <row r="21">
          <cell r="L21" t="str">
            <v>Implement intercropping</v>
          </cell>
        </row>
        <row r="22">
          <cell r="L22" t="str">
            <v>Implement legumes in rotation</v>
          </cell>
        </row>
        <row r="23">
          <cell r="L23" t="str">
            <v>Prohibit burning trees or crop residues</v>
          </cell>
        </row>
        <row r="24">
          <cell r="L24" t="str">
            <v>Prohibit use of hazardous chemicals or biological substances</v>
          </cell>
        </row>
        <row r="25">
          <cell r="L25" t="str">
            <v>Reduce pesticide risk through avoidance and substitution</v>
          </cell>
        </row>
        <row r="26">
          <cell r="L26" t="str">
            <v>Reduce soil tillage and maintain untilled surfaces</v>
          </cell>
        </row>
        <row r="27">
          <cell r="L27" t="str">
            <v>Reduce water withdrawals</v>
          </cell>
        </row>
        <row r="28">
          <cell r="L28" t="str">
            <v>Reforest or restore natural forests using native species</v>
          </cell>
        </row>
        <row r="29">
          <cell r="L29" t="str">
            <v>Restore degraded natural ecosystems within sourcing landscapes</v>
          </cell>
        </row>
        <row r="30">
          <cell r="L30" t="str">
            <v>Strengthen supplier due diligence and audits</v>
          </cell>
        </row>
        <row r="31">
          <cell r="L31" t="str">
            <v>Transition toward organic fertilization and soil amendment practices</v>
          </cell>
        </row>
        <row r="32">
          <cell r="L32" t="str">
            <v>Comply with zero deforestation and zero conversion of natural ecosystems</v>
          </cell>
        </row>
        <row r="33">
          <cell r="L33" t="str">
            <v/>
          </cell>
        </row>
        <row r="34">
          <cell r="L34" t="str">
            <v/>
          </cell>
        </row>
        <row r="35">
          <cell r="L35" t="str">
            <v/>
          </cell>
        </row>
        <row r="36">
          <cell r="L36" t="str">
            <v/>
          </cell>
        </row>
        <row r="37">
          <cell r="L37" t="str">
            <v/>
          </cell>
        </row>
        <row r="38">
          <cell r="L38" t="str">
            <v/>
          </cell>
        </row>
        <row r="39">
          <cell r="L39" t="str">
            <v/>
          </cell>
        </row>
        <row r="40">
          <cell r="L40" t="str">
            <v/>
          </cell>
        </row>
        <row r="41">
          <cell r="L41" t="str">
            <v/>
          </cell>
        </row>
        <row r="42">
          <cell r="L42" t="str">
            <v/>
          </cell>
        </row>
        <row r="43">
          <cell r="L43" t="str">
            <v/>
          </cell>
        </row>
        <row r="44">
          <cell r="L44" t="str">
            <v/>
          </cell>
        </row>
        <row r="45">
          <cell r="L45" t="str">
            <v/>
          </cell>
        </row>
        <row r="46">
          <cell r="L46" t="str">
            <v/>
          </cell>
        </row>
        <row r="47">
          <cell r="L47" t="str">
            <v/>
          </cell>
        </row>
        <row r="48">
          <cell r="L48" t="str">
            <v/>
          </cell>
        </row>
        <row r="49">
          <cell r="L49" t="str">
            <v/>
          </cell>
        </row>
        <row r="50">
          <cell r="L50" t="str">
            <v/>
          </cell>
        </row>
        <row r="51">
          <cell r="L51" t="str">
            <v/>
          </cell>
        </row>
        <row r="52">
          <cell r="L52" t="str">
            <v/>
          </cell>
        </row>
        <row r="53">
          <cell r="L53" t="str">
            <v/>
          </cell>
        </row>
      </sheetData>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person displayName="Arthur Albaz (CE)" id="{5E965216-5926-42B3-85CF-9AD1CA2B1B41}" userId="S::ce-arthur.albaz@bearingpoint.com::5542a0dc-a4bb-4bd6-96e9-dd0059200e6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9C319CF-1EB6-4A0E-B2EB-F7E397961E40}" name="tbl_Summary_Linkage" displayName="tbl_Summary_Linkage" ref="B3:I56" totalsRowShown="0" headerRowDxfId="541">
  <autoFilter ref="B3:I56" xr:uid="{D9C319CF-1EB6-4A0E-B2EB-F7E397961E40}"/>
  <tableColumns count="8">
    <tableColumn id="1" xr3:uid="{F182591C-C3F3-4B9A-AB97-301B0934FEF4}" name="ActionID"/>
    <tableColumn id="2" xr3:uid="{EB89F312-0DD6-4B4E-B900-90A5C113AA4F}" name="ActionName"/>
    <tableColumn id="3" xr3:uid="{1F4864D4-3ED1-4BAA-A50B-719B404582BA}" name="Water Resources" dataDxfId="540">
      <calculatedColumnFormula>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calculatedColumnFormula>
    </tableColumn>
    <tableColumn id="4" xr3:uid="{B5F66135-4C47-45D1-B485-992B72494192}" name="Food Security" dataDxfId="539">
      <calculatedColumnFormula>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calculatedColumnFormula>
    </tableColumn>
    <tableColumn id="5" xr3:uid="{18691861-E046-4C8F-AF15-ABFB7CEE5DC4}" name="Energy Security" dataDxfId="538">
      <calculatedColumnFormula>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calculatedColumnFormula>
    </tableColumn>
    <tableColumn id="6" xr3:uid="{F28214A4-6A93-4D79-B866-3A40F8D45D48}" name="Health" dataDxfId="537">
      <calculatedColumnFormula>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calculatedColumnFormula>
    </tableColumn>
    <tableColumn id="7" xr3:uid="{D3EF905B-D07E-4587-901C-B983C4B06812}" name="Geohydrological Disasters" dataDxfId="536">
      <calculatedColumnFormula>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calculatedColumnFormula>
    </tableColumn>
    <tableColumn id="8" xr3:uid="{A995B09F-04C5-4B76-8345-AEFA4DA05ACE}" name="Biodiversity" dataDxfId="535">
      <calculatedColumnFormula>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B804609-8C60-4B55-BA95-74387BAD897F}" name="tbl_Summary_Numerical" displayName="tbl_Summary_Numerical" ref="B68:O121" totalsRowShown="0" headerRowDxfId="534">
  <autoFilter ref="B68:O121" xr:uid="{1B804609-8C60-4B55-BA95-74387BAD897F}"/>
  <tableColumns count="14">
    <tableColumn id="1" xr3:uid="{810F91C9-A111-4605-86E6-C36F228CCAA1}" name="ActionID"/>
    <tableColumn id="2" xr3:uid="{C8F0C13C-E823-4A69-A23A-F14A5609C90D}" name="ActionName"/>
    <tableColumn id="3" xr3:uid="{54C7AF67-1939-47CC-8930-A4AC49C4516A}" name="Water Resources - Effectiveness on Vulnerability" dataDxfId="533" dataCellStyle="Milliers">
      <calculatedColumnFormula>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calculatedColumnFormula>
    </tableColumn>
    <tableColumn id="4" xr3:uid="{57D282DA-55C6-4F9D-9BB8-4186C324EF08}" name="Water Resources - Effectiveness on Exposure" dataDxfId="532" dataCellStyle="Milliers">
      <calculatedColumnFormula>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calculatedColumnFormula>
    </tableColumn>
    <tableColumn id="5" xr3:uid="{10AFBA42-B0FD-40CF-BF2A-FDA8D93094D8}" name="Food Security - Effectiveness on Vulnerability" dataCellStyle="Milliers">
      <calculatedColumnFormula>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calculatedColumnFormula>
    </tableColumn>
    <tableColumn id="6" xr3:uid="{2A340625-FD6D-4F66-AAC6-CF14013EFC65}" name="Food Security - Effectiveness on Exposure" dataCellStyle="Milliers">
      <calculatedColumnFormula>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calculatedColumnFormula>
    </tableColumn>
    <tableColumn id="7" xr3:uid="{3F8ED8B5-03E1-494F-986E-70E1E40CF891}" name="Energy Security - Effectiveness on Vulnerability" dataCellStyle="Milliers">
      <calculatedColumnFormula>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calculatedColumnFormula>
    </tableColumn>
    <tableColumn id="8" xr3:uid="{3A853F75-0BFF-4936-9DC5-0190EB4D930E}" name="Energy Security - Effectiveness on Exposure" dataCellStyle="Milliers">
      <calculatedColumnFormula>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calculatedColumnFormula>
    </tableColumn>
    <tableColumn id="9" xr3:uid="{CA41379B-0CAF-43AF-AC99-BDE77A75C94E}" name="Health - Effectiveness on Vulnerability" dataCellStyle="Milliers">
      <calculatedColumnFormula>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calculatedColumnFormula>
    </tableColumn>
    <tableColumn id="10" xr3:uid="{7C3F6DA1-C331-4BF0-A106-34213FFFF70E}" name="Health - Effectiveness on Exposure" dataCellStyle="Milliers">
      <calculatedColumnFormula>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calculatedColumnFormula>
    </tableColumn>
    <tableColumn id="11" xr3:uid="{AB8B567E-C0E5-4216-A2EE-5E453BED5AA9}" name="Geohydrological Disasters - Effectiveness on Vulnerability" dataCellStyle="Milliers">
      <calculatedColumnFormula>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calculatedColumnFormula>
    </tableColumn>
    <tableColumn id="12" xr3:uid="{543D7C54-2262-41D4-BE54-4F82FCD67A07}" name="Geohydrological Disasters - Effectiveness on Exposure" dataCellStyle="Milliers">
      <calculatedColumnFormula>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calculatedColumnFormula>
    </tableColumn>
    <tableColumn id="13" xr3:uid="{578DB85D-6B41-4918-B510-510192CFE8FE}" name="Biodiversity - Effectiveness on Vulnerability" dataCellStyle="Milliers">
      <calculatedColumnFormula>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calculatedColumnFormula>
    </tableColumn>
    <tableColumn id="14" xr3:uid="{26ED3B95-71F1-4F44-A19E-989A71E64594}" name="Biodiversity - Effectiveness on Exposure" dataCellStyle="Milliers">
      <calculatedColumnFormula>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calculatedColumnFormula>
    </tableColumn>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A617F87-293F-4135-9243-B8215B2BB680}" name="tbl_Home_Parameters" displayName="tbl_Home_Parameters" ref="B60:C64" totalsRowShown="0">
  <autoFilter ref="B60:C64" xr:uid="{9A617F87-293F-4135-9243-B8215B2BB680}"/>
  <tableColumns count="2">
    <tableColumn id="1" xr3:uid="{34037626-2451-4D81-969D-38FDAAF8B78B}" name="Parameter"/>
    <tableColumn id="2" xr3:uid="{94FB47A6-2194-486B-9F08-8B45C60FE55F}" name="Default value" dataDxfId="531"/>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C6DEAAA-FD5B-4D8F-8A28-B9291A1E253E}" name="tbl_WR_SourceIdentification" displayName="tbl_WR_SourceIdentification" ref="B88:G98" totalsRowShown="0" headerRowDxfId="215" dataDxfId="214">
  <autoFilter ref="B88:G98" xr:uid="{FC6DEAAA-FD5B-4D8F-8A28-B9291A1E253E}"/>
  <tableColumns count="6">
    <tableColumn id="1" xr3:uid="{CD2D28CB-DE17-4E90-9989-A1DAA23B8FE2}" name="Source ID" dataDxfId="221"/>
    <tableColumn id="2" xr3:uid="{E49EE765-8931-4FDA-9F6B-0769DE5ECDE7}" name="Geographic scope" dataDxfId="220"/>
    <tableColumn id="3" xr3:uid="{C388E2F3-43C0-48E7-A55E-2F000E84F603}" name="Document title" dataDxfId="219"/>
    <tableColumn id="4" xr3:uid="{132DC23E-A510-4A48-AF05-4DF2191DFD6C}" name="Issuing institution" dataDxfId="218"/>
    <tableColumn id="5" xr3:uid="{B05DE80E-05B5-4984-9F54-378564F920D5}" name="Publication year" dataDxfId="217"/>
    <tableColumn id="6" xr3:uid="{F3B6EA47-A63B-451E-99C9-94CA0FD90F45}" name="PDF file" dataDxfId="216"/>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A93EFE6-8611-45E6-87F1-5CABFC7755DB}" name="tbl_WR_Assessment" displayName="tbl_WR_Assessment" ref="B111:Z164" totalsRowShown="0" headerRowDxfId="188" dataDxfId="187">
  <autoFilter ref="B111:Z164" xr:uid="{8A93EFE6-8611-45E6-87F1-5CABFC7755DB}"/>
  <tableColumns count="25">
    <tableColumn id="1" xr3:uid="{F93DE010-0111-4BEC-8089-928EE9D3A50F}" name="ActionID" dataDxfId="213"/>
    <tableColumn id="2" xr3:uid="{AD73339C-9BA3-4A14-AE52-B9B7199B6C43}" name="ActionName" dataDxfId="212"/>
    <tableColumn id="3" xr3:uid="{0E31B84D-7183-4535-80CE-80FB9BBF7F73}" name="ActionDefinition" dataDxfId="211"/>
    <tableColumn id="20" xr3:uid="{E78B42FF-68D5-4B3A-A582-1A315350346F}" name="Vulnerability Eligibility" dataDxfId="210"/>
    <tableColumn id="21" xr3:uid="{66A11C98-167D-47E2-BA0D-F650CCA6BA8E}" name="Vulnerability Eligibility Justification" dataDxfId="209"/>
    <tableColumn id="25" xr3:uid="{A36EE075-DBBE-472A-B4CE-216A9B566C2B}" name="Vulnerability Evidence Count" dataDxfId="208">
      <calculatedColumnFormula array="1">_xlfn.LET(_xlpm.q,tbl_WR_Assessment[[#This Row],[Vulnerability Quote]],_xlpm.e,tbl_WR_Assessment[[#This Row],[Vulnerability EvidenceID]],IF(_xlpm.q="","",IF(_xlpm.e="",1,ROWS(_xlfn.UNIQUE(_xlfn._xlws.FILTER(_xlfn.TEXTSPLIT(_xlpm.e,,CHAR(10)),_xlfn.TEXTSPLIT(_xlpm.e,,CHAR(10))&lt;&gt;""))))))</calculatedColumnFormula>
    </tableColumn>
    <tableColumn id="4" xr3:uid="{11EFE6F1-33BA-42FC-9AB1-990AA542A836}" name="Effectiveness on Vulnerability" dataDxfId="207"/>
    <tableColumn id="5" xr3:uid="{E4C9C7EF-AA58-4E7A-84D9-97CB9CF635A8}" name="Vulnerability Indicators" dataDxfId="206"/>
    <tableColumn id="6" xr3:uid="{66B8C00C-E661-4ED2-9547-7C284C722E13}" name="Vulnerability Justification" dataDxfId="205"/>
    <tableColumn id="7" xr3:uid="{571682DC-ADD0-4BE7-A3CA-A966969BC6B7}" name="Vulnerability EvidenceID" dataDxfId="204"/>
    <tableColumn id="8" xr3:uid="{9CE81A87-90D8-4829-B9ED-47AA5D68256E}" name="Source Vulnerability" dataDxfId="203"/>
    <tableColumn id="9" xr3:uid="{5BFC0362-1EEA-454E-89F6-58EBF7669494}" name="Vulnerability Page" dataDxfId="202"/>
    <tableColumn id="10" xr3:uid="{F9A1D4EC-35A2-48A8-B3C8-9D6C819CD6BA}" name="Vulnerability Quote" dataDxfId="201"/>
    <tableColumn id="22" xr3:uid="{150A2D20-B716-4906-92A1-0A3552C4284B}" name="Exposure Eligibility" dataDxfId="200"/>
    <tableColumn id="23" xr3:uid="{BEFE59C3-E584-470F-8653-BFFFD9D1DAA0}" name="Exposure Eligibility Justification" dataDxfId="199"/>
    <tableColumn id="27" xr3:uid="{993EECBE-FC48-46AA-913F-1C9B9E6CEB35}" name="Exposure Evidence Count" dataDxfId="198">
      <calculatedColumnFormula array="1">_xlfn.LET(_xlpm.q,tbl_WR_Assessment[[#This Row],[Exposure Quote]],_xlpm.e,tbl_WR_Assessment[[#This Row],[Exposure EvidenceID]],IF(_xlpm.q="","",IF(_xlpm.e="",1,ROWS(_xlfn.UNIQUE(_xlfn._xlws.FILTER(_xlfn.TEXTSPLIT(_xlpm.e,,CHAR(10)),_xlfn.TEXTSPLIT(_xlpm.e,,CHAR(10))&lt;&gt;""))))))</calculatedColumnFormula>
    </tableColumn>
    <tableColumn id="11" xr3:uid="{4CFBAE16-46E3-4363-B052-A87330A2E742}" name="Effectiveness on Exposure" dataDxfId="197"/>
    <tableColumn id="12" xr3:uid="{969A6C82-C99B-4DBF-9840-3C536DCB61BF}" name="Exposure Indicators" dataDxfId="196"/>
    <tableColumn id="13" xr3:uid="{48FD95B8-5BDB-490D-B182-22D18E131570}" name="Exposure Justification" dataDxfId="195"/>
    <tableColumn id="14" xr3:uid="{704FEFA7-A256-4B03-B1DB-DFFCA8FBF32F}" name="Exposure EvidenceID" dataDxfId="194"/>
    <tableColumn id="15" xr3:uid="{9A3B2631-10D4-4AC7-B009-F37E345E0CB3}" name="Source Exposure" dataDxfId="193"/>
    <tableColumn id="16" xr3:uid="{E50C8121-62A7-4401-B8F4-2A55AE5E8E56}" name="Exposure Page" dataDxfId="192"/>
    <tableColumn id="17" xr3:uid="{024FC312-0C79-4553-83C1-7438A166D094}" name="Exposure Quote" dataDxfId="191"/>
    <tableColumn id="18" xr3:uid="{1EA42BED-6102-4E7F-A2E4-2DA42E5DE3E7}" name="ReviewStatus" dataDxfId="190"/>
    <tableColumn id="19" xr3:uid="{32B3F936-A968-452C-9162-140B6F78DBD7}" name="ReviewerComment" dataDxfId="189"/>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BC4587F-8C90-432E-981D-36AD588ED370}" name="tbl_WR_AdditionalActions" displayName="tbl_WR_AdditionalActions" ref="B171:Z174" totalsRowShown="0" headerRowDxfId="161" dataDxfId="160">
  <autoFilter ref="B171:Z174" xr:uid="{2BC4587F-8C90-432E-981D-36AD588ED370}"/>
  <tableColumns count="25">
    <tableColumn id="1" xr3:uid="{272EEBC4-0609-484F-98DD-0782AA4C82CD}" name="AdditionalActionID" dataDxfId="186"/>
    <tableColumn id="2" xr3:uid="{3A1D34B5-3F23-46AE-B1B7-A4F53D3429BC}" name="ActionName" dataDxfId="185"/>
    <tableColumn id="3" xr3:uid="{5A402C67-4327-4243-B761-50F7C33A17FE}" name="ActionDefinition" dataDxfId="184"/>
    <tableColumn id="20" xr3:uid="{54D7D05C-546C-48DA-BBE4-D13F69BDE9C9}" name="Vulnerability Eligibility" dataDxfId="183"/>
    <tableColumn id="21" xr3:uid="{7F034B2C-92E3-4FB6-8570-C619A2BC7C95}" name="Vulnerability Eligibility Justification" dataDxfId="182"/>
    <tableColumn id="25" xr3:uid="{50829342-2DA0-4436-938C-FD75C46D4B95}" name="Vulnerability Evidence Count" dataDxfId="181"/>
    <tableColumn id="4" xr3:uid="{641EC3AD-11C1-460A-AB3A-205B04A60BBB}" name="Effectiveness on Vulnerability" dataDxfId="180"/>
    <tableColumn id="5" xr3:uid="{469C5EBB-6182-4F10-A171-D01D16ACEF6A}" name="Vulnerability Indicators" dataDxfId="179"/>
    <tableColumn id="6" xr3:uid="{EE40B659-951C-4613-B8B9-94C1979D26BD}" name="Vulnerability Justification" dataDxfId="178"/>
    <tableColumn id="7" xr3:uid="{20BE3B37-C0E4-4CFD-A9EA-00FEEAD6D867}" name="Vulnerability EvidenceID" dataDxfId="177"/>
    <tableColumn id="8" xr3:uid="{E1C53C34-C673-4CCF-9CF3-AE65757CDC99}" name="Source Vulnerability" dataDxfId="176"/>
    <tableColumn id="9" xr3:uid="{F6EBACC8-2511-494B-9B04-99D5E812022C}" name="Vulnerability Page" dataDxfId="175"/>
    <tableColumn id="10" xr3:uid="{A6053359-4646-4361-A823-D2D8563E81C4}" name="Vulnerability Quote" dataDxfId="174"/>
    <tableColumn id="22" xr3:uid="{4D3FC487-339B-4D9E-A4F0-F4161B82B189}" name="Exposure Eligibility" dataDxfId="173"/>
    <tableColumn id="23" xr3:uid="{6617E98E-4075-407B-AD68-D7C1A7261A3A}" name="Exposure Eligibility Justification" dataDxfId="172"/>
    <tableColumn id="27" xr3:uid="{0A1FA5C1-0C46-4EAB-8807-9CCC91BCB403}" name="Exposure Evidence Count" dataDxfId="171"/>
    <tableColumn id="11" xr3:uid="{555AABC7-75BD-4046-A47A-0EAEE2BD083E}" name="Effectiveness on Exposure" dataDxfId="170"/>
    <tableColumn id="12" xr3:uid="{406E7CCC-9B65-4948-8FAA-2D5B362B042A}" name="Exposure Indicators" dataDxfId="169"/>
    <tableColumn id="13" xr3:uid="{C5B172B2-0F04-4990-8AB4-585A7F99E3A6}" name="Exposure Justification" dataDxfId="168"/>
    <tableColumn id="14" xr3:uid="{2FCB54D1-F0C3-4DEF-A10B-9635609979DE}" name="Exposure EvidenceID" dataDxfId="167"/>
    <tableColumn id="15" xr3:uid="{694F6C2B-836A-4196-A4E6-5C7630D22B99}" name="Source Exposure" dataDxfId="166"/>
    <tableColumn id="16" xr3:uid="{7FE4F525-B7E7-4201-A71C-EB6809A9079E}" name="Exposure Page" dataDxfId="165"/>
    <tableColumn id="17" xr3:uid="{7B6FA17F-5DC6-46B6-8999-4FDCE33BC2DD}" name="Exposure Quote" dataDxfId="164"/>
    <tableColumn id="18" xr3:uid="{22DC9575-4432-40AD-B489-AD4EC11A92A4}" name="ReviewStatus" dataDxfId="163"/>
    <tableColumn id="19" xr3:uid="{3D81C714-012A-4B6D-847E-D1B30823E164}" name="ReviewerComment" dataDxfId="162"/>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8B36430-B3AF-4EA5-8F7E-D87D145D149E}" name="tbl_WR_EligibilitySummary" displayName="tbl_WR_EligibilitySummary" ref="B7:K63" totalsRowShown="0" headerRowDxfId="149" dataDxfId="148">
  <autoFilter ref="B7:K63" xr:uid="{F8B36430-B3AF-4EA5-8F7E-D87D145D149E}"/>
  <tableColumns count="10">
    <tableColumn id="1" xr3:uid="{BFA51DBD-E0C6-49F5-B517-03A479397724}" name="Record Type" dataDxfId="159">
      <calculatedColumnFormula array="1">IF(ROW()-ROW(tbl_WR_EligibilitySummary[#Headers])&lt;=ROWS(tbl_WR_Assessment[ActionID]),"Existing action","Additional action")</calculatedColumnFormula>
    </tableColumn>
    <tableColumn id="2" xr3:uid="{07CF8FB0-F6B1-4B54-96A7-13F9A2E1AB43}" name="Action ID" dataDxfId="158">
      <calculatedColumnFormula array="1">IF(ROW()-ROW(tbl_WR_EligibilitySummary[#Headers])&lt;=ROWS(tbl_WR_Assessment[ActionID]),INDEX(tbl_WR_Assessment[ActionID],ROW()-ROW(tbl_WR_EligibilitySummary[#Headers])),INDEX(tbl_WR_AdditionalActions[AdditionalActionID],ROW()-ROW(tbl_WR_EligibilitySummary[#Headers])-ROWS(tbl_WR_Assessment[ActionID])))</calculatedColumnFormula>
    </tableColumn>
    <tableColumn id="3" xr3:uid="{0FBE6C3B-E79F-4B0A-9B32-4152663BA0F1}" name="Action Name" dataDxfId="157">
      <calculatedColumnFormula array="1">IF(ROW()-ROW(tbl_WR_EligibilitySummary[#Headers])&lt;=ROWS(tbl_WR_Assessment[ActionID]),INDEX(tbl_WR_Assessment[ActionName],ROW()-ROW(tbl_WR_EligibilitySummary[#Headers])),INDEX(tbl_WR_AdditionalActions[ActionName],ROW()-ROW(tbl_WR_EligibilitySummary[#Headers])-ROWS(tbl_WR_Assessment[ActionID])))</calculatedColumnFormula>
    </tableColumn>
    <tableColumn id="4" xr3:uid="{8A9D58A1-2A41-4ED1-BB43-624B474F21EE}" name="Vulnerability Eligibility" dataDxfId="156">
      <calculatedColumnFormula array="1">IF(ROW()-ROW(tbl_WR_EligibilitySummary[#Headers])&lt;=ROWS(tbl_WR_Assessment[ActionID]),INDEX(tbl_WR_Assessment[Vulnerability Eligibility],ROW()-ROW(tbl_WR_EligibilitySummary[#Headers])),INDEX(tbl_WR_AdditionalActions[Vulnerability Eligibility],ROW()-ROW(tbl_WR_EligibilitySummary[#Headers])-ROWS(tbl_WR_Assessment[ActionID])))</calculatedColumnFormula>
    </tableColumn>
    <tableColumn id="5" xr3:uid="{68139262-14BA-4392-BA6C-049B409C5CD9}" name="Vulnerability Evidence Count" dataDxfId="155">
      <calculatedColumnFormula array="1">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calculatedColumnFormula>
    </tableColumn>
    <tableColumn id="6" xr3:uid="{EC8197EC-FA0B-495F-A966-A6D4EB8A6B09}" name="Vulnerability Effectiveness" dataDxfId="154">
      <calculatedColumnFormula array="1">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calculatedColumnFormula>
    </tableColumn>
    <tableColumn id="7" xr3:uid="{E5D4BA18-CFFB-4A2A-9835-B1FC67840F4A}" name="Exposure Eligibility" dataDxfId="153">
      <calculatedColumnFormula array="1">IF(ROW()-ROW(tbl_WR_EligibilitySummary[#Headers])&lt;=ROWS(tbl_WR_Assessment[ActionID]),INDEX(tbl_WR_Assessment[Exposure Eligibility],ROW()-ROW(tbl_WR_EligibilitySummary[#Headers])),INDEX(tbl_WR_AdditionalActions[Exposure Eligibility],ROW()-ROW(tbl_WR_EligibilitySummary[#Headers])-ROWS(tbl_WR_Assessment[ActionID])))</calculatedColumnFormula>
    </tableColumn>
    <tableColumn id="8" xr3:uid="{B75A6FA8-35B6-4C14-A2EF-632B283B7C7F}" name="Exposure Evidence Count" dataDxfId="152">
      <calculatedColumnFormula array="1">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calculatedColumnFormula>
    </tableColumn>
    <tableColumn id="9" xr3:uid="{9F8E0F81-64BF-44A9-BE61-4C244DD02A4A}" name="Exposure Effectiveness" dataDxfId="151">
      <calculatedColumnFormula array="1">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calculatedColumnFormula>
    </tableColumn>
    <tableColumn id="10" xr3:uid="{25F2FDFE-59FD-4B1D-875A-ACCB0C60F6EA}" name="ReviewStatus" dataDxfId="150">
      <calculatedColumnFormula array="1">IF(ROW()-ROW(tbl_WR_EligibilitySummary[#Headers])&lt;=ROWS(tbl_WR_Assessment[ActionID]),INDEX(tbl_WR_Assessment[ReviewStatus],ROW()-ROW(tbl_WR_EligibilitySummary[#Headers])),INDEX(tbl_WR_AdditionalActions[ReviewStatus],ROW()-ROW(tbl_WR_EligibilitySummary[#Headers])-ROWS(tbl_WR_Assessment[ActionID])))</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1CF5626-5EDC-4202-939F-3DDF6D670787}" name="tblImpactCityResults12" displayName="tblImpactCityResults12" ref="B5:H19" totalsRowShown="0" headerRowDxfId="530" dataDxfId="529">
  <autoFilter ref="B5:H19" xr:uid="{C1CF5626-5EDC-4202-939F-3DDF6D670787}"/>
  <sortState xmlns:xlrd2="http://schemas.microsoft.com/office/spreadsheetml/2017/richdata2" ref="B6:H19">
    <sortCondition ref="B5:B19"/>
  </sortState>
  <tableColumns count="7">
    <tableColumn id="1" xr3:uid="{E2DDA645-B88C-4035-96EA-92F64AE83069}" name="Municipality" dataDxfId="528"/>
    <tableColumn id="7" xr3:uid="{BA2955DC-4ADD-4604-8732-D884C9E80F3D}" name="Sector" dataDxfId="527"/>
    <tableColumn id="3" xr3:uid="{FDC548AC-833A-4703-8488-6C559B26CD92}" name="ActionName" dataDxfId="526"/>
    <tableColumn id="5" xr3:uid="{7160E478-7438-4378-B090-D7B99517DC04}" name="Action definition" dataDxfId="525">
      <calculatedColumnFormula>IFERROR(INDEX(Table24[Description],MATCH(tblImpactCityResults12[[#This Row],[ActionName]],Table24[ActionName],0)),"")</calculatedColumnFormula>
    </tableColumn>
    <tableColumn id="2" xr3:uid="{213F3109-4443-4093-B0B5-175A1C47B204}" name="Impact Score" dataDxfId="524">
      <calculatedColumnFormula>INDEX(tblImpactScaled_Summary[Final Impact Score],MATCH(tblImpactCityResults12[[#This Row],[ActionName]],tblImpactScaled_Summary[ActionName],0))</calculatedColumnFormula>
    </tableColumn>
    <tableColumn id="4" xr3:uid="{34B1C1E8-788F-4C8C-A697-1B40D7974F80}" name="Alignment Score" dataDxfId="523"/>
    <tableColumn id="6" xr3:uid="{F5B232C8-DD00-4153-878A-2D3EBA814B58}" name="Feasability Score" dataDxfId="522"/>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8F581F5-5977-41A5-8AF2-7CB09A4C7A74}" name="tblImpactScaled_Assessment" displayName="tblImpactScaled_Assessment" ref="B22:AC43" totalsRowShown="0" headerRowDxfId="521" dataDxfId="520">
  <autoFilter ref="B22:AC43" xr:uid="{88F581F5-5977-41A5-8AF2-7CB09A4C7A74}"/>
  <tableColumns count="28">
    <tableColumn id="1" xr3:uid="{011FADDE-D0E5-4D2C-8BEA-EFB5AE8AED53}" name="Sector" dataDxfId="519"/>
    <tableColumn id="2" xr3:uid="{C96F5EC7-A747-44CC-8111-DA7B1F104B6A}" name="Risk" dataDxfId="518"/>
    <tableColumn id="3" xr3:uid="{FCE360FF-A840-4DB3-8911-72E565D5B075}" name="ActionID" dataDxfId="517"/>
    <tableColumn id="4" xr3:uid="{AD5CBD64-DE76-400C-9727-E11EDD38EE5B}" name="Selection source" dataDxfId="516"/>
    <tableColumn id="5" xr3:uid="{B2FE8DA7-80AC-47C0-8D39-A9A79475C4C9}" name="ActionName" dataDxfId="515">
      <calculatedColumnFormula>_xlfn.XLOOKUP(tblImpactScaled_Assessment[[#This Row],[ActionID]],Table24[ActionID],Table24[ActionName],"")</calculatedColumnFormula>
    </tableColumn>
    <tableColumn id="6" xr3:uid="{40799393-6DD3-4E50-8BB5-D254F3293894}" name="Action definition" dataDxfId="514">
      <calculatedColumnFormula>_xlfn.XLOOKUP(tblImpactScaled_Assessment[[#This Row],[ActionID]],Table24[ActionID],Table24[Description],"")</calculatedColumnFormula>
    </tableColumn>
    <tableColumn id="7" xr3:uid="{A26D38DE-E1A5-4EBD-88B1-4EF0C582001D}" name="Action subcategory" dataDxfId="513">
      <calculatedColumnFormula>_xlfn.XLOOKUP(tblImpactScaled_Assessment[[#This Row],[ActionID]],Table24[ActionID],Table24[ActionSubcategory],"")</calculatedColumnFormula>
    </tableColumn>
    <tableColumn id="8" xr3:uid="{D35179C9-4BA8-4944-80A9-3BD3B2DDEE2E}" name="Action type" dataDxfId="512">
      <calculatedColumnFormula>_xlfn.XLOOKUP(tblImpactScaled_Assessment[[#This Row],[ActionID]],Table24[ActionID],Table24[ActionType],"")</calculatedColumnFormula>
    </tableColumn>
    <tableColumn id="9" xr3:uid="{EC9F5013-DF5B-43FA-8230-433FE782A666}" name="Nível 3 (Dimensão)" dataDxfId="511"/>
    <tableColumn id="10" xr3:uid="{5A565942-05D0-4749-9362-A5A819C11FF6}" name="Level 3 Component" dataDxfId="510"/>
    <tableColumn id="11" xr3:uid="{B55205AD-81F2-4014-AE74-6AF7303CEADB}" name="Concat Level 6 indicators" dataDxfId="509">
      <calculatedColumnFormula array="1">IFERROR(_xlfn.TEXTJOIN(", ",TRUE,_xlfn.UNIQUE(_xlfn._xlws.FILTER(Table2[base_indicator_name],(Table2[sector_name]=tblImpactScaled_Assessment[[#This Row],[Sector]])*(Table2[risk_name]=tblImpactScaled_Assessment[[#This Row],[Risk]])*(Table2[risk_component_name]=tblImpactScaled_Assessment[[#This Row],[Level 3 Component]])))),"")</calculatedColumnFormula>
    </tableColumn>
    <tableColumn id="12" xr3:uid="{D819E242-C75D-4D73-9517-BE8A909B88B5}" name="Impacts Level 3?" dataDxfId="508"/>
    <tableColumn id="13" xr3:uid="{942C1523-096B-4A70-9F74-16DE4A204139}" name="Effectiveness class" dataDxfId="507"/>
    <tableColumn id="14" xr3:uid="{0A38CA03-727F-4C5F-BA50-61987862132A}" name="Supporting evidence?" dataDxfId="506"/>
    <tableColumn id="15" xr3:uid="{890AEFF6-12A9-41E0-9936-B9FA51750781}" name="Source" dataDxfId="505"/>
    <tableColumn id="16" xr3:uid="{68378B58-829D-4FCF-AF2E-7E9DC24521CF}" name="URL" dataDxfId="504"/>
    <tableColumn id="17" xr3:uid="{192B4F51-2E43-449B-BD72-4DF612FA4382}" name="Technical justification" dataDxfId="503"/>
    <tableColumn id="18" xr3:uid="{6CB77684-4DDC-4515-B7AA-19ACF60FDA95}" name="Confidence level" dataDxfId="502"/>
    <tableColumn id="19" xr3:uid="{B5A9D70B-ED75-4A3B-9678-13DA264AE244}" name="Maladaptation risk?" dataDxfId="501"/>
    <tableColumn id="20" xr3:uid="{C9B35101-5BD9-4461-8D8D-7B4A5768C80D}" name="Maladaptation source/URL/note" dataDxfId="500"/>
    <tableColumn id="28" xr3:uid="{6E1DD2D1-D200-457F-9ED8-E72DABAB05CE}" name="Maladaptation Factor" dataDxfId="499">
      <calculatedColumnFormula>IF(tblImpactScaled_Assessment[[#This Row],[Maladaptation risk?]]="Yes",_xlfn.XLOOKUP("Maladaptation adjustment factor",$C$6:$C$19,$D$6:$D$19),IF(tblImpactScaled_Assessment[[#This Row],[Maladaptation risk?]]="No",_xlfn.XLOOKUP("No maladaptation adjustment factor",$C$6:$C$19,$D$6:$D$19),""))</calculatedColumnFormula>
    </tableColumn>
    <tableColumn id="21" xr3:uid="{ED4D89EA-81DF-487C-9216-F66EFC91F65D}" name="Expected Component Variation" dataDxfId="498">
      <calculatedColumnFormula>IF(tblImpactScaled_Assessment[[#This Row],[Impacts Level 3?]]&lt;&gt;"Yes",_xlfn.XLOOKUP("No effectiveness",$C$6:$C$19,$D$6:$D$19),_xlfn.XLOOKUP(tblImpactScaled_Assessment[[#This Row],[Effectiveness class]],$C$6:$C$19,$D$6:$D$19,0))</calculatedColumnFormula>
    </tableColumn>
    <tableColumn id="22" xr3:uid="{50C55EE9-9565-4480-B343-FFBA41034AF7}" name="Confidence Factor" dataDxfId="497">
      <calculatedColumnFormula>IF(tblImpactScaled_Assessment[[#This Row],[Impacts Level 3?]]&lt;&gt;"Yes",0,_xlfn.XLOOKUP(tblImpactScaled_Assessment[[#This Row],[Confidence level]]&amp;" confidence factor",$C$6:$C$19,$D$6:$D$19,0))</calculatedColumnFormula>
    </tableColumn>
    <tableColumn id="23" xr3:uid="{B8E26A90-B7F4-4227-8465-5123760C1E24}" name="Time horizon" dataDxfId="496">
      <calculatedColumnFormula>_xlfn.XLOOKUP(tblImpactScaled_Assessment[[#This Row],[ActionID]],Table24[ActionID],Table24[TimelineForImplementation],"")</calculatedColumnFormula>
    </tableColumn>
    <tableColumn id="24" xr3:uid="{8A535763-2FC7-409D-88BF-8CCE7044C6CF}" name="Time Factor" dataDxfId="495">
      <calculatedColumnFormula>_xlfn.XLOOKUP(IF(tblImpactScaled_Assessment[[#This Row],[Time horizon]]="&lt;5 years","Time factor (&lt; 5 years)",IF(tblImpactScaled_Assessment[[#This Row],[Time horizon]]="5-10 years","Time factor (5-10 years)","Time factor (&gt; 10 years)")),$C$6:$C$19,$D$6:$D$19,0)</calculatedColumnFormula>
    </tableColumn>
    <tableColumn id="25" xr3:uid="{CBA22B4A-56A7-42BC-A32B-B51D41111D6C}" name="Component Impact Score" dataDxfId="494">
      <calculatedColumnFormula>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calculatedColumnFormula>
    </tableColumn>
    <tableColumn id="26" xr3:uid="{4F6EE7F0-FA45-4959-B7B0-5DD49E62B119}" name="Adverse effect flag" dataDxfId="493">
      <calculatedColumnFormula>IF(tblImpactScaled_Assessment[[#This Row],[Maladaptation risk?]]="Yes","Maladaptation risk to review","No")</calculatedColumnFormula>
    </tableColumn>
    <tableColumn id="27" xr3:uid="{90526CDB-D9BD-466A-A02F-F9211E8DACE8}" name="Review status" dataDxfId="492">
      <calculatedColumnFormula>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15A4042-E7F5-495C-9940-2A3D7FEFE4EE}" name="tblImpactScaled_Summary" displayName="tblImpactScaled_Summary" ref="H5:T12" totalsRowShown="0" headerRowDxfId="491">
  <autoFilter ref="H5:T12" xr:uid="{115A4042-E7F5-495C-9940-2A3D7FEFE4EE}"/>
  <tableColumns count="13">
    <tableColumn id="1" xr3:uid="{C23E8EEF-9852-49B8-B150-602E30B09EE9}" name="Sector">
      <calculatedColumnFormula>IF(tblImpactScaled_Summary[[#This Row],[ActionID]]="","",_xlfn.XLOOKUP(tblImpactScaled_Summary[[#This Row],[ActionID]],tblImpactScaled_Assessment[ActionID],tblImpactScaled_Assessment[Sector],""))</calculatedColumnFormula>
    </tableColumn>
    <tableColumn id="2" xr3:uid="{BD360AB2-58B4-4BC7-A428-A09CAC02D8DC}" name="Risk">
      <calculatedColumnFormula>IF(tblImpactScaled_Summary[[#This Row],[ActionID]]="","",_xlfn.XLOOKUP(tblImpactScaled_Summary[[#This Row],[ActionID]],tblImpactScaled_Assessment[ActionID],tblImpactScaled_Assessment[Risk],""))</calculatedColumnFormula>
    </tableColumn>
    <tableColumn id="3" xr3:uid="{48BCB75B-087D-49E4-8742-6FC9011B4C10}" name="ActionID">
      <calculatedColumnFormula array="1">_xlfn.LET(_xlpm.ids,_xlfn.UNIQUE(_xlfn._xlws.FILTER(tblImpactScaled_Assessment[ActionID],tblImpactScaled_Assessment[ActionID]&lt;&gt;"")),_xlpm.secs,_xlfn.XLOOKUP(_xlpm.ids,tblImpactScaled_Assessment[ActionID],tblImpactScaled_Assessment[Sector]),_xlpm.scores,SUMIFS(tblImpactScaled_Assessment[Component Impact Score],tblImpactScaled_Assessment[ActionID],_xlpm.ids),_xlpm.ordered,_xlfn.SORTBY(_xlpm.ids,_xlpm.secs,1,_xlpm.scores,-1),IFERROR(INDEX(_xlpm.ordered,ROW()-ROW(tblImpactScaled_Summary[#Headers])),""))</calculatedColumnFormula>
    </tableColumn>
    <tableColumn id="4" xr3:uid="{7C84389F-C499-44D3-A9A3-8F12634E88CC}" name="ActionName">
      <calculatedColumnFormula>IF(tblImpactScaled_Summary[[#This Row],[ActionID]]="","",_xlfn.XLOOKUP(tblImpactScaled_Summary[[#This Row],[ActionID]],tblImpactScaled_Assessment[ActionID],tblImpactScaled_Assessment[ActionName],""))</calculatedColumnFormula>
    </tableColumn>
    <tableColumn id="13" xr3:uid="{D1818303-21B7-4DE3-AF7B-EB8B5CF599EE}" name="Action definition" dataDxfId="490"/>
    <tableColumn id="5" xr3:uid="{C9197235-CAF8-4736-B869-3C0CD27B1E1F}" name="Vulnerability Score" dataDxfId="489">
      <calculatedColumnFormula>IF(tblImpactScaled_Summary[[#This Row],[ActionID]]="","",SUMIFS(tblImpactScaled_Assessment[Component Impact Score],tblImpactScaled_Assessment[ActionID],tblImpactScaled_Summary[[#This Row],[ActionID]],tblImpactScaled_Assessment[Level 3 Component],"Vulnerability"))</calculatedColumnFormula>
    </tableColumn>
    <tableColumn id="6" xr3:uid="{97F02963-7C5D-41E4-BC0E-E6C5BF6A145A}" name="Exposure Score" dataDxfId="488">
      <calculatedColumnFormula>IF(tblImpactScaled_Summary[[#This Row],[ActionID]]="","",SUMIFS(tblImpactScaled_Assessment[Component Impact Score],tblImpactScaled_Assessment[ActionID],tblImpactScaled_Summary[[#This Row],[ActionID]],tblImpactScaled_Assessment[Level 3 Component],"Exposure"))</calculatedColumnFormula>
    </tableColumn>
    <tableColumn id="7" xr3:uid="{E6D26F4F-6605-4759-A4CE-DB9AE3A8D71D}" name="Raw Action Impact Score" dataDxfId="487">
      <calculatedColumnFormula>IF(tblImpactScaled_Summary[[#This Row],[ActionID]]="","",SUM(tblImpactScaled_Summary[[#This Row],[Vulnerability Score]],tblImpactScaled_Summary[[#This Row],[Exposure Score]]))</calculatedColumnFormula>
    </tableColumn>
    <tableColumn id="8" xr3:uid="{ED343996-8D4B-45B6-900B-E84A9AF7BFFD}" name="Final Impact Score" dataDxfId="486">
      <calculatedColumnFormula>IF(tblImpactScaled_Summary[[#This Row],[ActionID]]="","",MIN(_xlfn.XLOOKUP("Maximum final score",$C$6:$C$19,$D$6:$D$19),tblImpactScaled_Summary[[#This Row],[Raw Action Impact Score]]))</calculatedColumnFormula>
    </tableColumn>
    <tableColumn id="9" xr3:uid="{5338425B-7228-4CBA-BE08-985A103B42E9}" name="Interpretation" dataDxfId="485">
      <calculatedColumnFormula>IF(tblImpactScaled_Summary[[#This Row],[ActionID]]="","",IF(tblImpactScaled_Summary[[#This Row],[Final Impact Score]]&gt;=0.75,"Very high impact",IF(tblImpactScaled_Summary[[#This Row],[Final Impact Score]]&gt;=0.5,"High impact",IF(tblImpactScaled_Summary[[#This Row],[Final Impact Score]]&gt;=0.25,"Medium impact",IF(tblImpactScaled_Summary[[#This Row],[Final Impact Score]]&gt;0,"Low impact","No impact")))))</calculatedColumnFormula>
    </tableColumn>
    <tableColumn id="10" xr3:uid="{E2D0FACF-81BF-4C92-BDC1-21410AA51AEE}" name="Overall confidence">
      <calculatedColumnFormula>IF(tblImpactScaled_Summary[[#This Row],[ActionID]]="","",IF(COUNTIFS(tblImpactScaled_Assessment[ActionID],tblImpactScaled_Summary[[#This Row],[ActionID]],tblImpactScaled_Assessment[Impacts Level 3?],"Yes")=0,"",IF(COUNTIFS(tblImpactScaled_Assessment[ActionID],tblImpactScaled_Summary[[#This Row],[ActionID]],tblImpactScaled_Assessment[Impacts Level 3?],"Yes",tblImpactScaled_Assessment[Confidence level],"Low")&gt;0,"Low",IF(COUNTIFS(tblImpactScaled_Assessment[ActionID],tblImpactScaled_Summary[[#This Row],[ActionID]],tblImpactScaled_Assessment[Impacts Level 3?],"Yes",tblImpactScaled_Assessment[Confidence level],"Medium")&gt;0,"Medium","High"))))</calculatedColumnFormula>
    </tableColumn>
    <tableColumn id="11" xr3:uid="{989BE73C-F715-4E1B-BA0B-ED87AA220573}" name="Maladaptation risk?">
      <calculatedColumnFormula>IF(tblImpactScaled_Summary[[#This Row],[ActionID]]="","",IF(COUNTIFS(tblImpactScaled_Assessment[ActionID],tblImpactScaled_Summary[[#This Row],[ActionID]],tblImpactScaled_Assessment[Maladaptation risk?],"Yes")&gt;0,"Yes","No"))</calculatedColumnFormula>
    </tableColumn>
    <tableColumn id="12" xr3:uid="{97A90A92-4252-435F-8814-A57D05652C2B}" name="Review status">
      <calculatedColumnFormula>IF(tblImpactScaled_Summary[[#This Row],[ActionID]]="","",IF(tblImpactScaled_Summary[[#This Row],[Maladaptation risk?]]="Yes","Maladaptation risk to review",IF(COUNTIFS(tblImpactScaled_Assessment[ActionID],tblImpactScaled_Summary[[#This Row],[ActionID]],tblImpactScaled_Assessment[Review status],"To review")&gt;0,"To review",IF(tblImpactScaled_Summary[[#This Row],[Final Impact Score]]=0,"No impact","Complete"))))</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6283196-226D-44FE-AD30-89ADEA89C01B}" name="tblEffectivenessParameters8" displayName="tblEffectivenessParameters8" ref="B5:C9" totalsRowShown="0">
  <autoFilter ref="B5:C9" xr:uid="{0F653D3A-B3AE-47FD-85DB-70AD316F53D8}"/>
  <tableColumns count="2">
    <tableColumn id="1" xr3:uid="{9304CA58-A94E-4DE7-9DED-2650C58FEB6F}" name="Parameter"/>
    <tableColumn id="2" xr3:uid="{6F551785-194E-44BA-BBFA-E67AE7DBA977}" name="Default value" dataDxfId="48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567CFD-48D8-484D-86B5-C6FB05229DA8}" name="tblSectorAssessmentSummary10" displayName="tblSectorAssessmentSummary10" ref="B69:O122" totalsRowShown="0" headerRowDxfId="483">
  <autoFilter ref="B69:O122" xr:uid="{38AC34A0-E50A-4B5A-A146-9EB541F57521}"/>
  <tableColumns count="14">
    <tableColumn id="1" xr3:uid="{35D9F735-18FC-4D81-A7D6-16CC2B75A90B}" name="ActionID"/>
    <tableColumn id="2" xr3:uid="{E08BEC17-7C0A-4C76-8F23-FB67C658CBEB}" name="ActionName"/>
    <tableColumn id="3" xr3:uid="{8C0A60FA-C130-4782-ACBF-1AE42656AACE}" name="Water Resources - Vulnerability" dataCellStyle="Milliers">
      <calculatedColumnFormula>IFERROR(_xlfn.XLOOKUP(_xlfn.XLOOKUP(tblSectorAssessmentSummary10[[#This Row],[ActionID]],$B$161:$B$213,$E$161:$E$213,""),tblEffectivenessParameters8[Parameter],tblEffectivenessParameters8[Default value],""),"")</calculatedColumnFormula>
    </tableColumn>
    <tableColumn id="4" xr3:uid="{7A2BE21A-E3BC-40A2-9597-492C95D22BE3}" name="Water Resources - Exposure" dataCellStyle="Milliers">
      <calculatedColumnFormula>IFERROR(_xlfn.XLOOKUP(_xlfn.XLOOKUP(tblSectorAssessmentSummary10[[#This Row],[ActionID]],$B$161:$B$213,$G$161:$G$213,""),tblEffectivenessParameters8[Parameter],tblEffectivenessParameters8[Default value],""),"")</calculatedColumnFormula>
    </tableColumn>
    <tableColumn id="5" xr3:uid="{913B1DEC-5A1A-4CC8-B6B3-D6F6DBA13BC8}" name="Food Security - Vulnerability" dataCellStyle="Milliers">
      <calculatedColumnFormula>IFERROR(_xlfn.XLOOKUP(_xlfn.XLOOKUP(tblSectorAssessmentSummary10[[#This Row],[ActionID]],$B$252:$B$304,$E$252:$E$304,""),tblEffectivenessParameters8[Parameter],tblEffectivenessParameters8[Default value],""),"")</calculatedColumnFormula>
    </tableColumn>
    <tableColumn id="6" xr3:uid="{8A1D6D6A-951F-42E8-AC31-C62FE5AEAFA6}" name="Food Security - Exposure" dataCellStyle="Milliers">
      <calculatedColumnFormula>IFERROR(_xlfn.XLOOKUP(_xlfn.XLOOKUP(tblSectorAssessmentSummary10[[#This Row],[ActionID]],$B$252:$B$304,$G$252:$G$304,""),tblEffectivenessParameters8[Parameter],tblEffectivenessParameters8[Default value],""),"")</calculatedColumnFormula>
    </tableColumn>
    <tableColumn id="7" xr3:uid="{471B3A7B-E3CD-479E-AA18-FBDB872FA1E8}" name="Energy Security - Vulnerability" dataCellStyle="Milliers">
      <calculatedColumnFormula>IFERROR(_xlfn.XLOOKUP(_xlfn.XLOOKUP(tblSectorAssessmentSummary10[[#This Row],[ActionID]],$B$343:$B$395,$E$343:$E$395,""),tblEffectivenessParameters8[Parameter],tblEffectivenessParameters8[Default value],""),"")</calculatedColumnFormula>
    </tableColumn>
    <tableColumn id="8" xr3:uid="{9C47DCBC-6D06-4B58-80CB-6A239893686F}" name="Energy Security - Exposure" dataCellStyle="Milliers">
      <calculatedColumnFormula>IFERROR(_xlfn.XLOOKUP(_xlfn.XLOOKUP(tblSectorAssessmentSummary10[[#This Row],[ActionID]],$B$343:$B$395,$G$343:$G$395,""),tblEffectivenessParameters8[Parameter],tblEffectivenessParameters8[Default value],""),"")</calculatedColumnFormula>
    </tableColumn>
    <tableColumn id="9" xr3:uid="{929B82C5-FBF8-493A-A40E-11D3F47B3FD2}" name="Health - Vulnerability" dataCellStyle="Milliers">
      <calculatedColumnFormula>IFERROR(_xlfn.XLOOKUP(_xlfn.XLOOKUP(tblSectorAssessmentSummary10[[#This Row],[ActionID]],$B$434:$B$486,$E$434:$E$486,""),tblEffectivenessParameters8[Parameter],tblEffectivenessParameters8[Default value],""),"")</calculatedColumnFormula>
    </tableColumn>
    <tableColumn id="10" xr3:uid="{47B07D62-C877-4F96-B73C-CFA0AC2260DC}" name="Health - Exposure" dataCellStyle="Milliers">
      <calculatedColumnFormula>IFERROR(_xlfn.XLOOKUP(_xlfn.XLOOKUP(tblSectorAssessmentSummary10[[#This Row],[ActionID]],$B$434:$B$486,$G$434:$G$486,""),tblEffectivenessParameters8[Parameter],tblEffectivenessParameters8[Default value],""),"")</calculatedColumnFormula>
    </tableColumn>
    <tableColumn id="11" xr3:uid="{4C6B4BE9-096C-42A2-9E02-4B8ABC2B618A}" name="Geohydrological Disasters - Vulnerability" dataCellStyle="Milliers">
      <calculatedColumnFormula>IFERROR(_xlfn.XLOOKUP(_xlfn.XLOOKUP(tblSectorAssessmentSummary10[[#This Row],[ActionID]],$B$525:$B$577,$E$525:$E$577,""),tblEffectivenessParameters8[Parameter],tblEffectivenessParameters8[Default value],""),"")</calculatedColumnFormula>
    </tableColumn>
    <tableColumn id="12" xr3:uid="{AD8C65B9-CDB2-4858-8E96-1BD5545D6E06}" name="Geohydrological Disasters - Exposure" dataCellStyle="Milliers">
      <calculatedColumnFormula>IFERROR(_xlfn.XLOOKUP(_xlfn.XLOOKUP(tblSectorAssessmentSummary10[[#This Row],[ActionID]],$B$525:$B$577,$G$525:$G$577,""),tblEffectivenessParameters8[Parameter],tblEffectivenessParameters8[Default value],""),"")</calculatedColumnFormula>
    </tableColumn>
    <tableColumn id="13" xr3:uid="{DA272781-0636-4152-8A67-8C8CF8A299E9}" name="Biodiversity - Vulnerability" dataCellStyle="Milliers">
      <calculatedColumnFormula>IFERROR(_xlfn.XLOOKUP(_xlfn.XLOOKUP(tblSectorAssessmentSummary10[[#This Row],[ActionID]],$B$616:$B$668,$E$616:$E$668,""),tblEffectivenessParameters8[Parameter],tblEffectivenessParameters8[Default value],""),"")</calculatedColumnFormula>
    </tableColumn>
    <tableColumn id="14" xr3:uid="{5E9E7BBF-EB9F-4078-AC61-1EEC0C02312E}" name="Biodiversity - Exposure" dataCellStyle="Milliers">
      <calculatedColumnFormula>IFERROR(_xlfn.XLOOKUP(_xlfn.XLOOKUP(tblSectorAssessmentSummary10[[#This Row],[ActionID]],$B$616:$B$668,$G$616:$G$668,""),tblEffectivenessParameters8[Parameter],tblEffectivenessParameters8[Default value],""),"")</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7892B8-68C1-4F87-BB60-2AB9F5612CA5}" name="tblSectorAssessmentSummary1011" displayName="tblSectorAssessmentSummary1011" ref="B12:I65" totalsRowShown="0" headerRowDxfId="482">
  <autoFilter ref="B12:I65" xr:uid="{BC7892B8-68C1-4F87-BB60-2AB9F5612CA5}"/>
  <tableColumns count="8">
    <tableColumn id="1" xr3:uid="{B11FF3D9-FA91-44E3-BF16-73B6F2969A5E}" name="ActionID"/>
    <tableColumn id="2" xr3:uid="{E4287F39-C3EE-45EB-BB89-CC35A4350444}" name="ActionName"/>
    <tableColumn id="3" xr3:uid="{793DEE1B-581A-42E9-A5D7-7CFF96E8D32D}" name="Water Resources" dataDxfId="481">
      <calculatedColumnFormula>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calculatedColumnFormula>
    </tableColumn>
    <tableColumn id="4" xr3:uid="{D4C09D11-FA0D-45F6-A036-9568E88526BE}" name="Food Security" dataDxfId="480">
      <calculatedColumnFormula>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calculatedColumnFormula>
    </tableColumn>
    <tableColumn id="5" xr3:uid="{7EA5CEF0-AD56-4AFD-8201-96F1C2D899A3}" name="Energy Security" dataDxfId="479">
      <calculatedColumnFormula>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calculatedColumnFormula>
    </tableColumn>
    <tableColumn id="6" xr3:uid="{E03B3AFF-5F4B-49DF-B6C9-231BDAE309E6}" name="Health" dataDxfId="478">
      <calculatedColumnFormula>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calculatedColumnFormula>
    </tableColumn>
    <tableColumn id="7" xr3:uid="{741F6DCF-20F8-4719-A081-7F83FED958A9}" name="Geohydrological Disasters" dataDxfId="477">
      <calculatedColumnFormula>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calculatedColumnFormula>
    </tableColumn>
    <tableColumn id="8" xr3:uid="{82E87D90-FE9B-4251-BED3-839442204839}" name="Biodiversity" dataDxfId="476">
      <calculatedColumnFormula>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A76101-E02E-4BE3-AEFE-518296580B8E}" name="Table24" displayName="Table24" ref="A2:J55" headerRowDxfId="475">
  <autoFilter ref="A2:J55" xr:uid="{00000000-0009-0000-0100-000001000000}">
    <filterColumn colId="1">
      <filters>
        <filter val="Create an Environmental Health Surveillance Program related to Populations Exposed to Air Pollution, Noise Pollution, Water Pollution, and Soil Pollution."/>
        <filter val="Improve Efficient water use/demand"/>
        <filter val="Improve urban water management"/>
        <filter val="Improve Watershed Protection and Management"/>
        <filter val="Increase Water Capture and Storage"/>
        <filter val="Promote water-saving technologies and practices"/>
        <filter val="Reform water tariffs to support efficiency and equity"/>
      </filters>
    </filterColumn>
  </autoFilter>
  <tableColumns count="10">
    <tableColumn id="1" xr3:uid="{ECB84BDF-1488-4250-8251-6F47985926C6}" name="ActionID"/>
    <tableColumn id="2" xr3:uid="{B28BD6DF-7285-4566-94C2-6CDEC642C2B1}" name="ActionName"/>
    <tableColumn id="3" xr3:uid="{261AD193-EF87-43FE-8BED-C1392BE0F2BF}" name="Description"/>
    <tableColumn id="4" xr3:uid="{BD81C65B-F23C-4B88-871D-177E63A268B7}" name="ActionSubcategory"/>
    <tableColumn id="5" xr3:uid="{50FD1CFC-9397-4713-946D-B97C4F08203F}" name="ActionType"/>
    <tableColumn id="6" xr3:uid="{ACBEDC74-4DA9-4860-AF24-3A203762E789}" name="AdaptationEffectiveness"/>
    <tableColumn id="7" xr3:uid="{5F0ADBC4-4694-447D-AC32-F368FC3BE676}" name="CoBenefits"/>
    <tableColumn id="8" xr3:uid="{00A45A19-5EC3-4D4B-9D81-CE60301D0995}" name="CostInvestmentNeeded"/>
    <tableColumn id="9" xr3:uid="{4AFA6169-042A-4275-97A9-E40430713E6A}" name="TimelineForImplementation"/>
    <tableColumn id="10" xr3:uid="{BC55AD60-C846-441D-94A4-CA53F7C133C0}" name="Hazards"/>
  </tableColumns>
  <tableStyleInfo name="Sheet1-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13">
  <tableColumns count="2">
    <tableColumn id="1" xr3:uid="{00000000-0010-0000-0000-000001000000}" name="sector_name"/>
    <tableColumn id="2" xr3:uid="{00000000-0010-0000-0000-000002000000}" name="risk_name"/>
  </tableColumns>
  <tableStyleInfo name="sector_risk-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O246" headerRowDxfId="474">
  <autoFilter ref="A1:O246" xr:uid="{00000000-0009-0000-0100-000002000000}"/>
  <tableColumns count="15">
    <tableColumn id="1" xr3:uid="{00000000-0010-0000-0100-000001000000}" name="sector_id"/>
    <tableColumn id="2" xr3:uid="{00000000-0010-0000-0100-000002000000}" name="sector_name"/>
    <tableColumn id="3" xr3:uid="{00000000-0010-0000-0100-000003000000}" name="risk_id"/>
    <tableColumn id="4" xr3:uid="{00000000-0010-0000-0100-000004000000}" name="risk_name"/>
    <tableColumn id="5" xr3:uid="{00000000-0010-0000-0100-000005000000}" name="risk_component_id"/>
    <tableColumn id="6" xr3:uid="{00000000-0010-0000-0100-000006000000}" name="risk_component_name"/>
    <tableColumn id="7" xr3:uid="{00000000-0010-0000-0100-000007000000}" name="impact_chain_id_1"/>
    <tableColumn id="8" xr3:uid="{00000000-0010-0000-0100-000008000000}" name="impact_chain_name_1"/>
    <tableColumn id="9" xr3:uid="{00000000-0010-0000-0100-000009000000}" name="impact_chain_id_2"/>
    <tableColumn id="10" xr3:uid="{00000000-0010-0000-0100-00000A000000}" name="impact_chain_name_2"/>
    <tableColumn id="11" xr3:uid="{00000000-0010-0000-0100-00000B000000}" name="impact_chain_id_3"/>
    <tableColumn id="12" xr3:uid="{00000000-0010-0000-0100-00000C000000}" name="impact_chain_name_3"/>
    <tableColumn id="13" xr3:uid="{00000000-0010-0000-0100-00000D000000}" name="base_indicator_id"/>
    <tableColumn id="14" xr3:uid="{00000000-0010-0000-0100-00000E000000}" name="base_indicator_name"/>
    <tableColumn id="15" xr3:uid="{00000000-0010-0000-0100-00000F000000}" name="base_indicator_level"/>
  </tableColumns>
  <tableStyleInfo name="all_indicators-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C2C0D3-ADC9-472C-B0A1-EBAA65565A13}" name="Table15" displayName="Table15" ref="A1:H16">
  <tableColumns count="8">
    <tableColumn id="1" xr3:uid="{1FED05B9-BA35-4386-99DF-12B285C65C8F}" name="dataset"/>
    <tableColumn id="2" xr3:uid="{E2B7FAA5-A0C0-4C61-8EF2-6791447259D3}" name="layer"/>
    <tableColumn id="3" xr3:uid="{E8EC1815-6DB2-4DA8-98A2-75869545D236}" name="feeds"/>
    <tableColumn id="4" xr3:uid="{50ECA52E-241A-439D-BF55-192DE5D35A70}" name="publisher"/>
    <tableColumn id="5" xr3:uid="{4D391499-09A0-4C45-88DC-9D71AB010100}" name="url"/>
    <tableColumn id="6" xr3:uid="{EC653D4A-8B86-4025-BBFC-58B1DA2E83E4}" name="access"/>
    <tableColumn id="7" xr3:uid="{47D08DED-44B1-4E13-B23D-B4F4B6FEFE79}" name="coverage"/>
    <tableColumn id="8" xr3:uid="{92AA58EF-64A2-4EC1-8FBD-A7218B0E9030}" name="notes"/>
  </tableColumns>
  <tableStyleInfo name="Sheet1-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A81DC70-B9F2-4D73-A378-CA9EC09F787D}" name="Table16" displayName="Table16" ref="A1:E11">
  <tableColumns count="5">
    <tableColumn id="1" xr3:uid="{4F3C4212-69DB-43B5-9DBC-5807683941B1}" name="field"/>
    <tableColumn id="2" xr3:uid="{217B0086-0ADC-4167-A7C5-CB5B255AD582}" name="meaning"/>
    <tableColumn id="3" xr3:uid="{DB69AB44-EF5E-47A8-AD8A-34CBC482390A}" name="allowed_values"/>
    <tableColumn id="4" xr3:uid="{3C16FCFD-896B-4EC8-978A-66297B824280}" name="example_enabled (icare_0154)"/>
    <tableColumn id="5" xr3:uid="{C07F28CE-31F3-44AE-8CB6-8DB859F473B6}" name="example_conditional (c40_0046)"/>
  </tableColumns>
  <tableStyleInfo name="Sheet1-style"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C41373-30A4-49F0-BB32-675280D3F6D9}" name="Table17" displayName="Table17" ref="A1:G11">
  <tableColumns count="7">
    <tableColumn id="1" xr3:uid="{DAF47361-1520-48F0-819D-CBE2F0655102}" name="doc_id"/>
    <tableColumn id="2" xr3:uid="{8C70894A-BEB2-4E60-85D1-C1FF456AEF23}" name="document"/>
    <tableColumn id="3" xr3:uid="{BBC4C552-5359-4F9E-B284-BA499960D72A}" name="documento_pt"/>
    <tableColumn id="4" xr3:uid="{DB802987-BC36-42D2-A5F0-BE273C1B73C6}" name="doc_type"/>
    <tableColumn id="5" xr3:uid="{BA9AA60E-9E2F-43C5-ACD9-3C49EBAABF79}" name="adaptabrasil_sector"/>
    <tableColumn id="6" xr3:uid="{9ED926B5-403D-4F85-9E1D-FB9F39BBA353}" name="publisher"/>
    <tableColumn id="7" xr3:uid="{B797E49E-6DC0-4053-A30B-FFA73FD58AB8}" name="url_public_mirror"/>
  </tableColumns>
  <tableStyleInfo name="Sheet1-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A110E75-EBDB-464E-9E04-5DA596C9892A}" name="tbl_FS_SourceIdentification" displayName="tbl_FS_SourceIdentification" ref="B93:G105" totalsRowShown="0" headerRowDxfId="363" dataDxfId="362">
  <autoFilter ref="B93:G105" xr:uid="{FC6DEAAA-FD5B-4D8F-8A28-B9291A1E253E}"/>
  <tableColumns count="6">
    <tableColumn id="1" xr3:uid="{CD5966E7-8CE2-4BCF-BC6C-28A3290BCAC8}" name="Source ID" dataDxfId="369"/>
    <tableColumn id="2" xr3:uid="{4A792CA3-BEC8-46C0-A662-5AD51F7860E1}" name="Geographic scope" dataDxfId="368"/>
    <tableColumn id="3" xr3:uid="{9DA55C45-D2CD-4AF8-8B73-CCB7C685C2DE}" name="Document title" dataDxfId="367"/>
    <tableColumn id="4" xr3:uid="{57453B3D-370D-48F4-8134-AB4C8C5F75AC}" name="Issuing institution" dataDxfId="366"/>
    <tableColumn id="5" xr3:uid="{682C843E-317A-48F6-85CB-86AFE8EBCDB0}" name="Publication year" dataDxfId="365"/>
    <tableColumn id="6" xr3:uid="{79EE9E70-6E60-4E2C-B163-45CFCBA78710}" name="PDF file" dataDxfId="364"/>
  </tableColumns>
  <tableStyleInfo name="TableStyleMedium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E7BA2D5-276B-459D-AD52-8DA737059751}" name="tbl_FS_Assessment" displayName="tbl_FS_Assessment" ref="B118:Z171" totalsRowShown="0" headerRowDxfId="336" dataDxfId="335">
  <autoFilter ref="B118:Z171" xr:uid="{8A93EFE6-8611-45E6-87F1-5CABFC7755DB}"/>
  <tableColumns count="25">
    <tableColumn id="1" xr3:uid="{704B49B2-6332-4309-814C-83FCF501D14A}" name="ActionID" dataDxfId="361"/>
    <tableColumn id="2" xr3:uid="{05B99545-309E-4FC6-B9FA-F4C21A644837}" name="ActionName" dataDxfId="360"/>
    <tableColumn id="3" xr3:uid="{B5E8EE4E-DE41-422F-883B-50208DF7786F}" name="ActionDefinition" dataDxfId="359"/>
    <tableColumn id="20" xr3:uid="{76C51A9F-57FC-4C01-A95B-B88188EBAE2F}" name="Vulnerability Eligibility" dataDxfId="358"/>
    <tableColumn id="21" xr3:uid="{51FDE141-C663-4238-9D04-573CEE4AA7A2}" name="Vulnerability Eligibility Justification" dataDxfId="357"/>
    <tableColumn id="25" xr3:uid="{27DABBCE-2061-41A3-882E-36E211A93ABF}" name="Vulnerability Evidence Count" dataDxfId="356"/>
    <tableColumn id="4" xr3:uid="{B44B2F25-11B3-4093-B262-A7D2ACEDE402}" name="Effectiveness on Vulnerability" dataDxfId="355"/>
    <tableColumn id="5" xr3:uid="{8ADDF6A6-CC99-488C-9F6D-4553E63BB752}" name="Vulnerability Indicators" dataDxfId="354"/>
    <tableColumn id="6" xr3:uid="{6ED19C1D-BD6C-49D9-941F-0C5A9E52671F}" name="Vulnerability Justification" dataDxfId="353"/>
    <tableColumn id="7" xr3:uid="{FFA5013F-D814-492C-9E96-1ACF2D2D8712}" name="Vulnerability EvidenceID" dataDxfId="352"/>
    <tableColumn id="8" xr3:uid="{6CD49935-DE28-4858-B952-4E1921A676EA}" name="Source Vulnerability" dataDxfId="351"/>
    <tableColumn id="9" xr3:uid="{8DF7E898-CF16-496B-A2D4-8CCD1D8E59E5}" name="Vulnerability Page" dataDxfId="350"/>
    <tableColumn id="10" xr3:uid="{A8205706-3655-472A-B63C-F73ABA7FAA4B}" name="Vulnerability Quote" dataDxfId="349"/>
    <tableColumn id="22" xr3:uid="{3A64E2C3-016A-4CAA-8E17-568C889E3B52}" name="Exposure Eligibility" dataDxfId="348"/>
    <tableColumn id="23" xr3:uid="{2A104386-DCA8-4FF4-97C7-81BA9DDDF5B6}" name="Exposure Eligibility Justification" dataDxfId="347"/>
    <tableColumn id="27" xr3:uid="{16B8CBC6-F7B4-4D5F-AF8E-497657254F6C}" name="Exposure Evidence Count" dataDxfId="346"/>
    <tableColumn id="11" xr3:uid="{2797D04A-F832-4CFA-BCDE-C84D6A4DD499}" name="Effectiveness on Exposure" dataDxfId="345"/>
    <tableColumn id="12" xr3:uid="{F7997793-C1F1-4163-B63D-0CDBFFA6B53D}" name="Exposure Indicators" dataDxfId="344"/>
    <tableColumn id="13" xr3:uid="{4EA05C2E-FB7D-41A7-9AE2-398A244B359A}" name="Exposure Justification" dataDxfId="343"/>
    <tableColumn id="14" xr3:uid="{96C38031-2EDA-4545-A12D-5AD21A1D04F1}" name="Exposure EvidenceID" dataDxfId="342"/>
    <tableColumn id="15" xr3:uid="{BF2A6B57-2AD1-4BC3-8D54-F3B5510321B9}" name="Source Exposure" dataDxfId="341"/>
    <tableColumn id="16" xr3:uid="{BE157F0F-E7F8-4256-9413-E66D964A4FFB}" name="Exposure Page" dataDxfId="340"/>
    <tableColumn id="17" xr3:uid="{2C3D3F72-314C-434E-A04C-B1F1BBAA6B4B}" name="Exposure Quote" dataDxfId="339"/>
    <tableColumn id="18" xr3:uid="{B2453A25-ECD4-44C1-A54F-CF66074C7A5D}" name="ReviewStatus" dataDxfId="338"/>
    <tableColumn id="19" xr3:uid="{A96BED96-F9DD-46B2-8184-EE6712CDA4D0}" name="ReviewerComment" dataDxfId="337"/>
  </tableColumns>
  <tableStyleInfo name="TableStyleLight1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A16D673-7451-4708-85A4-D62FC23994AE}" name="tbl_FS_AdditionalActions" displayName="tbl_FS_AdditionalActions" ref="B178:Z188" totalsRowShown="0" headerRowDxfId="309" dataDxfId="308">
  <autoFilter ref="B178:Z188" xr:uid="{2BC4587F-8C90-432E-981D-36AD588ED370}"/>
  <tableColumns count="25">
    <tableColumn id="1" xr3:uid="{F30AC8E5-1EFA-44FB-A2BB-D833D6912BCC}" name="AdditionalActionID" dataDxfId="334"/>
    <tableColumn id="2" xr3:uid="{85122129-6714-4CF7-92A6-EBB0DA94780B}" name="ActionName" dataDxfId="333"/>
    <tableColumn id="3" xr3:uid="{2EB2DC82-472C-471A-8C9F-59636258602E}" name="ActionDefinition" dataDxfId="332"/>
    <tableColumn id="20" xr3:uid="{65F1571A-31A8-4B60-ABE1-7C88721B6F1F}" name="Vulnerability Eligibility" dataDxfId="331"/>
    <tableColumn id="21" xr3:uid="{54DF7064-87B4-4990-96D6-CE3B15957B9A}" name="Vulnerability Eligibility Justification" dataDxfId="330"/>
    <tableColumn id="25" xr3:uid="{EBC44C3E-3EF4-4B2E-A808-728DF94B9527}" name="Vulnerability Evidence Count" dataDxfId="329"/>
    <tableColumn id="4" xr3:uid="{6949673A-DBE5-41CE-BA08-23E912052275}" name="Effectiveness on Vulnerability" dataDxfId="328"/>
    <tableColumn id="5" xr3:uid="{8CD32C91-5BA6-4B4D-BB87-68632612CA63}" name="Vulnerability Indicators" dataDxfId="327"/>
    <tableColumn id="6" xr3:uid="{7D0F4B4F-BFB6-4D41-9DD4-6F7E3EC2A8E8}" name="Vulnerability Justification" dataDxfId="326"/>
    <tableColumn id="7" xr3:uid="{493106C6-2FC7-4B8A-A7BB-F5CAE2EADDAC}" name="Vulnerability EvidenceID" dataDxfId="325"/>
    <tableColumn id="8" xr3:uid="{A950823C-ED09-4676-884E-2B3FF8DC8734}" name="Source Vulnerability" dataDxfId="324"/>
    <tableColumn id="9" xr3:uid="{2F37CDAD-9A00-4482-8C7A-541C25282E5B}" name="Vulnerability Page" dataDxfId="323"/>
    <tableColumn id="10" xr3:uid="{E43F0E49-F29E-40C4-A530-4B6FB03F5CE1}" name="Vulnerability Quote" dataDxfId="322"/>
    <tableColumn id="22" xr3:uid="{8D0EF16E-1C62-46ED-ABDC-BB34E90EA6B3}" name="Exposure Eligibility" dataDxfId="321"/>
    <tableColumn id="23" xr3:uid="{5C798D64-D625-48E2-84B5-FF014EBC01F5}" name="Exposure Eligibility Justification" dataDxfId="320"/>
    <tableColumn id="27" xr3:uid="{06015A32-7D28-4819-A383-EE54370C2F8B}" name="Exposure Evidence Count" dataDxfId="319"/>
    <tableColumn id="11" xr3:uid="{39C17A27-6C61-4983-A085-277CE5A7F850}" name="Effectiveness on Exposure" dataDxfId="318"/>
    <tableColumn id="12" xr3:uid="{53EC6AD1-0142-4BF1-BC58-C59FD7734FBE}" name="Exposure Indicators" dataDxfId="317"/>
    <tableColumn id="13" xr3:uid="{2F7E7751-7F31-4F9B-A5AF-6FCD6C20ADEA}" name="Exposure Justification" dataDxfId="316"/>
    <tableColumn id="14" xr3:uid="{CE602577-C68C-452C-B166-C4BBADF0BAC0}" name="Exposure EvidenceID" dataDxfId="315"/>
    <tableColumn id="15" xr3:uid="{E2CD5505-8444-4885-8E84-8473C4D306C6}" name="Source Exposure" dataDxfId="314"/>
    <tableColumn id="16" xr3:uid="{AC80E433-4329-459F-96FA-6BC15EEE7813}" name="Exposure Page" dataDxfId="313"/>
    <tableColumn id="17" xr3:uid="{E92E4C89-F921-4E33-822A-5FBBC3019A9F}" name="Exposure Quote" dataDxfId="312"/>
    <tableColumn id="18" xr3:uid="{EADB1717-405A-4351-AD6D-1763F166260B}" name="ReviewStatus" dataDxfId="311"/>
    <tableColumn id="19" xr3:uid="{C0CD45D0-C3F8-48DC-9CB5-512240FFBAAC}" name="ReviewerComment" dataDxfId="310"/>
  </tableColumns>
  <tableStyleInfo name="TableStyleLight15"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7E7BF27-BC10-4756-8301-B3DAE022EAB2}" name="tbl_FS_EligibilitySummary" displayName="tbl_FS_EligibilitySummary" ref="B7:K70" totalsRowShown="0" headerRowDxfId="297" dataDxfId="296">
  <autoFilter ref="B7:K70" xr:uid="{F8B36430-B3AF-4EA5-8F7E-D87D145D149E}"/>
  <tableColumns count="10">
    <tableColumn id="1" xr3:uid="{BFC8746F-EFCA-4D0E-8F42-8DA3FD20CD94}" name="Record Type" dataDxfId="307">
      <calculatedColumnFormula array="1">IF(ROW()-ROW(tbl_FS_EligibilitySummary[#Headers])&lt;=ROWS(tbl_FS_Assessment[ActionID]),"Existing action","Additional action")</calculatedColumnFormula>
    </tableColumn>
    <tableColumn id="2" xr3:uid="{C72C16C7-ABC0-4B55-AD84-4F0EDB579095}" name="Action ID" dataDxfId="306">
      <calculatedColumnFormula array="1">IF(ROW()-ROW(tbl_FS_EligibilitySummary[#Headers])&lt;=ROWS(tbl_FS_Assessment[ActionID]),INDEX(tbl_FS_Assessment[ActionID],ROW()-ROW(tbl_FS_EligibilitySummary[#Headers])),INDEX(tbl_FS_AdditionalActions[AdditionalActionID],ROW()-ROW(tbl_FS_EligibilitySummary[#Headers])-ROWS(tbl_FS_Assessment[ActionID])))</calculatedColumnFormula>
    </tableColumn>
    <tableColumn id="3" xr3:uid="{945A7CBD-AE56-4773-90A4-924B9FEF6E9F}" name="Action Name" dataDxfId="305">
      <calculatedColumnFormula array="1">IF(ROW()-ROW(tbl_FS_EligibilitySummary[#Headers])&lt;=ROWS(tbl_FS_Assessment[ActionID]),INDEX(tbl_FS_Assessment[ActionName],ROW()-ROW(tbl_FS_EligibilitySummary[#Headers])),INDEX(tbl_FS_AdditionalActions[ActionName],ROW()-ROW(tbl_FS_EligibilitySummary[#Headers])-ROWS(tbl_FS_Assessment[ActionID])))</calculatedColumnFormula>
    </tableColumn>
    <tableColumn id="4" xr3:uid="{31CD3F3A-3CF1-431F-89D6-2D33CD4E3F30}" name="Vulnerability Eligibility" dataDxfId="304">
      <calculatedColumnFormula array="1">IF(ROW()-ROW(tbl_FS_EligibilitySummary[#Headers])&lt;=ROWS(tbl_FS_Assessment[ActionID]),INDEX(tbl_FS_Assessment[Vulnerability Eligibility],ROW()-ROW(tbl_FS_EligibilitySummary[#Headers])),INDEX(tbl_FS_AdditionalActions[Vulnerability Eligibility],ROW()-ROW(tbl_FS_EligibilitySummary[#Headers])-ROWS(tbl_FS_Assessment[ActionID])))</calculatedColumnFormula>
    </tableColumn>
    <tableColumn id="5" xr3:uid="{53CF6F4C-2021-4918-804A-60D73D00A1F7}" name="Vulnerability Evidence Count" dataDxfId="303">
      <calculatedColumnFormula array="1">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calculatedColumnFormula>
    </tableColumn>
    <tableColumn id="6" xr3:uid="{C9A7C593-2A9C-4E34-A078-A8C8E4BE8213}" name="Vulnerability Effectiveness" dataDxfId="302">
      <calculatedColumnFormula array="1">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calculatedColumnFormula>
    </tableColumn>
    <tableColumn id="7" xr3:uid="{99A30476-187A-4F1C-87CE-91F2FA13D199}" name="Exposure Eligibility" dataDxfId="301">
      <calculatedColumnFormula array="1">IF(ROW()-ROW(tbl_FS_EligibilitySummary[#Headers])&lt;=ROWS(tbl_FS_Assessment[ActionID]),INDEX(tbl_FS_Assessment[Exposure Eligibility],ROW()-ROW(tbl_FS_EligibilitySummary[#Headers])),INDEX(tbl_FS_AdditionalActions[Exposure Eligibility],ROW()-ROW(tbl_FS_EligibilitySummary[#Headers])-ROWS(tbl_FS_Assessment[ActionID])))</calculatedColumnFormula>
    </tableColumn>
    <tableColumn id="8" xr3:uid="{C678C6B6-5CFC-468B-9051-A65CEBB35D8D}" name="Exposure Evidence Count" dataDxfId="300">
      <calculatedColumnFormula array="1">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calculatedColumnFormula>
    </tableColumn>
    <tableColumn id="9" xr3:uid="{07DBE1E8-9575-48AC-AB7B-596E3EFB6C5F}" name="Exposure Effectiveness" dataDxfId="299">
      <calculatedColumnFormula array="1">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calculatedColumnFormula>
    </tableColumn>
    <tableColumn id="10" xr3:uid="{E8FF70C2-E684-4EFF-AEF3-4D0A7EC56092}" name="ReviewStatus" dataDxfId="298">
      <calculatedColumnFormula array="1">IF(ROW()-ROW(tbl_FS_EligibilitySummary[#Headers])&lt;=ROWS(tbl_FS_Assessment[ActionID]),INDEX(tbl_FS_Assessment[ReviewStatus],ROW()-ROW(tbl_FS_EligibilitySummary[#Headers])),INDEX(tbl_FS_AdditionalActions[ReviewStatus],ROW()-ROW(tbl_FS_EligibilitySummary[#Headers])-ROWS(tbl_FS_Assessment[ActionID])))</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BFB3A75-354C-4CFE-A035-E7E5A8B7DCB1}" name="tbl_B_SourceIdentification" displayName="tbl_B_SourceIdentification" ref="B93:G105" totalsRowShown="0" headerRowDxfId="437" dataDxfId="436">
  <autoFilter ref="B93:G105" xr:uid="{FC6DEAAA-FD5B-4D8F-8A28-B9291A1E253E}"/>
  <tableColumns count="6">
    <tableColumn id="1" xr3:uid="{6BDC1803-D36F-4B85-A845-428548CEC743}" name="Source ID" dataDxfId="443"/>
    <tableColumn id="2" xr3:uid="{1BFA1816-4E2A-4879-A994-453A81FCF921}" name="Geographic scope" dataDxfId="442"/>
    <tableColumn id="3" xr3:uid="{9B6104E6-520C-4A55-8BAE-4792E0E4B746}" name="Document title" dataDxfId="441"/>
    <tableColumn id="4" xr3:uid="{082DDEA1-A7E6-4FC5-9954-0FFB57AE84CB}" name="Issuing institution" dataDxfId="440"/>
    <tableColumn id="5" xr3:uid="{88E381C2-8D52-4BA4-9C6F-57ED81B0A5A3}" name="Publication year" dataDxfId="439"/>
    <tableColumn id="6" xr3:uid="{AA5B692B-EF42-4596-B811-745951A00998}" name="PDF file" dataDxfId="438"/>
  </tableColumns>
  <tableStyleInfo name="TableStyleMedium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CE6CD6A-04E1-4641-ABF8-DED8342A0806}" name="tbl_B_Assessment" displayName="tbl_B_Assessment" ref="B118:Z171" totalsRowShown="0" headerRowDxfId="410" dataDxfId="409">
  <autoFilter ref="B118:Z171" xr:uid="{8A93EFE6-8611-45E6-87F1-5CABFC7755DB}"/>
  <tableColumns count="25">
    <tableColumn id="1" xr3:uid="{5D002C68-5337-49E2-9577-439BF045B5B6}" name="ActionID" dataDxfId="435"/>
    <tableColumn id="2" xr3:uid="{580BBC7E-0588-4531-A14D-36AC0E84D313}" name="ActionName" dataDxfId="434"/>
    <tableColumn id="3" xr3:uid="{DD7EF0FB-A1E1-40DD-92AE-3A444161DE2A}" name="ActionDefinition" dataDxfId="433"/>
    <tableColumn id="20" xr3:uid="{A6376D25-730D-43BB-AE11-BC77E8DABDD6}" name="Vulnerability Eligibility" dataDxfId="432"/>
    <tableColumn id="21" xr3:uid="{0D712659-3599-4459-8902-24527134FB23}" name="Vulnerability Eligibility Justification" dataDxfId="431"/>
    <tableColumn id="25" xr3:uid="{AC3EFE55-9544-4F2E-81CC-B167F8B601C6}" name="Vulnerability Evidence Count" dataDxfId="430"/>
    <tableColumn id="4" xr3:uid="{F598F113-6E4D-4BF6-8165-D94CB59672D0}" name="Effectiveness on Vulnerability" dataDxfId="429"/>
    <tableColumn id="5" xr3:uid="{F56211FE-1DDB-4DED-A7EC-6EE7F4EE927C}" name="Vulnerability Indicators" dataDxfId="428"/>
    <tableColumn id="6" xr3:uid="{A2A962DE-FC71-4C4B-BAA9-9D3525B1FDCF}" name="Vulnerability Justification" dataDxfId="427"/>
    <tableColumn id="7" xr3:uid="{D65D233E-E9CB-4428-AAD6-C111101DD9B9}" name="Vulnerability EvidenceID" dataDxfId="426"/>
    <tableColumn id="8" xr3:uid="{A3607BAC-476B-4B89-8943-1C470F00897E}" name="Source Vulnerability" dataDxfId="425"/>
    <tableColumn id="9" xr3:uid="{48AE0862-3B6E-4815-AAFB-7C46CBFFA554}" name="Vulnerability Page" dataDxfId="424"/>
    <tableColumn id="10" xr3:uid="{36999B13-1439-4AB6-8CAB-CF6FF59E2E6B}" name="Vulnerability Quote" dataDxfId="423"/>
    <tableColumn id="22" xr3:uid="{38741E27-5D2F-44CA-8058-268E49A8D502}" name="Exposure Eligibility" dataDxfId="422"/>
    <tableColumn id="23" xr3:uid="{9980004F-FF43-42D5-91D8-25A13981ADE1}" name="Exposure Eligibility Justification" dataDxfId="421"/>
    <tableColumn id="27" xr3:uid="{DC79F0C0-E444-42C7-AABD-002D8385B282}" name="Exposure Evidence Count" dataDxfId="420"/>
    <tableColumn id="11" xr3:uid="{9833EEE8-F1F0-4995-A968-222CD547F233}" name="Effectiveness on Exposure" dataDxfId="419"/>
    <tableColumn id="12" xr3:uid="{081D998F-3F61-43EE-84C0-AA0D19DA2607}" name="Exposure Indicators" dataDxfId="418"/>
    <tableColumn id="13" xr3:uid="{7C0C78F1-9F57-4266-B60A-DD1394D9DAAB}" name="Exposure Justification" dataDxfId="417"/>
    <tableColumn id="14" xr3:uid="{F0143EE8-8CEE-4891-AD54-860DC4245C1F}" name="Exposure EvidenceID" dataDxfId="416"/>
    <tableColumn id="15" xr3:uid="{8BC84213-ED80-41C1-8F79-F97A51D5E7A2}" name="Source Exposure" dataDxfId="415"/>
    <tableColumn id="16" xr3:uid="{056D5D76-C3E8-49C6-A6A1-009A18ED850B}" name="Exposure Page" dataDxfId="414"/>
    <tableColumn id="17" xr3:uid="{C815DD27-48CC-4652-84CD-A5C88802A578}" name="Exposure Quote" dataDxfId="413"/>
    <tableColumn id="18" xr3:uid="{D2CED2EB-A64B-4A4B-9ED6-397A8D2FEE86}" name="ReviewStatus" dataDxfId="412"/>
    <tableColumn id="19" xr3:uid="{25AFFE36-BCA0-4717-99D0-821F0B04572A}" name="ReviewerComment" dataDxfId="411"/>
  </tableColumns>
  <tableStyleInfo name="TableStyleLight15"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C967FD5-EAE8-4CCA-96E6-04F57044BE71}" name="tbl_B_EligibilitySummary" displayName="tbl_B_EligibilitySummary" ref="B7:K70" totalsRowShown="0" headerRowDxfId="398" dataDxfId="397">
  <autoFilter ref="B7:K70" xr:uid="{F8B36430-B3AF-4EA5-8F7E-D87D145D149E}"/>
  <tableColumns count="10">
    <tableColumn id="1" xr3:uid="{BC73A27F-FC65-4F0A-BD12-6A5CF2DC2DF3}" name="Record Type" dataDxfId="408">
      <calculatedColumnFormula array="1">IF(ROW()-ROW(tbl_B_EligibilitySummary[#Headers])&lt;=ROWS(tbl_B_Assessment[ActionID]),"Existing action","Additional action")</calculatedColumnFormula>
    </tableColumn>
    <tableColumn id="2" xr3:uid="{A55E63FE-FD97-40CD-994E-2563D9598E2F}" name="Action ID" dataDxfId="407">
      <calculatedColumnFormula array="1">IF(ROW()-ROW(tbl_B_EligibilitySummary[#Headers])&lt;=ROWS(tbl_ES_Assessment[ActionID]),INDEX(tbl_ES_Assessment[ActionID],ROW()-ROW(tbl_B_EligibilitySummary[#Headers])),INDEX(tbl_ES_AdditionalActions[AdditionalActionID],ROW()-ROW(tbl_B_EligibilitySummary[#Headers])-ROWS(tbl_ES_Assessment[ActionID])))</calculatedColumnFormula>
    </tableColumn>
    <tableColumn id="3" xr3:uid="{5FAB8726-0A84-4D2A-9565-EC9070A4A273}" name="Action Name" dataDxfId="406">
      <calculatedColumnFormula array="1">IF(ROW()-ROW(tbl_B_EligibilitySummary[#Headers])&lt;=ROWS(tbl_ES_Assessment[ActionID]),INDEX(tbl_ES_Assessment[ActionName],ROW()-ROW(tbl_B_EligibilitySummary[#Headers])),INDEX(tbl_ES_AdditionalActions[ActionName],ROW()-ROW(tbl_B_EligibilitySummary[#Headers])-ROWS(tbl_ES_Assessment[ActionID])))</calculatedColumnFormula>
    </tableColumn>
    <tableColumn id="4" xr3:uid="{1B5397BE-F465-4CB8-B01C-0C0E2821B41A}" name="Vulnerability Eligibility" dataDxfId="405">
      <calculatedColumnFormula array="1">IF(ROW()-ROW(tbl_B_EligibilitySummary[#Headers])&lt;=ROWS(tbl_ES_Assessment[ActionID]),INDEX(tbl_ES_Assessment[Vulnerability Eligibility],ROW()-ROW(tbl_B_EligibilitySummary[#Headers])),INDEX(tbl_ES_AdditionalActions[Vulnerability Eligibility],ROW()-ROW(tbl_B_EligibilitySummary[#Headers])-ROWS(tbl_ES_Assessment[ActionID])))</calculatedColumnFormula>
    </tableColumn>
    <tableColumn id="5" xr3:uid="{98945F95-CF7D-4AEC-88A7-C1800976CC59}" name="Vulnerability Evidence Count" dataDxfId="404">
      <calculatedColumnFormula array="1">IF(ROW()-ROW(tbl_B_EligibilitySummary[#Headers])&lt;=ROWS(tbl_ES_Assessment[ActionID]),IF(INDEX(tbl_ES_Assessment[Vulnerability Evidence Count],ROW()-ROW(tbl_B_EligibilitySummary[#Headers]))=0,"",INDEX(tbl_ES_Assessment[Vulnerability Evidence Count],ROW()-ROW(tbl_B_EligibilitySummary[#Headers]))),IF(INDEX(tbl_ES_AdditionalActions[Vulnerability Evidence Count],ROW()-ROW(tbl_B_EligibilitySummary[#Headers])-ROWS(tbl_ES_Assessment[ActionID]))=0,"",INDEX(tbl_ES_AdditionalActions[Vulnerability Evidence Count],ROW()-ROW(tbl_B_EligibilitySummary[#Headers])-ROWS(tbl_ES_Assessment[ActionID]))))</calculatedColumnFormula>
    </tableColumn>
    <tableColumn id="6" xr3:uid="{30CDA4C2-92A6-4184-9734-787192A19796}" name="Vulnerability Effectiveness" dataDxfId="403">
      <calculatedColumnFormula array="1">IF(tbl_B_EligibilitySummary[[#This Row],[Vulnerability Eligibility]]="Eligible",IF(ROW()-ROW(tbl_B_EligibilitySummary[#Headers])&lt;=ROWS(tbl_ES_Assessment[ActionID]),IF(INDEX(tbl_ES_Assessment[Effectiveness on Vulnerability],ROW()-ROW(tbl_B_EligibilitySummary[#Headers]))="","",INDEX(tbl_ES_Assessment[Effectiveness on Vulnerability],ROW()-ROW(tbl_B_EligibilitySummary[#Headers]))),IF(INDEX(tbl_ES_AdditionalActions[Effectiveness on Vulnerability],ROW()-ROW(tbl_B_EligibilitySummary[#Headers])-ROWS(tbl_ES_Assessment[ActionID]))="","",INDEX(tbl_ES_AdditionalActions[Effectiveness on Vulnerability],ROW()-ROW(tbl_B_EligibilitySummary[#Headers])-ROWS(tbl_ES_Assessment[ActionID])))),IF(tbl_B_EligibilitySummary[[#This Row],[Vulnerability Eligibility]]="Review required","Review required",IF(tbl_B_EligibilitySummary[[#This Row],[Vulnerability Eligibility]]="Not eligible","N/A","")))</calculatedColumnFormula>
    </tableColumn>
    <tableColumn id="7" xr3:uid="{6F40C246-B252-40FF-87B3-F727AE83EC93}" name="Exposure Eligibility" dataDxfId="402">
      <calculatedColumnFormula array="1">IF(ROW()-ROW(tbl_B_EligibilitySummary[#Headers])&lt;=ROWS(tbl_ES_Assessment[ActionID]),INDEX(tbl_ES_Assessment[Exposure Eligibility],ROW()-ROW(tbl_B_EligibilitySummary[#Headers])),INDEX(tbl_ES_AdditionalActions[Exposure Eligibility],ROW()-ROW(tbl_B_EligibilitySummary[#Headers])-ROWS(tbl_ES_Assessment[ActionID])))</calculatedColumnFormula>
    </tableColumn>
    <tableColumn id="8" xr3:uid="{EAED76F3-E916-49BA-B8EB-CF6532FED6D5}" name="Exposure Evidence Count" dataDxfId="401">
      <calculatedColumnFormula array="1">IF(ROW()-ROW(tbl_B_EligibilitySummary[#Headers])&lt;=ROWS(tbl_ES_Assessment[ActionID]),IF(INDEX(tbl_ES_Assessment[Exposure Evidence Count],ROW()-ROW(tbl_B_EligibilitySummary[#Headers]))=0,"",INDEX(tbl_ES_Assessment[Exposure Evidence Count],ROW()-ROW(tbl_B_EligibilitySummary[#Headers]))),IF(INDEX(tbl_ES_AdditionalActions[Exposure Evidence Count],ROW()-ROW(tbl_B_EligibilitySummary[#Headers])-ROWS(tbl_ES_Assessment[ActionID]))=0,"",INDEX(tbl_ES_AdditionalActions[Exposure Evidence Count],ROW()-ROW(tbl_B_EligibilitySummary[#Headers])-ROWS(tbl_ES_Assessment[ActionID]))))</calculatedColumnFormula>
    </tableColumn>
    <tableColumn id="9" xr3:uid="{A24BE7C4-57CA-4850-907C-D3BB3DD63936}" name="Exposure Effectiveness" dataDxfId="400">
      <calculatedColumnFormula array="1">IF(tbl_B_EligibilitySummary[[#This Row],[Exposure Eligibility]]="Eligible",IF(ROW()-ROW(tbl_B_EligibilitySummary[#Headers])&lt;=ROWS(tbl_ES_Assessment[ActionID]),IF(INDEX(tbl_ES_Assessment[Effectiveness on Exposure],ROW()-ROW(tbl_B_EligibilitySummary[#Headers]))="","",INDEX(tbl_ES_Assessment[Effectiveness on Exposure],ROW()-ROW(tbl_B_EligibilitySummary[#Headers]))),IF(INDEX(tbl_ES_AdditionalActions[Effectiveness on Exposure],ROW()-ROW(tbl_B_EligibilitySummary[#Headers])-ROWS(tbl_ES_Assessment[ActionID]))="","",INDEX(tbl_ES_AdditionalActions[Effectiveness on Exposure],ROW()-ROW(tbl_B_EligibilitySummary[#Headers])-ROWS(tbl_ES_Assessment[ActionID])))),IF(tbl_B_EligibilitySummary[[#This Row],[Exposure Eligibility]]="Review required","Review required",IF(tbl_B_EligibilitySummary[[#This Row],[Exposure Eligibility]]="Not eligible","N/A","")))</calculatedColumnFormula>
    </tableColumn>
    <tableColumn id="10" xr3:uid="{C0005D19-73FB-4824-AA35-3E815A9105BD}" name="ReviewStatus" dataDxfId="399">
      <calculatedColumnFormula array="1">IF(ROW()-ROW(tbl_B_EligibilitySummary[#Headers])&lt;=ROWS(tbl_ES_Assessment[ActionID]),INDEX(tbl_ES_Assessment[ReviewStatus],ROW()-ROW(tbl_B_EligibilitySummary[#Headers])),INDEX(tbl_ES_AdditionalActions[ReviewStatus],ROW()-ROW(tbl_B_EligibilitySummary[#Headers])-ROWS(tbl_ES_Assessment[ActionID])))</calculatedColumnFormula>
    </tableColumn>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83AB585-20DE-41AC-B30B-67EA3239C937}" name="tbl_B_AdditionalActions" displayName="tbl_B_AdditionalActions" ref="B178:Z188" totalsRowShown="0" headerRowDxfId="371" dataDxfId="370">
  <autoFilter ref="B178:Z188" xr:uid="{2BC4587F-8C90-432E-981D-36AD588ED370}"/>
  <tableColumns count="25">
    <tableColumn id="1" xr3:uid="{79DA757B-D30F-432E-88C8-642BD9278C11}" name="AdditionalActionID" dataDxfId="396"/>
    <tableColumn id="2" xr3:uid="{EE67B883-5033-4D02-973A-7AE4D3A32FD3}" name="ActionName" dataDxfId="395"/>
    <tableColumn id="3" xr3:uid="{B258BE84-7227-4D42-8CEC-4392F12527BC}" name="ActionDefinition" dataDxfId="394"/>
    <tableColumn id="20" xr3:uid="{3B048DF6-2B93-4936-85A2-9F97E67B2535}" name="Vulnerability Eligibility" dataDxfId="393"/>
    <tableColumn id="21" xr3:uid="{CC3828B3-8E27-4CEF-B473-88EBB9101A61}" name="Vulnerability Eligibility Justification" dataDxfId="392"/>
    <tableColumn id="25" xr3:uid="{83B164E9-464E-474A-B78D-B08AB537C227}" name="Vulnerability Evidence Count" dataDxfId="391"/>
    <tableColumn id="4" xr3:uid="{5D0DFD49-148A-4672-BCD5-5632350805F2}" name="Effectiveness on Vulnerability" dataDxfId="390"/>
    <tableColumn id="5" xr3:uid="{FCE398E6-F626-4142-9813-3939FF3CFF03}" name="Vulnerability Indicators" dataDxfId="389"/>
    <tableColumn id="6" xr3:uid="{EC8E0521-2221-4283-88D0-1BF03C13886D}" name="Vulnerability Justification" dataDxfId="388"/>
    <tableColumn id="7" xr3:uid="{1C87E894-FF42-400F-A845-4210075FFF77}" name="Vulnerability EvidenceID" dataDxfId="387"/>
    <tableColumn id="8" xr3:uid="{EC96C233-1892-4C71-8E17-4701D82CEAD0}" name="Source Vulnerability" dataDxfId="386"/>
    <tableColumn id="9" xr3:uid="{7DA7A797-7B34-4A16-AF8A-3A775618F0C7}" name="Vulnerability Page" dataDxfId="385"/>
    <tableColumn id="10" xr3:uid="{22F066AE-E5CD-4964-9C3B-C0EF02FCA2FA}" name="Vulnerability Quote" dataDxfId="384"/>
    <tableColumn id="22" xr3:uid="{BFA7D409-9D40-4038-9313-80097AADF9F3}" name="Exposure Eligibility" dataDxfId="383"/>
    <tableColumn id="23" xr3:uid="{A10A8287-DAD0-454C-A9FA-C541508B0C6A}" name="Exposure Eligibility Justification" dataDxfId="382"/>
    <tableColumn id="27" xr3:uid="{E72E010F-CD89-4DAF-B087-BF2DCA8B0A18}" name="Exposure Evidence Count" dataDxfId="381"/>
    <tableColumn id="11" xr3:uid="{4A2FE62C-7C28-4067-9F05-C59A28687424}" name="Effectiveness on Exposure" dataDxfId="380"/>
    <tableColumn id="12" xr3:uid="{C436E379-35C5-4692-9BAC-AEA6B879B039}" name="Exposure Indicators" dataDxfId="379"/>
    <tableColumn id="13" xr3:uid="{615E1CC4-8042-4A28-9D71-C248CCA144F5}" name="Exposure Justification" dataDxfId="378"/>
    <tableColumn id="14" xr3:uid="{F0A09232-DDBD-4155-8425-A3FA805C0001}" name="Exposure EvidenceID" dataDxfId="377"/>
    <tableColumn id="15" xr3:uid="{A53AF227-5BB0-4EF5-94B5-9B9086788E51}" name="Source Exposure" dataDxfId="376"/>
    <tableColumn id="16" xr3:uid="{739CB8B9-4804-412F-9A10-CCF2F86EA437}" name="Exposure Page" dataDxfId="375"/>
    <tableColumn id="17" xr3:uid="{58E9252C-3DA3-4561-95E1-6C3B4F84B434}" name="Exposure Quote" dataDxfId="374"/>
    <tableColumn id="18" xr3:uid="{BA59F8E7-20CB-43F0-9A91-5AEFC2FE0B89}" name="ReviewStatus" dataDxfId="373"/>
    <tableColumn id="19" xr3:uid="{22A78945-4ED1-4011-A204-C52B3CDC7EA0}" name="ReviewerComment" dataDxfId="372"/>
  </tableColumns>
  <tableStyleInfo name="TableStyleLight15"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AFA1D00-8D9B-4DF2-852F-449C520C15A4}" name="tbl_GS_SourceIdentification" displayName="tbl_GS_SourceIdentification" ref="B93:G105" totalsRowShown="0" headerRowDxfId="289" dataDxfId="288">
  <autoFilter ref="B93:G105" xr:uid="{FC6DEAAA-FD5B-4D8F-8A28-B9291A1E253E}"/>
  <tableColumns count="6">
    <tableColumn id="1" xr3:uid="{74A4894F-BC67-4696-A351-7F6A28442809}" name="Source ID" dataDxfId="295"/>
    <tableColumn id="2" xr3:uid="{CCB667F1-95C8-474C-9D94-FBC7F8037013}" name="Geographic scope" dataDxfId="294"/>
    <tableColumn id="3" xr3:uid="{A7E2C772-3ECB-4DEC-9461-F8AEAB3A4A19}" name="Document title" dataDxfId="293"/>
    <tableColumn id="4" xr3:uid="{32DE8A27-A342-4B90-8A76-7B030E60E8D6}" name="Issuing institution" dataDxfId="292"/>
    <tableColumn id="5" xr3:uid="{ADCF768E-65CC-41BD-B675-9B5937E3A2D7}" name="Publication year" dataDxfId="291"/>
    <tableColumn id="6" xr3:uid="{5CEE82BC-34D8-40C6-BB37-8242047A0477}" name="PDF file" dataDxfId="290"/>
  </tableColumns>
  <tableStyleInfo name="TableStyleMedium3"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37C0A9D-1F2D-40A6-B427-9F3D7255C233}" name="tbl_GS_Assessment" displayName="tbl_GS_Assessment" ref="B118:Z171" totalsRowShown="0" headerRowDxfId="262" dataDxfId="261">
  <autoFilter ref="B118:Z171" xr:uid="{8A93EFE6-8611-45E6-87F1-5CABFC7755DB}"/>
  <tableColumns count="25">
    <tableColumn id="1" xr3:uid="{F67E8398-BD2F-4CA2-9242-1585F2AC6FC7}" name="ActionID" dataDxfId="287"/>
    <tableColumn id="2" xr3:uid="{2418EC13-38C9-4D93-B009-5CCCC9BB0D84}" name="ActionName" dataDxfId="286"/>
    <tableColumn id="3" xr3:uid="{94874DCA-225B-43B3-914C-1CCD50B94A21}" name="ActionDefinition" dataDxfId="285"/>
    <tableColumn id="20" xr3:uid="{A5B8A2E8-9576-43A9-96B0-A73B1BF8F86A}" name="Vulnerability Eligibility" dataDxfId="284"/>
    <tableColumn id="21" xr3:uid="{772B5F2A-421F-4E9B-ACBA-357EFD416C71}" name="Vulnerability Eligibility Justification" dataDxfId="283"/>
    <tableColumn id="25" xr3:uid="{FCC0870A-1894-4B82-A4CA-DFBD29701E40}" name="Vulnerability Evidence Count" dataDxfId="282"/>
    <tableColumn id="4" xr3:uid="{3FA38B87-D486-4434-92A8-79A262C352EB}" name="Effectiveness on Vulnerability" dataDxfId="281"/>
    <tableColumn id="5" xr3:uid="{0D0F6413-AE10-41D2-9BA9-88BFCB59A78C}" name="Vulnerability Indicators" dataDxfId="280"/>
    <tableColumn id="6" xr3:uid="{9D428B45-D724-4710-B250-69A32B049810}" name="Vulnerability Justification" dataDxfId="279"/>
    <tableColumn id="7" xr3:uid="{5EDC1327-47B6-4994-906F-88D146F573D6}" name="Vulnerability EvidenceID" dataDxfId="278"/>
    <tableColumn id="8" xr3:uid="{58B270FA-2101-493D-B20F-9CD1956249F2}" name="Source Vulnerability" dataDxfId="277"/>
    <tableColumn id="9" xr3:uid="{F932D29D-2192-4B59-89E4-BDDCFC0AF57D}" name="Vulnerability Page" dataDxfId="276"/>
    <tableColumn id="10" xr3:uid="{AA2171F3-2929-4C6E-8227-E8F8ED7889B0}" name="Vulnerability Quote" dataDxfId="275"/>
    <tableColumn id="22" xr3:uid="{C3456E23-AC4E-493B-835A-E8D19A9D113B}" name="Exposure Eligibility" dataDxfId="274"/>
    <tableColumn id="23" xr3:uid="{17F91314-FD4C-40AC-A5F0-ADF0DFAC702A}" name="Exposure Eligibility Justification" dataDxfId="273"/>
    <tableColumn id="27" xr3:uid="{ADB833D1-C274-4A1B-9C30-CAE833EABFFA}" name="Exposure Evidence Count" dataDxfId="272"/>
    <tableColumn id="11" xr3:uid="{52A10CD7-D5B1-4B21-9334-4C17EA3245B6}" name="Effectiveness on Exposure" dataDxfId="271"/>
    <tableColumn id="12" xr3:uid="{2BAF2536-36D1-48B0-8C13-31E78E4BEE26}" name="Exposure Indicators" dataDxfId="270"/>
    <tableColumn id="13" xr3:uid="{CC8C9D62-0302-4D38-8027-9A1B6F029187}" name="Exposure Justification" dataDxfId="269"/>
    <tableColumn id="14" xr3:uid="{81A93998-6DF2-4079-B776-C4F598351186}" name="Exposure EvidenceID" dataDxfId="268"/>
    <tableColumn id="15" xr3:uid="{5E684CAC-CA4C-4FC7-91DE-F4045FD2AEE3}" name="Source Exposure" dataDxfId="267"/>
    <tableColumn id="16" xr3:uid="{50460773-A82A-4EE3-80BB-263DDAF7C81A}" name="Exposure Page" dataDxfId="266"/>
    <tableColumn id="17" xr3:uid="{E3215269-4249-480B-B8D0-C759FBF12302}" name="Exposure Quote" dataDxfId="265"/>
    <tableColumn id="18" xr3:uid="{C92CED30-189B-40D7-9D70-D6F181A95A5D}" name="ReviewStatus" dataDxfId="264"/>
    <tableColumn id="19" xr3:uid="{63BD369E-2918-49B8-90BC-4B91475B785E}" name="ReviewerComment" dataDxfId="263"/>
  </tableColumns>
  <tableStyleInfo name="TableStyleLight15"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7D000DF1-35C6-4FE4-819B-35D7A995655B}" name="tbl_GS_AdditionalActions" displayName="tbl_GS_AdditionalActions" ref="B178:Z188" totalsRowShown="0" headerRowDxfId="235" dataDxfId="234">
  <autoFilter ref="B178:Z188" xr:uid="{2BC4587F-8C90-432E-981D-36AD588ED370}"/>
  <tableColumns count="25">
    <tableColumn id="1" xr3:uid="{3A810EE8-E06A-4634-BB6A-AD3671ED41FE}" name="AdditionalActionID" dataDxfId="260"/>
    <tableColumn id="2" xr3:uid="{9B315E89-2301-4240-A381-FEB9D520C6E1}" name="ActionName" dataDxfId="259"/>
    <tableColumn id="3" xr3:uid="{DEC5D85A-7052-4AF5-A5AD-DB93ACA28EFD}" name="ActionDefinition" dataDxfId="258"/>
    <tableColumn id="20" xr3:uid="{BC23C38E-6B81-4580-9F61-86660CE8FE01}" name="Vulnerability Eligibility" dataDxfId="257"/>
    <tableColumn id="21" xr3:uid="{4DD2D008-B3FE-42E0-B96E-CE22689F1432}" name="Vulnerability Eligibility Justification" dataDxfId="256"/>
    <tableColumn id="25" xr3:uid="{9C552D96-0841-4B4B-9C78-CB4BB393F7DD}" name="Vulnerability Evidence Count" dataDxfId="255"/>
    <tableColumn id="4" xr3:uid="{D41BDFBF-B312-4D3D-AFB9-FB8BA4B84BA8}" name="Effectiveness on Vulnerability" dataDxfId="254"/>
    <tableColumn id="5" xr3:uid="{C75FA7A9-CD37-4EBF-A547-9BDE2CE190C7}" name="Vulnerability Indicators" dataDxfId="253"/>
    <tableColumn id="6" xr3:uid="{AAB0DD4E-2932-4DB8-A48E-EE6EF3F08BC1}" name="Vulnerability Justification" dataDxfId="252"/>
    <tableColumn id="7" xr3:uid="{67E437CB-A973-413B-9D04-0A98383D6250}" name="Vulnerability EvidenceID" dataDxfId="251"/>
    <tableColumn id="8" xr3:uid="{72003BE9-59B7-430A-AF08-CA3D41276A37}" name="Source Vulnerability" dataDxfId="250"/>
    <tableColumn id="9" xr3:uid="{FCD5B7ED-97F0-459F-8CDF-8BB45F28AF11}" name="Vulnerability Page" dataDxfId="249"/>
    <tableColumn id="10" xr3:uid="{CB413B1F-61B4-40B1-B435-330E55183D60}" name="Vulnerability Quote" dataDxfId="248"/>
    <tableColumn id="22" xr3:uid="{DF7A75BB-7522-4901-BCF1-85D1175FB3C9}" name="Exposure Eligibility" dataDxfId="247"/>
    <tableColumn id="23" xr3:uid="{B790B3FC-551E-4E2C-871B-57C4528ADAF4}" name="Exposure Eligibility Justification" dataDxfId="246"/>
    <tableColumn id="27" xr3:uid="{58A8B8C5-ABF7-4825-B1B9-0F7B01590E66}" name="Exposure Evidence Count" dataDxfId="245"/>
    <tableColumn id="11" xr3:uid="{A0499A70-BDB2-4C48-9B5E-799B8DAFDE04}" name="Effectiveness on Exposure" dataDxfId="244"/>
    <tableColumn id="12" xr3:uid="{58A4E4BD-DA1E-457C-B739-66507BA2094E}" name="Exposure Indicators" dataDxfId="243"/>
    <tableColumn id="13" xr3:uid="{E016434B-F1BA-4A95-9EFF-025D660BDBB4}" name="Exposure Justification" dataDxfId="242"/>
    <tableColumn id="14" xr3:uid="{7F32EB7D-481E-4994-8FE6-B258E1DA3C14}" name="Exposure EvidenceID" dataDxfId="241"/>
    <tableColumn id="15" xr3:uid="{E2D5FBFA-CF6A-4054-B263-5BD020CE5614}" name="Source Exposure" dataDxfId="240"/>
    <tableColumn id="16" xr3:uid="{A94ECD9E-D1CB-49E2-B7D8-9D95CE29EF51}" name="Exposure Page" dataDxfId="239"/>
    <tableColumn id="17" xr3:uid="{0A7B302C-E1BC-4ADA-94C2-2CF3526EA3C9}" name="Exposure Quote" dataDxfId="238"/>
    <tableColumn id="18" xr3:uid="{9ACE9E30-B8F6-4969-AC76-040ABBD64B34}" name="ReviewStatus" dataDxfId="237"/>
    <tableColumn id="19" xr3:uid="{2A00EB07-720B-4D8A-8676-04ED51286CA4}" name="ReviewerComment" dataDxfId="236"/>
  </tableColumns>
  <tableStyleInfo name="TableStyleLight15"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112A647-2E39-44D3-829B-43579BD63B67}" name="tbl_GS_EligibilitySummary" displayName="tbl_GS_EligibilitySummary" ref="B7:K70" totalsRowShown="0" headerRowDxfId="223" dataDxfId="222">
  <autoFilter ref="B7:K70" xr:uid="{F8B36430-B3AF-4EA5-8F7E-D87D145D149E}"/>
  <tableColumns count="10">
    <tableColumn id="1" xr3:uid="{188C7B4F-BBDD-4EC8-B518-EFF39521F030}" name="Record Type" dataDxfId="233">
      <calculatedColumnFormula array="1">IF(ROW()-ROW(tbl_GS_EligibilitySummary[#Headers])&lt;=ROWS(tbl_GS_Assessment[ActionID]),"Existing action","Additional action")</calculatedColumnFormula>
    </tableColumn>
    <tableColumn id="2" xr3:uid="{8A54C21F-9C0D-4787-BB01-90E77E9AF760}" name="Action ID" dataDxfId="232">
      <calculatedColumnFormula array="1">IF(ROW()-ROW(tbl_GS_EligibilitySummary[#Headers])&lt;=ROWS(tbl_ES_Assessment[ActionID]),INDEX(tbl_ES_Assessment[ActionID],ROW()-ROW(tbl_GS_EligibilitySummary[#Headers])),INDEX(tbl_ES_AdditionalActions[AdditionalActionID],ROW()-ROW(tbl_GS_EligibilitySummary[#Headers])-ROWS(tbl_ES_Assessment[ActionID])))</calculatedColumnFormula>
    </tableColumn>
    <tableColumn id="3" xr3:uid="{661BA285-5DFB-4472-BABA-6A9C7AAFA197}" name="Action Name" dataDxfId="231">
      <calculatedColumnFormula array="1">IF(ROW()-ROW(tbl_GS_EligibilitySummary[#Headers])&lt;=ROWS(tbl_ES_Assessment[ActionID]),INDEX(tbl_ES_Assessment[ActionName],ROW()-ROW(tbl_GS_EligibilitySummary[#Headers])),INDEX(tbl_ES_AdditionalActions[ActionName],ROW()-ROW(tbl_GS_EligibilitySummary[#Headers])-ROWS(tbl_ES_Assessment[ActionID])))</calculatedColumnFormula>
    </tableColumn>
    <tableColumn id="4" xr3:uid="{EFBA4C1F-9D63-419E-ACE1-26CED416597D}" name="Vulnerability Eligibility" dataDxfId="230">
      <calculatedColumnFormula array="1">IF(ROW()-ROW(tbl_GS_EligibilitySummary[#Headers])&lt;=ROWS(tbl_ES_Assessment[ActionID]),INDEX(tbl_ES_Assessment[Vulnerability Eligibility],ROW()-ROW(tbl_GS_EligibilitySummary[#Headers])),INDEX(tbl_ES_AdditionalActions[Vulnerability Eligibility],ROW()-ROW(tbl_GS_EligibilitySummary[#Headers])-ROWS(tbl_ES_Assessment[ActionID])))</calculatedColumnFormula>
    </tableColumn>
    <tableColumn id="5" xr3:uid="{2A45F451-90CC-4074-97F1-8E162E76C29C}" name="Vulnerability Evidence Count" dataDxfId="229">
      <calculatedColumnFormula array="1">IF(ROW()-ROW(tbl_GS_EligibilitySummary[#Headers])&lt;=ROWS(tbl_ES_Assessment[ActionID]),IF(INDEX(tbl_ES_Assessment[Vulnerability Evidence Count],ROW()-ROW(tbl_GS_EligibilitySummary[#Headers]))=0,"",INDEX(tbl_ES_Assessment[Vulnerability Evidence Count],ROW()-ROW(tbl_GS_EligibilitySummary[#Headers]))),IF(INDEX(tbl_ES_AdditionalActions[Vulnerability Evidence Count],ROW()-ROW(tbl_GS_EligibilitySummary[#Headers])-ROWS(tbl_ES_Assessment[ActionID]))=0,"",INDEX(tbl_ES_AdditionalActions[Vulnerability Evidence Count],ROW()-ROW(tbl_GS_EligibilitySummary[#Headers])-ROWS(tbl_ES_Assessment[ActionID]))))</calculatedColumnFormula>
    </tableColumn>
    <tableColumn id="6" xr3:uid="{37A324D1-36A8-4663-BA11-24A00EFCAD3F}" name="Vulnerability Effectiveness" dataDxfId="228">
      <calculatedColumnFormula array="1">IF(tbl_GS_EligibilitySummary[[#This Row],[Vulnerability Eligibility]]="Eligible",IF(ROW()-ROW(tbl_GS_EligibilitySummary[#Headers])&lt;=ROWS(tbl_ES_Assessment[ActionID]),IF(INDEX(tbl_ES_Assessment[Effectiveness on Vulnerability],ROW()-ROW(tbl_GS_EligibilitySummary[#Headers]))="","",INDEX(tbl_ES_Assessment[Effectiveness on Vulnerability],ROW()-ROW(tbl_GS_EligibilitySummary[#Headers]))),IF(INDEX(tbl_ES_AdditionalActions[Effectiveness on Vulnerability],ROW()-ROW(tbl_GS_EligibilitySummary[#Headers])-ROWS(tbl_ES_Assessment[ActionID]))="","",INDEX(tbl_ES_AdditionalActions[Effectiveness on Vulnerability],ROW()-ROW(tbl_GS_EligibilitySummary[#Headers])-ROWS(tbl_ES_Assessment[ActionID])))),IF(tbl_GS_EligibilitySummary[[#This Row],[Vulnerability Eligibility]]="Review required","Review required",IF(tbl_GS_EligibilitySummary[[#This Row],[Vulnerability Eligibility]]="Not eligible","N/A","")))</calculatedColumnFormula>
    </tableColumn>
    <tableColumn id="7" xr3:uid="{49023CA0-25A4-4228-9F63-66CF32B08F4F}" name="Exposure Eligibility" dataDxfId="227">
      <calculatedColumnFormula array="1">IF(ROW()-ROW(tbl_GS_EligibilitySummary[#Headers])&lt;=ROWS(tbl_ES_Assessment[ActionID]),INDEX(tbl_ES_Assessment[Exposure Eligibility],ROW()-ROW(tbl_GS_EligibilitySummary[#Headers])),INDEX(tbl_ES_AdditionalActions[Exposure Eligibility],ROW()-ROW(tbl_GS_EligibilitySummary[#Headers])-ROWS(tbl_ES_Assessment[ActionID])))</calculatedColumnFormula>
    </tableColumn>
    <tableColumn id="8" xr3:uid="{5AF8DB18-2ACF-4649-AFEB-3C6A59D8A127}" name="Exposure Evidence Count" dataDxfId="226">
      <calculatedColumnFormula array="1">IF(ROW()-ROW(tbl_GS_EligibilitySummary[#Headers])&lt;=ROWS(tbl_ES_Assessment[ActionID]),IF(INDEX(tbl_ES_Assessment[Exposure Evidence Count],ROW()-ROW(tbl_GS_EligibilitySummary[#Headers]))=0,"",INDEX(tbl_ES_Assessment[Exposure Evidence Count],ROW()-ROW(tbl_GS_EligibilitySummary[#Headers]))),IF(INDEX(tbl_ES_AdditionalActions[Exposure Evidence Count],ROW()-ROW(tbl_GS_EligibilitySummary[#Headers])-ROWS(tbl_ES_Assessment[ActionID]))=0,"",INDEX(tbl_ES_AdditionalActions[Exposure Evidence Count],ROW()-ROW(tbl_GS_EligibilitySummary[#Headers])-ROWS(tbl_ES_Assessment[ActionID]))))</calculatedColumnFormula>
    </tableColumn>
    <tableColumn id="9" xr3:uid="{D1803283-2D85-486F-8ED1-90807D2C8123}" name="Exposure Effectiveness" dataDxfId="225">
      <calculatedColumnFormula array="1">IF(tbl_GS_EligibilitySummary[[#This Row],[Exposure Eligibility]]="Eligible",IF(ROW()-ROW(tbl_GS_EligibilitySummary[#Headers])&lt;=ROWS(tbl_ES_Assessment[ActionID]),IF(INDEX(tbl_ES_Assessment[Effectiveness on Exposure],ROW()-ROW(tbl_GS_EligibilitySummary[#Headers]))="","",INDEX(tbl_ES_Assessment[Effectiveness on Exposure],ROW()-ROW(tbl_GS_EligibilitySummary[#Headers]))),IF(INDEX(tbl_ES_AdditionalActions[Effectiveness on Exposure],ROW()-ROW(tbl_GS_EligibilitySummary[#Headers])-ROWS(tbl_ES_Assessment[ActionID]))="","",INDEX(tbl_ES_AdditionalActions[Effectiveness on Exposure],ROW()-ROW(tbl_GS_EligibilitySummary[#Headers])-ROWS(tbl_ES_Assessment[ActionID])))),IF(tbl_GS_EligibilitySummary[[#This Row],[Exposure Eligibility]]="Review required","Review required",IF(tbl_GS_EligibilitySummary[[#This Row],[Exposure Eligibility]]="Not eligible","N/A","")))</calculatedColumnFormula>
    </tableColumn>
    <tableColumn id="10" xr3:uid="{00FAF689-D71D-427E-9FAC-577D054A7C8F}" name="ReviewStatus" dataDxfId="224">
      <calculatedColumnFormula array="1">IF(ROW()-ROW(tbl_GS_EligibilitySummary[#Headers])&lt;=ROWS(tbl_ES_Assessment[ActionID]),INDEX(tbl_ES_Assessment[ReviewStatus],ROW()-ROW(tbl_GS_EligibilitySummary[#Headers])),INDEX(tbl_ES_AdditionalActions[ReviewStatus],ROW()-ROW(tbl_GS_EligibilitySummary[#Headers])-ROWS(tbl_ES_Assessment[ActionID])))</calculatedColumnFormula>
    </tableColumn>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ECC8CEC-163F-4195-8AB5-8A6B05B16566}" name="tbl_H_SourceIdentification" displayName="tbl_H_SourceIdentification" ref="B93:G105" totalsRowShown="0" headerRowDxfId="141" dataDxfId="140">
  <autoFilter ref="B93:G105" xr:uid="{FC6DEAAA-FD5B-4D8F-8A28-B9291A1E253E}"/>
  <tableColumns count="6">
    <tableColumn id="1" xr3:uid="{B138B270-742E-48F7-A519-92D82031C4B1}" name="Source ID" dataDxfId="147"/>
    <tableColumn id="2" xr3:uid="{97804913-E4C7-41D7-BA25-62A72F04D42F}" name="Geographic scope" dataDxfId="146"/>
    <tableColumn id="3" xr3:uid="{A3F680DB-5966-4CC8-BFFA-3A84BA1FA358}" name="Document title" dataDxfId="145"/>
    <tableColumn id="4" xr3:uid="{F1C5EF84-9F62-4A8B-A421-0C161952722C}" name="Issuing institution" dataDxfId="144"/>
    <tableColumn id="5" xr3:uid="{70827AC3-8E14-41A9-8EB5-461CA76C88AB}" name="Publication year" dataDxfId="143"/>
    <tableColumn id="6" xr3:uid="{FB8BF4D2-90AC-4995-BBB1-A7890A15633F}" name="PDF file" dataDxfId="142"/>
  </tableColumns>
  <tableStyleInfo name="TableStyleMedium3"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B80F400-EF9C-4D83-A7D0-C49BCA74810A}" name="tbl_H_Assessment" displayName="tbl_H_Assessment" ref="B118:Z171" totalsRowShown="0" headerRowDxfId="114" dataDxfId="113">
  <autoFilter ref="B118:Z171" xr:uid="{8A93EFE6-8611-45E6-87F1-5CABFC7755DB}"/>
  <tableColumns count="25">
    <tableColumn id="1" xr3:uid="{059086C7-651C-4567-A757-1284F6C8DD8E}" name="ActionID" dataDxfId="139"/>
    <tableColumn id="2" xr3:uid="{2DE30848-E7B3-4FF1-9093-99DA71753F05}" name="ActionName" dataDxfId="138"/>
    <tableColumn id="3" xr3:uid="{F185D565-EC27-415E-AEFA-FAC828925F39}" name="ActionDefinition" dataDxfId="137"/>
    <tableColumn id="20" xr3:uid="{D07E2523-053A-4637-B9D2-6A3A67E2F315}" name="Vulnerability Eligibility" dataDxfId="136"/>
    <tableColumn id="21" xr3:uid="{B7DB2525-B296-4383-9BDB-3064E527F94F}" name="Vulnerability Eligibility Justification" dataDxfId="135"/>
    <tableColumn id="25" xr3:uid="{E6F7D0C3-DEC2-4661-8A0A-9D25DE1077DB}" name="Vulnerability Evidence Count" dataDxfId="134"/>
    <tableColumn id="4" xr3:uid="{8D319022-B8F9-4A5A-AE38-B48C148D0F43}" name="Effectiveness on Vulnerability" dataDxfId="133"/>
    <tableColumn id="5" xr3:uid="{81C7CF19-C5A7-4A2A-8A69-BC6C2209E787}" name="Vulnerability Indicators" dataDxfId="132"/>
    <tableColumn id="6" xr3:uid="{4433E030-0EA8-4D40-AD1D-EFC900AE677C}" name="Vulnerability Justification" dataDxfId="131"/>
    <tableColumn id="7" xr3:uid="{9821457A-8B18-4D91-BBF1-58D651297CC4}" name="Vulnerability EvidenceID" dataDxfId="130"/>
    <tableColumn id="8" xr3:uid="{28D9FB4A-3909-43EB-9F91-E57821E62848}" name="Source Vulnerability" dataDxfId="129"/>
    <tableColumn id="9" xr3:uid="{E071FE7A-AF08-4801-A716-0F8BD256F35A}" name="Vulnerability Page" dataDxfId="128"/>
    <tableColumn id="10" xr3:uid="{30737EF7-65E4-482B-975A-928BAA93D6F0}" name="Vulnerability Quote" dataDxfId="127"/>
    <tableColumn id="22" xr3:uid="{6E81968B-9489-46E2-9F7F-13AB8490C5B6}" name="Exposure Eligibility" dataDxfId="126"/>
    <tableColumn id="23" xr3:uid="{CE6DA961-9E09-4BD3-BE77-F411A9F36793}" name="Exposure Eligibility Justification" dataDxfId="125"/>
    <tableColumn id="27" xr3:uid="{7200C413-F799-4A02-8CED-8883E8F3824F}" name="Exposure Evidence Count" dataDxfId="124"/>
    <tableColumn id="11" xr3:uid="{26C9F047-F885-43DE-8819-632DDD3D7CFE}" name="Effectiveness on Exposure" dataDxfId="123"/>
    <tableColumn id="12" xr3:uid="{42AB3563-0209-41C5-8E84-7989FA41F601}" name="Exposure Indicators" dataDxfId="122"/>
    <tableColumn id="13" xr3:uid="{B93574F1-354A-4CE1-BC87-029496DF31DE}" name="Exposure Justification" dataDxfId="121"/>
    <tableColumn id="14" xr3:uid="{1E8AB698-2594-498E-87ED-935BFD611B8C}" name="Exposure EvidenceID" dataDxfId="120"/>
    <tableColumn id="15" xr3:uid="{6106A397-D2EF-460E-8654-8F203AC27189}" name="Source Exposure" dataDxfId="119"/>
    <tableColumn id="16" xr3:uid="{31886F17-D434-4E62-A915-99C3A44BF260}" name="Exposure Page" dataDxfId="118"/>
    <tableColumn id="17" xr3:uid="{89AACD6E-5994-43E7-A737-960FCF247B02}" name="Exposure Quote" dataDxfId="117"/>
    <tableColumn id="18" xr3:uid="{95DFBD17-1C74-4D4E-931B-5F470E8EC530}" name="ReviewStatus" dataDxfId="116"/>
    <tableColumn id="19" xr3:uid="{138B8F8A-1BD3-4100-AD5C-F9D01ABB8CC1}" name="ReviewerComment" dataDxfId="115"/>
  </tableColumns>
  <tableStyleInfo name="TableStyleLight15"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5832C2B-FCC1-435C-8552-37D0AB4DE8D6}" name="tbl_H_AdditionalActions" displayName="tbl_H_AdditionalActions" ref="B178:Z188" totalsRowShown="0" headerRowDxfId="87" dataDxfId="86">
  <autoFilter ref="B178:Z188" xr:uid="{2BC4587F-8C90-432E-981D-36AD588ED370}"/>
  <tableColumns count="25">
    <tableColumn id="1" xr3:uid="{B4C766DE-C9DA-47A9-A2B9-796BF75310AF}" name="AdditionalActionID" dataDxfId="112"/>
    <tableColumn id="2" xr3:uid="{FCC3726E-BAD8-4D27-9C2D-D5EC770F050D}" name="ActionName" dataDxfId="111"/>
    <tableColumn id="3" xr3:uid="{389EE558-40F8-4353-8196-147A5BC2DB6A}" name="ActionDefinition" dataDxfId="110"/>
    <tableColumn id="20" xr3:uid="{FB1D6605-F70C-4907-96FB-96F864872632}" name="Vulnerability Eligibility" dataDxfId="109"/>
    <tableColumn id="21" xr3:uid="{4668C81D-ECE1-4EF7-A3BF-64D38A063F6F}" name="Vulnerability Eligibility Justification" dataDxfId="108"/>
    <tableColumn id="25" xr3:uid="{2A1E6D63-087C-484E-B725-7384616BE354}" name="Vulnerability Evidence Count" dataDxfId="107"/>
    <tableColumn id="4" xr3:uid="{E39A2C41-3377-4CDC-B533-97657F496471}" name="Effectiveness on Vulnerability" dataDxfId="106"/>
    <tableColumn id="5" xr3:uid="{7A8A6B23-459F-469A-A6EE-815DB4587AEE}" name="Vulnerability Indicators" dataDxfId="105"/>
    <tableColumn id="6" xr3:uid="{2B094164-8AE0-4C5F-A2EE-FE347DB8A7CF}" name="Vulnerability Justification" dataDxfId="104"/>
    <tableColumn id="7" xr3:uid="{E4B0FDFD-B2AC-42B4-984F-BF5670F51ED1}" name="Vulnerability EvidenceID" dataDxfId="103"/>
    <tableColumn id="8" xr3:uid="{CD0B97FE-9E87-42A5-8A41-07C4CA4D2D07}" name="Source Vulnerability" dataDxfId="102"/>
    <tableColumn id="9" xr3:uid="{B78F0F18-124A-4F87-B200-4AD451FEFE0D}" name="Vulnerability Page" dataDxfId="101"/>
    <tableColumn id="10" xr3:uid="{825008D5-6539-41F1-9632-628382E1ECCA}" name="Vulnerability Quote" dataDxfId="100"/>
    <tableColumn id="22" xr3:uid="{B45636A9-51DB-4AEA-83C3-0BAE038F3F10}" name="Exposure Eligibility" dataDxfId="99"/>
    <tableColumn id="23" xr3:uid="{667AED2E-D534-4ACE-974F-C8A23F057E43}" name="Exposure Eligibility Justification" dataDxfId="98"/>
    <tableColumn id="27" xr3:uid="{07D1F5F5-48C6-4217-97D7-A3BD04E79F78}" name="Exposure Evidence Count" dataDxfId="97"/>
    <tableColumn id="11" xr3:uid="{09CC71A2-1217-47A4-AB9A-9BD789337BFC}" name="Effectiveness on Exposure" dataDxfId="96"/>
    <tableColumn id="12" xr3:uid="{D28F10CC-EA1C-407F-9181-7882107378C3}" name="Exposure Indicators" dataDxfId="95"/>
    <tableColumn id="13" xr3:uid="{36ECA257-2C08-4E9F-9396-12063637B711}" name="Exposure Justification" dataDxfId="94"/>
    <tableColumn id="14" xr3:uid="{91662516-DB92-4F9C-B8CF-4A9464A9218A}" name="Exposure EvidenceID" dataDxfId="93"/>
    <tableColumn id="15" xr3:uid="{52AFD8D7-9649-46C7-BEBD-DAB44D545CD0}" name="Source Exposure" dataDxfId="92"/>
    <tableColumn id="16" xr3:uid="{FD4B4F10-5D45-44A5-B44E-C33E61AA5353}" name="Exposure Page" dataDxfId="91"/>
    <tableColumn id="17" xr3:uid="{9752D183-55D7-496A-B681-B66BF4842E23}" name="Exposure Quote" dataDxfId="90"/>
    <tableColumn id="18" xr3:uid="{444D3FB2-D004-44AF-AEEC-8071EBFBEFF2}" name="ReviewStatus" dataDxfId="89"/>
    <tableColumn id="19" xr3:uid="{5803BC99-77E1-465F-BD1E-705B52A7C824}" name="ReviewerComment" dataDxfId="88"/>
  </tableColumns>
  <tableStyleInfo name="TableStyleLight15"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377F577-2122-46D0-8B88-51CD748B6F58}" name="tbl_H_EligibilitySummary" displayName="tbl_H_EligibilitySummary" ref="B7:K70" totalsRowShown="0" headerRowDxfId="75" dataDxfId="74">
  <autoFilter ref="B7:K70" xr:uid="{F8B36430-B3AF-4EA5-8F7E-D87D145D149E}"/>
  <tableColumns count="10">
    <tableColumn id="1" xr3:uid="{874C490F-AE4A-4F2E-9D3A-DF67352778F2}" name="Record Type" dataDxfId="85">
      <calculatedColumnFormula array="1">IF(ROW()-ROW(tbl_H_EligibilitySummary[#Headers])&lt;=ROWS(tbl_H_Assessment[ActionID]),"Existing action","Additional action")</calculatedColumnFormula>
    </tableColumn>
    <tableColumn id="2" xr3:uid="{C8FA49C3-1595-4B5C-A67F-132DB8F9153E}" name="Action ID" dataDxfId="84">
      <calculatedColumnFormula array="1">IF(ROW()-ROW(tbl_H_EligibilitySummary[#Headers])&lt;=ROWS(tbl_ES_Assessment[ActionID]),INDEX(tbl_ES_Assessment[ActionID],ROW()-ROW(tbl_H_EligibilitySummary[#Headers])),INDEX(tbl_ES_AdditionalActions[AdditionalActionID],ROW()-ROW(tbl_H_EligibilitySummary[#Headers])-ROWS(tbl_ES_Assessment[ActionID])))</calculatedColumnFormula>
    </tableColumn>
    <tableColumn id="3" xr3:uid="{A0A95511-F72D-415D-A946-CC8486DFDD5D}" name="Action Name" dataDxfId="83">
      <calculatedColumnFormula array="1">IF(ROW()-ROW(tbl_H_EligibilitySummary[#Headers])&lt;=ROWS(tbl_ES_Assessment[ActionID]),INDEX(tbl_ES_Assessment[ActionName],ROW()-ROW(tbl_H_EligibilitySummary[#Headers])),INDEX(tbl_ES_AdditionalActions[ActionName],ROW()-ROW(tbl_H_EligibilitySummary[#Headers])-ROWS(tbl_ES_Assessment[ActionID])))</calculatedColumnFormula>
    </tableColumn>
    <tableColumn id="4" xr3:uid="{99A283E0-F338-46D6-861E-1C4655523A2A}" name="Vulnerability Eligibility" dataDxfId="82">
      <calculatedColumnFormula array="1">IF(ROW()-ROW(tbl_H_EligibilitySummary[#Headers])&lt;=ROWS(tbl_ES_Assessment[ActionID]),INDEX(tbl_ES_Assessment[Vulnerability Eligibility],ROW()-ROW(tbl_H_EligibilitySummary[#Headers])),INDEX(tbl_ES_AdditionalActions[Vulnerability Eligibility],ROW()-ROW(tbl_H_EligibilitySummary[#Headers])-ROWS(tbl_ES_Assessment[ActionID])))</calculatedColumnFormula>
    </tableColumn>
    <tableColumn id="5" xr3:uid="{DFA89169-D6D2-42FE-954A-1BE514098FC3}" name="Vulnerability Evidence Count" dataDxfId="81">
      <calculatedColumnFormula array="1">IF(ROW()-ROW(tbl_H_EligibilitySummary[#Headers])&lt;=ROWS(tbl_ES_Assessment[ActionID]),IF(INDEX(tbl_ES_Assessment[Vulnerability Evidence Count],ROW()-ROW(tbl_H_EligibilitySummary[#Headers]))=0,"",INDEX(tbl_ES_Assessment[Vulnerability Evidence Count],ROW()-ROW(tbl_H_EligibilitySummary[#Headers]))),IF(INDEX(tbl_ES_AdditionalActions[Vulnerability Evidence Count],ROW()-ROW(tbl_H_EligibilitySummary[#Headers])-ROWS(tbl_ES_Assessment[ActionID]))=0,"",INDEX(tbl_ES_AdditionalActions[Vulnerability Evidence Count],ROW()-ROW(tbl_H_EligibilitySummary[#Headers])-ROWS(tbl_ES_Assessment[ActionID]))))</calculatedColumnFormula>
    </tableColumn>
    <tableColumn id="6" xr3:uid="{C39D4FCC-B38A-4B8E-A5FD-1CB92948CFF2}" name="Vulnerability Effectiveness" dataDxfId="80">
      <calculatedColumnFormula array="1">IF(tbl_H_EligibilitySummary[[#This Row],[Vulnerability Eligibility]]="Eligible",IF(ROW()-ROW(tbl_H_EligibilitySummary[#Headers])&lt;=ROWS(tbl_ES_Assessment[ActionID]),IF(INDEX(tbl_ES_Assessment[Effectiveness on Vulnerability],ROW()-ROW(tbl_H_EligibilitySummary[#Headers]))="","",INDEX(tbl_ES_Assessment[Effectiveness on Vulnerability],ROW()-ROW(tbl_H_EligibilitySummary[#Headers]))),IF(INDEX(tbl_ES_AdditionalActions[Effectiveness on Vulnerability],ROW()-ROW(tbl_H_EligibilitySummary[#Headers])-ROWS(tbl_ES_Assessment[ActionID]))="","",INDEX(tbl_ES_AdditionalActions[Effectiveness on Vulnerability],ROW()-ROW(tbl_H_EligibilitySummary[#Headers])-ROWS(tbl_ES_Assessment[ActionID])))),IF(tbl_H_EligibilitySummary[[#This Row],[Vulnerability Eligibility]]="Review required","Review required",IF(tbl_H_EligibilitySummary[[#This Row],[Vulnerability Eligibility]]="Not eligible","N/A","")))</calculatedColumnFormula>
    </tableColumn>
    <tableColumn id="7" xr3:uid="{F9537972-2C7E-461A-A7E0-FD00569D22CC}" name="Exposure Eligibility" dataDxfId="79">
      <calculatedColumnFormula array="1">IF(ROW()-ROW(tbl_H_EligibilitySummary[#Headers])&lt;=ROWS(tbl_ES_Assessment[ActionID]),INDEX(tbl_ES_Assessment[Exposure Eligibility],ROW()-ROW(tbl_H_EligibilitySummary[#Headers])),INDEX(tbl_ES_AdditionalActions[Exposure Eligibility],ROW()-ROW(tbl_H_EligibilitySummary[#Headers])-ROWS(tbl_ES_Assessment[ActionID])))</calculatedColumnFormula>
    </tableColumn>
    <tableColumn id="8" xr3:uid="{834A625A-AD55-4745-AC25-9554FE887CD6}" name="Exposure Evidence Count" dataDxfId="78">
      <calculatedColumnFormula array="1">IF(ROW()-ROW(tbl_H_EligibilitySummary[#Headers])&lt;=ROWS(tbl_ES_Assessment[ActionID]),IF(INDEX(tbl_ES_Assessment[Exposure Evidence Count],ROW()-ROW(tbl_H_EligibilitySummary[#Headers]))=0,"",INDEX(tbl_ES_Assessment[Exposure Evidence Count],ROW()-ROW(tbl_H_EligibilitySummary[#Headers]))),IF(INDEX(tbl_ES_AdditionalActions[Exposure Evidence Count],ROW()-ROW(tbl_H_EligibilitySummary[#Headers])-ROWS(tbl_ES_Assessment[ActionID]))=0,"",INDEX(tbl_ES_AdditionalActions[Exposure Evidence Count],ROW()-ROW(tbl_H_EligibilitySummary[#Headers])-ROWS(tbl_ES_Assessment[ActionID]))))</calculatedColumnFormula>
    </tableColumn>
    <tableColumn id="9" xr3:uid="{5A892CB5-F2AA-47CD-960E-28FA46724019}" name="Exposure Effectiveness" dataDxfId="77">
      <calculatedColumnFormula array="1">IF(tbl_H_EligibilitySummary[[#This Row],[Exposure Eligibility]]="Eligible",IF(ROW()-ROW(tbl_H_EligibilitySummary[#Headers])&lt;=ROWS(tbl_ES_Assessment[ActionID]),IF(INDEX(tbl_ES_Assessment[Effectiveness on Exposure],ROW()-ROW(tbl_H_EligibilitySummary[#Headers]))="","",INDEX(tbl_ES_Assessment[Effectiveness on Exposure],ROW()-ROW(tbl_H_EligibilitySummary[#Headers]))),IF(INDEX(tbl_ES_AdditionalActions[Effectiveness on Exposure],ROW()-ROW(tbl_H_EligibilitySummary[#Headers])-ROWS(tbl_ES_Assessment[ActionID]))="","",INDEX(tbl_ES_AdditionalActions[Effectiveness on Exposure],ROW()-ROW(tbl_H_EligibilitySummary[#Headers])-ROWS(tbl_ES_Assessment[ActionID])))),IF(tbl_H_EligibilitySummary[[#This Row],[Exposure Eligibility]]="Review required","Review required",IF(tbl_H_EligibilitySummary[[#This Row],[Exposure Eligibility]]="Not eligible","N/A","")))</calculatedColumnFormula>
    </tableColumn>
    <tableColumn id="10" xr3:uid="{93A16108-C220-49F7-973A-B34D011F1E55}" name="ReviewStatus" dataDxfId="76">
      <calculatedColumnFormula array="1">IF(ROW()-ROW(tbl_H_EligibilitySummary[#Headers])&lt;=ROWS(tbl_ES_Assessment[ActionID]),INDEX(tbl_ES_Assessment[ReviewStatus],ROW()-ROW(tbl_H_EligibilitySummary[#Headers])),INDEX(tbl_ES_AdditionalActions[ReviewStatus],ROW()-ROW(tbl_H_EligibilitySummary[#Headers])-ROWS(tbl_ES_Assessment[ActionID])))</calculatedColumnFormula>
    </tableColumn>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F480006-95BC-4314-8988-AFED5A5A7F15}" name="tbl_ES_SourceIdentification" displayName="tbl_ES_SourceIdentification" ref="B93:G105" totalsRowShown="0" headerRowDxfId="67" dataDxfId="66">
  <autoFilter ref="B93:G105" xr:uid="{FC6DEAAA-FD5B-4D8F-8A28-B9291A1E253E}"/>
  <tableColumns count="6">
    <tableColumn id="1" xr3:uid="{9413D844-F42F-4735-AA92-D07D9B0C57C4}" name="Source ID" dataDxfId="73"/>
    <tableColumn id="2" xr3:uid="{B6B14C26-399C-4E50-A803-4206840FF099}" name="Geographic scope" dataDxfId="72"/>
    <tableColumn id="3" xr3:uid="{23135A65-2F9B-4B44-A7F6-DF4006D9548B}" name="Document title" dataDxfId="71"/>
    <tableColumn id="4" xr3:uid="{47A5A5A1-12A7-4E29-8F00-0AF2BFF29ED4}" name="Issuing institution" dataDxfId="70"/>
    <tableColumn id="5" xr3:uid="{CB6565E7-4514-4E3F-91DA-385C7D96B7BE}" name="Publication year" dataDxfId="69"/>
    <tableColumn id="6" xr3:uid="{E2BD7583-FF3D-46F7-B9D5-CE4BD2463A06}" name="PDF file" dataDxfId="68"/>
  </tableColumns>
  <tableStyleInfo name="TableStyleMedium3"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EC2AF14-8D98-4C06-A8EF-836510586AC3}" name="tbl_ES_Assessment" displayName="tbl_ES_Assessment" ref="B118:Z171" totalsRowShown="0" headerRowDxfId="40" dataDxfId="39">
  <autoFilter ref="B118:Z171" xr:uid="{8A93EFE6-8611-45E6-87F1-5CABFC7755DB}"/>
  <tableColumns count="25">
    <tableColumn id="1" xr3:uid="{9B382A9C-7DE1-4E19-96DD-5A0BD934A151}" name="ActionID" dataDxfId="65"/>
    <tableColumn id="2" xr3:uid="{AC5EA5EF-9016-42AD-9430-02C945617D73}" name="ActionName" dataDxfId="64"/>
    <tableColumn id="3" xr3:uid="{777480F2-156E-4650-83D4-25AE6905A1E7}" name="ActionDefinition" dataDxfId="63"/>
    <tableColumn id="20" xr3:uid="{8D0E58C2-70AA-45C9-BF0A-08B418F32854}" name="Vulnerability Eligibility" dataDxfId="62"/>
    <tableColumn id="21" xr3:uid="{95714031-AE2B-4CAE-B9F1-8DFD394B7C1C}" name="Vulnerability Eligibility Justification" dataDxfId="61"/>
    <tableColumn id="25" xr3:uid="{2753453F-BF29-43AE-AEC8-DDA9FBA91CBE}" name="Vulnerability Evidence Count" dataDxfId="60"/>
    <tableColumn id="4" xr3:uid="{339F9984-71E1-46AD-A270-5A4E75807AF3}" name="Effectiveness on Vulnerability" dataDxfId="59"/>
    <tableColumn id="5" xr3:uid="{69F71915-CD34-40F6-9BAE-570067788A10}" name="Vulnerability Indicators" dataDxfId="58"/>
    <tableColumn id="6" xr3:uid="{4F15FE4C-793D-4D0A-B580-A7E52D86B5FA}" name="Vulnerability Justification" dataDxfId="57"/>
    <tableColumn id="7" xr3:uid="{967E7DEC-F620-46D5-A435-120190515254}" name="Vulnerability EvidenceID" dataDxfId="56"/>
    <tableColumn id="8" xr3:uid="{BD79AA0D-59D0-40CE-9B43-7F28EA64B85D}" name="Source Vulnerability" dataDxfId="55"/>
    <tableColumn id="9" xr3:uid="{647D5ECD-7DE3-4371-ADB1-B24A31230F56}" name="Vulnerability Page" dataDxfId="54"/>
    <tableColumn id="10" xr3:uid="{FF101B91-3F14-4C49-86D6-E44901826EBC}" name="Vulnerability Quote" dataDxfId="53"/>
    <tableColumn id="22" xr3:uid="{A96972C7-0A9D-4E38-A6F4-C80A86295E01}" name="Exposure Eligibility" dataDxfId="52"/>
    <tableColumn id="23" xr3:uid="{94B948A8-E3A8-4681-AEEB-129D7E2DD2DB}" name="Exposure Eligibility Justification" dataDxfId="51"/>
    <tableColumn id="27" xr3:uid="{71E33B6F-3829-46DF-BCE9-5962AA7CD1C6}" name="Exposure Evidence Count" dataDxfId="50"/>
    <tableColumn id="11" xr3:uid="{DDAF472D-57D8-42E5-8F4B-7069D1179A03}" name="Effectiveness on Exposure" dataDxfId="49"/>
    <tableColumn id="12" xr3:uid="{63973F08-E0E7-4578-9901-1AE9B1C7D1A3}" name="Exposure Indicators" dataDxfId="48"/>
    <tableColumn id="13" xr3:uid="{A493E508-CC69-4EFA-B825-D1ABDA89186E}" name="Exposure Justification" dataDxfId="47"/>
    <tableColumn id="14" xr3:uid="{B90ECC4F-DA4E-45D8-A368-C8C2C2CD36E6}" name="Exposure EvidenceID" dataDxfId="46"/>
    <tableColumn id="15" xr3:uid="{BA2993CA-62A6-4683-911C-DF77A83F47C1}" name="Source Exposure" dataDxfId="45"/>
    <tableColumn id="16" xr3:uid="{0A4A41B0-F268-46B7-BD47-88EB8A9A77B0}" name="Exposure Page" dataDxfId="44"/>
    <tableColumn id="17" xr3:uid="{D211D088-F03F-4A5F-831F-3B1FDBDC43AD}" name="Exposure Quote" dataDxfId="43"/>
    <tableColumn id="18" xr3:uid="{88A6E217-DBF4-4C69-B02B-59A9496ECA44}" name="ReviewStatus" dataDxfId="42"/>
    <tableColumn id="19" xr3:uid="{46E59AE1-0AED-4130-B690-16CC3AD723D5}" name="ReviewerComment" dataDxfId="41"/>
  </tableColumns>
  <tableStyleInfo name="TableStyleLight15"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D029506-C5B8-44B0-83BF-CC40C885DA72}" name="tbl_ES_AdditionalActions" displayName="tbl_ES_AdditionalActions" ref="B178:Z188" totalsRowShown="0" headerRowDxfId="13" dataDxfId="12">
  <autoFilter ref="B178:Z188" xr:uid="{2BC4587F-8C90-432E-981D-36AD588ED370}"/>
  <tableColumns count="25">
    <tableColumn id="1" xr3:uid="{C2018921-D36F-438C-84FE-36D770E54913}" name="AdditionalActionID" dataDxfId="38"/>
    <tableColumn id="2" xr3:uid="{246A3764-837B-4644-BE31-E4E29153A73F}" name="ActionName" dataDxfId="37"/>
    <tableColumn id="3" xr3:uid="{2D90868D-CDF4-4268-B628-5D4ED3CAEAAA}" name="ActionDefinition" dataDxfId="36"/>
    <tableColumn id="20" xr3:uid="{9C61F01D-D8D0-4498-BF7B-03E5526B277D}" name="Vulnerability Eligibility" dataDxfId="35"/>
    <tableColumn id="21" xr3:uid="{D478149F-D9C6-4071-89A0-181711FF15E1}" name="Vulnerability Eligibility Justification" dataDxfId="34"/>
    <tableColumn id="25" xr3:uid="{99FDB9B8-8168-42C4-9331-A734B7264CBA}" name="Vulnerability Evidence Count" dataDxfId="33"/>
    <tableColumn id="4" xr3:uid="{EAD2AC65-8408-4394-A944-369F609F3239}" name="Effectiveness on Vulnerability" dataDxfId="32"/>
    <tableColumn id="5" xr3:uid="{A47895F8-6C16-40A4-988E-02BD96D2A225}" name="Vulnerability Indicators" dataDxfId="31"/>
    <tableColumn id="6" xr3:uid="{C8444CE2-C7B2-48D9-A4CF-CA45A7C3BCFD}" name="Vulnerability Justification" dataDxfId="30"/>
    <tableColumn id="7" xr3:uid="{37F1A475-3319-43E4-B902-6DD63CEDA694}" name="Vulnerability EvidenceID" dataDxfId="29"/>
    <tableColumn id="8" xr3:uid="{3EBA415D-9327-41EC-92F1-9324111D88C0}" name="Source Vulnerability" dataDxfId="28"/>
    <tableColumn id="9" xr3:uid="{EC4E6A43-81E0-4A42-8CA0-FA626E28A223}" name="Vulnerability Page" dataDxfId="27"/>
    <tableColumn id="10" xr3:uid="{F79A0891-FE7B-411F-9EDD-E47606BB8444}" name="Vulnerability Quote" dataDxfId="26"/>
    <tableColumn id="22" xr3:uid="{6542B0AE-1200-4FE2-A0D4-EB2E4A4074E4}" name="Exposure Eligibility" dataDxfId="25"/>
    <tableColumn id="23" xr3:uid="{65B4F25A-000E-4358-B6ED-2E74A331D702}" name="Exposure Eligibility Justification" dataDxfId="24"/>
    <tableColumn id="27" xr3:uid="{FCFCE772-1456-4737-8AD9-E48058978ECD}" name="Exposure Evidence Count" dataDxfId="23"/>
    <tableColumn id="11" xr3:uid="{BB9CDA09-AB59-43BF-80BB-B457D1851BFA}" name="Effectiveness on Exposure" dataDxfId="22"/>
    <tableColumn id="12" xr3:uid="{27BC9752-7068-4D06-8695-24BB69DB2031}" name="Exposure Indicators" dataDxfId="21"/>
    <tableColumn id="13" xr3:uid="{5AB107A9-8E82-4102-A3E6-17717E8E9171}" name="Exposure Justification" dataDxfId="20"/>
    <tableColumn id="14" xr3:uid="{7A41D3EA-A6F5-4881-BF89-E5B274D5A1BF}" name="Exposure EvidenceID" dataDxfId="19"/>
    <tableColumn id="15" xr3:uid="{661EA595-AB10-459F-90A3-7D8D9D41D5C4}" name="Source Exposure" dataDxfId="18"/>
    <tableColumn id="16" xr3:uid="{1BEBD199-E821-42ED-B03D-BFC6ACB9D265}" name="Exposure Page" dataDxfId="17"/>
    <tableColumn id="17" xr3:uid="{5C00FF2C-3AFC-4A2F-A3E6-C626E23FAAC7}" name="Exposure Quote" dataDxfId="16"/>
    <tableColumn id="18" xr3:uid="{F9CE38BC-8C64-4759-8FE6-2D188496CE40}" name="ReviewStatus" dataDxfId="15"/>
    <tableColumn id="19" xr3:uid="{0AF549C6-FDA1-4F96-943B-0A390E668742}" name="ReviewerComment" dataDxfId="14"/>
  </tableColumns>
  <tableStyleInfo name="TableStyleLight15"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2612059-024E-4F72-817C-9C70836F3850}" name="tbl_ES_EligibilitySummary" displayName="tbl_ES_EligibilitySummary" ref="B7:K70" totalsRowShown="0" headerRowDxfId="1" dataDxfId="0">
  <autoFilter ref="B7:K70" xr:uid="{F8B36430-B3AF-4EA5-8F7E-D87D145D149E}"/>
  <tableColumns count="10">
    <tableColumn id="1" xr3:uid="{A6A45579-290A-4C8B-9461-DE84695A1632}" name="Record Type" dataDxfId="11">
      <calculatedColumnFormula array="1">IF(ROW()-ROW(tbl_ES_EligibilitySummary[#Headers])&lt;=ROWS(tbl_ES_Assessment[ActionID]),"Existing action","Additional action")</calculatedColumnFormula>
    </tableColumn>
    <tableColumn id="2" xr3:uid="{B238BECB-E8CC-4A51-A27A-A5AAC5F4604D}" name="Action ID" dataDxfId="10">
      <calculatedColumnFormula array="1">IF(ROW()-ROW(tbl_ES_EligibilitySummary[#Headers])&lt;=ROWS(tbl_ES_Assessment[ActionID]),INDEX(tbl_ES_Assessment[ActionID],ROW()-ROW(tbl_ES_EligibilitySummary[#Headers])),INDEX(tbl_ES_AdditionalActions[AdditionalActionID],ROW()-ROW(tbl_ES_EligibilitySummary[#Headers])-ROWS(tbl_ES_Assessment[ActionID])))</calculatedColumnFormula>
    </tableColumn>
    <tableColumn id="3" xr3:uid="{3F1BCBF0-F7C8-47A4-BE7D-C610B0056BEA}" name="Action Name" dataDxfId="9">
      <calculatedColumnFormula array="1">IF(ROW()-ROW(tbl_ES_EligibilitySummary[#Headers])&lt;=ROWS(tbl_ES_Assessment[ActionID]),INDEX(tbl_ES_Assessment[ActionName],ROW()-ROW(tbl_ES_EligibilitySummary[#Headers])),INDEX(tbl_ES_AdditionalActions[ActionName],ROW()-ROW(tbl_ES_EligibilitySummary[#Headers])-ROWS(tbl_ES_Assessment[ActionID])))</calculatedColumnFormula>
    </tableColumn>
    <tableColumn id="4" xr3:uid="{CDC3AC1C-9D9D-4B55-9046-61EE511CE188}" name="Vulnerability Eligibility" dataDxfId="8">
      <calculatedColumnFormula array="1">IF(ROW()-ROW(tbl_ES_EligibilitySummary[#Headers])&lt;=ROWS(tbl_ES_Assessment[ActionID]),INDEX(tbl_ES_Assessment[Vulnerability Eligibility],ROW()-ROW(tbl_ES_EligibilitySummary[#Headers])),INDEX(tbl_ES_AdditionalActions[Vulnerability Eligibility],ROW()-ROW(tbl_ES_EligibilitySummary[#Headers])-ROWS(tbl_ES_Assessment[ActionID])))</calculatedColumnFormula>
    </tableColumn>
    <tableColumn id="5" xr3:uid="{6F007E1F-3D16-46AE-8E41-C0AE24445CC8}" name="Vulnerability Evidence Count" dataDxfId="7">
      <calculatedColumnFormula array="1">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calculatedColumnFormula>
    </tableColumn>
    <tableColumn id="6" xr3:uid="{0CECA01B-9D7F-425D-B981-7F7F55CBCC47}" name="Vulnerability Effectiveness" dataDxfId="6">
      <calculatedColumnFormula array="1">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calculatedColumnFormula>
    </tableColumn>
    <tableColumn id="7" xr3:uid="{49F90807-17B5-461B-989D-7CCCD60CBD3D}" name="Exposure Eligibility" dataDxfId="5">
      <calculatedColumnFormula array="1">IF(ROW()-ROW(tbl_ES_EligibilitySummary[#Headers])&lt;=ROWS(tbl_ES_Assessment[ActionID]),INDEX(tbl_ES_Assessment[Exposure Eligibility],ROW()-ROW(tbl_ES_EligibilitySummary[#Headers])),INDEX(tbl_ES_AdditionalActions[Exposure Eligibility],ROW()-ROW(tbl_ES_EligibilitySummary[#Headers])-ROWS(tbl_ES_Assessment[ActionID])))</calculatedColumnFormula>
    </tableColumn>
    <tableColumn id="8" xr3:uid="{2D514226-0083-4BD2-A2C6-3E26B35A52A1}" name="Exposure Evidence Count" dataDxfId="4">
      <calculatedColumnFormula array="1">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calculatedColumnFormula>
    </tableColumn>
    <tableColumn id="9" xr3:uid="{3A43D480-78A7-471A-80E5-B78468BE1B9E}" name="Exposure Effectiveness" dataDxfId="3">
      <calculatedColumnFormula array="1">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calculatedColumnFormula>
    </tableColumn>
    <tableColumn id="10" xr3:uid="{60A034D5-08C1-4F86-9AE6-F4A26A6233A1}" name="ReviewStatus" dataDxfId="2">
      <calculatedColumnFormula array="1">IF(ROW()-ROW(tbl_ES_EligibilitySummary[#Headers])&lt;=ROWS(tbl_ES_Assessment[ActionID]),INDEX(tbl_ES_Assessment[ReviewStatus],ROW()-ROW(tbl_ES_EligibilitySummary[#Headers])),INDEX(tbl_ES_AdditionalActions[ReviewStatus],ROW()-ROW(tbl_ES_EligibilitySummary[#Headers])-ROWS(tbl_ES_Assessment[ActionID])))</calculatedColumnFormula>
    </tableColumn>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6FE5B57-00B0-48D4-8B5B-93B022B98AC5}" name="Table227" displayName="Table227" ref="A1:O246" headerRowDxfId="473">
  <autoFilter ref="A1:O246" xr:uid="{00000000-0009-0000-0100-000002000000}"/>
  <tableColumns count="15">
    <tableColumn id="1" xr3:uid="{C26F8328-8F67-4AD8-BFF2-0F92B5A32860}" name="sector_id"/>
    <tableColumn id="2" xr3:uid="{F2D09CBB-38C0-4DC8-BE28-8B43C1323241}" name="sector_name"/>
    <tableColumn id="3" xr3:uid="{440600BC-4E20-4AF4-813D-685C5DF59064}" name="risk_id"/>
    <tableColumn id="4" xr3:uid="{90601D7C-7EC6-420A-9920-3887633D2B1F}" name="risk_name"/>
    <tableColumn id="5" xr3:uid="{E798F9AB-2440-49DA-9E15-E14291A7E39B}" name="risk_component_id"/>
    <tableColumn id="6" xr3:uid="{2BAE2A5B-B57A-4EF1-8C1C-A2E0E15809F8}" name="risk_component_name"/>
    <tableColumn id="7" xr3:uid="{54791EA5-0E51-4062-AD21-9735FB68D53B}" name="impact_chain_id_1"/>
    <tableColumn id="8" xr3:uid="{E0AAD94F-BAAE-41F5-86E1-2C0B9054E849}" name="impact_chain_name_1"/>
    <tableColumn id="9" xr3:uid="{151087D9-6550-4761-BBBA-14D42F720F2C}" name="impact_chain_id_2"/>
    <tableColumn id="10" xr3:uid="{4AA525AB-05EB-4EAE-958B-1C3389181A0C}" name="impact_chain_name_2"/>
    <tableColumn id="11" xr3:uid="{F8A51AEE-A6F2-4C40-B3A3-C6D8C9C83ECD}" name="impact_chain_id_3"/>
    <tableColumn id="12" xr3:uid="{7BDBAA3B-5616-4180-A47B-D197054F89BA}" name="impact_chain_name_3"/>
    <tableColumn id="13" xr3:uid="{A47E723F-B91E-4508-994C-D1759B93B7DE}" name="base_indicator_id"/>
    <tableColumn id="14" xr3:uid="{3A66AF36-B1C0-4E04-9311-7DC6BF0499DB}" name="base_indicator_name"/>
    <tableColumn id="15" xr3:uid="{0B48FBEE-7790-491B-9F72-78166BA88719}" name="base_indicator_level"/>
  </tableColumns>
  <tableStyleInfo name="all_indicators-style"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8B577A2-7F67-4D73-99ED-D9350BFC0384}" name="tbl_Lists_SourceScope" displayName="tbl_Lists_SourceScope" ref="A4:A6" totalsRowShown="0" headerRowDxfId="472" dataDxfId="471">
  <autoFilter ref="A4:A6" xr:uid="{78B577A2-7F67-4D73-99ED-D9350BFC0384}"/>
  <tableColumns count="1">
    <tableColumn id="1" xr3:uid="{E95CACA5-ED83-408B-A972-F67E6E79A44E}" name="SourceScope" dataDxfId="470"/>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E8BC3BC-CC54-458C-8967-9533DD27C142}" name="tbl_Lists_AccessStatus" displayName="tbl_Lists_AccessStatus" ref="C4:C8" totalsRowShown="0" headerRowDxfId="469" dataDxfId="468">
  <autoFilter ref="C4:C8" xr:uid="{0E8BC3BC-CC54-458C-8967-9533DD27C142}"/>
  <tableColumns count="1">
    <tableColumn id="1" xr3:uid="{A1A82ADF-1667-49F3-BE06-5F8A9479D4C3}" name="AccessStatus" dataDxfId="467"/>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EC3DF36-FED9-42D1-B4D9-7FCFEB4134B3}" name="tbl_Lists_RelevantComponent" displayName="tbl_Lists_RelevantComponent" ref="E4:E7" totalsRowShown="0" headerRowDxfId="466" dataDxfId="465">
  <autoFilter ref="E4:E7" xr:uid="{2EC3DF36-FED9-42D1-B4D9-7FCFEB4134B3}"/>
  <tableColumns count="1">
    <tableColumn id="1" xr3:uid="{B7B32B15-5AA7-485F-8270-25E84F010B9D}" name="RelevantComponent" dataDxfId="464"/>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1DACB61-AD04-4C9D-9257-2EBAD7E6B742}" name="tbl_Lists_EvidenceStrength" displayName="tbl_Lists_EvidenceStrength" ref="G4:G8" totalsRowShown="0" headerRowDxfId="463" dataDxfId="462">
  <autoFilter ref="G4:G8" xr:uid="{91DACB61-AD04-4C9D-9257-2EBAD7E6B742}"/>
  <tableColumns count="1">
    <tableColumn id="1" xr3:uid="{0D511390-C5A0-4522-A63B-3290325E5AB7}" name="EvidenceStrength" dataDxfId="461"/>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62D0FCA-5E03-4DF4-8667-D2CEAF2A5FC8}" name="tbl_Lists_HumanValidated" displayName="tbl_Lists_HumanValidated" ref="A11:A13" totalsRowShown="0" headerRowDxfId="460" dataDxfId="459">
  <autoFilter ref="A11:A13" xr:uid="{262D0FCA-5E03-4DF4-8667-D2CEAF2A5FC8}"/>
  <tableColumns count="1">
    <tableColumn id="1" xr3:uid="{A7911E86-93C5-4711-92A4-67F41A42B311}" name="HumanValidated" dataDxfId="458"/>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EE3A45E-14AA-4F62-BF80-52E9E9200340}" name="tbl_Lists_ReviewStatus" displayName="tbl_Lists_ReviewStatus" ref="C11:C17" totalsRowShown="0" headerRowDxfId="457" dataDxfId="456">
  <autoFilter ref="C11:C17" xr:uid="{6EE3A45E-14AA-4F62-BF80-52E9E9200340}"/>
  <tableColumns count="1">
    <tableColumn id="1" xr3:uid="{A158FBFF-C728-4254-B886-ADE9678B9DBF}" name="ReviewStatus" dataDxfId="45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6D0CA6A-ADEA-4993-BB54-049972AED8DE}" name="tbl_Lists_EffectivenessLevel" displayName="tbl_Lists_EffectivenessLevel" ref="E11:E15" totalsRowShown="0" headerRowDxfId="454" dataDxfId="453">
  <autoFilter ref="E11:E15" xr:uid="{36D0CA6A-ADEA-4993-BB54-049972AED8DE}"/>
  <tableColumns count="1">
    <tableColumn id="1" xr3:uid="{C6174A3B-7196-4AA4-87F4-F6E9A3049F40}" name="EffectivenessLevel" dataDxfId="452"/>
  </tableColumns>
  <tableStyleInfo name="TableStyleMedium2" showFirstColumn="0" showLastColumn="0" showRowStripes="1" showColumnStripes="0"/>
</table>
</file>

<file path=xl/theme/theme1.xml><?xml version="1.0" encoding="utf-8"?>
<a:theme xmlns:a="http://schemas.openxmlformats.org/drawingml/2006/main" name="Thème1">
  <a:themeElements>
    <a:clrScheme name="I Care Palette">
      <a:dk1>
        <a:srgbClr val="707E8B"/>
      </a:dk1>
      <a:lt1>
        <a:srgbClr val="FFFFFF"/>
      </a:lt1>
      <a:dk2>
        <a:srgbClr val="32859A"/>
      </a:dk2>
      <a:lt2>
        <a:srgbClr val="87711B"/>
      </a:lt2>
      <a:accent1>
        <a:srgbClr val="1B8782"/>
      </a:accent1>
      <a:accent2>
        <a:srgbClr val="9FA8B1"/>
      </a:accent2>
      <a:accent3>
        <a:srgbClr val="B6D8A9"/>
      </a:accent3>
      <a:accent4>
        <a:srgbClr val="F08265"/>
      </a:accent4>
      <a:accent5>
        <a:srgbClr val="533747"/>
      </a:accent5>
      <a:accent6>
        <a:srgbClr val="E2EEB3"/>
      </a:accent6>
      <a:hlink>
        <a:srgbClr val="1B8782"/>
      </a:hlink>
      <a:folHlink>
        <a:srgbClr val="707E8B"/>
      </a:folHlink>
    </a:clrScheme>
    <a:fontScheme name="I Care Open Sans">
      <a:majorFont>
        <a:latin typeface="Open Sans"/>
        <a:ea typeface=""/>
        <a:cs typeface=""/>
      </a:majorFont>
      <a:minorFont>
        <a:latin typeface="Open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txDef>
      <a:spPr>
        <a:no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l" defTabSz="584200" rtl="0" fontAlgn="auto" latinLnBrk="0" hangingPunct="0">
          <a:lnSpc>
            <a:spcPct val="100000"/>
          </a:lnSpc>
          <a:spcBef>
            <a:spcPts val="0"/>
          </a:spcBef>
          <a:spcAft>
            <a:spcPts val="0"/>
          </a:spcAft>
          <a:buClrTx/>
          <a:buSzTx/>
          <a:buFontTx/>
          <a:buNone/>
          <a:tabLst/>
          <a:defRPr dirty="0" err="1" smtClean="0">
            <a:solidFill>
              <a:srgbClr val="7F8994"/>
            </a:solidFill>
            <a:latin typeface="+mj-lt"/>
            <a:ea typeface="Helvetica Neue Light"/>
            <a:cs typeface="Arial" panose="020B0604020202020204" pitchFamily="34" charset="0"/>
            <a:sym typeface="Helvetica Neue Light"/>
          </a:defRPr>
        </a:defPPr>
      </a:lstStyle>
      <a:style>
        <a:lnRef idx="0">
          <a:scrgbClr r="0" g="0" b="0"/>
        </a:lnRef>
        <a:fillRef idx="0">
          <a:scrgbClr r="0" g="0" b="0"/>
        </a:fillRef>
        <a:effectRef idx="0">
          <a:scrgbClr r="0" g="0" b="0"/>
        </a:effectRef>
        <a:fontRef idx="none"/>
      </a:style>
    </a:txDef>
  </a:objectDefaults>
  <a:extraClrSchemeLst/>
  <a:extLst>
    <a:ext uri="{05A4C25C-085E-4340-85A3-A5531E510DB2}">
      <thm15:themeFamily xmlns:thm15="http://schemas.microsoft.com/office/thememl/2012/main" name="FR_I Care - Oct 19" id="{338A6FD1-6477-4868-B6A6-7B6DE273DBE0}" vid="{0CAB22CE-E1DA-4690-923A-BA486C60BD8A}"/>
    </a:ext>
  </a:extLst>
</a:theme>
</file>

<file path=xl/threadedComments/threadedComment1.xml><?xml version="1.0" encoding="utf-8"?>
<ThreadedComments xmlns="http://schemas.microsoft.com/office/spreadsheetml/2018/threadedcomments" xmlns:x="http://schemas.openxmlformats.org/spreadsheetml/2006/main">
  <threadedComment ref="E3" dT="2026-08-20T19:26:13.78" personId="{5E965216-5926-42B3-85CF-9AD1CA2B1B41}" id="{D05D0936-4630-424F-A9D3-0CF7E2BD843D}">
    <text>Temporary result. Sector worksheet not yet separated.</text>
  </threadedComment>
  <threadedComment ref="F3" dT="2026-08-20T19:26:14.24" personId="{5E965216-5926-42B3-85CF-9AD1CA2B1B41}" id="{ACE35685-AAD3-45E1-AA03-B954EDF69843}">
    <text>Temporary result. Sector worksheet not yet separated.</text>
  </threadedComment>
  <threadedComment ref="G3" dT="2026-08-20T19:26:14.83" personId="{5E965216-5926-42B3-85CF-9AD1CA2B1B41}" id="{94F8BA69-E37B-4468-ACB4-C49702140BF1}">
    <text>Temporary result. Sector worksheet not yet separated.</text>
  </threadedComment>
  <threadedComment ref="H3" dT="2026-08-20T19:26:15.41" personId="{5E965216-5926-42B3-85CF-9AD1CA2B1B41}" id="{450D59E4-2BA2-45D3-A766-55488659F9EB}">
    <text>Temporary result. Sector worksheet not yet separated.</text>
  </threadedComment>
  <threadedComment ref="I3" dT="2026-08-20T19:26:15.92" personId="{5E965216-5926-42B3-85CF-9AD1CA2B1B41}" id="{09C5D089-5111-4567-A09C-B17B4F7E96FB}">
    <text>Temporary result. Sector worksheet not yet separated.</text>
  </threadedComment>
  <threadedComment ref="F68" dT="2026-08-20T19:26:16.45" personId="{5E965216-5926-42B3-85CF-9AD1CA2B1B41}" id="{5169DBB0-C49E-40E9-80BC-63B89CB6ADD5}">
    <text>Temporary result. Sector worksheet not yet separated.</text>
  </threadedComment>
  <threadedComment ref="G68" dT="2026-08-20T19:26:16.94" personId="{5E965216-5926-42B3-85CF-9AD1CA2B1B41}" id="{6AD1AE91-3EC5-4DEC-B83F-9FE205461077}">
    <text>Temporary result. Sector worksheet not yet separated.</text>
  </threadedComment>
  <threadedComment ref="H68" dT="2026-08-20T19:26:17.55" personId="{5E965216-5926-42B3-85CF-9AD1CA2B1B41}" id="{F4B6F48D-F1C6-4708-9545-34A2024A87C7}">
    <text>Temporary result. Sector worksheet not yet separated.</text>
  </threadedComment>
  <threadedComment ref="I68" dT="2026-08-20T19:26:18.06" personId="{5E965216-5926-42B3-85CF-9AD1CA2B1B41}" id="{2555483C-C825-4DFA-BF39-3DF3CFE1E22C}">
    <text>Temporary result. Sector worksheet not yet separated.</text>
  </threadedComment>
  <threadedComment ref="J68" dT="2026-08-20T19:26:18.56" personId="{5E965216-5926-42B3-85CF-9AD1CA2B1B41}" id="{87444575-32F7-43E8-B5E1-C14B150E53B3}">
    <text>Temporary result. Sector worksheet not yet separated.</text>
  </threadedComment>
  <threadedComment ref="K68" dT="2026-08-20T19:26:19.12" personId="{5E965216-5926-42B3-85CF-9AD1CA2B1B41}" id="{98F0DE17-2C95-42E0-9ACE-04D1C2FFBD87}">
    <text>Temporary result. Sector worksheet not yet separated.</text>
  </threadedComment>
  <threadedComment ref="L68" dT="2026-08-20T19:26:19.62" personId="{5E965216-5926-42B3-85CF-9AD1CA2B1B41}" id="{1410FF86-1CE0-444B-8AE7-453FFC0D1803}">
    <text>Temporary result. Sector worksheet not yet separated.</text>
  </threadedComment>
  <threadedComment ref="M68" dT="2026-08-20T19:26:20.16" personId="{5E965216-5926-42B3-85CF-9AD1CA2B1B41}" id="{7F7510FE-9ECA-4BC9-9D8A-21E7F4DB48DB}">
    <text>Temporary result. Sector worksheet not yet separated.</text>
  </threadedComment>
  <threadedComment ref="N68" dT="2026-08-20T19:26:20.70" personId="{5E965216-5926-42B3-85CF-9AD1CA2B1B41}" id="{8833D330-CC05-4B38-A078-38ACF624FD8E}">
    <text>Temporary result. Sector worksheet not yet separated.</text>
  </threadedComment>
  <threadedComment ref="O68" dT="2026-08-20T19:26:21.19" personId="{5E965216-5926-42B3-85CF-9AD1CA2B1B41}" id="{02588CFD-F318-4E45-B760-3F123960C0F5}">
    <text>Temporary result. Sector worksheet not yet separated.</text>
  </threadedComment>
</ThreadedComment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documents1.worldbank.org/curated/en/099124511122431814/pdf/IDU1fa8a4c3a1fd8c14810194851fb785b73d02d.pdf" TargetMode="External"/><Relationship Id="rId7" Type="http://schemas.openxmlformats.org/officeDocument/2006/relationships/table" Target="../tables/table4.xml"/><Relationship Id="rId2" Type="http://schemas.openxmlformats.org/officeDocument/2006/relationships/hyperlink" Target="https://unece.org/fileadmin/DAM/env/water/publications/WAT_Good_practices/ece.mp.wat.45.pdf" TargetMode="External"/><Relationship Id="rId1" Type="http://schemas.openxmlformats.org/officeDocument/2006/relationships/hyperlink" Target="https://unece.org/sites/default/files/datastore/fileadmin/DAM/env/water/mop5/Guidance_FINAL.pdf" TargetMode="External"/><Relationship Id="rId6" Type="http://schemas.openxmlformats.org/officeDocument/2006/relationships/hyperlink" Target="https://www.gov.br/cidades/pt-br/acesso-a-informacao/acoes-e-programas/saneamento/plano-nacional-de-saneamento-basico-plansab/arquivos/relatriodeavaliaoanualdoplansab2020.pdf" TargetMode="External"/><Relationship Id="rId5" Type="http://schemas.openxmlformats.org/officeDocument/2006/relationships/hyperlink" Target="https://www.gov.br/ana/pt-br/assuntos/gestao-das-aguas/planos-de-recursos-hidricos/planos-de-recursos-hidricos-de-bacias-hidrograficas/planos-de-bacias-hidrograficas-interfederativas/planejamento-integrado-de-recursos-hidricos-nas-bacias-compartilhadas-pirh-parhs/copy_of_ManualparaavaliaodaimplementaodePlanosdeRecursosHdricos.pdf" TargetMode="External"/><Relationship Id="rId10" Type="http://schemas.openxmlformats.org/officeDocument/2006/relationships/table" Target="../tables/table7.xml"/><Relationship Id="rId4" Type="http://schemas.openxmlformats.org/officeDocument/2006/relationships/hyperlink" Target="https://awsassets.panda.org/downloads/flowing_forward_freshwater_ecosystem_adaptation_to_climate_change.pdf" TargetMode="External"/><Relationship Id="rId9"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hyperlink" Target="https://www.gov.br/mdr/pt-br/assuntos/fundos-regionais-e-incentivos-fiscais/fundos-constitucionais-de-financiamento-fno-fne-e-fco" TargetMode="External"/><Relationship Id="rId13" Type="http://schemas.openxmlformats.org/officeDocument/2006/relationships/hyperlink" Target="https://www.greenclimate.fund/countries/brazil" TargetMode="External"/><Relationship Id="rId3" Type="http://schemas.openxmlformats.org/officeDocument/2006/relationships/hyperlink" Target="https://www.ibge.gov.br/estatisticas/sociais/administracao-publica-e-participacao-politica/19879-suplementos-munic2.html" TargetMode="External"/><Relationship Id="rId7" Type="http://schemas.openxmlformats.org/officeDocument/2006/relationships/hyperlink" Target="https://www.fundoamazonia.gov.br/" TargetMode="External"/><Relationship Id="rId12" Type="http://schemas.openxmlformats.org/officeDocument/2006/relationships/hyperlink" Target="https://painel-cofiex.planejamento.gov.br/" TargetMode="External"/><Relationship Id="rId2" Type="http://schemas.openxmlformats.org/officeDocument/2006/relationships/hyperlink" Target="https://www.gov.br/tesouronacional/pt-br/estados-e-municipios/dados-consolidados/finbra-financas-municipais" TargetMode="External"/><Relationship Id="rId16" Type="http://schemas.openxmlformats.org/officeDocument/2006/relationships/table" Target="../tables/table17.xml"/><Relationship Id="rId1" Type="http://schemas.openxmlformats.org/officeDocument/2006/relationships/hyperlink" Target="https://www.tesourotransparente.gov.br/ckan/dataset/capag-municipios" TargetMode="External"/><Relationship Id="rId6" Type="http://schemas.openxmlformats.org/officeDocument/2006/relationships/hyperlink" Target="https://www.gov.br/mma/pt-br/assuntos/mudanca-do-clima/financiamento" TargetMode="External"/><Relationship Id="rId11" Type="http://schemas.openxmlformats.org/officeDocument/2006/relationships/hyperlink" Target="https://www.gov.br/cidades/pt-br/acesso-a-informacao/acoes-e-programas/pac/selecoes-novo-pac/relacao-de-propostas/selecao-do-novo-pac-contencao-de-encostas-e-drenagem" TargetMode="External"/><Relationship Id="rId5" Type="http://schemas.openxmlformats.org/officeDocument/2006/relationships/hyperlink" Target="https://www.bndes.gov.br/wps/portal/site/home/financiamento/produto/fundo-clima" TargetMode="External"/><Relationship Id="rId15" Type="http://schemas.openxmlformats.org/officeDocument/2006/relationships/hyperlink" Target="https://s2id.mi.gov.br/" TargetMode="External"/><Relationship Id="rId10" Type="http://schemas.openxmlformats.org/officeDocument/2006/relationships/hyperlink" Target="https://www.gov.br/transferegov/pt-br" TargetMode="External"/><Relationship Id="rId4" Type="http://schemas.openxmlformats.org/officeDocument/2006/relationships/hyperlink" Target="https://ifem.onrender.com/" TargetMode="External"/><Relationship Id="rId9" Type="http://schemas.openxmlformats.org/officeDocument/2006/relationships/hyperlink" Target="https://www.caixa.gov.br/poder-publico/infraestrutura-saneamento-mobilidade/meio-ambiente-saneamento/drenagem-urbana-sustentavel/" TargetMode="External"/><Relationship Id="rId14" Type="http://schemas.openxmlformats.org/officeDocument/2006/relationships/hyperlink" Target="https://portaldatransparencia.gov.br/emendas"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4.xml.rels><?xml version="1.0" encoding="UTF-8" standalone="yes"?>
<Relationships xmlns="http://schemas.openxmlformats.org/package/2006/relationships"><Relationship Id="rId8" Type="http://schemas.openxmlformats.org/officeDocument/2006/relationships/hyperlink" Target="https://climate-laws.org/document/brazil-s-adaptation-climate-plan-sectoral-plan-for-disaster-risk-reduction-and-management_e1ad" TargetMode="External"/><Relationship Id="rId3" Type="http://schemas.openxmlformats.org/officeDocument/2006/relationships/hyperlink" Target="https://climate-laws.org/document/brazil-s-national-adaptation-strategy-estrategia-nacional-de-adaptacao_d03e" TargetMode="External"/><Relationship Id="rId7" Type="http://schemas.openxmlformats.org/officeDocument/2006/relationships/hyperlink" Target="https://climate-laws.org/document/brazil-s-adaptation-climate-plan-thematic-plan-for-water-resources_4957" TargetMode="External"/><Relationship Id="rId2" Type="http://schemas.openxmlformats.org/officeDocument/2006/relationships/hyperlink" Target="https://climate-laws.org/document/brazil-s-climate-plan-2024-2035-plano-clima-2024-2035_bb9c" TargetMode="External"/><Relationship Id="rId1" Type="http://schemas.openxmlformats.org/officeDocument/2006/relationships/hyperlink" Target="https://unfccc.int/sites/default/files/2024-11/Brazil_Second%20Nationally%20Determined%20Contribution%20(NDC)_November2024.pdf" TargetMode="External"/><Relationship Id="rId6" Type="http://schemas.openxmlformats.org/officeDocument/2006/relationships/hyperlink" Target="https://climate-laws.org/document/brazil-s-adaptation-climate-plan-sectoral-plan-for-energy_e463" TargetMode="External"/><Relationship Id="rId11" Type="http://schemas.openxmlformats.org/officeDocument/2006/relationships/table" Target="../tables/table19.xml"/><Relationship Id="rId5" Type="http://schemas.openxmlformats.org/officeDocument/2006/relationships/hyperlink" Target="https://climate-laws.org/document/brazil-s-adaptation-climate-plan-sectoral-plan-for-cities_85b7" TargetMode="External"/><Relationship Id="rId10" Type="http://schemas.openxmlformats.org/officeDocument/2006/relationships/hyperlink" Target="https://climate-laws.org/document/brazil-s-adaptation-climate-plan-sectoral-plan-for-food-and-nutritional-security_6edc" TargetMode="External"/><Relationship Id="rId4" Type="http://schemas.openxmlformats.org/officeDocument/2006/relationships/hyperlink" Target="https://climate-laws.org/document/brazil-s-adaptation-climate-plan-biodiversity-thematic-plan_fb32?q=Brazil+Biodiversity" TargetMode="External"/><Relationship Id="rId9" Type="http://schemas.openxmlformats.org/officeDocument/2006/relationships/hyperlink" Target="https://climate-laws.org/document/brazil-s-adaptation-climate-plan-sectoral-plan-for-health_d667"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documents1.worldbank.org/curated/en/330581468162838292/pdf/521170WP0CCAFS10Box345553B01PUBLIC1.pdf" TargetMode="External"/><Relationship Id="rId7" Type="http://schemas.openxmlformats.org/officeDocument/2006/relationships/table" Target="../tables/table23.xml"/><Relationship Id="rId2" Type="http://schemas.openxmlformats.org/officeDocument/2006/relationships/hyperlink" Target="https://www.embrapa.br/busca-de-publicacoes/-/publicacao/1181212/ciencia-para-o-clima-e-solucoes-da-agricultura-brasileira-estrategias-tecnologias-e-indicadores-de-adaptacao-a-mudanca-climatica-e-de-controle-de-emissoes-de-gases-de-efeito-estufa-na-agricultura-tropical" TargetMode="External"/><Relationship Id="rId1" Type="http://schemas.openxmlformats.org/officeDocument/2006/relationships/hyperlink" Target="https://www.unfoodsystemshub.org/docs/unfoodsystemslibraries/national-pathways/brazil/2023-07-21-caminhos-nacionais-ii-eng.pdf" TargetMode="External"/><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table" Target="../tables/table24.xml"/><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table" Target="../tables/table28.xml"/><Relationship Id="rId4" Type="http://schemas.openxmlformats.org/officeDocument/2006/relationships/table" Target="../tables/table31.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table" Target="../tables/table32.xml"/><Relationship Id="rId4" Type="http://schemas.openxmlformats.org/officeDocument/2006/relationships/table" Target="../tables/table35.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table" Target="../tables/table36.xml"/><Relationship Id="rId4" Type="http://schemas.openxmlformats.org/officeDocument/2006/relationships/table" Target="../tables/table3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43.xml"/><Relationship Id="rId7" Type="http://schemas.openxmlformats.org/officeDocument/2006/relationships/table" Target="../tables/table47.xml"/><Relationship Id="rId2" Type="http://schemas.openxmlformats.org/officeDocument/2006/relationships/table" Target="../tables/table42.xml"/><Relationship Id="rId1" Type="http://schemas.openxmlformats.org/officeDocument/2006/relationships/table" Target="../tables/table41.xml"/><Relationship Id="rId6" Type="http://schemas.openxmlformats.org/officeDocument/2006/relationships/table" Target="../tables/table46.xml"/><Relationship Id="rId5" Type="http://schemas.openxmlformats.org/officeDocument/2006/relationships/table" Target="../tables/table45.xml"/><Relationship Id="rId4" Type="http://schemas.openxmlformats.org/officeDocument/2006/relationships/table" Target="../tables/table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7EB6-CB65-40F2-8715-59497A9DF7F0}">
  <dimension ref="B2:K45"/>
  <sheetViews>
    <sheetView showGridLines="0" tabSelected="1" zoomScale="55" zoomScaleNormal="55" workbookViewId="0">
      <selection activeCell="B2" sqref="B2:K2"/>
    </sheetView>
  </sheetViews>
  <sheetFormatPr baseColWidth="10" defaultRowHeight="15"/>
  <cols>
    <col min="1" max="1" width="5" customWidth="1"/>
    <col min="2" max="2" width="13" customWidth="1"/>
    <col min="3" max="4" width="9.69921875" customWidth="1"/>
    <col min="5" max="11" width="12" customWidth="1"/>
    <col min="12" max="12" width="15.8984375" customWidth="1"/>
    <col min="13" max="13" width="14.09765625" customWidth="1"/>
  </cols>
  <sheetData>
    <row r="2" spans="2:11" ht="31.95" customHeight="1">
      <c r="B2" s="201" t="s">
        <v>2559</v>
      </c>
      <c r="C2" s="202"/>
      <c r="D2" s="202"/>
      <c r="E2" s="202"/>
      <c r="F2" s="202"/>
      <c r="G2" s="202"/>
      <c r="H2" s="202"/>
      <c r="I2" s="202"/>
      <c r="J2" s="202"/>
      <c r="K2" s="203"/>
    </row>
    <row r="3" spans="2:11" ht="22.05" customHeight="1">
      <c r="B3" s="204" t="s">
        <v>2560</v>
      </c>
      <c r="C3" s="205"/>
      <c r="D3" s="205"/>
      <c r="E3" s="205"/>
      <c r="F3" s="205"/>
      <c r="G3" s="205"/>
      <c r="H3" s="205"/>
      <c r="I3" s="205"/>
      <c r="J3" s="205"/>
      <c r="K3" s="206"/>
    </row>
    <row r="4" spans="2:11" ht="15.6" thickBot="1">
      <c r="B4" s="207"/>
      <c r="C4" s="180"/>
      <c r="D4" s="180"/>
      <c r="E4" s="180"/>
      <c r="F4" s="180"/>
      <c r="G4" s="180"/>
      <c r="H4" s="180"/>
      <c r="I4" s="180"/>
      <c r="J4" s="180"/>
      <c r="K4" s="208"/>
    </row>
    <row r="5" spans="2:11">
      <c r="B5" s="209"/>
      <c r="C5" s="210"/>
      <c r="D5" s="210"/>
      <c r="E5" s="210"/>
      <c r="F5" s="210"/>
      <c r="G5" s="210"/>
      <c r="H5" s="210"/>
      <c r="I5" s="210"/>
      <c r="J5" s="210"/>
      <c r="K5" s="211"/>
    </row>
    <row r="6" spans="2:11" ht="21" customHeight="1">
      <c r="B6" s="212" t="s">
        <v>2545</v>
      </c>
      <c r="C6" s="213" t="s">
        <v>2548</v>
      </c>
      <c r="D6" s="210"/>
      <c r="E6" s="210"/>
      <c r="F6" s="210"/>
      <c r="G6" s="210"/>
      <c r="H6" s="210"/>
      <c r="I6" s="210"/>
      <c r="J6" s="210"/>
      <c r="K6" s="211"/>
    </row>
    <row r="7" spans="2:11" ht="21" customHeight="1">
      <c r="B7" s="212" t="s">
        <v>2546</v>
      </c>
      <c r="C7" s="213" t="s">
        <v>2558</v>
      </c>
      <c r="D7" s="210"/>
      <c r="E7" s="210"/>
      <c r="F7" s="210"/>
      <c r="G7" s="210"/>
      <c r="H7" s="210"/>
      <c r="I7" s="210"/>
      <c r="J7" s="210"/>
      <c r="K7" s="211"/>
    </row>
    <row r="8" spans="2:11" ht="24" customHeight="1">
      <c r="B8" s="212" t="s">
        <v>2547</v>
      </c>
      <c r="C8" s="213" t="s">
        <v>2549</v>
      </c>
      <c r="D8" s="210"/>
      <c r="E8" s="210"/>
      <c r="F8" s="210"/>
      <c r="G8" s="210"/>
      <c r="H8" s="210"/>
      <c r="I8" s="210"/>
      <c r="J8" s="210"/>
      <c r="K8" s="211"/>
    </row>
    <row r="9" spans="2:11">
      <c r="B9" s="209"/>
      <c r="C9" s="210"/>
      <c r="D9" s="210"/>
      <c r="E9" s="210"/>
      <c r="F9" s="210"/>
      <c r="G9" s="210"/>
      <c r="H9" s="210"/>
      <c r="I9" s="210"/>
      <c r="J9" s="210"/>
      <c r="K9" s="211"/>
    </row>
    <row r="10" spans="2:11" ht="16.2">
      <c r="B10" s="214" t="s">
        <v>2550</v>
      </c>
      <c r="C10" s="215"/>
      <c r="D10" s="215"/>
      <c r="E10" s="215"/>
      <c r="F10" s="215"/>
      <c r="G10" s="215"/>
      <c r="H10" s="215"/>
      <c r="I10" s="215"/>
      <c r="J10" s="215"/>
      <c r="K10" s="216"/>
    </row>
    <row r="11" spans="2:11" ht="46.8" customHeight="1">
      <c r="B11" s="217" t="s">
        <v>2561</v>
      </c>
      <c r="C11" s="218"/>
      <c r="D11" s="218"/>
      <c r="E11" s="218"/>
      <c r="F11" s="218"/>
      <c r="G11" s="218"/>
      <c r="H11" s="218"/>
      <c r="I11" s="218"/>
      <c r="J11" s="218"/>
      <c r="K11" s="219"/>
    </row>
    <row r="12" spans="2:11" ht="21" customHeight="1">
      <c r="B12" s="214" t="s">
        <v>2551</v>
      </c>
      <c r="C12" s="215"/>
      <c r="D12" s="215"/>
      <c r="E12" s="215"/>
      <c r="F12" s="215"/>
      <c r="G12" s="215"/>
      <c r="H12" s="215"/>
      <c r="I12" s="215"/>
      <c r="J12" s="215"/>
      <c r="K12" s="216"/>
    </row>
    <row r="13" spans="2:11" ht="21" customHeight="1">
      <c r="B13" s="217" t="s">
        <v>2595</v>
      </c>
      <c r="C13" s="218"/>
      <c r="D13" s="218"/>
      <c r="E13" s="218"/>
      <c r="F13" s="218"/>
      <c r="G13" s="218"/>
      <c r="H13" s="218"/>
      <c r="I13" s="218"/>
      <c r="J13" s="218"/>
      <c r="K13" s="219"/>
    </row>
    <row r="14" spans="2:11" ht="69.599999999999994" customHeight="1">
      <c r="B14" s="217"/>
      <c r="C14" s="218"/>
      <c r="D14" s="218"/>
      <c r="E14" s="218"/>
      <c r="F14" s="218"/>
      <c r="G14" s="218"/>
      <c r="H14" s="218"/>
      <c r="I14" s="218"/>
      <c r="J14" s="218"/>
      <c r="K14" s="219"/>
    </row>
    <row r="15" spans="2:11">
      <c r="B15" s="209"/>
      <c r="C15" s="210"/>
      <c r="D15" s="210"/>
      <c r="E15" s="210"/>
      <c r="F15" s="210"/>
      <c r="G15" s="210"/>
      <c r="H15" s="210"/>
      <c r="I15" s="210"/>
      <c r="J15" s="210"/>
      <c r="K15" s="211"/>
    </row>
    <row r="16" spans="2:11" ht="15" customHeight="1">
      <c r="B16" s="214" t="s">
        <v>2596</v>
      </c>
      <c r="C16" s="215"/>
      <c r="D16" s="215"/>
      <c r="E16" s="215"/>
      <c r="F16" s="215"/>
      <c r="G16" s="215"/>
      <c r="H16" s="215"/>
      <c r="I16" s="215"/>
      <c r="J16" s="215"/>
      <c r="K16" s="216"/>
    </row>
    <row r="17" spans="2:11">
      <c r="B17" s="217" t="s">
        <v>2597</v>
      </c>
      <c r="C17" s="218"/>
      <c r="D17" s="218"/>
      <c r="E17" s="218"/>
      <c r="F17" s="218"/>
      <c r="G17" s="218"/>
      <c r="H17" s="218"/>
      <c r="I17" s="218"/>
      <c r="J17" s="218"/>
      <c r="K17" s="219"/>
    </row>
    <row r="18" spans="2:11" ht="124.2" customHeight="1">
      <c r="B18" s="217"/>
      <c r="C18" s="218"/>
      <c r="D18" s="218"/>
      <c r="E18" s="218"/>
      <c r="F18" s="218"/>
      <c r="G18" s="218"/>
      <c r="H18" s="218"/>
      <c r="I18" s="218"/>
      <c r="J18" s="218"/>
      <c r="K18" s="219"/>
    </row>
    <row r="19" spans="2:11">
      <c r="B19" s="209"/>
      <c r="C19" s="210"/>
      <c r="D19" s="210"/>
      <c r="E19" s="210"/>
      <c r="F19" s="210"/>
      <c r="G19" s="210"/>
      <c r="H19" s="210"/>
      <c r="I19" s="210"/>
      <c r="J19" s="210"/>
      <c r="K19" s="211"/>
    </row>
    <row r="20" spans="2:11" ht="22.05" customHeight="1">
      <c r="B20" s="214" t="s">
        <v>2598</v>
      </c>
      <c r="C20" s="215"/>
      <c r="D20" s="215"/>
      <c r="E20" s="215"/>
      <c r="F20" s="215"/>
      <c r="G20" s="215"/>
      <c r="H20" s="215"/>
      <c r="I20" s="215"/>
      <c r="J20" s="215"/>
      <c r="K20" s="216"/>
    </row>
    <row r="21" spans="2:11" ht="22.05" customHeight="1">
      <c r="B21" s="217" t="s">
        <v>2599</v>
      </c>
      <c r="C21" s="218"/>
      <c r="D21" s="218"/>
      <c r="E21" s="218"/>
      <c r="F21" s="218"/>
      <c r="G21" s="218"/>
      <c r="H21" s="218"/>
      <c r="I21" s="218"/>
      <c r="J21" s="218"/>
      <c r="K21" s="219"/>
    </row>
    <row r="22" spans="2:11" ht="22.05" customHeight="1">
      <c r="B22" s="217"/>
      <c r="C22" s="218"/>
      <c r="D22" s="218"/>
      <c r="E22" s="218"/>
      <c r="F22" s="218"/>
      <c r="G22" s="218"/>
      <c r="H22" s="218"/>
      <c r="I22" s="218"/>
      <c r="J22" s="218"/>
      <c r="K22" s="219"/>
    </row>
    <row r="23" spans="2:11" ht="22.05" customHeight="1">
      <c r="B23" s="217"/>
      <c r="C23" s="218"/>
      <c r="D23" s="218"/>
      <c r="E23" s="218"/>
      <c r="F23" s="218"/>
      <c r="G23" s="218"/>
      <c r="H23" s="218"/>
      <c r="I23" s="218"/>
      <c r="J23" s="218"/>
      <c r="K23" s="219"/>
    </row>
    <row r="24" spans="2:11" ht="24" customHeight="1">
      <c r="B24" s="214" t="s">
        <v>2552</v>
      </c>
      <c r="C24" s="215"/>
      <c r="D24" s="215"/>
      <c r="E24" s="215"/>
      <c r="F24" s="215"/>
      <c r="G24" s="215"/>
      <c r="H24" s="215"/>
      <c r="I24" s="215"/>
      <c r="J24" s="215"/>
      <c r="K24" s="216"/>
    </row>
    <row r="25" spans="2:11">
      <c r="B25" s="217" t="s">
        <v>2562</v>
      </c>
      <c r="C25" s="218"/>
      <c r="D25" s="218"/>
      <c r="E25" s="218"/>
      <c r="F25" s="218"/>
      <c r="G25" s="218"/>
      <c r="H25" s="218"/>
      <c r="I25" s="218"/>
      <c r="J25" s="218"/>
      <c r="K25" s="219"/>
    </row>
    <row r="26" spans="2:11" ht="15" customHeight="1">
      <c r="B26" s="217"/>
      <c r="C26" s="218"/>
      <c r="D26" s="218"/>
      <c r="E26" s="218"/>
      <c r="F26" s="218"/>
      <c r="G26" s="218"/>
      <c r="H26" s="218"/>
      <c r="I26" s="218"/>
      <c r="J26" s="218"/>
      <c r="K26" s="219"/>
    </row>
    <row r="27" spans="2:11" ht="15" customHeight="1">
      <c r="B27" s="217"/>
      <c r="C27" s="218"/>
      <c r="D27" s="218"/>
      <c r="E27" s="218"/>
      <c r="F27" s="218"/>
      <c r="G27" s="218"/>
      <c r="H27" s="218"/>
      <c r="I27" s="218"/>
      <c r="J27" s="218"/>
      <c r="K27" s="219"/>
    </row>
    <row r="28" spans="2:11" ht="15" customHeight="1">
      <c r="B28" s="209"/>
      <c r="C28" s="210"/>
      <c r="D28" s="210"/>
      <c r="E28" s="210"/>
      <c r="F28" s="210"/>
      <c r="G28" s="210"/>
      <c r="H28" s="210"/>
      <c r="I28" s="210"/>
      <c r="J28" s="210"/>
      <c r="K28" s="211"/>
    </row>
    <row r="29" spans="2:11" ht="15" customHeight="1">
      <c r="B29" s="214" t="s">
        <v>2553</v>
      </c>
      <c r="C29" s="215"/>
      <c r="D29" s="215"/>
      <c r="E29" s="215"/>
      <c r="F29" s="215"/>
      <c r="G29" s="215"/>
      <c r="H29" s="215"/>
      <c r="I29" s="215"/>
      <c r="J29" s="215"/>
      <c r="K29" s="216"/>
    </row>
    <row r="30" spans="2:11" ht="15" customHeight="1">
      <c r="B30" s="217" t="s">
        <v>2600</v>
      </c>
      <c r="C30" s="218"/>
      <c r="D30" s="218"/>
      <c r="E30" s="218"/>
      <c r="F30" s="218"/>
      <c r="G30" s="218"/>
      <c r="H30" s="218"/>
      <c r="I30" s="218"/>
      <c r="J30" s="218"/>
      <c r="K30" s="219"/>
    </row>
    <row r="31" spans="2:11" ht="15" customHeight="1">
      <c r="B31" s="217"/>
      <c r="C31" s="218"/>
      <c r="D31" s="218"/>
      <c r="E31" s="218"/>
      <c r="F31" s="218"/>
      <c r="G31" s="218"/>
      <c r="H31" s="218"/>
      <c r="I31" s="218"/>
      <c r="J31" s="218"/>
      <c r="K31" s="219"/>
    </row>
    <row r="32" spans="2:11" ht="15" customHeight="1">
      <c r="B32" s="217"/>
      <c r="C32" s="218"/>
      <c r="D32" s="218"/>
      <c r="E32" s="218"/>
      <c r="F32" s="218"/>
      <c r="G32" s="218"/>
      <c r="H32" s="218"/>
      <c r="I32" s="218"/>
      <c r="J32" s="218"/>
      <c r="K32" s="219"/>
    </row>
    <row r="33" spans="2:11" ht="15" customHeight="1">
      <c r="B33" s="209"/>
      <c r="C33" s="210"/>
      <c r="D33" s="210"/>
      <c r="E33" s="210"/>
      <c r="F33" s="210"/>
      <c r="G33" s="210"/>
      <c r="H33" s="210"/>
      <c r="I33" s="210"/>
      <c r="J33" s="210"/>
      <c r="K33" s="211"/>
    </row>
    <row r="34" spans="2:11" ht="15" customHeight="1">
      <c r="B34" s="214" t="s">
        <v>2554</v>
      </c>
      <c r="C34" s="215"/>
      <c r="D34" s="215"/>
      <c r="E34" s="215"/>
      <c r="F34" s="215"/>
      <c r="G34" s="215"/>
      <c r="H34" s="215"/>
      <c r="I34" s="215"/>
      <c r="J34" s="215"/>
      <c r="K34" s="216"/>
    </row>
    <row r="35" spans="2:11" ht="19.95" customHeight="1">
      <c r="B35" s="220" t="s">
        <v>2542</v>
      </c>
      <c r="C35" s="181"/>
      <c r="D35" s="181"/>
      <c r="E35" s="182" t="s">
        <v>2555</v>
      </c>
      <c r="F35" s="182"/>
      <c r="G35" s="182"/>
      <c r="H35" s="182"/>
      <c r="I35" s="182"/>
      <c r="J35" s="182"/>
      <c r="K35" s="221"/>
    </row>
    <row r="36" spans="2:11" ht="19.95" customHeight="1">
      <c r="B36" s="222" t="s">
        <v>1536</v>
      </c>
      <c r="C36" s="183"/>
      <c r="D36" s="183"/>
      <c r="E36" s="184" t="s">
        <v>2544</v>
      </c>
      <c r="F36" s="184"/>
      <c r="G36" s="184"/>
      <c r="H36" s="184"/>
      <c r="I36" s="184"/>
      <c r="J36" s="184"/>
      <c r="K36" s="223"/>
    </row>
    <row r="37" spans="2:11" ht="19.95" customHeight="1">
      <c r="B37" s="222" t="s">
        <v>2556</v>
      </c>
      <c r="C37" s="183"/>
      <c r="D37" s="183"/>
      <c r="E37" s="184" t="s">
        <v>2563</v>
      </c>
      <c r="F37" s="184"/>
      <c r="G37" s="184"/>
      <c r="H37" s="184"/>
      <c r="I37" s="184"/>
      <c r="J37" s="184"/>
      <c r="K37" s="223"/>
    </row>
    <row r="38" spans="2:11" ht="19.95" customHeight="1">
      <c r="B38" s="222" t="s">
        <v>2543</v>
      </c>
      <c r="C38" s="183"/>
      <c r="D38" s="183"/>
      <c r="E38" s="184" t="s">
        <v>2557</v>
      </c>
      <c r="F38" s="184"/>
      <c r="G38" s="184"/>
      <c r="H38" s="184"/>
      <c r="I38" s="184"/>
      <c r="J38" s="184"/>
      <c r="K38" s="223"/>
    </row>
    <row r="39" spans="2:11">
      <c r="B39" s="224"/>
      <c r="C39" s="225"/>
      <c r="D39" s="225"/>
      <c r="E39" s="225"/>
      <c r="F39" s="225"/>
      <c r="G39" s="225"/>
      <c r="H39" s="225"/>
      <c r="I39" s="225"/>
      <c r="J39" s="225"/>
      <c r="K39" s="226"/>
    </row>
    <row r="40" spans="2:11" ht="15" customHeight="1"/>
    <row r="41" spans="2:11" ht="15" customHeight="1"/>
    <row r="42" spans="2:11" ht="15" customHeight="1"/>
    <row r="43" spans="2:11" ht="15" customHeight="1"/>
    <row r="44" spans="2:11" ht="15" customHeight="1"/>
    <row r="45" spans="2:11" ht="15" customHeight="1"/>
  </sheetData>
  <mergeCells count="23">
    <mergeCell ref="B24:K24"/>
    <mergeCell ref="B25:K27"/>
    <mergeCell ref="B29:K29"/>
    <mergeCell ref="B30:K32"/>
    <mergeCell ref="B34:K34"/>
    <mergeCell ref="B12:K12"/>
    <mergeCell ref="B13:K14"/>
    <mergeCell ref="B16:K16"/>
    <mergeCell ref="B17:K18"/>
    <mergeCell ref="B20:K20"/>
    <mergeCell ref="B21:K23"/>
    <mergeCell ref="B10:K10"/>
    <mergeCell ref="B11:K11"/>
    <mergeCell ref="B2:K2"/>
    <mergeCell ref="B3:K3"/>
    <mergeCell ref="B37:D37"/>
    <mergeCell ref="B38:D38"/>
    <mergeCell ref="E37:K37"/>
    <mergeCell ref="E38:K38"/>
    <mergeCell ref="B35:D35"/>
    <mergeCell ref="B36:D36"/>
    <mergeCell ref="E35:K35"/>
    <mergeCell ref="E36:K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2E2A0-612E-4420-BB78-28A101FAAFE7}">
  <dimension ref="B2:O121"/>
  <sheetViews>
    <sheetView zoomScale="55" zoomScaleNormal="55" workbookViewId="0">
      <selection activeCell="D5" sqref="D5"/>
    </sheetView>
  </sheetViews>
  <sheetFormatPr baseColWidth="10" defaultRowHeight="15"/>
  <cols>
    <col min="1" max="1" width="7" customWidth="1"/>
    <col min="2" max="2" width="15" customWidth="1"/>
    <col min="3" max="3" width="52" customWidth="1"/>
    <col min="4" max="4" width="47" customWidth="1"/>
    <col min="5" max="5" width="38.3984375" customWidth="1"/>
    <col min="6" max="6" width="29.296875" customWidth="1"/>
    <col min="7" max="7" width="27.5" customWidth="1"/>
    <col min="8" max="8" width="25.3984375" customWidth="1"/>
    <col min="9" max="9" width="33.8984375" customWidth="1"/>
    <col min="10" max="10" width="14.296875" customWidth="1"/>
    <col min="11" max="11" width="20.796875" customWidth="1"/>
    <col min="12" max="12" width="19.19921875" customWidth="1"/>
    <col min="13" max="13" width="14.296875" customWidth="1"/>
    <col min="14" max="14" width="15.8984375" customWidth="1"/>
    <col min="15" max="15" width="14.09765625" customWidth="1"/>
  </cols>
  <sheetData>
    <row r="2" spans="2:15" ht="17.399999999999999">
      <c r="B2" s="108" t="s">
        <v>1275</v>
      </c>
      <c r="C2" s="109"/>
      <c r="D2" s="109"/>
      <c r="E2" s="109"/>
      <c r="F2" s="109"/>
      <c r="G2" s="109"/>
      <c r="H2" s="109"/>
      <c r="I2" s="109"/>
      <c r="J2" s="109"/>
      <c r="K2" s="109"/>
      <c r="L2" s="109"/>
      <c r="M2" s="109"/>
      <c r="N2" s="109"/>
      <c r="O2" s="109"/>
    </row>
    <row r="3" spans="2:15">
      <c r="B3" s="5" t="s">
        <v>310</v>
      </c>
      <c r="C3" s="5" t="s">
        <v>311</v>
      </c>
      <c r="D3" s="72" t="s">
        <v>1462</v>
      </c>
      <c r="E3" s="72" t="s">
        <v>1463</v>
      </c>
      <c r="F3" s="72" t="s">
        <v>1464</v>
      </c>
      <c r="G3" s="72" t="s">
        <v>10</v>
      </c>
      <c r="H3" s="72" t="s">
        <v>1465</v>
      </c>
      <c r="I3" s="5" t="s">
        <v>18</v>
      </c>
    </row>
    <row r="4" spans="2:15">
      <c r="B4" t="s">
        <v>320</v>
      </c>
      <c r="C4" t="s">
        <v>321</v>
      </c>
      <c r="D4"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4"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4"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4"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4"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4"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5" spans="2:15">
      <c r="B5" t="s">
        <v>329</v>
      </c>
      <c r="C5" t="s">
        <v>330</v>
      </c>
      <c r="D5"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5"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5"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5"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5"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5"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6" spans="2:15">
      <c r="B6" t="s">
        <v>335</v>
      </c>
      <c r="C6" t="s">
        <v>336</v>
      </c>
      <c r="D6"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6"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6"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6"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6"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6"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7" spans="2:15">
      <c r="B7" t="s">
        <v>341</v>
      </c>
      <c r="C7" t="s">
        <v>342</v>
      </c>
      <c r="D7"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7"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7"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7"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7"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7"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8" spans="2:15">
      <c r="B8" t="s">
        <v>346</v>
      </c>
      <c r="C8" t="s">
        <v>347</v>
      </c>
      <c r="D8"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8"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8"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8"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8"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8"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9" spans="2:15">
      <c r="B9" t="s">
        <v>349</v>
      </c>
      <c r="C9" t="s">
        <v>350</v>
      </c>
      <c r="D9"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9"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9"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9"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9"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9"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10" spans="2:15">
      <c r="B10" t="s">
        <v>355</v>
      </c>
      <c r="C10" t="s">
        <v>356</v>
      </c>
      <c r="D10"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10"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10"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10"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10"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10"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11" spans="2:15">
      <c r="B11" t="s">
        <v>360</v>
      </c>
      <c r="C11" t="s">
        <v>361</v>
      </c>
      <c r="D11"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11"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11"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11"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11"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11"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12" spans="2:15">
      <c r="B12" t="s">
        <v>364</v>
      </c>
      <c r="C12" t="s">
        <v>365</v>
      </c>
      <c r="D12"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12"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12"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12"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12"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12"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13" spans="2:15">
      <c r="B13" t="s">
        <v>369</v>
      </c>
      <c r="C13" t="s">
        <v>370</v>
      </c>
      <c r="D13"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13"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13"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13"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13"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13"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14" spans="2:15">
      <c r="B14" t="s">
        <v>375</v>
      </c>
      <c r="C14" t="s">
        <v>376</v>
      </c>
      <c r="D14"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14"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14"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14"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14"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14"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15" spans="2:15">
      <c r="B15" t="s">
        <v>379</v>
      </c>
      <c r="C15" t="s">
        <v>380</v>
      </c>
      <c r="D15"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15"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15"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15"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15"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15"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16" spans="2:15">
      <c r="B16" t="s">
        <v>384</v>
      </c>
      <c r="C16" t="s">
        <v>385</v>
      </c>
      <c r="D16"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16"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16"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16"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16"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16"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17" spans="2:9">
      <c r="B17" t="s">
        <v>388</v>
      </c>
      <c r="C17" t="s">
        <v>389</v>
      </c>
      <c r="D17"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17"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17"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17"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17"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17"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18" spans="2:9">
      <c r="B18" t="s">
        <v>393</v>
      </c>
      <c r="C18" t="s">
        <v>394</v>
      </c>
      <c r="D18"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18"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18"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18"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18"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18"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19" spans="2:9">
      <c r="B19" t="s">
        <v>398</v>
      </c>
      <c r="C19" t="s">
        <v>399</v>
      </c>
      <c r="D19"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19"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19"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19"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19"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19"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20" spans="2:9">
      <c r="B20" t="s">
        <v>404</v>
      </c>
      <c r="C20" t="s">
        <v>405</v>
      </c>
      <c r="D20"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20"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20"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20"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20"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20"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21" spans="2:9">
      <c r="B21" t="s">
        <v>408</v>
      </c>
      <c r="C21" t="s">
        <v>409</v>
      </c>
      <c r="D21"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21"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21"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21"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21"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21"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22" spans="2:9">
      <c r="B22" t="s">
        <v>412</v>
      </c>
      <c r="C22" t="s">
        <v>413</v>
      </c>
      <c r="D22"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22"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22"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22"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22"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22"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23" spans="2:9">
      <c r="B23" t="s">
        <v>417</v>
      </c>
      <c r="C23" t="s">
        <v>418</v>
      </c>
      <c r="D23"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23"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23"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23"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23"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23"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24" spans="2:9">
      <c r="B24" t="s">
        <v>423</v>
      </c>
      <c r="C24" t="s">
        <v>424</v>
      </c>
      <c r="D24"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24"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24"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24"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24"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24"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25" spans="2:9">
      <c r="B25" t="s">
        <v>427</v>
      </c>
      <c r="C25" t="s">
        <v>428</v>
      </c>
      <c r="D25"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25"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25"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25"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25"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25"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26" spans="2:9">
      <c r="B26" t="s">
        <v>432</v>
      </c>
      <c r="C26" t="s">
        <v>433</v>
      </c>
      <c r="D26"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26"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26"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26"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26"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26"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27" spans="2:9">
      <c r="B27" t="s">
        <v>436</v>
      </c>
      <c r="C27" t="s">
        <v>437</v>
      </c>
      <c r="D27"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27"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27"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27"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27"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27"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28" spans="2:9">
      <c r="B28" t="s">
        <v>440</v>
      </c>
      <c r="C28" t="s">
        <v>441</v>
      </c>
      <c r="D28"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28"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28"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28"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28"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28"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29" spans="2:9">
      <c r="B29" t="s">
        <v>444</v>
      </c>
      <c r="C29" t="s">
        <v>445</v>
      </c>
      <c r="D29"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29"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29"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29"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29"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29"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30" spans="2:9">
      <c r="B30" t="s">
        <v>449</v>
      </c>
      <c r="C30" t="s">
        <v>450</v>
      </c>
      <c r="D30"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30"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30"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30"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30"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30"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31" spans="2:9">
      <c r="B31" t="s">
        <v>453</v>
      </c>
      <c r="C31" t="s">
        <v>454</v>
      </c>
      <c r="D31"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31"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31"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31"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31"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31"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32" spans="2:9">
      <c r="B32" t="s">
        <v>457</v>
      </c>
      <c r="C32" t="s">
        <v>458</v>
      </c>
      <c r="D32"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32"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32"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32"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32"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32"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33" spans="2:9">
      <c r="B33" t="s">
        <v>461</v>
      </c>
      <c r="C33" t="s">
        <v>462</v>
      </c>
      <c r="D33"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33"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33"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33"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33"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33"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34" spans="2:9">
      <c r="B34" t="s">
        <v>466</v>
      </c>
      <c r="C34" t="s">
        <v>467</v>
      </c>
      <c r="D34"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34"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34"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34"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34"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34"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35" spans="2:9">
      <c r="B35" t="s">
        <v>471</v>
      </c>
      <c r="C35" t="s">
        <v>472</v>
      </c>
      <c r="D35"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35"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35"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35"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35"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35"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36" spans="2:9">
      <c r="B36" t="s">
        <v>475</v>
      </c>
      <c r="C36" t="s">
        <v>476</v>
      </c>
      <c r="D36"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36"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36"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36"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36"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36"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37" spans="2:9">
      <c r="B37" t="s">
        <v>480</v>
      </c>
      <c r="C37" t="s">
        <v>481</v>
      </c>
      <c r="D37"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37"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37"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37"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37"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37"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38" spans="2:9">
      <c r="B38" t="s">
        <v>485</v>
      </c>
      <c r="C38" t="s">
        <v>486</v>
      </c>
      <c r="D38"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38"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38"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38"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38"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38"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39" spans="2:9">
      <c r="B39" t="s">
        <v>490</v>
      </c>
      <c r="C39" t="s">
        <v>491</v>
      </c>
      <c r="D39"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39"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39"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39"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39"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39"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40" spans="2:9">
      <c r="B40" t="s">
        <v>495</v>
      </c>
      <c r="C40" t="s">
        <v>496</v>
      </c>
      <c r="D40"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40"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Yes</v>
      </c>
      <c r="F40"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40"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40"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40"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41" spans="2:9">
      <c r="B41" t="s">
        <v>500</v>
      </c>
      <c r="C41" t="s">
        <v>501</v>
      </c>
      <c r="D41"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41"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41"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41"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41"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41"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42" spans="2:9">
      <c r="B42" t="s">
        <v>505</v>
      </c>
      <c r="C42" t="s">
        <v>506</v>
      </c>
      <c r="D42"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42"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42"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42"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42"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42"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43" spans="2:9">
      <c r="B43" t="s">
        <v>509</v>
      </c>
      <c r="C43" t="s">
        <v>510</v>
      </c>
      <c r="D43"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43"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43"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43"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43"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43"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44" spans="2:9">
      <c r="B44" t="s">
        <v>513</v>
      </c>
      <c r="C44" t="s">
        <v>514</v>
      </c>
      <c r="D44"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44"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Yes</v>
      </c>
      <c r="F44"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44"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44"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44"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45" spans="2:9">
      <c r="B45" t="s">
        <v>517</v>
      </c>
      <c r="C45" t="s">
        <v>518</v>
      </c>
      <c r="D45"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45"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45"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45"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45"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45"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46" spans="2:9">
      <c r="B46" t="s">
        <v>522</v>
      </c>
      <c r="C46" t="s">
        <v>523</v>
      </c>
      <c r="D46"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46"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46"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46"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46"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46"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47" spans="2:9">
      <c r="B47" t="s">
        <v>527</v>
      </c>
      <c r="C47" t="s">
        <v>528</v>
      </c>
      <c r="D47"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47"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47"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47"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47"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47"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48" spans="2:9">
      <c r="B48" t="s">
        <v>531</v>
      </c>
      <c r="C48" t="s">
        <v>532</v>
      </c>
      <c r="D48"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48"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Yes</v>
      </c>
      <c r="F48"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48"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48"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48"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49" spans="2:15">
      <c r="B49" t="s">
        <v>535</v>
      </c>
      <c r="C49" t="s">
        <v>536</v>
      </c>
      <c r="D49"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49"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49"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49"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49"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49"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50" spans="2:15">
      <c r="B50" t="s">
        <v>539</v>
      </c>
      <c r="C50" t="s">
        <v>540</v>
      </c>
      <c r="D50"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50"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50"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50"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50"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50"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51" spans="2:15">
      <c r="B51" t="s">
        <v>543</v>
      </c>
      <c r="C51" t="s">
        <v>544</v>
      </c>
      <c r="D51"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51"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Yes</v>
      </c>
      <c r="F51"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51"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51"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51"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52" spans="2:15">
      <c r="B52" t="s">
        <v>547</v>
      </c>
      <c r="C52" t="s">
        <v>548</v>
      </c>
      <c r="D52"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52"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Yes</v>
      </c>
      <c r="F52"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52"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52"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52"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53" spans="2:15">
      <c r="B53" t="s">
        <v>552</v>
      </c>
      <c r="C53" t="s">
        <v>553</v>
      </c>
      <c r="D53"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53"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Yes</v>
      </c>
      <c r="F53"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53"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53"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53"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54" spans="2:15">
      <c r="B54" t="s">
        <v>556</v>
      </c>
      <c r="C54" t="s">
        <v>557</v>
      </c>
      <c r="D54"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54"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54"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54"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54"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54"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55" spans="2:15">
      <c r="B55" t="s">
        <v>561</v>
      </c>
      <c r="C55" t="s">
        <v>562</v>
      </c>
      <c r="D55"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Yes</v>
      </c>
      <c r="E55"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55"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55"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55"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55"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56" spans="2:15">
      <c r="B56" t="s">
        <v>564</v>
      </c>
      <c r="C56" t="s">
        <v>565</v>
      </c>
      <c r="D56" s="30" t="str">
        <f>IFERROR(_xlfn.LET(_xlpm.v,_xlfn.XLOOKUP(tbl_Summary_Linkage[[#This Row],[ActionID]],tbl_WR_Assessment[ActionID],tbl_WR_Assessment[Effectiveness on Vulnerability],""),_xlpm.e,_xlfn.XLOOKUP(tbl_Summary_Linkage[[#This Row],[ActionID]],tbl_WR_Assessment[ActionID],tbl_WR_Assessment[Effectiveness on Exposure],""),IF(OR(_xlpm.v="High effectiveness",_xlpm.v="Medium effectiveness",_xlpm.v="Low effectiveness",_xlpm.e="High effectiveness",_xlpm.e="Medium effectiveness",_xlpm.e="Low effectiveness"),"Yes","")),"")</f>
        <v/>
      </c>
      <c r="E56" s="30" t="str">
        <f>IFERROR(_xlfn.LET(_xlpm.v,_xlfn.XLOOKUP(tbl_Summary_Linkage[[#This Row],[ActionID]],tbl_FS_Assessment[ActionID],tbl_FS_Assessment[Effectiveness on Vulnerability],""),_xlpm.e,_xlfn.XLOOKUP(tbl_Summary_Linkage[[#This Row],[ActionID]],tbl_FS_Assessment[ActionID],tbl_FS_Assessment[Effectiveness on Exposure],""),IF(OR(_xlpm.v="High effectiveness",_xlpm.v="Medium effectiveness",_xlpm.v="Low effectiveness",_xlpm.e="High effectiveness",_xlpm.e="Medium effectiveness",_xlpm.e="Low effectiveness"),"Yes","")),"")</f>
        <v/>
      </c>
      <c r="F56" s="30" t="str">
        <f>IFERROR(_xlfn.LET(_xlpm.v,_xlfn.XLOOKUP(tbl_Summary_Linkage[[#This Row],[ActionID]],tbl_ES_Assessment[ActionID],tbl_ES_Assessment[Effectiveness on Vulnerability],""),_xlpm.e,_xlfn.XLOOKUP(tbl_Summary_Linkage[[#This Row],[ActionID]],tbl_ES_Assessment[ActionID],tbl_ES_Assessment[Effectiveness on Exposure],""),IF(OR(_xlpm.v="High effectiveness",_xlpm.v="Medium effectiveness",_xlpm.v="Low effectiveness",_xlpm.e="High effectiveness",_xlpm.e="Medium effectiveness",_xlpm.e="Low effectiveness"),"Yes","")),"")</f>
        <v/>
      </c>
      <c r="G56" s="30" t="str">
        <f>IFERROR(_xlfn.LET(_xlpm.v,_xlfn.XLOOKUP(tbl_Summary_Linkage[[#This Row],[ActionID]],tbl_H_Assessment[ActionID],tbl_H_Assessment[Effectiveness on Vulnerability],""),_xlpm.e,_xlfn.XLOOKUP(tbl_Summary_Linkage[[#This Row],[ActionID]],tbl_H_Assessment[ActionID],tbl_H_Assessment[Effectiveness on Exposure],""),IF(OR(_xlpm.v="High effectiveness",_xlpm.v="Medium effectiveness",_xlpm.v="Low effectiveness",_xlpm.e="High effectiveness",_xlpm.e="Medium effectiveness",_xlpm.e="Low effectiveness"),"Yes","")),"")</f>
        <v/>
      </c>
      <c r="H56" s="30" t="str">
        <f>IFERROR(_xlfn.LET(_xlpm.v,_xlfn.XLOOKUP(tbl_Summary_Linkage[[#This Row],[ActionID]],tbl_GS_Assessment[ActionID],tbl_GS_Assessment[Effectiveness on Vulnerability],""),_xlpm.e,_xlfn.XLOOKUP(tbl_Summary_Linkage[[#This Row],[ActionID]],tbl_GS_Assessment[ActionID],tbl_GS_Assessment[Effectiveness on Exposure],""),IF(OR(_xlpm.v="High effectiveness",_xlpm.v="Medium effectiveness",_xlpm.v="Low effectiveness",_xlpm.e="High effectiveness",_xlpm.e="Medium effectiveness",_xlpm.e="Low effectiveness"),"Yes","")),"")</f>
        <v/>
      </c>
      <c r="I56" s="30" t="str">
        <f>IFERROR(_xlfn.LET(_xlpm.v,_xlfn.XLOOKUP(tbl_Summary_Linkage[[#This Row],[ActionID]],tbl_B_Assessment[ActionID],tbl_B_Assessment[Effectiveness on Vulnerability],""),_xlpm.e,_xlfn.XLOOKUP(tbl_Summary_Linkage[[#This Row],[ActionID]],tbl_B_Assessment[ActionID],tbl_B_Assessment[Effectiveness on Exposure],""),IF(OR(_xlpm.v="High effectiveness",_xlpm.v="Medium effectiveness",_xlpm.v="Low effectiveness",_xlpm.e="High effectiveness",_xlpm.e="Medium effectiveness",_xlpm.e="Low effectiveness"),"Yes","")),"")</f>
        <v/>
      </c>
    </row>
    <row r="59" spans="2:15" ht="17.399999999999999">
      <c r="B59" s="109" t="s">
        <v>1253</v>
      </c>
      <c r="C59" s="109"/>
      <c r="D59" s="109"/>
      <c r="E59" s="109"/>
      <c r="F59" s="109"/>
      <c r="G59" s="109"/>
      <c r="H59" s="109"/>
      <c r="I59" s="109"/>
      <c r="J59" s="109"/>
      <c r="K59" s="109"/>
      <c r="L59" s="109"/>
      <c r="M59" s="109"/>
      <c r="N59" s="109"/>
      <c r="O59" s="109"/>
    </row>
    <row r="60" spans="2:15">
      <c r="B60" t="s">
        <v>1149</v>
      </c>
      <c r="C60" t="s">
        <v>1150</v>
      </c>
    </row>
    <row r="61" spans="2:15">
      <c r="B61" t="s">
        <v>1161</v>
      </c>
      <c r="C61" s="30">
        <v>-1</v>
      </c>
    </row>
    <row r="62" spans="2:15">
      <c r="B62" t="s">
        <v>1162</v>
      </c>
      <c r="C62" s="30">
        <v>-0.5</v>
      </c>
    </row>
    <row r="63" spans="2:15">
      <c r="B63" t="s">
        <v>1201</v>
      </c>
      <c r="C63" s="30">
        <v>-0.25</v>
      </c>
    </row>
    <row r="64" spans="2:15">
      <c r="B64" t="s">
        <v>1163</v>
      </c>
      <c r="C64" s="30">
        <v>0</v>
      </c>
    </row>
    <row r="67" spans="2:15" ht="17.399999999999999">
      <c r="B67" s="108" t="s">
        <v>1841</v>
      </c>
      <c r="C67" s="109"/>
      <c r="D67" s="109"/>
      <c r="E67" s="109"/>
      <c r="F67" s="109"/>
      <c r="G67" s="109"/>
      <c r="H67" s="109"/>
      <c r="I67" s="109"/>
      <c r="J67" s="109"/>
      <c r="K67" s="109"/>
      <c r="L67" s="109"/>
      <c r="M67" s="109"/>
      <c r="N67" s="109"/>
      <c r="O67" s="109"/>
    </row>
    <row r="68" spans="2:15" ht="60">
      <c r="B68" s="5" t="s">
        <v>310</v>
      </c>
      <c r="C68" s="5" t="s">
        <v>311</v>
      </c>
      <c r="D68" s="5" t="s">
        <v>1842</v>
      </c>
      <c r="E68" s="5" t="s">
        <v>1843</v>
      </c>
      <c r="F68" s="5" t="s">
        <v>1844</v>
      </c>
      <c r="G68" s="5" t="s">
        <v>1845</v>
      </c>
      <c r="H68" s="5" t="s">
        <v>1846</v>
      </c>
      <c r="I68" s="5" t="s">
        <v>1847</v>
      </c>
      <c r="J68" s="5" t="s">
        <v>1848</v>
      </c>
      <c r="K68" s="5" t="s">
        <v>1849</v>
      </c>
      <c r="L68" s="5" t="s">
        <v>1850</v>
      </c>
      <c r="M68" s="5" t="s">
        <v>1851</v>
      </c>
      <c r="N68" s="5" t="s">
        <v>1852</v>
      </c>
      <c r="O68" s="5" t="s">
        <v>1853</v>
      </c>
    </row>
    <row r="69" spans="2:15">
      <c r="B69" t="s">
        <v>320</v>
      </c>
      <c r="C69" t="s">
        <v>321</v>
      </c>
      <c r="D69"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69"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69"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69"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69"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69"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69"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69"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69"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69"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69"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69"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70" spans="2:15">
      <c r="B70" t="s">
        <v>329</v>
      </c>
      <c r="C70" t="s">
        <v>330</v>
      </c>
      <c r="D70"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70"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70"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70"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70"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70"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70"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70"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70"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70"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70"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70"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71" spans="2:15">
      <c r="B71" t="s">
        <v>335</v>
      </c>
      <c r="C71" t="s">
        <v>336</v>
      </c>
      <c r="D71"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71"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71"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71"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71"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71"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71"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71"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71"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71"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71"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71"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72" spans="2:15">
      <c r="B72" t="s">
        <v>341</v>
      </c>
      <c r="C72" t="s">
        <v>342</v>
      </c>
      <c r="D72"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72"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72"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72"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72"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72"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72"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72"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72"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72"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72"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72"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73" spans="2:15">
      <c r="B73" t="s">
        <v>346</v>
      </c>
      <c r="C73" t="s">
        <v>347</v>
      </c>
      <c r="D73"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73"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73"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73"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73"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73"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73"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73"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73"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73"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73"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73"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74" spans="2:15">
      <c r="B74" t="s">
        <v>349</v>
      </c>
      <c r="C74" t="s">
        <v>350</v>
      </c>
      <c r="D74" s="94">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-0.5</v>
      </c>
      <c r="E74"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74"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74"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74"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74"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74"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74"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74"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74"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74"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74"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75" spans="2:15">
      <c r="B75" t="s">
        <v>355</v>
      </c>
      <c r="C75" t="s">
        <v>356</v>
      </c>
      <c r="D75" s="94">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-1</v>
      </c>
      <c r="E75"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75"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75"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75"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75"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75"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75"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75"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75"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75"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75"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76" spans="2:15">
      <c r="B76" t="s">
        <v>360</v>
      </c>
      <c r="C76" t="s">
        <v>361</v>
      </c>
      <c r="D76" s="94">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-0.5</v>
      </c>
      <c r="E76"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76"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76"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76"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76"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76"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76"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76"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76"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76"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76"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77" spans="2:15">
      <c r="B77" t="s">
        <v>364</v>
      </c>
      <c r="C77" t="s">
        <v>365</v>
      </c>
      <c r="D77"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77"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77"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77"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77"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77"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77"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77"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77"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77"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77"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77"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78" spans="2:15">
      <c r="B78" t="s">
        <v>369</v>
      </c>
      <c r="C78" t="s">
        <v>370</v>
      </c>
      <c r="D78"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78"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78"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78"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78"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78"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78"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78"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78"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78"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78"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78"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79" spans="2:15">
      <c r="B79" t="s">
        <v>375</v>
      </c>
      <c r="C79" t="s">
        <v>376</v>
      </c>
      <c r="D79"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79"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79"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79"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79"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79"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79"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79"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79"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79"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79"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79"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80" spans="2:15">
      <c r="B80" t="s">
        <v>379</v>
      </c>
      <c r="C80" t="s">
        <v>380</v>
      </c>
      <c r="D80"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80"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80"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80"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80"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80"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80"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80"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80"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80"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80"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80"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81" spans="2:15">
      <c r="B81" t="s">
        <v>384</v>
      </c>
      <c r="C81" t="s">
        <v>385</v>
      </c>
      <c r="D81"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81"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81"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81"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81"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81"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81"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81"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81"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81"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81"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81"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82" spans="2:15">
      <c r="B82" t="s">
        <v>388</v>
      </c>
      <c r="C82" t="s">
        <v>389</v>
      </c>
      <c r="D82"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82"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82"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82"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82"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82"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82"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82"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82"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82"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82"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82"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83" spans="2:15">
      <c r="B83" t="s">
        <v>393</v>
      </c>
      <c r="C83" t="s">
        <v>394</v>
      </c>
      <c r="D83"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83"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83"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83"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83"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83"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83"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83"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83"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83"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83"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83"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84" spans="2:15">
      <c r="B84" t="s">
        <v>398</v>
      </c>
      <c r="C84" t="s">
        <v>399</v>
      </c>
      <c r="D84" s="94">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-0.5</v>
      </c>
      <c r="E84"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84"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84"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84"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84"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84"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84"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84"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84"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84"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84"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85" spans="2:15">
      <c r="B85" t="s">
        <v>404</v>
      </c>
      <c r="C85" t="s">
        <v>405</v>
      </c>
      <c r="D85"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85"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85"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85"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85"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85"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85"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85"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85"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85"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85"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85"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86" spans="2:15">
      <c r="B86" t="s">
        <v>408</v>
      </c>
      <c r="C86" t="s">
        <v>409</v>
      </c>
      <c r="D86"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86"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86"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86"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86"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86"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86"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86"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86"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86"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86"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86"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87" spans="2:15">
      <c r="B87" t="s">
        <v>412</v>
      </c>
      <c r="C87" t="s">
        <v>413</v>
      </c>
      <c r="D87"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87"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87"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87"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87"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87"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87"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87"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87"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87"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87"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87"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88" spans="2:15">
      <c r="B88" t="s">
        <v>417</v>
      </c>
      <c r="C88" t="s">
        <v>418</v>
      </c>
      <c r="D88"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88"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88"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88"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88"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88"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88"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88"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88"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88"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88"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88"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89" spans="2:15">
      <c r="B89" t="s">
        <v>423</v>
      </c>
      <c r="C89" t="s">
        <v>424</v>
      </c>
      <c r="D89"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89"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89"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89"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89"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89"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89"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89"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89"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89"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89"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89"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90" spans="2:15">
      <c r="B90" t="s">
        <v>427</v>
      </c>
      <c r="C90" t="s">
        <v>428</v>
      </c>
      <c r="D90"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90"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90"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90"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90"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90"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90"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90"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90"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90"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90"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90"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91" spans="2:15">
      <c r="B91" t="s">
        <v>432</v>
      </c>
      <c r="C91" t="s">
        <v>433</v>
      </c>
      <c r="D91"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91"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91"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91"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91"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91"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91"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91"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91"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91"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91"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91"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92" spans="2:15">
      <c r="B92" t="s">
        <v>436</v>
      </c>
      <c r="C92" t="s">
        <v>437</v>
      </c>
      <c r="D92"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92"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92"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92"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92"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92"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92"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92"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92"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92"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92"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92"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93" spans="2:15">
      <c r="B93" t="s">
        <v>440</v>
      </c>
      <c r="C93" t="s">
        <v>441</v>
      </c>
      <c r="D93" s="94">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-0.5</v>
      </c>
      <c r="E93"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93"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93"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93"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93"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93"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93"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93"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93"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93"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93"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94" spans="2:15">
      <c r="B94" t="s">
        <v>444</v>
      </c>
      <c r="C94" t="s">
        <v>445</v>
      </c>
      <c r="D94"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94"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94"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94"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94"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94"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94"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94"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94"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94"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94"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94"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95" spans="2:15">
      <c r="B95" t="s">
        <v>449</v>
      </c>
      <c r="C95" t="s">
        <v>450</v>
      </c>
      <c r="D95" s="94">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-1</v>
      </c>
      <c r="E95"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95"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95"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95"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95"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95"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95"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95"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95"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95"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95"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96" spans="2:15">
      <c r="B96" t="s">
        <v>453</v>
      </c>
      <c r="C96" t="s">
        <v>454</v>
      </c>
      <c r="D96"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96"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96"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96"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96"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96"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96"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96"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96"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96"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96"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96"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97" spans="2:15">
      <c r="B97" t="s">
        <v>457</v>
      </c>
      <c r="C97" t="s">
        <v>458</v>
      </c>
      <c r="D97"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97"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97"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97"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97"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97"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97"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97"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97"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97"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97"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97"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98" spans="2:15">
      <c r="B98" t="s">
        <v>461</v>
      </c>
      <c r="C98" t="s">
        <v>462</v>
      </c>
      <c r="D98"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98"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98"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98"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98"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98"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98"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98"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98"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98"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98"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98"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99" spans="2:15">
      <c r="B99" t="s">
        <v>466</v>
      </c>
      <c r="C99" t="s">
        <v>467</v>
      </c>
      <c r="D99"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99"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99"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99"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99"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99"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99"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99"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99"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99"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99"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99"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00" spans="2:15">
      <c r="B100" t="s">
        <v>471</v>
      </c>
      <c r="C100" t="s">
        <v>472</v>
      </c>
      <c r="D100"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00"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00"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00"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00"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00"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00"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00"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00"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00"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00"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00"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01" spans="2:15">
      <c r="B101" t="s">
        <v>475</v>
      </c>
      <c r="C101" t="s">
        <v>476</v>
      </c>
      <c r="D101"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01"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01"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01"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01"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01"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01"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01"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01"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01"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01"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01"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02" spans="2:15">
      <c r="B102" t="s">
        <v>480</v>
      </c>
      <c r="C102" t="s">
        <v>481</v>
      </c>
      <c r="D102"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02"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02"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02"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02"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02"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02"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02"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02"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02"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02"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02"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03" spans="2:15">
      <c r="B103" t="s">
        <v>485</v>
      </c>
      <c r="C103" t="s">
        <v>486</v>
      </c>
      <c r="D103"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03"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03"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03"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03"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03"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03"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03"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03"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03"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03"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03"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04" spans="2:15">
      <c r="B104" t="s">
        <v>490</v>
      </c>
      <c r="C104" t="s">
        <v>491</v>
      </c>
      <c r="D104"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04"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04"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04"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04"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04"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04"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04"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04"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04"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04"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04"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05" spans="2:15">
      <c r="B105" t="s">
        <v>495</v>
      </c>
      <c r="C105" t="s">
        <v>496</v>
      </c>
      <c r="D105" s="94">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-1</v>
      </c>
      <c r="E105"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05" s="73">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-0.5</v>
      </c>
      <c r="G105"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05"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05"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05"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05"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05"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05"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05"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05"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06" spans="2:15">
      <c r="B106" t="s">
        <v>500</v>
      </c>
      <c r="C106" t="s">
        <v>501</v>
      </c>
      <c r="D106"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06"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06"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06"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06"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06"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06"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06"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06"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06"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06"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06"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07" spans="2:15">
      <c r="B107" t="s">
        <v>505</v>
      </c>
      <c r="C107" t="s">
        <v>506</v>
      </c>
      <c r="D107"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07"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07"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07"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07"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07"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07"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07"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07"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07"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07"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07"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08" spans="2:15">
      <c r="B108" t="s">
        <v>509</v>
      </c>
      <c r="C108" t="s">
        <v>510</v>
      </c>
      <c r="D108"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08"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08"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08"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08"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08"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08"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08"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08"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08"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08"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08"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09" spans="2:15">
      <c r="B109" t="s">
        <v>513</v>
      </c>
      <c r="C109" t="s">
        <v>514</v>
      </c>
      <c r="D109"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09"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09" s="73">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-1</v>
      </c>
      <c r="G109"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09"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09"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09"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09"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09"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09"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09"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09"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10" spans="2:15">
      <c r="B110" t="s">
        <v>517</v>
      </c>
      <c r="C110" t="s">
        <v>518</v>
      </c>
      <c r="D110"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10"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10"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10"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10"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10"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10"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10"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10"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10"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10"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10"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11" spans="2:15">
      <c r="B111" t="s">
        <v>522</v>
      </c>
      <c r="C111" t="s">
        <v>523</v>
      </c>
      <c r="D111"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11"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11"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11"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11"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11"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11"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11"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11"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11"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11"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11"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12" spans="2:15">
      <c r="B112" t="s">
        <v>527</v>
      </c>
      <c r="C112" t="s">
        <v>528</v>
      </c>
      <c r="D112" s="94">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-0.5</v>
      </c>
      <c r="E112"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12"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12"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12"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12"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12"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12"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12"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12"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12"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12"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13" spans="2:15">
      <c r="B113" t="s">
        <v>531</v>
      </c>
      <c r="C113" t="s">
        <v>532</v>
      </c>
      <c r="D113" s="94">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-1</v>
      </c>
      <c r="E113"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13" s="73">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-0.5</v>
      </c>
      <c r="G113"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13"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13"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13"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13"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13"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13"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13"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13"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14" spans="2:15">
      <c r="B114" t="s">
        <v>535</v>
      </c>
      <c r="C114" t="s">
        <v>536</v>
      </c>
      <c r="D114"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14"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14"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14"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14"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14"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14"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14"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14"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14"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14"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14"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15" spans="2:15">
      <c r="B115" t="s">
        <v>539</v>
      </c>
      <c r="C115" t="s">
        <v>540</v>
      </c>
      <c r="D115"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15"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15"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15"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15"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15"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15"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15"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15"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15"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15"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15"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16" spans="2:15">
      <c r="B116" t="s">
        <v>543</v>
      </c>
      <c r="C116" t="s">
        <v>544</v>
      </c>
      <c r="D116" s="94">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-1</v>
      </c>
      <c r="E116"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16" s="73">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-0.5</v>
      </c>
      <c r="G116"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16"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16"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16"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16"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16"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16"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16"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16"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17" spans="2:15">
      <c r="B117" t="s">
        <v>547</v>
      </c>
      <c r="C117" t="s">
        <v>548</v>
      </c>
      <c r="D117" s="94">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-1</v>
      </c>
      <c r="E117"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17" s="73">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-0.5</v>
      </c>
      <c r="G117"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17"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17"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17"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17"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17"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17"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17"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17"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18" spans="2:15">
      <c r="B118" t="s">
        <v>552</v>
      </c>
      <c r="C118" t="s">
        <v>553</v>
      </c>
      <c r="D118" s="94">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-0.5</v>
      </c>
      <c r="E118"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18" s="73">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-0.5</v>
      </c>
      <c r="G118"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18"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18"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18"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18"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18"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18"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18"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18"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19" spans="2:15">
      <c r="B119" t="s">
        <v>556</v>
      </c>
      <c r="C119" t="s">
        <v>557</v>
      </c>
      <c r="D119"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19"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19"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19"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19"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19"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19"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19"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19"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19"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19"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19"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20" spans="2:15">
      <c r="B120" t="s">
        <v>561</v>
      </c>
      <c r="C120" t="s">
        <v>562</v>
      </c>
      <c r="D120"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20"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20"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20"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20"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20"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20"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20"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20"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20"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20"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20"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row r="121" spans="2:15">
      <c r="B121" t="s">
        <v>564</v>
      </c>
      <c r="C121" t="s">
        <v>565</v>
      </c>
      <c r="D121" s="94" t="str">
        <f>IFERROR(IF(_xlfn.XLOOKUP(tbl_Summary_Numerical[[#This Row],[ActionID]],tbl_WR_EligibilitySummary[Action ID],tbl_WR_EligibilitySummary[Vulnerability Eligibility],"")="Eligible",_xlfn.XLOOKUP(_xlfn.XLOOKUP(tbl_Summary_Numerical[[#This Row],[ActionID]],tbl_WR_Assessment[ActionID],tbl_WR_Assessment[Effectiveness on Vulnerability],""),'Summary Matrix'!$B$61:$B$64,'Summary Matrix'!$C$61:$C$64,""),""),"")</f>
        <v/>
      </c>
      <c r="E121" s="94" t="str">
        <f>IFERROR(IF(_xlfn.XLOOKUP(tbl_Summary_Numerical[[#This Row],[ActionID]],tbl_WR_EligibilitySummary[Action ID],tbl_WR_EligibilitySummary[Exposure Eligibility],"")="Eligible",_xlfn.XLOOKUP(_xlfn.XLOOKUP(tbl_Summary_Numerical[[#This Row],[ActionID]],tbl_WR_Assessment[ActionID],tbl_WR_Assessment[Effectiveness on Exposure],""),'Summary Matrix'!$B$61:$B$64,'Summary Matrix'!$C$61:$C$64,""),""),"")</f>
        <v/>
      </c>
      <c r="F121" s="73" t="str">
        <f>IFERROR(IF(_xlfn.XLOOKUP(tbl_Summary_Numerical[[#This Row],[ActionID]],tbl_FS_EligibilitySummary[Action ID],tbl_FS_EligibilitySummary[Vulnerability Eligibility],"")="Eligible",_xlfn.XLOOKUP(_xlfn.XLOOKUP(tbl_Summary_Numerical[[#This Row],[ActionID]],tbl_FS_Assessment[ActionID],tbl_FS_Assessment[Effectiveness on Vulnerability],""),'Summary Matrix'!$B$61:$B$64,'Summary Matrix'!$C$61:$C$64,""),""),"")</f>
        <v/>
      </c>
      <c r="G121" s="73" t="str">
        <f>IFERROR(IF(_xlfn.XLOOKUP(tbl_Summary_Numerical[[#This Row],[ActionID]],tbl_FS_EligibilitySummary[Action ID],tbl_FS_EligibilitySummary[Exposure Eligibility],"")="Eligible",_xlfn.XLOOKUP(_xlfn.XLOOKUP(tbl_Summary_Numerical[[#This Row],[ActionID]],tbl_FS_Assessment[ActionID],tbl_FS_Assessment[Effectiveness on Exposure],""),'Summary Matrix'!$B$61:$B$64,'Summary Matrix'!$C$61:$C$64,""),""),"")</f>
        <v/>
      </c>
      <c r="H121" s="73" t="str">
        <f>IFERROR(IF(_xlfn.XLOOKUP(tbl_Summary_Numerical[[#This Row],[ActionID]],tbl_ES_EligibilitySummary[Action ID],tbl_ES_EligibilitySummary[Vulnerability Eligibility],"")="Eligible",_xlfn.XLOOKUP(_xlfn.XLOOKUP(tbl_Summary_Numerical[[#This Row],[ActionID]],tbl_ES_Assessment[ActionID],tbl_ES_Assessment[Effectiveness on Vulnerability],""),'Summary Matrix'!$B$61:$B$64,'Summary Matrix'!$C$61:$C$64,""),""),"")</f>
        <v/>
      </c>
      <c r="I121" s="73" t="str">
        <f>IFERROR(IF(_xlfn.XLOOKUP(tbl_Summary_Numerical[[#This Row],[ActionID]],tbl_ES_EligibilitySummary[Action ID],tbl_ES_EligibilitySummary[Exposure Eligibility],"")="Eligible",_xlfn.XLOOKUP(_xlfn.XLOOKUP(tbl_Summary_Numerical[[#This Row],[ActionID]],tbl_ES_Assessment[ActionID],tbl_ES_Assessment[Effectiveness on Exposure],""),'Summary Matrix'!$B$61:$B$64,'Summary Matrix'!$C$61:$C$64,""),""),"")</f>
        <v/>
      </c>
      <c r="J121" s="73" t="str">
        <f>IFERROR(IF(_xlfn.XLOOKUP(tbl_Summary_Numerical[[#This Row],[ActionID]],tbl_H_EligibilitySummary[Action ID],tbl_H_EligibilitySummary[Vulnerability Eligibility],"")="Eligible",_xlfn.XLOOKUP(_xlfn.XLOOKUP(tbl_Summary_Numerical[[#This Row],[ActionID]],tbl_H_Assessment[ActionID],tbl_H_Assessment[Effectiveness on Vulnerability],""),'Summary Matrix'!$B$61:$B$64,'Summary Matrix'!$C$61:$C$64,""),""),"")</f>
        <v/>
      </c>
      <c r="K121" s="73" t="str">
        <f>IFERROR(IF(_xlfn.XLOOKUP(tbl_Summary_Numerical[[#This Row],[ActionID]],tbl_H_EligibilitySummary[Action ID],tbl_H_EligibilitySummary[Exposure Eligibility],"")="Eligible",_xlfn.XLOOKUP(_xlfn.XLOOKUP(tbl_Summary_Numerical[[#This Row],[ActionID]],tbl_H_Assessment[ActionID],tbl_H_Assessment[Effectiveness on Exposure],""),'Summary Matrix'!$B$61:$B$64,'Summary Matrix'!$C$61:$C$64,""),""),"")</f>
        <v/>
      </c>
      <c r="L121" s="73" t="str">
        <f>IFERROR(IF(_xlfn.XLOOKUP(tbl_Summary_Numerical[[#This Row],[ActionID]],tbl_GS_EligibilitySummary[Action ID],tbl_GS_EligibilitySummary[Vulnerability Eligibility],"")="Eligible",_xlfn.XLOOKUP(_xlfn.XLOOKUP(tbl_Summary_Numerical[[#This Row],[ActionID]],tbl_GS_Assessment[ActionID],tbl_GS_Assessment[Effectiveness on Vulnerability],""),'Summary Matrix'!$B$61:$B$64,'Summary Matrix'!$C$61:$C$64,""),""),"")</f>
        <v/>
      </c>
      <c r="M121" s="73" t="str">
        <f>IFERROR(IF(_xlfn.XLOOKUP(tbl_Summary_Numerical[[#This Row],[ActionID]],tbl_GS_EligibilitySummary[Action ID],tbl_GS_EligibilitySummary[Exposure Eligibility],"")="Eligible",_xlfn.XLOOKUP(_xlfn.XLOOKUP(tbl_Summary_Numerical[[#This Row],[ActionID]],tbl_GS_Assessment[ActionID],tbl_GS_Assessment[Effectiveness on Exposure],""),'Summary Matrix'!$B$61:$B$64,'Summary Matrix'!$C$61:$C$64,""),""),"")</f>
        <v/>
      </c>
      <c r="N121" s="73" t="str">
        <f>IFERROR(IF(_xlfn.XLOOKUP(tbl_Summary_Numerical[[#This Row],[ActionID]],tbl_B_EligibilitySummary[Action ID],tbl_B_EligibilitySummary[Vulnerability Eligibility],"")="Eligible",_xlfn.XLOOKUP(_xlfn.XLOOKUP(tbl_Summary_Numerical[[#This Row],[ActionID]],tbl_B_Assessment[ActionID],tbl_B_Assessment[Effectiveness on Vulnerability],""),'Summary Matrix'!$B$61:$B$64,'Summary Matrix'!$C$61:$C$64,""),""),"")</f>
        <v/>
      </c>
      <c r="O121" s="73" t="str">
        <f>IFERROR(IF(_xlfn.XLOOKUP(tbl_Summary_Numerical[[#This Row],[ActionID]],tbl_B_EligibilitySummary[Action ID],tbl_B_EligibilitySummary[Exposure Eligibility],"")="Eligible",_xlfn.XLOOKUP(_xlfn.XLOOKUP(tbl_Summary_Numerical[[#This Row],[ActionID]],tbl_B_Assessment[ActionID],tbl_B_Assessment[Effectiveness on Exposure],""),'Summary Matrix'!$B$61:$B$64,'Summary Matrix'!$C$61:$C$64,""),""),"")</f>
        <v/>
      </c>
    </row>
  </sheetData>
  <mergeCells count="3">
    <mergeCell ref="B2:O2"/>
    <mergeCell ref="B67:O67"/>
    <mergeCell ref="B59:O59"/>
  </mergeCells>
  <conditionalFormatting sqref="D4:I56">
    <cfRule type="expression" dxfId="451" priority="1">
      <formula>D4=""</formula>
    </cfRule>
  </conditionalFormatting>
  <conditionalFormatting sqref="D69:O121">
    <cfRule type="expression" dxfId="450" priority="2">
      <formula>D69=""</formula>
    </cfRule>
  </conditionalFormatting>
  <pageMargins left="0.7" right="0.7" top="0.75" bottom="0.75" header="0.3" footer="0.3"/>
  <legacy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2BF72-4A67-4FA3-B9F8-C96E09D5BF6A}">
  <dimension ref="A2:AJ175"/>
  <sheetViews>
    <sheetView showGridLines="0" zoomScale="55" zoomScaleNormal="55" workbookViewId="0">
      <selection activeCell="G133" sqref="G133"/>
    </sheetView>
  </sheetViews>
  <sheetFormatPr baseColWidth="10" defaultRowHeight="15"/>
  <cols>
    <col min="1" max="1" width="6.09765625" style="186" customWidth="1"/>
    <col min="2" max="2" width="32" style="186" customWidth="1"/>
    <col min="3" max="3" width="51.296875" style="186" customWidth="1"/>
    <col min="4" max="4" width="66.796875" style="186" customWidth="1"/>
    <col min="5" max="5" width="28" style="186" customWidth="1"/>
    <col min="6" max="6" width="58" style="186" customWidth="1"/>
    <col min="7" max="7" width="41" style="186" customWidth="1"/>
    <col min="8" max="8" width="51" style="186" customWidth="1"/>
    <col min="9" max="9" width="33" style="186" customWidth="1"/>
    <col min="10" max="10" width="30" style="186" customWidth="1"/>
    <col min="11" max="11" width="30.796875" style="186" customWidth="1"/>
    <col min="12" max="12" width="17.5" style="186" customWidth="1"/>
    <col min="13" max="13" width="22.5" style="186" customWidth="1"/>
    <col min="14" max="14" width="30" style="186" customWidth="1"/>
    <col min="15" max="15" width="19.19921875" style="186" customWidth="1"/>
    <col min="16" max="16" width="24.19921875" style="186" customWidth="1"/>
    <col min="17" max="17" width="14.19921875" style="186" customWidth="1"/>
    <col min="18" max="18" width="30.796875" style="186" customWidth="1"/>
    <col min="19" max="19" width="20" style="186" customWidth="1"/>
    <col min="20" max="20" width="27.5" style="186" customWidth="1"/>
    <col min="21" max="21" width="15.59765625" style="186" bestFit="1" customWidth="1"/>
    <col min="22" max="24" width="11.19921875" style="186"/>
    <col min="25" max="25" width="17.69921875" style="186" bestFit="1" customWidth="1"/>
    <col min="26" max="16384" width="11.19921875" style="186"/>
  </cols>
  <sheetData>
    <row r="2" spans="1:36" ht="24">
      <c r="A2" s="185"/>
      <c r="B2" s="115" t="s">
        <v>1536</v>
      </c>
      <c r="C2" s="115"/>
      <c r="D2" s="115"/>
      <c r="E2" s="115"/>
      <c r="F2" s="115"/>
      <c r="G2" s="115"/>
      <c r="H2" s="115"/>
      <c r="I2" s="115"/>
      <c r="J2" s="115"/>
      <c r="K2" s="115"/>
      <c r="L2" s="115"/>
      <c r="M2" s="115"/>
      <c r="N2" s="115"/>
      <c r="O2" s="115"/>
      <c r="P2" s="115"/>
      <c r="Q2" s="115"/>
      <c r="R2" s="115"/>
      <c r="S2" s="115"/>
      <c r="T2" s="115"/>
    </row>
    <row r="3" spans="1:36">
      <c r="A3" s="185"/>
      <c r="B3" s="187" t="s">
        <v>2564</v>
      </c>
      <c r="C3" s="187"/>
      <c r="D3" s="187"/>
      <c r="E3" s="187"/>
      <c r="F3" s="187"/>
      <c r="G3" s="187"/>
      <c r="H3" s="187"/>
      <c r="I3" s="187"/>
      <c r="J3" s="187"/>
      <c r="K3" s="187"/>
      <c r="L3" s="187"/>
      <c r="M3" s="187"/>
      <c r="N3" s="187"/>
      <c r="O3" s="187"/>
      <c r="P3" s="187"/>
      <c r="Q3" s="187"/>
      <c r="R3" s="187"/>
      <c r="S3" s="187"/>
      <c r="T3" s="187"/>
    </row>
    <row r="4" spans="1:36">
      <c r="A4" s="185"/>
      <c r="B4" s="188" t="s">
        <v>2565</v>
      </c>
      <c r="C4" s="189"/>
      <c r="D4" s="189"/>
      <c r="E4" s="189"/>
      <c r="F4" s="189"/>
      <c r="G4" s="189"/>
      <c r="H4" s="189"/>
      <c r="I4" s="189"/>
      <c r="J4" s="189"/>
      <c r="K4" s="189"/>
      <c r="L4" s="189"/>
      <c r="M4" s="189"/>
      <c r="N4" s="189"/>
      <c r="O4" s="189"/>
      <c r="P4" s="189"/>
      <c r="Q4" s="189"/>
      <c r="R4" s="189"/>
      <c r="S4" s="189"/>
      <c r="T4" s="189"/>
    </row>
    <row r="5" spans="1:36">
      <c r="A5" s="185"/>
    </row>
    <row r="6" spans="1:36" s="185" customFormat="1" ht="17.399999999999999">
      <c r="B6" s="190" t="s">
        <v>1640</v>
      </c>
      <c r="C6" s="190"/>
      <c r="D6" s="190"/>
      <c r="E6" s="190"/>
      <c r="F6" s="190"/>
      <c r="G6" s="190"/>
      <c r="H6" s="190"/>
      <c r="I6" s="190"/>
      <c r="J6" s="87"/>
      <c r="K6" s="87"/>
      <c r="L6" s="87"/>
      <c r="M6" s="87"/>
      <c r="N6" s="87"/>
      <c r="O6" s="87"/>
      <c r="P6" s="87"/>
      <c r="Q6" s="87"/>
      <c r="R6" s="87"/>
      <c r="S6" s="87"/>
      <c r="T6" s="87"/>
    </row>
    <row r="7" spans="1:36" s="185" customFormat="1">
      <c r="B7" s="186" t="s">
        <v>1641</v>
      </c>
      <c r="C7" s="186" t="s">
        <v>1642</v>
      </c>
      <c r="D7" s="186" t="s">
        <v>1643</v>
      </c>
      <c r="E7" s="186" t="s">
        <v>1636</v>
      </c>
      <c r="F7" s="186" t="s">
        <v>1647</v>
      </c>
      <c r="G7" s="186" t="s">
        <v>1644</v>
      </c>
      <c r="H7" s="186" t="s">
        <v>1638</v>
      </c>
      <c r="I7" s="186" t="s">
        <v>1648</v>
      </c>
      <c r="J7" s="186" t="s">
        <v>1645</v>
      </c>
      <c r="K7" s="186" t="s">
        <v>1495</v>
      </c>
      <c r="L7" s="87"/>
      <c r="M7" s="87"/>
      <c r="N7" s="87"/>
      <c r="O7" s="87"/>
      <c r="P7" s="87"/>
      <c r="Q7" s="87"/>
      <c r="R7" s="87"/>
      <c r="S7" s="87"/>
      <c r="T7" s="87"/>
      <c r="U7" s="87"/>
      <c r="V7" s="87"/>
      <c r="AA7" s="186"/>
      <c r="AB7" s="186"/>
      <c r="AC7" s="186"/>
      <c r="AD7" s="186"/>
      <c r="AE7" s="186"/>
      <c r="AF7" s="186"/>
      <c r="AG7" s="186"/>
      <c r="AH7" s="186"/>
      <c r="AI7" s="186"/>
      <c r="AJ7" s="186"/>
    </row>
    <row r="8" spans="1:36" s="185" customFormat="1">
      <c r="B8" s="13" t="str" cm="1">
        <f t="array" ref="B8">IF(ROW()-ROW(tbl_WR_EligibilitySummary[#Headers])&lt;=ROWS(tbl_WR_Assessment[ActionID]),"Existing action","Additional action")</f>
        <v>Existing action</v>
      </c>
      <c r="C8" s="13" t="str" cm="1">
        <f t="array" ref="C8">IF(ROW()-ROW(tbl_WR_EligibilitySummary[#Headers])&lt;=ROWS(tbl_WR_Assessment[ActionID]),INDEX(tbl_WR_Assessment[ActionID],ROW()-ROW(tbl_WR_EligibilitySummary[#Headers])),INDEX(tbl_WR_AdditionalActions[AdditionalActionID],ROW()-ROW(tbl_WR_EligibilitySummary[#Headers])-ROWS(tbl_WR_Assessment[ActionID])))</f>
        <v>c40_0046</v>
      </c>
      <c r="D8" s="13" t="str" cm="1">
        <f t="array" ref="D8">IF(ROW()-ROW(tbl_WR_EligibilitySummary[#Headers])&lt;=ROWS(tbl_WR_Assessment[ActionID]),INDEX(tbl_WR_Assessment[ActionName],ROW()-ROW(tbl_WR_EligibilitySummary[#Headers])),INDEX(tbl_WR_AdditionalActions[ActionName],ROW()-ROW(tbl_WR_EligibilitySummary[#Headers])-ROWS(tbl_WR_Assessment[ActionID])))</f>
        <v>Strengthen coastal protection infrastructure</v>
      </c>
      <c r="E8" s="13" t="str" cm="1">
        <f t="array" ref="E8">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8" s="13" t="str" cm="1">
        <f t="array" ref="F8">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8" s="13" t="str" cm="1">
        <f t="array" ref="G8">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8" s="13" t="str" cm="1">
        <f t="array" ref="H8">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8" s="13" t="str" cm="1">
        <f t="array" ref="I8">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8" s="13" t="str" cm="1">
        <f t="array" ref="J8">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8" s="13" t="str" cm="1">
        <f t="array" ref="K8">IF(ROW()-ROW(tbl_WR_EligibilitySummary[#Headers])&lt;=ROWS(tbl_WR_Assessment[ActionID]),INDEX(tbl_WR_Assessment[ReviewStatus],ROW()-ROW(tbl_WR_EligibilitySummary[#Headers])),INDEX(tbl_WR_AdditionalActions[ReviewStatus],ROW()-ROW(tbl_WR_EligibilitySummary[#Headers])-ROWS(tbl_WR_Assessment[ActionID])))</f>
        <v>Not assessed</v>
      </c>
      <c r="L8" s="87"/>
      <c r="M8" s="87"/>
      <c r="N8" s="87"/>
      <c r="O8" s="87"/>
      <c r="P8" s="87"/>
      <c r="Q8" s="87"/>
      <c r="R8" s="87"/>
      <c r="S8" s="87"/>
      <c r="T8" s="87"/>
      <c r="U8" s="87"/>
      <c r="V8" s="87"/>
      <c r="AA8" s="186"/>
      <c r="AB8" s="186"/>
      <c r="AC8" s="186"/>
      <c r="AD8" s="186"/>
      <c r="AE8" s="186"/>
      <c r="AF8" s="186"/>
      <c r="AG8" s="186"/>
      <c r="AH8" s="186"/>
      <c r="AI8" s="186"/>
      <c r="AJ8" s="186"/>
    </row>
    <row r="9" spans="1:36" s="185" customFormat="1">
      <c r="B9" s="13" t="str" cm="1">
        <f t="array" ref="B9">IF(ROW()-ROW(tbl_WR_EligibilitySummary[#Headers])&lt;=ROWS(tbl_WR_Assessment[ActionID]),"Existing action","Additional action")</f>
        <v>Existing action</v>
      </c>
      <c r="C9" s="13" t="str" cm="1">
        <f t="array" ref="C9">IF(ROW()-ROW(tbl_WR_EligibilitySummary[#Headers])&lt;=ROWS(tbl_WR_Assessment[ActionID]),INDEX(tbl_WR_Assessment[ActionID],ROW()-ROW(tbl_WR_EligibilitySummary[#Headers])),INDEX(tbl_WR_AdditionalActions[AdditionalActionID],ROW()-ROW(tbl_WR_EligibilitySummary[#Headers])-ROWS(tbl_WR_Assessment[ActionID])))</f>
        <v>c40_0048</v>
      </c>
      <c r="D9" s="13" t="str" cm="1">
        <f t="array" ref="D9">IF(ROW()-ROW(tbl_WR_EligibilitySummary[#Headers])&lt;=ROWS(tbl_WR_Assessment[ActionID]),INDEX(tbl_WR_Assessment[ActionName],ROW()-ROW(tbl_WR_EligibilitySummary[#Headers])),INDEX(tbl_WR_AdditionalActions[ActionName],ROW()-ROW(tbl_WR_EligibilitySummary[#Headers])-ROWS(tbl_WR_Assessment[ActionID])))</f>
        <v>Upgrade urban drainage systems</v>
      </c>
      <c r="E9" s="13" t="str" cm="1">
        <f t="array" ref="E9">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9" s="13" cm="1">
        <f t="array" ref="F9">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1</v>
      </c>
      <c r="G9" s="13" t="str" cm="1">
        <f t="array" ref="G9">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9" s="13" t="str" cm="1">
        <f t="array" ref="H9">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9" s="13" t="str" cm="1">
        <f t="array" ref="I9">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9" s="13" t="str" cm="1">
        <f t="array" ref="J9">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9" s="13" t="str" cm="1">
        <f t="array" ref="K9">IF(ROW()-ROW(tbl_WR_EligibilitySummary[#Headers])&lt;=ROWS(tbl_WR_Assessment[ActionID]),INDEX(tbl_WR_Assessment[ReviewStatus],ROW()-ROW(tbl_WR_EligibilitySummary[#Headers])),INDEX(tbl_WR_AdditionalActions[ReviewStatus],ROW()-ROW(tbl_WR_EligibilitySummary[#Headers])-ROWS(tbl_WR_Assessment[ActionID])))</f>
        <v>Eligibility corrected</v>
      </c>
      <c r="L9" s="87"/>
      <c r="M9" s="87"/>
      <c r="N9" s="87"/>
      <c r="O9" s="87"/>
      <c r="P9" s="87"/>
      <c r="Q9" s="87"/>
      <c r="R9" s="87"/>
      <c r="S9" s="87"/>
      <c r="T9" s="87"/>
      <c r="U9" s="87"/>
      <c r="V9" s="87"/>
      <c r="AA9" s="186"/>
      <c r="AB9" s="186"/>
      <c r="AC9" s="186"/>
      <c r="AD9" s="186"/>
      <c r="AE9" s="186"/>
      <c r="AF9" s="186"/>
      <c r="AG9" s="186"/>
      <c r="AH9" s="186"/>
      <c r="AI9" s="186"/>
      <c r="AJ9" s="186"/>
    </row>
    <row r="10" spans="1:36" s="185" customFormat="1">
      <c r="B10" s="13" t="str" cm="1">
        <f t="array" ref="B10">IF(ROW()-ROW(tbl_WR_EligibilitySummary[#Headers])&lt;=ROWS(tbl_WR_Assessment[ActionID]),"Existing action","Additional action")</f>
        <v>Existing action</v>
      </c>
      <c r="C10" s="13" t="str" cm="1">
        <f t="array" ref="C10">IF(ROW()-ROW(tbl_WR_EligibilitySummary[#Headers])&lt;=ROWS(tbl_WR_Assessment[ActionID]),INDEX(tbl_WR_Assessment[ActionID],ROW()-ROW(tbl_WR_EligibilitySummary[#Headers])),INDEX(tbl_WR_AdditionalActions[AdditionalActionID],ROW()-ROW(tbl_WR_EligibilitySummary[#Headers])-ROWS(tbl_WR_Assessment[ActionID])))</f>
        <v>c40_0049</v>
      </c>
      <c r="D10" s="13" t="str" cm="1">
        <f t="array" ref="D10">IF(ROW()-ROW(tbl_WR_EligibilitySummary[#Headers])&lt;=ROWS(tbl_WR_Assessment[ActionID]),INDEX(tbl_WR_Assessment[ActionName],ROW()-ROW(tbl_WR_EligibilitySummary[#Headers])),INDEX(tbl_WR_AdditionalActions[ActionName],ROW()-ROW(tbl_WR_EligibilitySummary[#Headers])-ROWS(tbl_WR_Assessment[ActionID])))</f>
        <v>Build and maintain shelters for critical climate hazards</v>
      </c>
      <c r="E10" s="13" t="str" cm="1">
        <f t="array" ref="E10">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10" s="13" t="str" cm="1">
        <f t="array" ref="F10">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10" s="13" t="str" cm="1">
        <f t="array" ref="G10">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10" s="13" t="str" cm="1">
        <f t="array" ref="H10">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10" s="13" t="str" cm="1">
        <f t="array" ref="I10">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10" s="13" t="str" cm="1">
        <f t="array" ref="J10">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10" s="13" t="str" cm="1">
        <f t="array" ref="K10">IF(ROW()-ROW(tbl_WR_EligibilitySummary[#Headers])&lt;=ROWS(tbl_WR_Assessment[ActionID]),INDEX(tbl_WR_Assessment[ReviewStatus],ROW()-ROW(tbl_WR_EligibilitySummary[#Headers])),INDEX(tbl_WR_AdditionalActions[ReviewStatus],ROW()-ROW(tbl_WR_EligibilitySummary[#Headers])-ROWS(tbl_WR_Assessment[ActionID])))</f>
        <v>Not assessed</v>
      </c>
      <c r="L10" s="87"/>
      <c r="M10" s="87"/>
      <c r="N10" s="87"/>
      <c r="O10" s="87"/>
      <c r="P10" s="87"/>
      <c r="Q10" s="87"/>
      <c r="R10" s="87"/>
      <c r="S10" s="87"/>
      <c r="T10" s="87"/>
      <c r="U10" s="87"/>
      <c r="V10" s="87"/>
      <c r="AA10" s="186"/>
      <c r="AB10" s="186"/>
      <c r="AC10" s="186"/>
      <c r="AD10" s="186"/>
      <c r="AE10" s="186"/>
      <c r="AF10" s="186"/>
      <c r="AG10" s="186"/>
      <c r="AH10" s="186"/>
      <c r="AI10" s="186"/>
      <c r="AJ10" s="186"/>
    </row>
    <row r="11" spans="1:36" s="185" customFormat="1">
      <c r="B11" s="13" t="str" cm="1">
        <f t="array" ref="B11">IF(ROW()-ROW(tbl_WR_EligibilitySummary[#Headers])&lt;=ROWS(tbl_WR_Assessment[ActionID]),"Existing action","Additional action")</f>
        <v>Existing action</v>
      </c>
      <c r="C11" s="13" t="str" cm="1">
        <f t="array" ref="C11">IF(ROW()-ROW(tbl_WR_EligibilitySummary[#Headers])&lt;=ROWS(tbl_WR_Assessment[ActionID]),INDEX(tbl_WR_Assessment[ActionID],ROW()-ROW(tbl_WR_EligibilitySummary[#Headers])),INDEX(tbl_WR_AdditionalActions[AdditionalActionID],ROW()-ROW(tbl_WR_EligibilitySummary[#Headers])-ROWS(tbl_WR_Assessment[ActionID])))</f>
        <v>c40_0051</v>
      </c>
      <c r="D11" s="13" t="str" cm="1">
        <f t="array" ref="D11">IF(ROW()-ROW(tbl_WR_EligibilitySummary[#Headers])&lt;=ROWS(tbl_WR_Assessment[ActionID]),INDEX(tbl_WR_Assessment[ActionName],ROW()-ROW(tbl_WR_EligibilitySummary[#Headers])),INDEX(tbl_WR_AdditionalActions[ActionName],ROW()-ROW(tbl_WR_EligibilitySummary[#Headers])-ROWS(tbl_WR_Assessment[ActionID])))</f>
        <v>Provide public shading in heat hotspots</v>
      </c>
      <c r="E11" s="13" t="str" cm="1">
        <f t="array" ref="E11">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11" s="13" t="str" cm="1">
        <f t="array" ref="F11">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11" s="13" t="str" cm="1">
        <f t="array" ref="G11">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11" s="13" t="str" cm="1">
        <f t="array" ref="H11">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11" s="13" t="str" cm="1">
        <f t="array" ref="I11">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11" s="13" t="str" cm="1">
        <f t="array" ref="J11">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11" s="13" t="str" cm="1">
        <f t="array" ref="K11">IF(ROW()-ROW(tbl_WR_EligibilitySummary[#Headers])&lt;=ROWS(tbl_WR_Assessment[ActionID]),INDEX(tbl_WR_Assessment[ReviewStatus],ROW()-ROW(tbl_WR_EligibilitySummary[#Headers])),INDEX(tbl_WR_AdditionalActions[ReviewStatus],ROW()-ROW(tbl_WR_EligibilitySummary[#Headers])-ROWS(tbl_WR_Assessment[ActionID])))</f>
        <v>Not assessed</v>
      </c>
      <c r="L11" s="87"/>
      <c r="M11" s="87"/>
      <c r="N11" s="87"/>
      <c r="O11" s="87"/>
      <c r="P11" s="87"/>
      <c r="Q11" s="87"/>
      <c r="R11" s="87"/>
      <c r="S11" s="87"/>
      <c r="T11" s="87"/>
      <c r="U11" s="87"/>
      <c r="V11" s="87"/>
      <c r="AA11" s="186"/>
      <c r="AB11" s="186"/>
      <c r="AC11" s="186"/>
      <c r="AD11" s="186"/>
      <c r="AE11" s="186"/>
      <c r="AF11" s="186"/>
      <c r="AG11" s="186"/>
      <c r="AH11" s="186"/>
      <c r="AI11" s="186"/>
      <c r="AJ11" s="186"/>
    </row>
    <row r="12" spans="1:36" s="185" customFormat="1">
      <c r="B12" s="13" t="str" cm="1">
        <f t="array" ref="B12">IF(ROW()-ROW(tbl_WR_EligibilitySummary[#Headers])&lt;=ROWS(tbl_WR_Assessment[ActionID]),"Existing action","Additional action")</f>
        <v>Existing action</v>
      </c>
      <c r="C12" s="13" t="str" cm="1">
        <f t="array" ref="C12">IF(ROW()-ROW(tbl_WR_EligibilitySummary[#Headers])&lt;=ROWS(tbl_WR_Assessment[ActionID]),INDEX(tbl_WR_Assessment[ActionID],ROW()-ROW(tbl_WR_EligibilitySummary[#Headers])),INDEX(tbl_WR_AdditionalActions[AdditionalActionID],ROW()-ROW(tbl_WR_EligibilitySummary[#Headers])-ROWS(tbl_WR_Assessment[ActionID])))</f>
        <v>c40_0052</v>
      </c>
      <c r="D12" s="13" t="str" cm="1">
        <f t="array" ref="D12">IF(ROW()-ROW(tbl_WR_EligibilitySummary[#Headers])&lt;=ROWS(tbl_WR_Assessment[ActionID]),INDEX(tbl_WR_Assessment[ActionName],ROW()-ROW(tbl_WR_EligibilitySummary[#Headers])),INDEX(tbl_WR_AdditionalActions[ActionName],ROW()-ROW(tbl_WR_EligibilitySummary[#Headers])-ROWS(tbl_WR_Assessment[ActionID])))</f>
        <v>Deploy cool pavements and cool roofs on heat‑exposed streets and buildings</v>
      </c>
      <c r="E12" s="13" t="str" cm="1">
        <f t="array" ref="E12">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12" s="13" t="str" cm="1">
        <f t="array" ref="F12">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12" s="13" t="str" cm="1">
        <f t="array" ref="G12">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12" s="13" t="str" cm="1">
        <f t="array" ref="H12">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12" s="13" t="str" cm="1">
        <f t="array" ref="I12">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12" s="13" t="str" cm="1">
        <f t="array" ref="J12">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12" s="13" t="str" cm="1">
        <f t="array" ref="K12">IF(ROW()-ROW(tbl_WR_EligibilitySummary[#Headers])&lt;=ROWS(tbl_WR_Assessment[ActionID]),INDEX(tbl_WR_Assessment[ReviewStatus],ROW()-ROW(tbl_WR_EligibilitySummary[#Headers])),INDEX(tbl_WR_AdditionalActions[ReviewStatus],ROW()-ROW(tbl_WR_EligibilitySummary[#Headers])-ROWS(tbl_WR_Assessment[ActionID])))</f>
        <v>Not assessed</v>
      </c>
      <c r="L12" s="87"/>
      <c r="M12" s="87"/>
      <c r="N12" s="87"/>
      <c r="O12" s="87"/>
      <c r="P12" s="87"/>
      <c r="Q12" s="87"/>
      <c r="R12" s="87"/>
      <c r="S12" s="87"/>
      <c r="T12" s="87"/>
      <c r="U12" s="87"/>
      <c r="V12" s="87"/>
      <c r="AA12" s="186"/>
      <c r="AB12" s="186"/>
      <c r="AC12" s="186"/>
      <c r="AD12" s="186"/>
      <c r="AE12" s="186"/>
      <c r="AF12" s="186"/>
      <c r="AG12" s="186"/>
      <c r="AH12" s="186"/>
      <c r="AI12" s="186"/>
      <c r="AJ12" s="186"/>
    </row>
    <row r="13" spans="1:36" s="185" customFormat="1">
      <c r="B13" s="13" t="str" cm="1">
        <f t="array" ref="B13">IF(ROW()-ROW(tbl_WR_EligibilitySummary[#Headers])&lt;=ROWS(tbl_WR_Assessment[ActionID]),"Existing action","Additional action")</f>
        <v>Existing action</v>
      </c>
      <c r="C13" s="13" t="str" cm="1">
        <f t="array" ref="C13">IF(ROW()-ROW(tbl_WR_EligibilitySummary[#Headers])&lt;=ROWS(tbl_WR_Assessment[ActionID]),INDEX(tbl_WR_Assessment[ActionID],ROW()-ROW(tbl_WR_EligibilitySummary[#Headers])),INDEX(tbl_WR_AdditionalActions[AdditionalActionID],ROW()-ROW(tbl_WR_EligibilitySummary[#Headers])-ROWS(tbl_WR_Assessment[ActionID])))</f>
        <v>c40_0053</v>
      </c>
      <c r="D13" s="13" t="str" cm="1">
        <f t="array" ref="D13">IF(ROW()-ROW(tbl_WR_EligibilitySummary[#Headers])&lt;=ROWS(tbl_WR_Assessment[ActionID]),INDEX(tbl_WR_Assessment[ActionName],ROW()-ROW(tbl_WR_EligibilitySummary[#Headers])),INDEX(tbl_WR_AdditionalActions[ActionName],ROW()-ROW(tbl_WR_EligibilitySummary[#Headers])-ROWS(tbl_WR_Assessment[ActionID])))</f>
        <v>Promote water-saving technologies and practices</v>
      </c>
      <c r="E13" s="13" t="str" cm="1">
        <f t="array" ref="E13">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13" s="13" cm="1">
        <f t="array" ref="F13">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3</v>
      </c>
      <c r="G13" s="13" t="str" cm="1">
        <f t="array" ref="G13">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Medium effectiveness</v>
      </c>
      <c r="H13" s="13" t="str" cm="1">
        <f t="array" ref="H13">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13" s="13" t="str" cm="1">
        <f t="array" ref="I13">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13" s="13" t="str" cm="1">
        <f t="array" ref="J13">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13" s="13" t="str" cm="1">
        <f t="array" ref="K13">IF(ROW()-ROW(tbl_WR_EligibilitySummary[#Headers])&lt;=ROWS(tbl_WR_Assessment[ActionID]),INDEX(tbl_WR_Assessment[ReviewStatus],ROW()-ROW(tbl_WR_EligibilitySummary[#Headers])),INDEX(tbl_WR_AdditionalActions[ReviewStatus],ROW()-ROW(tbl_WR_EligibilitySummary[#Headers])-ROWS(tbl_WR_Assessment[ActionID])))</f>
        <v>Evidence added</v>
      </c>
      <c r="L13" s="87"/>
      <c r="M13" s="87"/>
      <c r="N13" s="87"/>
      <c r="O13" s="87"/>
      <c r="P13" s="87"/>
      <c r="Q13" s="87"/>
      <c r="R13" s="87"/>
      <c r="S13" s="87"/>
      <c r="T13" s="87"/>
      <c r="U13" s="87"/>
      <c r="V13" s="87"/>
      <c r="AA13" s="186"/>
      <c r="AB13" s="186"/>
      <c r="AC13" s="186"/>
      <c r="AD13" s="186"/>
      <c r="AE13" s="186"/>
      <c r="AF13" s="186"/>
      <c r="AG13" s="186"/>
      <c r="AH13" s="186"/>
      <c r="AI13" s="186"/>
      <c r="AJ13" s="186"/>
    </row>
    <row r="14" spans="1:36" s="185" customFormat="1">
      <c r="B14" s="13" t="str" cm="1">
        <f t="array" ref="B14">IF(ROW()-ROW(tbl_WR_EligibilitySummary[#Headers])&lt;=ROWS(tbl_WR_Assessment[ActionID]),"Existing action","Additional action")</f>
        <v>Existing action</v>
      </c>
      <c r="C14" s="13" t="str" cm="1">
        <f t="array" ref="C14">IF(ROW()-ROW(tbl_WR_EligibilitySummary[#Headers])&lt;=ROWS(tbl_WR_Assessment[ActionID]),INDEX(tbl_WR_Assessment[ActionID],ROW()-ROW(tbl_WR_EligibilitySummary[#Headers])),INDEX(tbl_WR_AdditionalActions[AdditionalActionID],ROW()-ROW(tbl_WR_EligibilitySummary[#Headers])-ROWS(tbl_WR_Assessment[ActionID])))</f>
        <v>c40_0056</v>
      </c>
      <c r="D14" s="13" t="str" cm="1">
        <f t="array" ref="D14">IF(ROW()-ROW(tbl_WR_EligibilitySummary[#Headers])&lt;=ROWS(tbl_WR_Assessment[ActionID]),INDEX(tbl_WR_Assessment[ActionName],ROW()-ROW(tbl_WR_EligibilitySummary[#Headers])),INDEX(tbl_WR_AdditionalActions[ActionName],ROW()-ROW(tbl_WR_EligibilitySummary[#Headers])-ROWS(tbl_WR_Assessment[ActionID])))</f>
        <v>Improve Watershed Protection and Management</v>
      </c>
      <c r="E14" s="13" t="str" cm="1">
        <f t="array" ref="E14">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14" s="13" cm="1">
        <f t="array" ref="F14">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3</v>
      </c>
      <c r="G14" s="13" t="str" cm="1">
        <f t="array" ref="G14">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High effectiveness</v>
      </c>
      <c r="H14" s="13" t="str" cm="1">
        <f t="array" ref="H14">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14" s="13" t="str" cm="1">
        <f t="array" ref="I14">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14" s="13" t="str" cm="1">
        <f t="array" ref="J14">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14" s="13" t="str" cm="1">
        <f t="array" ref="K14">IF(ROW()-ROW(tbl_WR_EligibilitySummary[#Headers])&lt;=ROWS(tbl_WR_Assessment[ActionID]),INDEX(tbl_WR_Assessment[ReviewStatus],ROW()-ROW(tbl_WR_EligibilitySummary[#Headers])),INDEX(tbl_WR_AdditionalActions[ReviewStatus],ROW()-ROW(tbl_WR_EligibilitySummary[#Headers])-ROWS(tbl_WR_Assessment[ActionID])))</f>
        <v>Evidence added</v>
      </c>
      <c r="L14" s="87"/>
      <c r="M14" s="87"/>
      <c r="N14" s="87"/>
      <c r="O14" s="87"/>
      <c r="P14" s="87"/>
      <c r="Q14" s="87"/>
      <c r="R14" s="87"/>
      <c r="S14" s="87"/>
      <c r="T14" s="87"/>
      <c r="U14" s="87"/>
      <c r="V14" s="87"/>
      <c r="AA14" s="186"/>
      <c r="AB14" s="186"/>
      <c r="AC14" s="186"/>
      <c r="AD14" s="186"/>
      <c r="AE14" s="186"/>
      <c r="AF14" s="186"/>
      <c r="AG14" s="186"/>
      <c r="AH14" s="186"/>
      <c r="AI14" s="186"/>
      <c r="AJ14" s="186"/>
    </row>
    <row r="15" spans="1:36" s="185" customFormat="1">
      <c r="B15" s="13" t="str" cm="1">
        <f t="array" ref="B15">IF(ROW()-ROW(tbl_WR_EligibilitySummary[#Headers])&lt;=ROWS(tbl_WR_Assessment[ActionID]),"Existing action","Additional action")</f>
        <v>Existing action</v>
      </c>
      <c r="C15" s="13" t="str" cm="1">
        <f t="array" ref="C15">IF(ROW()-ROW(tbl_WR_EligibilitySummary[#Headers])&lt;=ROWS(tbl_WR_Assessment[ActionID]),INDEX(tbl_WR_Assessment[ActionID],ROW()-ROW(tbl_WR_EligibilitySummary[#Headers])),INDEX(tbl_WR_AdditionalActions[AdditionalActionID],ROW()-ROW(tbl_WR_EligibilitySummary[#Headers])-ROWS(tbl_WR_Assessment[ActionID])))</f>
        <v>c40_0062</v>
      </c>
      <c r="D15" s="13" t="str" cm="1">
        <f t="array" ref="D15">IF(ROW()-ROW(tbl_WR_EligibilitySummary[#Headers])&lt;=ROWS(tbl_WR_Assessment[ActionID]),INDEX(tbl_WR_Assessment[ActionName],ROW()-ROW(tbl_WR_EligibilitySummary[#Headers])),INDEX(tbl_WR_AdditionalActions[ActionName],ROW()-ROW(tbl_WR_EligibilitySummary[#Headers])-ROWS(tbl_WR_Assessment[ActionID])))</f>
        <v>Reform water tariffs to support efficiency and equity</v>
      </c>
      <c r="E15" s="13" t="str" cm="1">
        <f t="array" ref="E15">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15" s="13" cm="1">
        <f t="array" ref="F15">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3</v>
      </c>
      <c r="G15" s="13" t="str" cm="1">
        <f t="array" ref="G15">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Medium effectiveness</v>
      </c>
      <c r="H15" s="13" t="str" cm="1">
        <f t="array" ref="H15">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15" s="13" t="str" cm="1">
        <f t="array" ref="I15">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15" s="13" t="str" cm="1">
        <f t="array" ref="J15">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15" s="13" t="str" cm="1">
        <f t="array" ref="K15">IF(ROW()-ROW(tbl_WR_EligibilitySummary[#Headers])&lt;=ROWS(tbl_WR_Assessment[ActionID]),INDEX(tbl_WR_Assessment[ReviewStatus],ROW()-ROW(tbl_WR_EligibilitySummary[#Headers])),INDEX(tbl_WR_AdditionalActions[ReviewStatus],ROW()-ROW(tbl_WR_EligibilitySummary[#Headers])-ROWS(tbl_WR_Assessment[ActionID])))</f>
        <v>Evidence added</v>
      </c>
      <c r="L15" s="87"/>
      <c r="M15" s="87"/>
      <c r="N15" s="87"/>
      <c r="O15" s="87"/>
      <c r="P15" s="87"/>
      <c r="Q15" s="87"/>
      <c r="R15" s="87"/>
      <c r="S15" s="87"/>
      <c r="T15" s="87"/>
      <c r="U15" s="87"/>
      <c r="V15" s="87"/>
      <c r="AA15" s="186"/>
      <c r="AB15" s="186"/>
      <c r="AC15" s="186"/>
      <c r="AD15" s="186"/>
      <c r="AE15" s="186"/>
      <c r="AF15" s="186"/>
      <c r="AG15" s="186"/>
      <c r="AH15" s="186"/>
      <c r="AI15" s="186"/>
      <c r="AJ15" s="186"/>
    </row>
    <row r="16" spans="1:36" s="185" customFormat="1">
      <c r="B16" s="13" t="str" cm="1">
        <f t="array" ref="B16">IF(ROW()-ROW(tbl_WR_EligibilitySummary[#Headers])&lt;=ROWS(tbl_WR_Assessment[ActionID]),"Existing action","Additional action")</f>
        <v>Existing action</v>
      </c>
      <c r="C16" s="13" t="str" cm="1">
        <f t="array" ref="C16">IF(ROW()-ROW(tbl_WR_EligibilitySummary[#Headers])&lt;=ROWS(tbl_WR_Assessment[ActionID]),INDEX(tbl_WR_Assessment[ActionID],ROW()-ROW(tbl_WR_EligibilitySummary[#Headers])),INDEX(tbl_WR_AdditionalActions[AdditionalActionID],ROW()-ROW(tbl_WR_EligibilitySummary[#Headers])-ROWS(tbl_WR_Assessment[ActionID])))</f>
        <v>icare_0144</v>
      </c>
      <c r="D16" s="13" t="str" cm="1">
        <f t="array" ref="D16">IF(ROW()-ROW(tbl_WR_EligibilitySummary[#Headers])&lt;=ROWS(tbl_WR_Assessment[ActionID]),INDEX(tbl_WR_Assessment[ActionName],ROW()-ROW(tbl_WR_EligibilitySummary[#Headers])),INDEX(tbl_WR_AdditionalActions[ActionName],ROW()-ROW(tbl_WR_EligibilitySummary[#Headers])-ROWS(tbl_WR_Assessment[ActionID])))</f>
        <v>Establish a financial support program for extreme weather events</v>
      </c>
      <c r="E16" s="13" t="str" cm="1">
        <f t="array" ref="E16">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16" s="13" t="str" cm="1">
        <f t="array" ref="F16">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16" s="13" t="str" cm="1">
        <f t="array" ref="G16">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16" s="13" t="str" cm="1">
        <f t="array" ref="H16">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16" s="13" t="str" cm="1">
        <f t="array" ref="I16">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16" s="13" t="str" cm="1">
        <f t="array" ref="J16">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16" s="13" t="str" cm="1">
        <f t="array" ref="K16">IF(ROW()-ROW(tbl_WR_EligibilitySummary[#Headers])&lt;=ROWS(tbl_WR_Assessment[ActionID]),INDEX(tbl_WR_Assessment[ReviewStatus],ROW()-ROW(tbl_WR_EligibilitySummary[#Headers])),INDEX(tbl_WR_AdditionalActions[ReviewStatus],ROW()-ROW(tbl_WR_EligibilitySummary[#Headers])-ROWS(tbl_WR_Assessment[ActionID])))</f>
        <v>Not assessed</v>
      </c>
      <c r="L16" s="87"/>
      <c r="M16" s="87"/>
      <c r="N16" s="87"/>
      <c r="O16" s="87"/>
      <c r="P16" s="87"/>
      <c r="Q16" s="87"/>
      <c r="R16" s="87"/>
      <c r="S16" s="87"/>
      <c r="T16" s="87"/>
      <c r="U16" s="87"/>
      <c r="V16" s="87"/>
      <c r="AA16" s="186"/>
      <c r="AB16" s="186"/>
      <c r="AC16" s="186"/>
      <c r="AD16" s="186"/>
      <c r="AE16" s="186"/>
      <c r="AF16" s="186"/>
      <c r="AG16" s="186"/>
      <c r="AH16" s="186"/>
      <c r="AI16" s="186"/>
      <c r="AJ16" s="186"/>
    </row>
    <row r="17" spans="2:36" s="185" customFormat="1">
      <c r="B17" s="13" t="str" cm="1">
        <f t="array" ref="B17">IF(ROW()-ROW(tbl_WR_EligibilitySummary[#Headers])&lt;=ROWS(tbl_WR_Assessment[ActionID]),"Existing action","Additional action")</f>
        <v>Existing action</v>
      </c>
      <c r="C17" s="13" t="str" cm="1">
        <f t="array" ref="C17">IF(ROW()-ROW(tbl_WR_EligibilitySummary[#Headers])&lt;=ROWS(tbl_WR_Assessment[ActionID]),INDEX(tbl_WR_Assessment[ActionID],ROW()-ROW(tbl_WR_EligibilitySummary[#Headers])),INDEX(tbl_WR_AdditionalActions[AdditionalActionID],ROW()-ROW(tbl_WR_EligibilitySummary[#Headers])-ROWS(tbl_WR_Assessment[ActionID])))</f>
        <v>icare_0145</v>
      </c>
      <c r="D17" s="13" t="str" cm="1">
        <f t="array" ref="D17">IF(ROW()-ROW(tbl_WR_EligibilitySummary[#Headers])&lt;=ROWS(tbl_WR_Assessment[ActionID]),INDEX(tbl_WR_Assessment[ActionName],ROW()-ROW(tbl_WR_EligibilitySummary[#Headers])),INDEX(tbl_WR_AdditionalActions[ActionName],ROW()-ROW(tbl_WR_EligibilitySummary[#Headers])-ROWS(tbl_WR_Assessment[ActionID])))</f>
        <v>Strengthen the healthcare system to respond effectively to extreme events</v>
      </c>
      <c r="E17" s="13" t="str" cm="1">
        <f t="array" ref="E17">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17" s="13" t="str" cm="1">
        <f t="array" ref="F17">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17" s="13" t="str" cm="1">
        <f t="array" ref="G17">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17" s="13" t="str" cm="1">
        <f t="array" ref="H17">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17" s="13" t="str" cm="1">
        <f t="array" ref="I17">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17" s="13" t="str" cm="1">
        <f t="array" ref="J17">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17" s="13" t="str" cm="1">
        <f t="array" ref="K17">IF(ROW()-ROW(tbl_WR_EligibilitySummary[#Headers])&lt;=ROWS(tbl_WR_Assessment[ActionID]),INDEX(tbl_WR_Assessment[ReviewStatus],ROW()-ROW(tbl_WR_EligibilitySummary[#Headers])),INDEX(tbl_WR_AdditionalActions[ReviewStatus],ROW()-ROW(tbl_WR_EligibilitySummary[#Headers])-ROWS(tbl_WR_Assessment[ActionID])))</f>
        <v>Not assessed</v>
      </c>
      <c r="L17" s="87"/>
      <c r="M17" s="87"/>
      <c r="N17" s="87"/>
      <c r="O17" s="87"/>
      <c r="P17" s="87"/>
      <c r="Q17" s="87"/>
      <c r="R17" s="87"/>
      <c r="S17" s="87"/>
      <c r="T17" s="87"/>
      <c r="U17" s="87"/>
      <c r="V17" s="87"/>
      <c r="AA17" s="186"/>
      <c r="AB17" s="186"/>
      <c r="AC17" s="186"/>
      <c r="AD17" s="186"/>
      <c r="AE17" s="186"/>
      <c r="AF17" s="186"/>
      <c r="AG17" s="186"/>
      <c r="AH17" s="186"/>
      <c r="AI17" s="186"/>
      <c r="AJ17" s="186"/>
    </row>
    <row r="18" spans="2:36" s="185" customFormat="1">
      <c r="B18" s="13" t="str" cm="1">
        <f t="array" ref="B18">IF(ROW()-ROW(tbl_WR_EligibilitySummary[#Headers])&lt;=ROWS(tbl_WR_Assessment[ActionID]),"Existing action","Additional action")</f>
        <v>Existing action</v>
      </c>
      <c r="C18" s="13" t="str" cm="1">
        <f t="array" ref="C18">IF(ROW()-ROW(tbl_WR_EligibilitySummary[#Headers])&lt;=ROWS(tbl_WR_Assessment[ActionID]),INDEX(tbl_WR_Assessment[ActionID],ROW()-ROW(tbl_WR_EligibilitySummary[#Headers])),INDEX(tbl_WR_AdditionalActions[AdditionalActionID],ROW()-ROW(tbl_WR_EligibilitySummary[#Headers])-ROWS(tbl_WR_Assessment[ActionID])))</f>
        <v>icare_0154</v>
      </c>
      <c r="D18" s="13" t="str" cm="1">
        <f t="array" ref="D18">IF(ROW()-ROW(tbl_WR_EligibilitySummary[#Headers])&lt;=ROWS(tbl_WR_Assessment[ActionID]),INDEX(tbl_WR_Assessment[ActionName],ROW()-ROW(tbl_WR_EligibilitySummary[#Headers])),INDEX(tbl_WR_AdditionalActions[ActionName],ROW()-ROW(tbl_WR_EligibilitySummary[#Headers])-ROWS(tbl_WR_Assessment[ActionID])))</f>
        <v>Clean and unclog drainage channels and install eco-barriers</v>
      </c>
      <c r="E18" s="13" t="str" cm="1">
        <f t="array" ref="E18">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18" s="13" t="str" cm="1">
        <f t="array" ref="F18">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18" s="13" t="str" cm="1">
        <f t="array" ref="G18">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18" s="13" t="str" cm="1">
        <f t="array" ref="H18">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18" s="13" t="str" cm="1">
        <f t="array" ref="I18">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18" s="13" t="str" cm="1">
        <f t="array" ref="J18">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18" s="13" t="str" cm="1">
        <f t="array" ref="K18">IF(ROW()-ROW(tbl_WR_EligibilitySummary[#Headers])&lt;=ROWS(tbl_WR_Assessment[ActionID]),INDEX(tbl_WR_Assessment[ReviewStatus],ROW()-ROW(tbl_WR_EligibilitySummary[#Headers])),INDEX(tbl_WR_AdditionalActions[ReviewStatus],ROW()-ROW(tbl_WR_EligibilitySummary[#Headers])-ROWS(tbl_WR_Assessment[ActionID])))</f>
        <v>Not assessed</v>
      </c>
      <c r="L18" s="87"/>
      <c r="M18" s="87"/>
      <c r="N18" s="87"/>
      <c r="O18" s="87"/>
      <c r="P18" s="87"/>
      <c r="Q18" s="87"/>
      <c r="R18" s="87"/>
      <c r="S18" s="87"/>
      <c r="T18" s="87"/>
      <c r="U18" s="87"/>
      <c r="V18" s="87"/>
      <c r="AA18" s="186"/>
      <c r="AB18" s="186"/>
      <c r="AC18" s="186"/>
      <c r="AD18" s="186"/>
      <c r="AE18" s="186"/>
      <c r="AF18" s="186"/>
      <c r="AG18" s="186"/>
      <c r="AH18" s="186"/>
      <c r="AI18" s="186"/>
      <c r="AJ18" s="186"/>
    </row>
    <row r="19" spans="2:36" s="185" customFormat="1">
      <c r="B19" s="13" t="str" cm="1">
        <f t="array" ref="B19">IF(ROW()-ROW(tbl_WR_EligibilitySummary[#Headers])&lt;=ROWS(tbl_WR_Assessment[ActionID]),"Existing action","Additional action")</f>
        <v>Existing action</v>
      </c>
      <c r="C19" s="13" t="str" cm="1">
        <f t="array" ref="C19">IF(ROW()-ROW(tbl_WR_EligibilitySummary[#Headers])&lt;=ROWS(tbl_WR_Assessment[ActionID]),INDEX(tbl_WR_Assessment[ActionID],ROW()-ROW(tbl_WR_EligibilitySummary[#Headers])),INDEX(tbl_WR_AdditionalActions[AdditionalActionID],ROW()-ROW(tbl_WR_EligibilitySummary[#Headers])-ROWS(tbl_WR_Assessment[ActionID])))</f>
        <v>icare_0156</v>
      </c>
      <c r="D19" s="13" t="str" cm="1">
        <f t="array" ref="D19">IF(ROW()-ROW(tbl_WR_EligibilitySummary[#Headers])&lt;=ROWS(tbl_WR_Assessment[ActionID]),INDEX(tbl_WR_Assessment[ActionName],ROW()-ROW(tbl_WR_EligibilitySummary[#Headers])),INDEX(tbl_WR_AdditionalActions[ActionName],ROW()-ROW(tbl_WR_EligibilitySummary[#Headers])-ROWS(tbl_WR_Assessment[ActionID])))</f>
        <v>Improve Implementation of urban gardens</v>
      </c>
      <c r="E19" s="13" t="str" cm="1">
        <f t="array" ref="E19">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19" s="13" t="str" cm="1">
        <f t="array" ref="F19">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19" s="13" t="str" cm="1">
        <f t="array" ref="G19">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19" s="13" t="str" cm="1">
        <f t="array" ref="H19">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19" s="13" t="str" cm="1">
        <f t="array" ref="I19">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19" s="13" t="str" cm="1">
        <f t="array" ref="J19">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19" s="13" t="str" cm="1">
        <f t="array" ref="K19">IF(ROW()-ROW(tbl_WR_EligibilitySummary[#Headers])&lt;=ROWS(tbl_WR_Assessment[ActionID]),INDEX(tbl_WR_Assessment[ReviewStatus],ROW()-ROW(tbl_WR_EligibilitySummary[#Headers])),INDEX(tbl_WR_AdditionalActions[ReviewStatus],ROW()-ROW(tbl_WR_EligibilitySummary[#Headers])-ROWS(tbl_WR_Assessment[ActionID])))</f>
        <v>Not assessed</v>
      </c>
      <c r="L19" s="87"/>
      <c r="M19" s="87"/>
      <c r="N19" s="87"/>
      <c r="O19" s="87"/>
      <c r="P19" s="87"/>
      <c r="Q19" s="87"/>
      <c r="R19" s="87"/>
      <c r="S19" s="87"/>
      <c r="T19" s="87"/>
      <c r="U19" s="87"/>
      <c r="V19" s="87"/>
      <c r="AA19" s="186"/>
      <c r="AB19" s="186"/>
      <c r="AC19" s="186"/>
      <c r="AD19" s="186"/>
      <c r="AE19" s="186"/>
      <c r="AF19" s="186"/>
      <c r="AG19" s="186"/>
      <c r="AH19" s="186"/>
      <c r="AI19" s="186"/>
      <c r="AJ19" s="186"/>
    </row>
    <row r="20" spans="2:36" s="185" customFormat="1">
      <c r="B20" s="13" t="str" cm="1">
        <f t="array" ref="B20">IF(ROW()-ROW(tbl_WR_EligibilitySummary[#Headers])&lt;=ROWS(tbl_WR_Assessment[ActionID]),"Existing action","Additional action")</f>
        <v>Existing action</v>
      </c>
      <c r="C20" s="13" t="str" cm="1">
        <f t="array" ref="C20">IF(ROW()-ROW(tbl_WR_EligibilitySummary[#Headers])&lt;=ROWS(tbl_WR_Assessment[ActionID]),INDEX(tbl_WR_Assessment[ActionID],ROW()-ROW(tbl_WR_EligibilitySummary[#Headers])),INDEX(tbl_WR_AdditionalActions[AdditionalActionID],ROW()-ROW(tbl_WR_EligibilitySummary[#Headers])-ROWS(tbl_WR_Assessment[ActionID])))</f>
        <v>icare_0160</v>
      </c>
      <c r="D20" s="13" t="str" cm="1">
        <f t="array" ref="D20">IF(ROW()-ROW(tbl_WR_EligibilitySummary[#Headers])&lt;=ROWS(tbl_WR_Assessment[ActionID]),INDEX(tbl_WR_Assessment[ActionName],ROW()-ROW(tbl_WR_EligibilitySummary[#Headers])),INDEX(tbl_WR_AdditionalActions[ActionName],ROW()-ROW(tbl_WR_EligibilitySummary[#Headers])-ROWS(tbl_WR_Assessment[ActionID])))</f>
        <v>Establish mechanisms for intersectoral coordination and public participation in climate policy</v>
      </c>
      <c r="E20" s="13" t="str" cm="1">
        <f t="array" ref="E20">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20" s="13" cm="1">
        <f t="array" ref="F20">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2</v>
      </c>
      <c r="G20" s="13" t="str" cm="1">
        <f t="array" ref="G20">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20" s="13" t="str" cm="1">
        <f t="array" ref="H20">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20" s="13" t="str" cm="1">
        <f t="array" ref="I20">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20" s="13" t="str" cm="1">
        <f t="array" ref="J20">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20" s="13" t="str" cm="1">
        <f t="array" ref="K20">IF(ROW()-ROW(tbl_WR_EligibilitySummary[#Headers])&lt;=ROWS(tbl_WR_Assessment[ActionID]),INDEX(tbl_WR_Assessment[ReviewStatus],ROW()-ROW(tbl_WR_EligibilitySummary[#Headers])),INDEX(tbl_WR_AdditionalActions[ReviewStatus],ROW()-ROW(tbl_WR_EligibilitySummary[#Headers])-ROWS(tbl_WR_Assessment[ActionID])))</f>
        <v>Eligibility corrected</v>
      </c>
      <c r="L20" s="87"/>
      <c r="M20" s="87"/>
      <c r="N20" s="87"/>
      <c r="O20" s="87"/>
      <c r="P20" s="87"/>
      <c r="Q20" s="87"/>
      <c r="R20" s="87"/>
      <c r="S20" s="87"/>
      <c r="T20" s="87"/>
      <c r="U20" s="87"/>
      <c r="V20" s="87"/>
      <c r="AA20" s="186"/>
      <c r="AB20" s="186"/>
      <c r="AC20" s="186"/>
      <c r="AD20" s="186"/>
      <c r="AE20" s="186"/>
      <c r="AF20" s="186"/>
      <c r="AG20" s="186"/>
      <c r="AH20" s="186"/>
      <c r="AI20" s="186"/>
      <c r="AJ20" s="186"/>
    </row>
    <row r="21" spans="2:36" s="185" customFormat="1">
      <c r="B21" s="13" t="str" cm="1">
        <f t="array" ref="B21">IF(ROW()-ROW(tbl_WR_EligibilitySummary[#Headers])&lt;=ROWS(tbl_WR_Assessment[ActionID]),"Existing action","Additional action")</f>
        <v>Existing action</v>
      </c>
      <c r="C21" s="13" t="str" cm="1">
        <f t="array" ref="C21">IF(ROW()-ROW(tbl_WR_EligibilitySummary[#Headers])&lt;=ROWS(tbl_WR_Assessment[ActionID]),INDEX(tbl_WR_Assessment[ActionID],ROW()-ROW(tbl_WR_EligibilitySummary[#Headers])),INDEX(tbl_WR_AdditionalActions[AdditionalActionID],ROW()-ROW(tbl_WR_EligibilitySummary[#Headers])-ROWS(tbl_WR_Assessment[ActionID])))</f>
        <v>icare_0162</v>
      </c>
      <c r="D21" s="13" t="str" cm="1">
        <f t="array" ref="D21">IF(ROW()-ROW(tbl_WR_EligibilitySummary[#Headers])&lt;=ROWS(tbl_WR_Assessment[ActionID]),INDEX(tbl_WR_Assessment[ActionName],ROW()-ROW(tbl_WR_EligibilitySummary[#Headers])),INDEX(tbl_WR_AdditionalActions[ActionName],ROW()-ROW(tbl_WR_EligibilitySummary[#Headers])-ROWS(tbl_WR_Assessment[ActionID])))</f>
        <v>Strengthen programs for control and conservation of protected areas</v>
      </c>
      <c r="E21" s="13" t="str" cm="1">
        <f t="array" ref="E21">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21" s="13" t="str" cm="1">
        <f t="array" ref="F21">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21" s="13" t="str" cm="1">
        <f t="array" ref="G21">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21" s="13" t="str" cm="1">
        <f t="array" ref="H21">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21" s="13" t="str" cm="1">
        <f t="array" ref="I21">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21" s="13" t="str" cm="1">
        <f t="array" ref="J21">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21" s="13" t="str" cm="1">
        <f t="array" ref="K21">IF(ROW()-ROW(tbl_WR_EligibilitySummary[#Headers])&lt;=ROWS(tbl_WR_Assessment[ActionID]),INDEX(tbl_WR_Assessment[ReviewStatus],ROW()-ROW(tbl_WR_EligibilitySummary[#Headers])),INDEX(tbl_WR_AdditionalActions[ReviewStatus],ROW()-ROW(tbl_WR_EligibilitySummary[#Headers])-ROWS(tbl_WR_Assessment[ActionID])))</f>
        <v>Not assessed</v>
      </c>
      <c r="L21" s="87"/>
      <c r="M21" s="87"/>
      <c r="N21" s="87"/>
      <c r="O21" s="87"/>
      <c r="P21" s="87"/>
      <c r="Q21" s="87"/>
      <c r="R21" s="87"/>
      <c r="S21" s="87"/>
      <c r="T21" s="87"/>
      <c r="U21" s="87"/>
      <c r="V21" s="87"/>
      <c r="AA21" s="186"/>
      <c r="AB21" s="186"/>
      <c r="AC21" s="186"/>
      <c r="AD21" s="186"/>
      <c r="AE21" s="186"/>
      <c r="AF21" s="186"/>
      <c r="AG21" s="186"/>
      <c r="AH21" s="186"/>
      <c r="AI21" s="186"/>
      <c r="AJ21" s="186"/>
    </row>
    <row r="22" spans="2:36" s="185" customFormat="1">
      <c r="B22" s="13" t="str" cm="1">
        <f t="array" ref="B22">IF(ROW()-ROW(tbl_WR_EligibilitySummary[#Headers])&lt;=ROWS(tbl_WR_Assessment[ActionID]),"Existing action","Additional action")</f>
        <v>Existing action</v>
      </c>
      <c r="C22" s="13" t="str" cm="1">
        <f t="array" ref="C22">IF(ROW()-ROW(tbl_WR_EligibilitySummary[#Headers])&lt;=ROWS(tbl_WR_Assessment[ActionID]),INDEX(tbl_WR_Assessment[ActionID],ROW()-ROW(tbl_WR_EligibilitySummary[#Headers])),INDEX(tbl_WR_AdditionalActions[AdditionalActionID],ROW()-ROW(tbl_WR_EligibilitySummary[#Headers])-ROWS(tbl_WR_Assessment[ActionID])))</f>
        <v>icare_0163</v>
      </c>
      <c r="D22" s="13" t="str" cm="1">
        <f t="array" ref="D22">IF(ROW()-ROW(tbl_WR_EligibilitySummary[#Headers])&lt;=ROWS(tbl_WR_Assessment[ActionID]),INDEX(tbl_WR_Assessment[ActionName],ROW()-ROW(tbl_WR_EligibilitySummary[#Headers])),INDEX(tbl_WR_AdditionalActions[ActionName],ROW()-ROW(tbl_WR_EligibilitySummary[#Headers])-ROWS(tbl_WR_Assessment[ActionID])))</f>
        <v>Establish a first‑response firefighting brigade</v>
      </c>
      <c r="E22" s="13" t="str" cm="1">
        <f t="array" ref="E22">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22" s="13" t="str" cm="1">
        <f t="array" ref="F22">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22" s="13" t="str" cm="1">
        <f t="array" ref="G22">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22" s="13" t="str" cm="1">
        <f t="array" ref="H22">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22" s="13" t="str" cm="1">
        <f t="array" ref="I22">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22" s="13" t="str" cm="1">
        <f t="array" ref="J22">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22" s="13" t="str" cm="1">
        <f t="array" ref="K22">IF(ROW()-ROW(tbl_WR_EligibilitySummary[#Headers])&lt;=ROWS(tbl_WR_Assessment[ActionID]),INDEX(tbl_WR_Assessment[ReviewStatus],ROW()-ROW(tbl_WR_EligibilitySummary[#Headers])),INDEX(tbl_WR_AdditionalActions[ReviewStatus],ROW()-ROW(tbl_WR_EligibilitySummary[#Headers])-ROWS(tbl_WR_Assessment[ActionID])))</f>
        <v>Not assessed</v>
      </c>
      <c r="L22" s="87"/>
      <c r="M22" s="87"/>
      <c r="N22" s="87"/>
      <c r="O22" s="87"/>
      <c r="P22" s="87"/>
      <c r="Q22" s="87"/>
      <c r="R22" s="87"/>
      <c r="S22" s="87"/>
      <c r="T22" s="87"/>
      <c r="U22" s="87"/>
      <c r="V22" s="87"/>
      <c r="AA22" s="186"/>
      <c r="AB22" s="186"/>
      <c r="AC22" s="186"/>
      <c r="AD22" s="186"/>
      <c r="AE22" s="186"/>
      <c r="AF22" s="186"/>
      <c r="AG22" s="186"/>
      <c r="AH22" s="186"/>
      <c r="AI22" s="186"/>
      <c r="AJ22" s="186"/>
    </row>
    <row r="23" spans="2:36" s="185" customFormat="1">
      <c r="B23" s="13" t="str" cm="1">
        <f t="array" ref="B23">IF(ROW()-ROW(tbl_WR_EligibilitySummary[#Headers])&lt;=ROWS(tbl_WR_Assessment[ActionID]),"Existing action","Additional action")</f>
        <v>Existing action</v>
      </c>
      <c r="C23" s="13" t="str" cm="1">
        <f t="array" ref="C23">IF(ROW()-ROW(tbl_WR_EligibilitySummary[#Headers])&lt;=ROWS(tbl_WR_Assessment[ActionID]),INDEX(tbl_WR_Assessment[ActionID],ROW()-ROW(tbl_WR_EligibilitySummary[#Headers])),INDEX(tbl_WR_AdditionalActions[AdditionalActionID],ROW()-ROW(tbl_WR_EligibilitySummary[#Headers])-ROWS(tbl_WR_Assessment[ActionID])))</f>
        <v>icare_0164</v>
      </c>
      <c r="D23" s="13" t="str" cm="1">
        <f t="array" ref="D23">IF(ROW()-ROW(tbl_WR_EligibilitySummary[#Headers])&lt;=ROWS(tbl_WR_Assessment[ActionID]),INDEX(tbl_WR_Assessment[ActionName],ROW()-ROW(tbl_WR_EligibilitySummary[#Headers])),INDEX(tbl_WR_AdditionalActions[ActionName],ROW()-ROW(tbl_WR_EligibilitySummary[#Headers])-ROWS(tbl_WR_Assessment[ActionID])))</f>
        <v>Improve Hydrological Monitoring System with Telemetry Stations</v>
      </c>
      <c r="E23" s="13" t="str" cm="1">
        <f t="array" ref="E23">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23" s="13" cm="1">
        <f t="array" ref="F23">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2</v>
      </c>
      <c r="G23" s="13" t="str" cm="1">
        <f t="array" ref="G23">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Medium effectiveness</v>
      </c>
      <c r="H23" s="13" t="str" cm="1">
        <f t="array" ref="H23">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23" s="13" t="str" cm="1">
        <f t="array" ref="I23">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23" s="13" t="str" cm="1">
        <f t="array" ref="J23">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23" s="13" t="str" cm="1">
        <f t="array" ref="K23">IF(ROW()-ROW(tbl_WR_EligibilitySummary[#Headers])&lt;=ROWS(tbl_WR_Assessment[ActionID]),INDEX(tbl_WR_Assessment[ReviewStatus],ROW()-ROW(tbl_WR_EligibilitySummary[#Headers])),INDEX(tbl_WR_AdditionalActions[ReviewStatus],ROW()-ROW(tbl_WR_EligibilitySummary[#Headers])-ROWS(tbl_WR_Assessment[ActionID])))</f>
        <v>Evidence added</v>
      </c>
      <c r="L23" s="87"/>
      <c r="M23" s="87"/>
      <c r="N23" s="87"/>
      <c r="O23" s="87"/>
      <c r="P23" s="87"/>
      <c r="Q23" s="87"/>
      <c r="R23" s="87"/>
      <c r="S23" s="87"/>
      <c r="T23" s="87"/>
      <c r="U23" s="87"/>
      <c r="V23" s="87"/>
      <c r="AA23" s="186"/>
      <c r="AB23" s="186"/>
      <c r="AC23" s="186"/>
      <c r="AD23" s="186"/>
      <c r="AE23" s="186"/>
      <c r="AF23" s="186"/>
      <c r="AG23" s="186"/>
      <c r="AH23" s="186"/>
      <c r="AI23" s="186"/>
      <c r="AJ23" s="186"/>
    </row>
    <row r="24" spans="2:36" s="185" customFormat="1">
      <c r="B24" s="13" t="str" cm="1">
        <f t="array" ref="B24">IF(ROW()-ROW(tbl_WR_EligibilitySummary[#Headers])&lt;=ROWS(tbl_WR_Assessment[ActionID]),"Existing action","Additional action")</f>
        <v>Existing action</v>
      </c>
      <c r="C24" s="13" t="str" cm="1">
        <f t="array" ref="C24">IF(ROW()-ROW(tbl_WR_EligibilitySummary[#Headers])&lt;=ROWS(tbl_WR_Assessment[ActionID]),INDEX(tbl_WR_Assessment[ActionID],ROW()-ROW(tbl_WR_EligibilitySummary[#Headers])),INDEX(tbl_WR_AdditionalActions[AdditionalActionID],ROW()-ROW(tbl_WR_EligibilitySummary[#Headers])-ROWS(tbl_WR_Assessment[ActionID])))</f>
        <v>icare_0165</v>
      </c>
      <c r="D24" s="13" t="str" cm="1">
        <f t="array" ref="D24">IF(ROW()-ROW(tbl_WR_EligibilitySummary[#Headers])&lt;=ROWS(tbl_WR_Assessment[ActionID]),INDEX(tbl_WR_Assessment[ActionName],ROW()-ROW(tbl_WR_EligibilitySummary[#Headers])),INDEX(tbl_WR_AdditionalActions[ActionName],ROW()-ROW(tbl_WR_EligibilitySummary[#Headers])-ROWS(tbl_WR_Assessment[ActionID])))</f>
        <v>Develop an Environmental Education Plan</v>
      </c>
      <c r="E24" s="13" t="str" cm="1">
        <f t="array" ref="E24">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24" s="13" t="str" cm="1">
        <f t="array" ref="F24">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24" s="13" t="str" cm="1">
        <f t="array" ref="G24">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24" s="13" t="str" cm="1">
        <f t="array" ref="H24">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24" s="13" t="str" cm="1">
        <f t="array" ref="I24">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24" s="13" t="str" cm="1">
        <f t="array" ref="J24">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24" s="13" t="str" cm="1">
        <f t="array" ref="K24">IF(ROW()-ROW(tbl_WR_EligibilitySummary[#Headers])&lt;=ROWS(tbl_WR_Assessment[ActionID]),INDEX(tbl_WR_Assessment[ReviewStatus],ROW()-ROW(tbl_WR_EligibilitySummary[#Headers])),INDEX(tbl_WR_AdditionalActions[ReviewStatus],ROW()-ROW(tbl_WR_EligibilitySummary[#Headers])-ROWS(tbl_WR_Assessment[ActionID])))</f>
        <v>Not assessed</v>
      </c>
      <c r="L24" s="87"/>
      <c r="M24" s="87"/>
      <c r="N24" s="87"/>
      <c r="O24" s="87"/>
      <c r="P24" s="87"/>
      <c r="Q24" s="87"/>
      <c r="R24" s="87"/>
      <c r="S24" s="87"/>
      <c r="T24" s="87"/>
      <c r="U24" s="87"/>
      <c r="V24" s="87"/>
      <c r="AA24" s="186"/>
      <c r="AB24" s="186"/>
      <c r="AC24" s="186"/>
      <c r="AD24" s="186"/>
      <c r="AE24" s="186"/>
      <c r="AF24" s="186"/>
      <c r="AG24" s="186"/>
      <c r="AH24" s="186"/>
      <c r="AI24" s="186"/>
      <c r="AJ24" s="186"/>
    </row>
    <row r="25" spans="2:36" s="185" customFormat="1">
      <c r="B25" s="13" t="str" cm="1">
        <f t="array" ref="B25">IF(ROW()-ROW(tbl_WR_EligibilitySummary[#Headers])&lt;=ROWS(tbl_WR_Assessment[ActionID]),"Existing action","Additional action")</f>
        <v>Existing action</v>
      </c>
      <c r="C25" s="13" t="str" cm="1">
        <f t="array" ref="C25">IF(ROW()-ROW(tbl_WR_EligibilitySummary[#Headers])&lt;=ROWS(tbl_WR_Assessment[ActionID]),INDEX(tbl_WR_Assessment[ActionID],ROW()-ROW(tbl_WR_EligibilitySummary[#Headers])),INDEX(tbl_WR_AdditionalActions[AdditionalActionID],ROW()-ROW(tbl_WR_EligibilitySummary[#Headers])-ROWS(tbl_WR_Assessment[ActionID])))</f>
        <v>icare_0169</v>
      </c>
      <c r="D25" s="13" t="str" cm="1">
        <f t="array" ref="D25">IF(ROW()-ROW(tbl_WR_EligibilitySummary[#Headers])&lt;=ROWS(tbl_WR_Assessment[ActionID]),INDEX(tbl_WR_Assessment[ActionName],ROW()-ROW(tbl_WR_EligibilitySummary[#Headers])),INDEX(tbl_WR_AdditionalActions[ActionName],ROW()-ROW(tbl_WR_EligibilitySummary[#Headers])-ROWS(tbl_WR_Assessment[ActionID])))</f>
        <v>Establish a Plan for Preparation and Emergency Response Measures in the event of extreme weather events</v>
      </c>
      <c r="E25" s="13" t="str" cm="1">
        <f t="array" ref="E25">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25" s="13" t="str" cm="1">
        <f t="array" ref="F25">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25" s="13" t="str" cm="1">
        <f t="array" ref="G25">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25" s="13" t="str" cm="1">
        <f t="array" ref="H25">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25" s="13" t="str" cm="1">
        <f t="array" ref="I25">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25" s="13" t="str" cm="1">
        <f t="array" ref="J25">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25" s="13" t="str" cm="1">
        <f t="array" ref="K25">IF(ROW()-ROW(tbl_WR_EligibilitySummary[#Headers])&lt;=ROWS(tbl_WR_Assessment[ActionID]),INDEX(tbl_WR_Assessment[ReviewStatus],ROW()-ROW(tbl_WR_EligibilitySummary[#Headers])),INDEX(tbl_WR_AdditionalActions[ReviewStatus],ROW()-ROW(tbl_WR_EligibilitySummary[#Headers])-ROWS(tbl_WR_Assessment[ActionID])))</f>
        <v>Not assessed</v>
      </c>
      <c r="L25" s="87"/>
      <c r="M25" s="87"/>
      <c r="N25" s="87"/>
      <c r="O25" s="87"/>
      <c r="P25" s="87"/>
      <c r="Q25" s="87"/>
      <c r="R25" s="87"/>
      <c r="S25" s="87"/>
      <c r="T25" s="87"/>
      <c r="U25" s="87"/>
      <c r="V25" s="87"/>
      <c r="AA25" s="186"/>
      <c r="AB25" s="186"/>
      <c r="AC25" s="186"/>
      <c r="AD25" s="186"/>
      <c r="AE25" s="186"/>
      <c r="AF25" s="186"/>
      <c r="AG25" s="186"/>
      <c r="AH25" s="186"/>
      <c r="AI25" s="186"/>
      <c r="AJ25" s="186"/>
    </row>
    <row r="26" spans="2:36" s="185" customFormat="1">
      <c r="B26" s="13" t="str" cm="1">
        <f t="array" ref="B26">IF(ROW()-ROW(tbl_WR_EligibilitySummary[#Headers])&lt;=ROWS(tbl_WR_Assessment[ActionID]),"Existing action","Additional action")</f>
        <v>Existing action</v>
      </c>
      <c r="C26" s="13" t="str" cm="1">
        <f t="array" ref="C26">IF(ROW()-ROW(tbl_WR_EligibilitySummary[#Headers])&lt;=ROWS(tbl_WR_Assessment[ActionID]),INDEX(tbl_WR_Assessment[ActionID],ROW()-ROW(tbl_WR_EligibilitySummary[#Headers])),INDEX(tbl_WR_AdditionalActions[AdditionalActionID],ROW()-ROW(tbl_WR_EligibilitySummary[#Headers])-ROWS(tbl_WR_Assessment[ActionID])))</f>
        <v>icare_0170</v>
      </c>
      <c r="D26" s="13" t="str" cm="1">
        <f t="array" ref="D26">IF(ROW()-ROW(tbl_WR_EligibilitySummary[#Headers])&lt;=ROWS(tbl_WR_Assessment[ActionID]),INDEX(tbl_WR_Assessment[ActionName],ROW()-ROW(tbl_WR_EligibilitySummary[#Headers])),INDEX(tbl_WR_AdditionalActions[ActionName],ROW()-ROW(tbl_WR_EligibilitySummary[#Headers])-ROWS(tbl_WR_Assessment[ActionID])))</f>
        <v>Build safe housing and implement urban rehabilitation projects for populations living in high-risk areas</v>
      </c>
      <c r="E26" s="13" t="str" cm="1">
        <f t="array" ref="E26">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26" s="13" t="str" cm="1">
        <f t="array" ref="F26">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26" s="13" t="str" cm="1">
        <f t="array" ref="G26">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26" s="13" t="str" cm="1">
        <f t="array" ref="H26">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26" s="13" cm="1">
        <f t="array" ref="I26">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1</v>
      </c>
      <c r="J26" s="13" t="str" cm="1">
        <f t="array" ref="J26">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26" s="13" t="str" cm="1">
        <f t="array" ref="K26">IF(ROW()-ROW(tbl_WR_EligibilitySummary[#Headers])&lt;=ROWS(tbl_WR_Assessment[ActionID]),INDEX(tbl_WR_Assessment[ReviewStatus],ROW()-ROW(tbl_WR_EligibilitySummary[#Headers])),INDEX(tbl_WR_AdditionalActions[ReviewStatus],ROW()-ROW(tbl_WR_EligibilitySummary[#Headers])-ROWS(tbl_WR_Assessment[ActionID])))</f>
        <v>Eligibility corrected</v>
      </c>
      <c r="L26" s="87"/>
      <c r="M26" s="87"/>
      <c r="N26" s="87"/>
      <c r="O26" s="87"/>
      <c r="P26" s="87"/>
      <c r="Q26" s="87"/>
      <c r="R26" s="87"/>
      <c r="S26" s="87"/>
      <c r="T26" s="87"/>
      <c r="U26" s="87"/>
      <c r="V26" s="87"/>
      <c r="AA26" s="186"/>
      <c r="AB26" s="186"/>
      <c r="AC26" s="186"/>
      <c r="AD26" s="186"/>
      <c r="AE26" s="186"/>
      <c r="AF26" s="186"/>
      <c r="AG26" s="186"/>
      <c r="AH26" s="186"/>
      <c r="AI26" s="186"/>
      <c r="AJ26" s="186"/>
    </row>
    <row r="27" spans="2:36" s="185" customFormat="1">
      <c r="B27" s="13" t="str" cm="1">
        <f t="array" ref="B27">IF(ROW()-ROW(tbl_WR_EligibilitySummary[#Headers])&lt;=ROWS(tbl_WR_Assessment[ActionID]),"Existing action","Additional action")</f>
        <v>Existing action</v>
      </c>
      <c r="C27" s="13" t="str" cm="1">
        <f t="array" ref="C27">IF(ROW()-ROW(tbl_WR_EligibilitySummary[#Headers])&lt;=ROWS(tbl_WR_Assessment[ActionID]),INDEX(tbl_WR_Assessment[ActionID],ROW()-ROW(tbl_WR_EligibilitySummary[#Headers])),INDEX(tbl_WR_AdditionalActions[AdditionalActionID],ROW()-ROW(tbl_WR_EligibilitySummary[#Headers])-ROWS(tbl_WR_Assessment[ActionID])))</f>
        <v>icare_0171</v>
      </c>
      <c r="D27" s="13" t="str" cm="1">
        <f t="array" ref="D27">IF(ROW()-ROW(tbl_WR_EligibilitySummary[#Headers])&lt;=ROWS(tbl_WR_Assessment[ActionID]),INDEX(tbl_WR_Assessment[ActionName],ROW()-ROW(tbl_WR_EligibilitySummary[#Headers])),INDEX(tbl_WR_AdditionalActions[ActionName],ROW()-ROW(tbl_WR_EligibilitySummary[#Headers])-ROWS(tbl_WR_Assessment[ActionID])))</f>
        <v>Improve the hydrometeorological forecasting, monitoring, and alert system for climate risks</v>
      </c>
      <c r="E27" s="13" t="str" cm="1">
        <f t="array" ref="E27">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Review required</v>
      </c>
      <c r="F27" s="13" cm="1">
        <f t="array" ref="F27">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1</v>
      </c>
      <c r="G27" s="13" t="str" cm="1">
        <f t="array" ref="G27">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Review required</v>
      </c>
      <c r="H27" s="13" t="str" cm="1">
        <f t="array" ref="H27">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27" s="13" t="str" cm="1">
        <f t="array" ref="I27">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27" s="13" t="str" cm="1">
        <f t="array" ref="J27">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27" s="13" t="str" cm="1">
        <f t="array" ref="K27">IF(ROW()-ROW(tbl_WR_EligibilitySummary[#Headers])&lt;=ROWS(tbl_WR_Assessment[ActionID]),INDEX(tbl_WR_Assessment[ReviewStatus],ROW()-ROW(tbl_WR_EligibilitySummary[#Headers])),INDEX(tbl_WR_AdditionalActions[ReviewStatus],ROW()-ROW(tbl_WR_EligibilitySummary[#Headers])-ROWS(tbl_WR_Assessment[ActionID])))</f>
        <v>Eligibility corrected</v>
      </c>
      <c r="L27" s="87"/>
      <c r="M27" s="87"/>
      <c r="N27" s="87"/>
      <c r="O27" s="87"/>
      <c r="P27" s="87"/>
      <c r="Q27" s="87"/>
      <c r="R27" s="87"/>
      <c r="S27" s="87"/>
      <c r="T27" s="87"/>
      <c r="U27" s="87"/>
      <c r="V27" s="87"/>
      <c r="AA27" s="186"/>
      <c r="AB27" s="186"/>
      <c r="AC27" s="186"/>
      <c r="AD27" s="186"/>
      <c r="AE27" s="186"/>
      <c r="AF27" s="186"/>
      <c r="AG27" s="186"/>
      <c r="AH27" s="186"/>
      <c r="AI27" s="186"/>
      <c r="AJ27" s="186"/>
    </row>
    <row r="28" spans="2:36" s="185" customFormat="1">
      <c r="B28" s="13" t="str" cm="1">
        <f t="array" ref="B28">IF(ROW()-ROW(tbl_WR_EligibilitySummary[#Headers])&lt;=ROWS(tbl_WR_Assessment[ActionID]),"Existing action","Additional action")</f>
        <v>Existing action</v>
      </c>
      <c r="C28" s="13" t="str" cm="1">
        <f t="array" ref="C28">IF(ROW()-ROW(tbl_WR_EligibilitySummary[#Headers])&lt;=ROWS(tbl_WR_Assessment[ActionID]),INDEX(tbl_WR_Assessment[ActionID],ROW()-ROW(tbl_WR_EligibilitySummary[#Headers])),INDEX(tbl_WR_AdditionalActions[AdditionalActionID],ROW()-ROW(tbl_WR_EligibilitySummary[#Headers])-ROWS(tbl_WR_Assessment[ActionID])))</f>
        <v>icare_0172</v>
      </c>
      <c r="D28" s="13" t="str" cm="1">
        <f t="array" ref="D28">IF(ROW()-ROW(tbl_WR_EligibilitySummary[#Headers])&lt;=ROWS(tbl_WR_Assessment[ActionID]),INDEX(tbl_WR_Assessment[ActionName],ROW()-ROW(tbl_WR_EligibilitySummary[#Headers])),INDEX(tbl_WR_AdditionalActions[ActionName],ROW()-ROW(tbl_WR_EligibilitySummary[#Headers])-ROWS(tbl_WR_Assessment[ActionID])))</f>
        <v>Develop and implement the Municipal Risk Reduction Plan (PMRR) and identify population groups vulnerable to climate risks.</v>
      </c>
      <c r="E28" s="13" t="str" cm="1">
        <f t="array" ref="E28">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28" s="13" t="str" cm="1">
        <f t="array" ref="F28">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28" s="13" t="str" cm="1">
        <f t="array" ref="G28">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28" s="13" t="str" cm="1">
        <f t="array" ref="H28">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28" s="13" t="str" cm="1">
        <f t="array" ref="I28">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28" s="13" t="str" cm="1">
        <f t="array" ref="J28">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28" s="13" t="str" cm="1">
        <f t="array" ref="K28">IF(ROW()-ROW(tbl_WR_EligibilitySummary[#Headers])&lt;=ROWS(tbl_WR_Assessment[ActionID]),INDEX(tbl_WR_Assessment[ReviewStatus],ROW()-ROW(tbl_WR_EligibilitySummary[#Headers])),INDEX(tbl_WR_AdditionalActions[ReviewStatus],ROW()-ROW(tbl_WR_EligibilitySummary[#Headers])-ROWS(tbl_WR_Assessment[ActionID])))</f>
        <v>Not assessed</v>
      </c>
      <c r="L28" s="87"/>
      <c r="M28" s="87"/>
      <c r="N28" s="87"/>
      <c r="O28" s="87"/>
      <c r="P28" s="87"/>
      <c r="Q28" s="87"/>
      <c r="R28" s="87"/>
      <c r="S28" s="87"/>
      <c r="T28" s="87"/>
      <c r="U28" s="87"/>
      <c r="V28" s="87"/>
      <c r="AA28" s="186"/>
      <c r="AB28" s="186"/>
      <c r="AC28" s="186"/>
      <c r="AD28" s="186"/>
      <c r="AE28" s="186"/>
      <c r="AF28" s="186"/>
      <c r="AG28" s="186"/>
      <c r="AH28" s="186"/>
      <c r="AI28" s="186"/>
      <c r="AJ28" s="186"/>
    </row>
    <row r="29" spans="2:36" s="185" customFormat="1">
      <c r="B29" s="13" t="str" cm="1">
        <f t="array" ref="B29">IF(ROW()-ROW(tbl_WR_EligibilitySummary[#Headers])&lt;=ROWS(tbl_WR_Assessment[ActionID]),"Existing action","Additional action")</f>
        <v>Existing action</v>
      </c>
      <c r="C29" s="13" t="str" cm="1">
        <f t="array" ref="C29">IF(ROW()-ROW(tbl_WR_EligibilitySummary[#Headers])&lt;=ROWS(tbl_WR_Assessment[ActionID]),INDEX(tbl_WR_Assessment[ActionID],ROW()-ROW(tbl_WR_EligibilitySummary[#Headers])),INDEX(tbl_WR_AdditionalActions[AdditionalActionID],ROW()-ROW(tbl_WR_EligibilitySummary[#Headers])-ROWS(tbl_WR_Assessment[ActionID])))</f>
        <v>icare_0173</v>
      </c>
      <c r="D29" s="13" t="str" cm="1">
        <f t="array" ref="D29">IF(ROW()-ROW(tbl_WR_EligibilitySummary[#Headers])&lt;=ROWS(tbl_WR_Assessment[ActionID]),INDEX(tbl_WR_Assessment[ActionName],ROW()-ROW(tbl_WR_EligibilitySummary[#Headers])),INDEX(tbl_WR_AdditionalActions[ActionName],ROW()-ROW(tbl_WR_EligibilitySummary[#Headers])-ROWS(tbl_WR_Assessment[ActionID])))</f>
        <v>Preventive maintenance of drainage systems</v>
      </c>
      <c r="E29" s="13" t="str" cm="1">
        <f t="array" ref="E29">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29" s="13" t="str" cm="1">
        <f t="array" ref="F29">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29" s="13" t="str" cm="1">
        <f t="array" ref="G29">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29" s="13" t="str" cm="1">
        <f t="array" ref="H29">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29" s="13" t="str" cm="1">
        <f t="array" ref="I29">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29" s="13" t="str" cm="1">
        <f t="array" ref="J29">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29" s="13" t="str" cm="1">
        <f t="array" ref="K29">IF(ROW()-ROW(tbl_WR_EligibilitySummary[#Headers])&lt;=ROWS(tbl_WR_Assessment[ActionID]),INDEX(tbl_WR_Assessment[ReviewStatus],ROW()-ROW(tbl_WR_EligibilitySummary[#Headers])),INDEX(tbl_WR_AdditionalActions[ReviewStatus],ROW()-ROW(tbl_WR_EligibilitySummary[#Headers])-ROWS(tbl_WR_Assessment[ActionID])))</f>
        <v>Not assessed</v>
      </c>
      <c r="L29" s="87"/>
      <c r="M29" s="87"/>
      <c r="N29" s="87"/>
      <c r="O29" s="87"/>
      <c r="P29" s="87"/>
      <c r="Q29" s="87"/>
      <c r="R29" s="87"/>
      <c r="S29" s="87"/>
      <c r="T29" s="87"/>
      <c r="U29" s="87"/>
      <c r="V29" s="87"/>
      <c r="AA29" s="186"/>
      <c r="AB29" s="186"/>
      <c r="AC29" s="186"/>
      <c r="AD29" s="186"/>
      <c r="AE29" s="186"/>
      <c r="AF29" s="186"/>
      <c r="AG29" s="186"/>
      <c r="AH29" s="186"/>
      <c r="AI29" s="186"/>
      <c r="AJ29" s="186"/>
    </row>
    <row r="30" spans="2:36" s="185" customFormat="1">
      <c r="B30" s="13" t="str" cm="1">
        <f t="array" ref="B30">IF(ROW()-ROW(tbl_WR_EligibilitySummary[#Headers])&lt;=ROWS(tbl_WR_Assessment[ActionID]),"Existing action","Additional action")</f>
        <v>Existing action</v>
      </c>
      <c r="C30" s="13" t="str" cm="1">
        <f t="array" ref="C30">IF(ROW()-ROW(tbl_WR_EligibilitySummary[#Headers])&lt;=ROWS(tbl_WR_Assessment[ActionID]),INDEX(tbl_WR_Assessment[ActionID],ROW()-ROW(tbl_WR_EligibilitySummary[#Headers])),INDEX(tbl_WR_AdditionalActions[AdditionalActionID],ROW()-ROW(tbl_WR_EligibilitySummary[#Headers])-ROWS(tbl_WR_Assessment[ActionID])))</f>
        <v>icare_0176</v>
      </c>
      <c r="D30" s="13" t="str" cm="1">
        <f t="array" ref="D30">IF(ROW()-ROW(tbl_WR_EligibilitySummary[#Headers])&lt;=ROWS(tbl_WR_Assessment[ActionID]),INDEX(tbl_WR_Assessment[ActionName],ROW()-ROW(tbl_WR_EligibilitySummary[#Headers])),INDEX(tbl_WR_AdditionalActions[ActionName],ROW()-ROW(tbl_WR_EligibilitySummary[#Headers])-ROWS(tbl_WR_Assessment[ActionID])))</f>
        <v>Develop a Climate Action Plan</v>
      </c>
      <c r="E30" s="13" t="str" cm="1">
        <f t="array" ref="E30">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30" s="13" t="str" cm="1">
        <f t="array" ref="F30">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30" s="13" t="str" cm="1">
        <f t="array" ref="G30">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30" s="13" t="str" cm="1">
        <f t="array" ref="H30">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30" s="13" t="str" cm="1">
        <f t="array" ref="I30">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30" s="13" t="str" cm="1">
        <f t="array" ref="J30">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30" s="13" t="str" cm="1">
        <f t="array" ref="K30">IF(ROW()-ROW(tbl_WR_EligibilitySummary[#Headers])&lt;=ROWS(tbl_WR_Assessment[ActionID]),INDEX(tbl_WR_Assessment[ReviewStatus],ROW()-ROW(tbl_WR_EligibilitySummary[#Headers])),INDEX(tbl_WR_AdditionalActions[ReviewStatus],ROW()-ROW(tbl_WR_EligibilitySummary[#Headers])-ROWS(tbl_WR_Assessment[ActionID])))</f>
        <v>Not assessed</v>
      </c>
      <c r="L30" s="87"/>
      <c r="M30" s="87"/>
      <c r="N30" s="87"/>
      <c r="O30" s="87"/>
      <c r="P30" s="87"/>
      <c r="Q30" s="87"/>
      <c r="R30" s="87"/>
      <c r="S30" s="87"/>
      <c r="T30" s="87"/>
      <c r="U30" s="87"/>
      <c r="V30" s="87"/>
      <c r="AA30" s="186"/>
      <c r="AB30" s="186"/>
      <c r="AC30" s="186"/>
      <c r="AD30" s="186"/>
      <c r="AE30" s="186"/>
      <c r="AF30" s="186"/>
      <c r="AG30" s="186"/>
      <c r="AH30" s="186"/>
      <c r="AI30" s="186"/>
      <c r="AJ30" s="186"/>
    </row>
    <row r="31" spans="2:36" s="185" customFormat="1">
      <c r="B31" s="13" t="str" cm="1">
        <f t="array" ref="B31">IF(ROW()-ROW(tbl_WR_EligibilitySummary[#Headers])&lt;=ROWS(tbl_WR_Assessment[ActionID]),"Existing action","Additional action")</f>
        <v>Existing action</v>
      </c>
      <c r="C31" s="13" t="str" cm="1">
        <f t="array" ref="C31">IF(ROW()-ROW(tbl_WR_EligibilitySummary[#Headers])&lt;=ROWS(tbl_WR_Assessment[ActionID]),INDEX(tbl_WR_Assessment[ActionID],ROW()-ROW(tbl_WR_EligibilitySummary[#Headers])),INDEX(tbl_WR_AdditionalActions[AdditionalActionID],ROW()-ROW(tbl_WR_EligibilitySummary[#Headers])-ROWS(tbl_WR_Assessment[ActionID])))</f>
        <v>icare_0178</v>
      </c>
      <c r="D31" s="13" t="str" cm="1">
        <f t="array" ref="D31">IF(ROW()-ROW(tbl_WR_EligibilitySummary[#Headers])&lt;=ROWS(tbl_WR_Assessment[ActionID]),INDEX(tbl_WR_Assessment[ActionName],ROW()-ROW(tbl_WR_EligibilitySummary[#Headers])),INDEX(tbl_WR_AdditionalActions[ActionName],ROW()-ROW(tbl_WR_EligibilitySummary[#Headers])-ROWS(tbl_WR_Assessment[ActionID])))</f>
        <v>Redirect urban development through climate‑risk spatial planning</v>
      </c>
      <c r="E31" s="13" t="str" cm="1">
        <f t="array" ref="E31">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31" s="13" t="str" cm="1">
        <f t="array" ref="F31">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31" s="13" t="str" cm="1">
        <f t="array" ref="G31">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31" s="13" t="str" cm="1">
        <f t="array" ref="H31">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31" s="13" t="str" cm="1">
        <f t="array" ref="I31">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31" s="13" t="str" cm="1">
        <f t="array" ref="J31">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31" s="13" t="str" cm="1">
        <f t="array" ref="K31">IF(ROW()-ROW(tbl_WR_EligibilitySummary[#Headers])&lt;=ROWS(tbl_WR_Assessment[ActionID]),INDEX(tbl_WR_Assessment[ReviewStatus],ROW()-ROW(tbl_WR_EligibilitySummary[#Headers])),INDEX(tbl_WR_AdditionalActions[ReviewStatus],ROW()-ROW(tbl_WR_EligibilitySummary[#Headers])-ROWS(tbl_WR_Assessment[ActionID])))</f>
        <v>Not assessed</v>
      </c>
      <c r="L31" s="87"/>
      <c r="M31" s="87"/>
      <c r="N31" s="87"/>
      <c r="O31" s="87"/>
      <c r="P31" s="87"/>
      <c r="Q31" s="87"/>
      <c r="R31" s="87"/>
      <c r="S31" s="87"/>
      <c r="T31" s="87"/>
      <c r="U31" s="87"/>
      <c r="V31" s="87"/>
      <c r="AA31" s="186"/>
      <c r="AB31" s="186"/>
      <c r="AC31" s="186"/>
      <c r="AD31" s="186"/>
      <c r="AE31" s="186"/>
      <c r="AF31" s="186"/>
      <c r="AG31" s="186"/>
      <c r="AH31" s="186"/>
      <c r="AI31" s="186"/>
      <c r="AJ31" s="186"/>
    </row>
    <row r="32" spans="2:36" s="185" customFormat="1">
      <c r="B32" s="13" t="str" cm="1">
        <f t="array" ref="B32">IF(ROW()-ROW(tbl_WR_EligibilitySummary[#Headers])&lt;=ROWS(tbl_WR_Assessment[ActionID]),"Existing action","Additional action")</f>
        <v>Existing action</v>
      </c>
      <c r="C32" s="13" t="str" cm="1">
        <f t="array" ref="C32">IF(ROW()-ROW(tbl_WR_EligibilitySummary[#Headers])&lt;=ROWS(tbl_WR_Assessment[ActionID]),INDEX(tbl_WR_Assessment[ActionID],ROW()-ROW(tbl_WR_EligibilitySummary[#Headers])),INDEX(tbl_WR_AdditionalActions[AdditionalActionID],ROW()-ROW(tbl_WR_EligibilitySummary[#Headers])-ROWS(tbl_WR_Assessment[ActionID])))</f>
        <v>icare_0180</v>
      </c>
      <c r="D32" s="13" t="str" cm="1">
        <f t="array" ref="D32">IF(ROW()-ROW(tbl_WR_EligibilitySummary[#Headers])&lt;=ROWS(tbl_WR_Assessment[ActionID]),INDEX(tbl_WR_Assessment[ActionName],ROW()-ROW(tbl_WR_EligibilitySummary[#Headers])),INDEX(tbl_WR_AdditionalActions[ActionName],ROW()-ROW(tbl_WR_EligibilitySummary[#Headers])-ROWS(tbl_WR_Assessment[ActionID])))</f>
        <v>Expand urban green-blue networks and corridors</v>
      </c>
      <c r="E32" s="13" t="str" cm="1">
        <f t="array" ref="E32">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32" s="13" cm="1">
        <f t="array" ref="F32">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2</v>
      </c>
      <c r="G32" s="13" t="str" cm="1">
        <f t="array" ref="G32">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Medium effectiveness</v>
      </c>
      <c r="H32" s="13" t="str" cm="1">
        <f t="array" ref="H32">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32" s="13" t="str" cm="1">
        <f t="array" ref="I32">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32" s="13" t="str" cm="1">
        <f t="array" ref="J32">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32" s="13" t="str" cm="1">
        <f t="array" ref="K32">IF(ROW()-ROW(tbl_WR_EligibilitySummary[#Headers])&lt;=ROWS(tbl_WR_Assessment[ActionID]),INDEX(tbl_WR_Assessment[ReviewStatus],ROW()-ROW(tbl_WR_EligibilitySummary[#Headers])),INDEX(tbl_WR_AdditionalActions[ReviewStatus],ROW()-ROW(tbl_WR_EligibilitySummary[#Headers])-ROWS(tbl_WR_Assessment[ActionID])))</f>
        <v>Evidence added</v>
      </c>
      <c r="L32" s="87"/>
      <c r="M32" s="87"/>
      <c r="N32" s="87"/>
      <c r="O32" s="87"/>
      <c r="P32" s="87"/>
      <c r="Q32" s="87"/>
      <c r="R32" s="87"/>
      <c r="S32" s="87"/>
      <c r="T32" s="87"/>
      <c r="U32" s="87"/>
      <c r="V32" s="87"/>
      <c r="AA32" s="186"/>
      <c r="AB32" s="186"/>
      <c r="AC32" s="186"/>
      <c r="AD32" s="186"/>
      <c r="AE32" s="186"/>
      <c r="AF32" s="186"/>
      <c r="AG32" s="186"/>
      <c r="AH32" s="186"/>
      <c r="AI32" s="186"/>
      <c r="AJ32" s="186"/>
    </row>
    <row r="33" spans="2:36" s="185" customFormat="1">
      <c r="B33" s="13" t="str" cm="1">
        <f t="array" ref="B33">IF(ROW()-ROW(tbl_WR_EligibilitySummary[#Headers])&lt;=ROWS(tbl_WR_Assessment[ActionID]),"Existing action","Additional action")</f>
        <v>Existing action</v>
      </c>
      <c r="C33" s="13" t="str" cm="1">
        <f t="array" ref="C33">IF(ROW()-ROW(tbl_WR_EligibilitySummary[#Headers])&lt;=ROWS(tbl_WR_Assessment[ActionID]),INDEX(tbl_WR_Assessment[ActionID],ROW()-ROW(tbl_WR_EligibilitySummary[#Headers])),INDEX(tbl_WR_AdditionalActions[AdditionalActionID],ROW()-ROW(tbl_WR_EligibilitySummary[#Headers])-ROWS(tbl_WR_Assessment[ActionID])))</f>
        <v>icare_0181</v>
      </c>
      <c r="D33" s="13" t="str" cm="1">
        <f t="array" ref="D33">IF(ROW()-ROW(tbl_WR_EligibilitySummary[#Headers])&lt;=ROWS(tbl_WR_Assessment[ActionID]),INDEX(tbl_WR_Assessment[ActionName],ROW()-ROW(tbl_WR_EligibilitySummary[#Headers])),INDEX(tbl_WR_AdditionalActions[ActionName],ROW()-ROW(tbl_WR_EligibilitySummary[#Headers])-ROWS(tbl_WR_Assessment[ActionID])))</f>
        <v>Restore in Vulnerable Areas</v>
      </c>
      <c r="E33" s="13" t="str" cm="1">
        <f t="array" ref="E33">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33" s="13" t="str" cm="1">
        <f t="array" ref="F33">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33" s="13" t="str" cm="1">
        <f t="array" ref="G33">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33" s="13" t="str" cm="1">
        <f t="array" ref="H33">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33" s="13" t="str" cm="1">
        <f t="array" ref="I33">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33" s="13" t="str" cm="1">
        <f t="array" ref="J33">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33" s="13" t="str" cm="1">
        <f t="array" ref="K33">IF(ROW()-ROW(tbl_WR_EligibilitySummary[#Headers])&lt;=ROWS(tbl_WR_Assessment[ActionID]),INDEX(tbl_WR_Assessment[ReviewStatus],ROW()-ROW(tbl_WR_EligibilitySummary[#Headers])),INDEX(tbl_WR_AdditionalActions[ReviewStatus],ROW()-ROW(tbl_WR_EligibilitySummary[#Headers])-ROWS(tbl_WR_Assessment[ActionID])))</f>
        <v>Not assessed</v>
      </c>
      <c r="L33" s="87"/>
      <c r="M33" s="87"/>
      <c r="N33" s="87"/>
      <c r="O33" s="87"/>
      <c r="P33" s="87"/>
      <c r="Q33" s="87"/>
      <c r="R33" s="87"/>
      <c r="S33" s="87"/>
      <c r="T33" s="87"/>
      <c r="U33" s="87"/>
      <c r="V33" s="87"/>
      <c r="AA33" s="186"/>
      <c r="AB33" s="186"/>
      <c r="AC33" s="186"/>
      <c r="AD33" s="186"/>
      <c r="AE33" s="186"/>
      <c r="AF33" s="186"/>
      <c r="AG33" s="186"/>
      <c r="AH33" s="186"/>
      <c r="AI33" s="186"/>
      <c r="AJ33" s="186"/>
    </row>
    <row r="34" spans="2:36" s="185" customFormat="1">
      <c r="B34" s="13" t="str" cm="1">
        <f t="array" ref="B34">IF(ROW()-ROW(tbl_WR_EligibilitySummary[#Headers])&lt;=ROWS(tbl_WR_Assessment[ActionID]),"Existing action","Additional action")</f>
        <v>Existing action</v>
      </c>
      <c r="C34" s="13" t="str" cm="1">
        <f t="array" ref="C34">IF(ROW()-ROW(tbl_WR_EligibilitySummary[#Headers])&lt;=ROWS(tbl_WR_Assessment[ActionID]),INDEX(tbl_WR_Assessment[ActionID],ROW()-ROW(tbl_WR_EligibilitySummary[#Headers])),INDEX(tbl_WR_AdditionalActions[AdditionalActionID],ROW()-ROW(tbl_WR_EligibilitySummary[#Headers])-ROWS(tbl_WR_Assessment[ActionID])))</f>
        <v>icare_0182</v>
      </c>
      <c r="D34" s="13" t="str" cm="1">
        <f t="array" ref="D34">IF(ROW()-ROW(tbl_WR_EligibilitySummary[#Headers])&lt;=ROWS(tbl_WR_Assessment[ActionID]),INDEX(tbl_WR_Assessment[ActionName],ROW()-ROW(tbl_WR_EligibilitySummary[#Headers])),INDEX(tbl_WR_AdditionalActions[ActionName],ROW()-ROW(tbl_WR_EligibilitySummary[#Headers])-ROWS(tbl_WR_Assessment[ActionID])))</f>
        <v>Develop an Urban Afforestation Plan</v>
      </c>
      <c r="E34" s="13" t="str" cm="1">
        <f t="array" ref="E34">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34" s="13" cm="1">
        <f t="array" ref="F34">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1</v>
      </c>
      <c r="G34" s="13" t="str" cm="1">
        <f t="array" ref="G34">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High effectiveness</v>
      </c>
      <c r="H34" s="13" t="str" cm="1">
        <f t="array" ref="H34">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34" s="13" t="str" cm="1">
        <f t="array" ref="I34">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34" s="13" t="str" cm="1">
        <f t="array" ref="J34">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34" s="13" t="str" cm="1">
        <f t="array" ref="K34">IF(ROW()-ROW(tbl_WR_EligibilitySummary[#Headers])&lt;=ROWS(tbl_WR_Assessment[ActionID]),INDEX(tbl_WR_Assessment[ReviewStatus],ROW()-ROW(tbl_WR_EligibilitySummary[#Headers])),INDEX(tbl_WR_AdditionalActions[ReviewStatus],ROW()-ROW(tbl_WR_EligibilitySummary[#Headers])-ROWS(tbl_WR_Assessment[ActionID])))</f>
        <v>Evidence added</v>
      </c>
      <c r="L34" s="87"/>
      <c r="M34" s="87"/>
      <c r="N34" s="87"/>
      <c r="O34" s="87"/>
      <c r="P34" s="87"/>
      <c r="Q34" s="87"/>
      <c r="R34" s="87"/>
      <c r="S34" s="87"/>
      <c r="T34" s="87"/>
      <c r="U34" s="87"/>
      <c r="V34" s="87"/>
      <c r="AA34" s="186"/>
      <c r="AB34" s="186"/>
      <c r="AC34" s="186"/>
      <c r="AD34" s="186"/>
      <c r="AE34" s="186"/>
      <c r="AF34" s="186"/>
      <c r="AG34" s="186"/>
      <c r="AH34" s="186"/>
      <c r="AI34" s="186"/>
      <c r="AJ34" s="186"/>
    </row>
    <row r="35" spans="2:36" s="185" customFormat="1">
      <c r="B35" s="13" t="str" cm="1">
        <f t="array" ref="B35">IF(ROW()-ROW(tbl_WR_EligibilitySummary[#Headers])&lt;=ROWS(tbl_WR_Assessment[ActionID]),"Existing action","Additional action")</f>
        <v>Existing action</v>
      </c>
      <c r="C35" s="13" t="str" cm="1">
        <f t="array" ref="C35">IF(ROW()-ROW(tbl_WR_EligibilitySummary[#Headers])&lt;=ROWS(tbl_WR_Assessment[ActionID]),INDEX(tbl_WR_Assessment[ActionID],ROW()-ROW(tbl_WR_EligibilitySummary[#Headers])),INDEX(tbl_WR_AdditionalActions[AdditionalActionID],ROW()-ROW(tbl_WR_EligibilitySummary[#Headers])-ROWS(tbl_WR_Assessment[ActionID])))</f>
        <v>icare_0183</v>
      </c>
      <c r="D35" s="13" t="str" cm="1">
        <f t="array" ref="D35">IF(ROW()-ROW(tbl_WR_EligibilitySummary[#Headers])&lt;=ROWS(tbl_WR_Assessment[ActionID]),INDEX(tbl_WR_Assessment[ActionName],ROW()-ROW(tbl_WR_EligibilitySummary[#Headers])),INDEX(tbl_WR_AdditionalActions[ActionName],ROW()-ROW(tbl_WR_EligibilitySummary[#Headers])-ROWS(tbl_WR_Assessment[ActionID])))</f>
        <v>Implement Multi-hazard Early Warning Systems (MH-EWS)</v>
      </c>
      <c r="E35" s="13" t="str" cm="1">
        <f t="array" ref="E35">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35" s="13" t="str" cm="1">
        <f t="array" ref="F35">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35" s="13" t="str" cm="1">
        <f t="array" ref="G35">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35" s="13" t="str" cm="1">
        <f t="array" ref="H35">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35" s="13" t="str" cm="1">
        <f t="array" ref="I35">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35" s="13" t="str" cm="1">
        <f t="array" ref="J35">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35" s="13" t="str" cm="1">
        <f t="array" ref="K35">IF(ROW()-ROW(tbl_WR_EligibilitySummary[#Headers])&lt;=ROWS(tbl_WR_Assessment[ActionID]),INDEX(tbl_WR_Assessment[ReviewStatus],ROW()-ROW(tbl_WR_EligibilitySummary[#Headers])),INDEX(tbl_WR_AdditionalActions[ReviewStatus],ROW()-ROW(tbl_WR_EligibilitySummary[#Headers])-ROWS(tbl_WR_Assessment[ActionID])))</f>
        <v>Not assessed</v>
      </c>
      <c r="L35" s="87"/>
      <c r="M35" s="87"/>
      <c r="N35" s="87"/>
      <c r="O35" s="87"/>
      <c r="P35" s="87"/>
      <c r="Q35" s="87"/>
      <c r="R35" s="87"/>
      <c r="S35" s="87"/>
      <c r="T35" s="87"/>
      <c r="U35" s="87"/>
      <c r="V35" s="87"/>
      <c r="AA35" s="186"/>
      <c r="AB35" s="186"/>
      <c r="AC35" s="186"/>
      <c r="AD35" s="186"/>
      <c r="AE35" s="186"/>
      <c r="AF35" s="186"/>
      <c r="AG35" s="186"/>
      <c r="AH35" s="186"/>
      <c r="AI35" s="186"/>
      <c r="AJ35" s="186"/>
    </row>
    <row r="36" spans="2:36" s="185" customFormat="1">
      <c r="B36" s="13" t="str" cm="1">
        <f t="array" ref="B36">IF(ROW()-ROW(tbl_WR_EligibilitySummary[#Headers])&lt;=ROWS(tbl_WR_Assessment[ActionID]),"Existing action","Additional action")</f>
        <v>Existing action</v>
      </c>
      <c r="C36" s="13" t="str" cm="1">
        <f t="array" ref="C36">IF(ROW()-ROW(tbl_WR_EligibilitySummary[#Headers])&lt;=ROWS(tbl_WR_Assessment[ActionID]),INDEX(tbl_WR_Assessment[ActionID],ROW()-ROW(tbl_WR_EligibilitySummary[#Headers])),INDEX(tbl_WR_AdditionalActions[AdditionalActionID],ROW()-ROW(tbl_WR_EligibilitySummary[#Headers])-ROWS(tbl_WR_Assessment[ActionID])))</f>
        <v>icare_0184</v>
      </c>
      <c r="D36" s="13" t="str" cm="1">
        <f t="array" ref="D36">IF(ROW()-ROW(tbl_WR_EligibilitySummary[#Headers])&lt;=ROWS(tbl_WR_Assessment[ActionID]),INDEX(tbl_WR_Assessment[ActionName],ROW()-ROW(tbl_WR_EligibilitySummary[#Headers])),INDEX(tbl_WR_AdditionalActions[ActionName],ROW()-ROW(tbl_WR_EligibilitySummary[#Headers])-ROWS(tbl_WR_Assessment[ActionID])))</f>
        <v>Upgrade Slope stabilization and drainage</v>
      </c>
      <c r="E36" s="13" t="str" cm="1">
        <f t="array" ref="E36">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36" s="13" t="str" cm="1">
        <f t="array" ref="F36">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36" s="13" cm="1">
        <f t="array" ref="G36">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0</v>
      </c>
      <c r="H36" s="13" t="str" cm="1">
        <f t="array" ref="H36">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36" s="13" t="str" cm="1">
        <f t="array" ref="I36">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36" s="13" t="str" cm="1">
        <f t="array" ref="J36">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36" s="13" t="str" cm="1">
        <f t="array" ref="K36">IF(ROW()-ROW(tbl_WR_EligibilitySummary[#Headers])&lt;=ROWS(tbl_WR_Assessment[ActionID]),INDEX(tbl_WR_Assessment[ReviewStatus],ROW()-ROW(tbl_WR_EligibilitySummary[#Headers])),INDEX(tbl_WR_AdditionalActions[ReviewStatus],ROW()-ROW(tbl_WR_EligibilitySummary[#Headers])-ROWS(tbl_WR_Assessment[ActionID])))</f>
        <v>Not assessed</v>
      </c>
      <c r="L36" s="87"/>
      <c r="M36" s="87"/>
      <c r="N36" s="87"/>
      <c r="O36" s="87"/>
      <c r="P36" s="87"/>
      <c r="Q36" s="87"/>
      <c r="R36" s="87"/>
      <c r="S36" s="87"/>
      <c r="T36" s="87"/>
      <c r="U36" s="87"/>
      <c r="V36" s="87"/>
      <c r="AA36" s="186"/>
      <c r="AB36" s="186"/>
      <c r="AC36" s="186"/>
      <c r="AD36" s="186"/>
      <c r="AE36" s="186"/>
      <c r="AF36" s="186"/>
      <c r="AG36" s="186"/>
      <c r="AH36" s="186"/>
      <c r="AI36" s="186"/>
      <c r="AJ36" s="186"/>
    </row>
    <row r="37" spans="2:36" s="185" customFormat="1">
      <c r="B37" s="13" t="str" cm="1">
        <f t="array" ref="B37">IF(ROW()-ROW(tbl_WR_EligibilitySummary[#Headers])&lt;=ROWS(tbl_WR_Assessment[ActionID]),"Existing action","Additional action")</f>
        <v>Existing action</v>
      </c>
      <c r="C37" s="13" t="str" cm="1">
        <f t="array" ref="C37">IF(ROW()-ROW(tbl_WR_EligibilitySummary[#Headers])&lt;=ROWS(tbl_WR_Assessment[ActionID]),INDEX(tbl_WR_Assessment[ActionID],ROW()-ROW(tbl_WR_EligibilitySummary[#Headers])),INDEX(tbl_WR_AdditionalActions[AdditionalActionID],ROW()-ROW(tbl_WR_EligibilitySummary[#Headers])-ROWS(tbl_WR_Assessment[ActionID])))</f>
        <v>icare_0185</v>
      </c>
      <c r="D37" s="13" t="str" cm="1">
        <f t="array" ref="D37">IF(ROW()-ROW(tbl_WR_EligibilitySummary[#Headers])&lt;=ROWS(tbl_WR_Assessment[ActionID]),INDEX(tbl_WR_Assessment[ActionName],ROW()-ROW(tbl_WR_EligibilitySummary[#Headers])),INDEX(tbl_WR_AdditionalActions[ActionName],ROW()-ROW(tbl_WR_EligibilitySummary[#Headers])-ROWS(tbl_WR_Assessment[ActionID])))</f>
        <v>Improve Creation of An Epidemiological Intelligence Center</v>
      </c>
      <c r="E37" s="13" t="str" cm="1">
        <f t="array" ref="E37">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37" s="13" t="str" cm="1">
        <f t="array" ref="F37">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37" s="13" t="str" cm="1">
        <f t="array" ref="G37">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37" s="13" t="str" cm="1">
        <f t="array" ref="H37">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37" s="13" t="str" cm="1">
        <f t="array" ref="I37">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37" s="13" t="str" cm="1">
        <f t="array" ref="J37">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37" s="13" t="str" cm="1">
        <f t="array" ref="K37">IF(ROW()-ROW(tbl_WR_EligibilitySummary[#Headers])&lt;=ROWS(tbl_WR_Assessment[ActionID]),INDEX(tbl_WR_Assessment[ReviewStatus],ROW()-ROW(tbl_WR_EligibilitySummary[#Headers])),INDEX(tbl_WR_AdditionalActions[ReviewStatus],ROW()-ROW(tbl_WR_EligibilitySummary[#Headers])-ROWS(tbl_WR_Assessment[ActionID])))</f>
        <v>Not assessed</v>
      </c>
      <c r="L37" s="87"/>
      <c r="M37" s="87"/>
      <c r="N37" s="87"/>
      <c r="O37" s="87"/>
      <c r="P37" s="87"/>
      <c r="Q37" s="87"/>
      <c r="R37" s="87"/>
      <c r="S37" s="87"/>
      <c r="T37" s="87"/>
      <c r="U37" s="87"/>
      <c r="V37" s="87"/>
      <c r="AA37" s="186"/>
      <c r="AB37" s="186"/>
      <c r="AC37" s="186"/>
      <c r="AD37" s="186"/>
      <c r="AE37" s="186"/>
      <c r="AF37" s="186"/>
      <c r="AG37" s="186"/>
      <c r="AH37" s="186"/>
      <c r="AI37" s="186"/>
      <c r="AJ37" s="186"/>
    </row>
    <row r="38" spans="2:36" s="185" customFormat="1">
      <c r="B38" s="13" t="str" cm="1">
        <f t="array" ref="B38">IF(ROW()-ROW(tbl_WR_EligibilitySummary[#Headers])&lt;=ROWS(tbl_WR_Assessment[ActionID]),"Existing action","Additional action")</f>
        <v>Existing action</v>
      </c>
      <c r="C38" s="13" t="str" cm="1">
        <f t="array" ref="C38">IF(ROW()-ROW(tbl_WR_EligibilitySummary[#Headers])&lt;=ROWS(tbl_WR_Assessment[ActionID]),INDEX(tbl_WR_Assessment[ActionID],ROW()-ROW(tbl_WR_EligibilitySummary[#Headers])),INDEX(tbl_WR_AdditionalActions[AdditionalActionID],ROW()-ROW(tbl_WR_EligibilitySummary[#Headers])-ROWS(tbl_WR_Assessment[ActionID])))</f>
        <v>icare_0186</v>
      </c>
      <c r="D38" s="13" t="str" cm="1">
        <f t="array" ref="D38">IF(ROW()-ROW(tbl_WR_EligibilitySummary[#Headers])&lt;=ROWS(tbl_WR_Assessment[ActionID]),INDEX(tbl_WR_Assessment[ActionName],ROW()-ROW(tbl_WR_EligibilitySummary[#Headers])),INDEX(tbl_WR_AdditionalActions[ActionName],ROW()-ROW(tbl_WR_EligibilitySummary[#Headers])-ROWS(tbl_WR_Assessment[ActionID])))</f>
        <v>Implement integrated coastal zone management</v>
      </c>
      <c r="E38" s="13" t="str" cm="1">
        <f t="array" ref="E38">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38" s="13" t="str" cm="1">
        <f t="array" ref="F38">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38" s="13" t="str" cm="1">
        <f t="array" ref="G38">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38" s="13" t="str" cm="1">
        <f t="array" ref="H38">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38" s="13" t="str" cm="1">
        <f t="array" ref="I38">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38" s="13" t="str" cm="1">
        <f t="array" ref="J38">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38" s="13" t="str" cm="1">
        <f t="array" ref="K38">IF(ROW()-ROW(tbl_WR_EligibilitySummary[#Headers])&lt;=ROWS(tbl_WR_Assessment[ActionID]),INDEX(tbl_WR_Assessment[ReviewStatus],ROW()-ROW(tbl_WR_EligibilitySummary[#Headers])),INDEX(tbl_WR_AdditionalActions[ReviewStatus],ROW()-ROW(tbl_WR_EligibilitySummary[#Headers])-ROWS(tbl_WR_Assessment[ActionID])))</f>
        <v>Not assessed</v>
      </c>
      <c r="L38" s="87"/>
      <c r="M38" s="87"/>
      <c r="N38" s="87"/>
      <c r="O38" s="87"/>
      <c r="P38" s="87"/>
      <c r="Q38" s="87"/>
      <c r="R38" s="87"/>
      <c r="S38" s="87"/>
      <c r="T38" s="87"/>
      <c r="U38" s="87"/>
      <c r="V38" s="87"/>
      <c r="AA38" s="186"/>
      <c r="AB38" s="186"/>
      <c r="AC38" s="186"/>
      <c r="AD38" s="186"/>
      <c r="AE38" s="186"/>
      <c r="AF38" s="186"/>
      <c r="AG38" s="186"/>
      <c r="AH38" s="186"/>
      <c r="AI38" s="186"/>
      <c r="AJ38" s="186"/>
    </row>
    <row r="39" spans="2:36" s="185" customFormat="1">
      <c r="B39" s="13" t="str" cm="1">
        <f t="array" ref="B39">IF(ROW()-ROW(tbl_WR_EligibilitySummary[#Headers])&lt;=ROWS(tbl_WR_Assessment[ActionID]),"Existing action","Additional action")</f>
        <v>Existing action</v>
      </c>
      <c r="C39" s="13" t="str" cm="1">
        <f t="array" ref="C39">IF(ROW()-ROW(tbl_WR_EligibilitySummary[#Headers])&lt;=ROWS(tbl_WR_Assessment[ActionID]),INDEX(tbl_WR_Assessment[ActionID],ROW()-ROW(tbl_WR_EligibilitySummary[#Headers])),INDEX(tbl_WR_AdditionalActions[AdditionalActionID],ROW()-ROW(tbl_WR_EligibilitySummary[#Headers])-ROWS(tbl_WR_Assessment[ActionID])))</f>
        <v>icare_0188</v>
      </c>
      <c r="D39" s="13" t="str" cm="1">
        <f t="array" ref="D39">IF(ROW()-ROW(tbl_WR_EligibilitySummary[#Headers])&lt;=ROWS(tbl_WR_Assessment[ActionID]),INDEX(tbl_WR_Assessment[ActionName],ROW()-ROW(tbl_WR_EligibilitySummary[#Headers])),INDEX(tbl_WR_AdditionalActions[ActionName],ROW()-ROW(tbl_WR_EligibilitySummary[#Headers])-ROWS(tbl_WR_Assessment[ActionID])))</f>
        <v>Create an Environmental Health Surveillance Program related to Populations Exposed to Air Pollution, Noise Pollution, Water Pollution, and Soil Pollution.</v>
      </c>
      <c r="E39" s="13" t="str" cm="1">
        <f t="array" ref="E39">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39" s="13" t="str" cm="1">
        <f t="array" ref="F39">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39" s="13" t="str" cm="1">
        <f t="array" ref="G39">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39" s="13" t="str" cm="1">
        <f t="array" ref="H39">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39" s="13" t="str" cm="1">
        <f t="array" ref="I39">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39" s="13" t="str" cm="1">
        <f t="array" ref="J39">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39" s="13" t="str" cm="1">
        <f t="array" ref="K39">IF(ROW()-ROW(tbl_WR_EligibilitySummary[#Headers])&lt;=ROWS(tbl_WR_Assessment[ActionID]),INDEX(tbl_WR_Assessment[ReviewStatus],ROW()-ROW(tbl_WR_EligibilitySummary[#Headers])),INDEX(tbl_WR_AdditionalActions[ReviewStatus],ROW()-ROW(tbl_WR_EligibilitySummary[#Headers])-ROWS(tbl_WR_Assessment[ActionID])))</f>
        <v>Not assessed</v>
      </c>
      <c r="L39" s="87"/>
      <c r="M39" s="87"/>
      <c r="N39" s="87"/>
      <c r="O39" s="87"/>
      <c r="P39" s="87"/>
      <c r="Q39" s="87"/>
      <c r="R39" s="87"/>
      <c r="S39" s="87"/>
      <c r="T39" s="87"/>
      <c r="U39" s="87"/>
      <c r="V39" s="87"/>
      <c r="AA39" s="186"/>
      <c r="AB39" s="186"/>
      <c r="AC39" s="186"/>
      <c r="AD39" s="186"/>
      <c r="AE39" s="186"/>
      <c r="AF39" s="186"/>
      <c r="AG39" s="186"/>
      <c r="AH39" s="186"/>
      <c r="AI39" s="186"/>
      <c r="AJ39" s="186"/>
    </row>
    <row r="40" spans="2:36" s="185" customFormat="1">
      <c r="B40" s="13" t="str" cm="1">
        <f t="array" ref="B40">IF(ROW()-ROW(tbl_WR_EligibilitySummary[#Headers])&lt;=ROWS(tbl_WR_Assessment[ActionID]),"Existing action","Additional action")</f>
        <v>Existing action</v>
      </c>
      <c r="C40" s="13" t="str" cm="1">
        <f t="array" ref="C40">IF(ROW()-ROW(tbl_WR_EligibilitySummary[#Headers])&lt;=ROWS(tbl_WR_Assessment[ActionID]),INDEX(tbl_WR_Assessment[ActionID],ROW()-ROW(tbl_WR_EligibilitySummary[#Headers])),INDEX(tbl_WR_AdditionalActions[AdditionalActionID],ROW()-ROW(tbl_WR_EligibilitySummary[#Headers])-ROWS(tbl_WR_Assessment[ActionID])))</f>
        <v>ipcc_0078</v>
      </c>
      <c r="D40" s="13" t="str" cm="1">
        <f t="array" ref="D40">IF(ROW()-ROW(tbl_WR_EligibilitySummary[#Headers])&lt;=ROWS(tbl_WR_Assessment[ActionID]),INDEX(tbl_WR_Assessment[ActionName],ROW()-ROW(tbl_WR_EligibilitySummary[#Headers])),INDEX(tbl_WR_AdditionalActions[ActionName],ROW()-ROW(tbl_WR_EligibilitySummary[#Headers])-ROWS(tbl_WR_Assessment[ActionID])))</f>
        <v>Implement green roofs and walls</v>
      </c>
      <c r="E40" s="13" t="str" cm="1">
        <f t="array" ref="E40">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40" s="13" t="str" cm="1">
        <f t="array" ref="F40">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40" s="13" t="str" cm="1">
        <f t="array" ref="G40">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40" s="13" t="str" cm="1">
        <f t="array" ref="H40">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40" s="13" t="str" cm="1">
        <f t="array" ref="I40">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40" s="13" t="str" cm="1">
        <f t="array" ref="J40">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40" s="13" t="str" cm="1">
        <f t="array" ref="K40">IF(ROW()-ROW(tbl_WR_EligibilitySummary[#Headers])&lt;=ROWS(tbl_WR_Assessment[ActionID]),INDEX(tbl_WR_Assessment[ReviewStatus],ROW()-ROW(tbl_WR_EligibilitySummary[#Headers])),INDEX(tbl_WR_AdditionalActions[ReviewStatus],ROW()-ROW(tbl_WR_EligibilitySummary[#Headers])-ROWS(tbl_WR_Assessment[ActionID])))</f>
        <v>Not assessed</v>
      </c>
      <c r="L40" s="87"/>
      <c r="M40" s="87"/>
      <c r="N40" s="87"/>
      <c r="O40" s="87"/>
      <c r="P40" s="87"/>
      <c r="Q40" s="87"/>
      <c r="R40" s="87"/>
      <c r="S40" s="87"/>
      <c r="T40" s="87"/>
      <c r="U40" s="87"/>
      <c r="V40" s="87"/>
      <c r="AA40" s="186"/>
      <c r="AB40" s="186"/>
      <c r="AC40" s="186"/>
      <c r="AD40" s="186"/>
      <c r="AE40" s="186"/>
      <c r="AF40" s="186"/>
      <c r="AG40" s="186"/>
      <c r="AH40" s="186"/>
      <c r="AI40" s="186"/>
      <c r="AJ40" s="186"/>
    </row>
    <row r="41" spans="2:36" s="185" customFormat="1">
      <c r="B41" s="13" t="str" cm="1">
        <f t="array" ref="B41">IF(ROW()-ROW(tbl_WR_EligibilitySummary[#Headers])&lt;=ROWS(tbl_WR_Assessment[ActionID]),"Existing action","Additional action")</f>
        <v>Existing action</v>
      </c>
      <c r="C41" s="13" t="str" cm="1">
        <f t="array" ref="C41">IF(ROW()-ROW(tbl_WR_EligibilitySummary[#Headers])&lt;=ROWS(tbl_WR_Assessment[ActionID]),INDEX(tbl_WR_Assessment[ActionID],ROW()-ROW(tbl_WR_EligibilitySummary[#Headers])),INDEX(tbl_WR_AdditionalActions[AdditionalActionID],ROW()-ROW(tbl_WR_EligibilitySummary[#Headers])-ROWS(tbl_WR_Assessment[ActionID])))</f>
        <v>ipcc_0083</v>
      </c>
      <c r="D41" s="13" t="str" cm="1">
        <f t="array" ref="D41">IF(ROW()-ROW(tbl_WR_EligibilitySummary[#Headers])&lt;=ROWS(tbl_WR_Assessment[ActionID]),INDEX(tbl_WR_Assessment[ActionName],ROW()-ROW(tbl_WR_EligibilitySummary[#Headers])),INDEX(tbl_WR_AdditionalActions[ActionName],ROW()-ROW(tbl_WR_EligibilitySummary[#Headers])-ROWS(tbl_WR_Assessment[ActionID])))</f>
        <v>Plan strategic coastal retreat for vulnerable communities</v>
      </c>
      <c r="E41" s="13" t="str" cm="1">
        <f t="array" ref="E41">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41" s="13" t="str" cm="1">
        <f t="array" ref="F41">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41" s="13" t="str" cm="1">
        <f t="array" ref="G41">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41" s="13" t="str" cm="1">
        <f t="array" ref="H41">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41" s="13" cm="1">
        <f t="array" ref="I41">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1</v>
      </c>
      <c r="J41" s="13" t="str" cm="1">
        <f t="array" ref="J41">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41" s="13" t="str" cm="1">
        <f t="array" ref="K41">IF(ROW()-ROW(tbl_WR_EligibilitySummary[#Headers])&lt;=ROWS(tbl_WR_Assessment[ActionID]),INDEX(tbl_WR_Assessment[ReviewStatus],ROW()-ROW(tbl_WR_EligibilitySummary[#Headers])),INDEX(tbl_WR_AdditionalActions[ReviewStatus],ROW()-ROW(tbl_WR_EligibilitySummary[#Headers])-ROWS(tbl_WR_Assessment[ActionID])))</f>
        <v>Evidence added</v>
      </c>
      <c r="L41" s="87"/>
      <c r="M41" s="87"/>
      <c r="N41" s="87"/>
      <c r="O41" s="87"/>
      <c r="P41" s="87"/>
      <c r="Q41" s="87"/>
      <c r="R41" s="87"/>
      <c r="S41" s="87"/>
      <c r="T41" s="87"/>
      <c r="U41" s="87"/>
      <c r="V41" s="87"/>
      <c r="AA41" s="186"/>
      <c r="AB41" s="186"/>
      <c r="AC41" s="186"/>
      <c r="AD41" s="186"/>
      <c r="AE41" s="186"/>
      <c r="AF41" s="186"/>
      <c r="AG41" s="186"/>
      <c r="AH41" s="186"/>
      <c r="AI41" s="186"/>
      <c r="AJ41" s="186"/>
    </row>
    <row r="42" spans="2:36" s="185" customFormat="1">
      <c r="B42" s="13" t="str" cm="1">
        <f t="array" ref="B42">IF(ROW()-ROW(tbl_WR_EligibilitySummary[#Headers])&lt;=ROWS(tbl_WR_Assessment[ActionID]),"Existing action","Additional action")</f>
        <v>Existing action</v>
      </c>
      <c r="C42" s="13" t="str" cm="1">
        <f t="array" ref="C42">IF(ROW()-ROW(tbl_WR_EligibilitySummary[#Headers])&lt;=ROWS(tbl_WR_Assessment[ActionID]),INDEX(tbl_WR_Assessment[ActionID],ROW()-ROW(tbl_WR_EligibilitySummary[#Headers])),INDEX(tbl_WR_AdditionalActions[AdditionalActionID],ROW()-ROW(tbl_WR_EligibilitySummary[#Headers])-ROWS(tbl_WR_Assessment[ActionID])))</f>
        <v>ipcc_0084</v>
      </c>
      <c r="D42" s="13" t="str" cm="1">
        <f t="array" ref="D42">IF(ROW()-ROW(tbl_WR_EligibilitySummary[#Headers])&lt;=ROWS(tbl_WR_Assessment[ActionID]),INDEX(tbl_WR_Assessment[ActionName],ROW()-ROW(tbl_WR_EligibilitySummary[#Headers])),INDEX(tbl_WR_AdditionalActions[ActionName],ROW()-ROW(tbl_WR_EligibilitySummary[#Headers])-ROWS(tbl_WR_Assessment[ActionID])))</f>
        <v>Restore/create natural areas</v>
      </c>
      <c r="E42" s="13" t="str" cm="1">
        <f t="array" ref="E42">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42" s="13" cm="1">
        <f t="array" ref="F42">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1</v>
      </c>
      <c r="G42" s="13" t="str" cm="1">
        <f t="array" ref="G42">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42" s="13" t="str" cm="1">
        <f t="array" ref="H42">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42" s="13" t="str" cm="1">
        <f t="array" ref="I42">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42" s="13" t="str" cm="1">
        <f t="array" ref="J42">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42" s="13" t="str" cm="1">
        <f t="array" ref="K42">IF(ROW()-ROW(tbl_WR_EligibilitySummary[#Headers])&lt;=ROWS(tbl_WR_Assessment[ActionID]),INDEX(tbl_WR_Assessment[ReviewStatus],ROW()-ROW(tbl_WR_EligibilitySummary[#Headers])),INDEX(tbl_WR_AdditionalActions[ReviewStatus],ROW()-ROW(tbl_WR_EligibilitySummary[#Headers])-ROWS(tbl_WR_Assessment[ActionID])))</f>
        <v>Eligibility corrected</v>
      </c>
      <c r="L42" s="87"/>
      <c r="M42" s="87"/>
      <c r="N42" s="87"/>
      <c r="O42" s="87"/>
      <c r="P42" s="87"/>
      <c r="Q42" s="87"/>
      <c r="R42" s="87"/>
      <c r="S42" s="87"/>
      <c r="T42" s="87"/>
      <c r="U42" s="87"/>
      <c r="V42" s="87"/>
      <c r="AA42" s="186"/>
      <c r="AB42" s="186"/>
      <c r="AC42" s="186"/>
      <c r="AD42" s="186"/>
      <c r="AE42" s="186"/>
      <c r="AF42" s="186"/>
      <c r="AG42" s="186"/>
      <c r="AH42" s="186"/>
      <c r="AI42" s="186"/>
      <c r="AJ42" s="186"/>
    </row>
    <row r="43" spans="2:36" s="185" customFormat="1">
      <c r="B43" s="13" t="str" cm="1">
        <f t="array" ref="B43">IF(ROW()-ROW(tbl_WR_EligibilitySummary[#Headers])&lt;=ROWS(tbl_WR_Assessment[ActionID]),"Existing action","Additional action")</f>
        <v>Existing action</v>
      </c>
      <c r="C43" s="13" t="str" cm="1">
        <f t="array" ref="C43">IF(ROW()-ROW(tbl_WR_EligibilitySummary[#Headers])&lt;=ROWS(tbl_WR_Assessment[ActionID]),INDEX(tbl_WR_Assessment[ActionID],ROW()-ROW(tbl_WR_EligibilitySummary[#Headers])),INDEX(tbl_WR_AdditionalActions[AdditionalActionID],ROW()-ROW(tbl_WR_EligibilitySummary[#Headers])-ROWS(tbl_WR_Assessment[ActionID])))</f>
        <v>ipcc_0085</v>
      </c>
      <c r="D43" s="13" t="str" cm="1">
        <f t="array" ref="D43">IF(ROW()-ROW(tbl_WR_EligibilitySummary[#Headers])&lt;=ROWS(tbl_WR_Assessment[ActionID]),INDEX(tbl_WR_Assessment[ActionName],ROW()-ROW(tbl_WR_EligibilitySummary[#Headers])),INDEX(tbl_WR_AdditionalActions[ActionName],ROW()-ROW(tbl_WR_EligibilitySummary[#Headers])-ROWS(tbl_WR_Assessment[ActionID])))</f>
        <v>Reduce pressures on ecosystems to build resilience</v>
      </c>
      <c r="E43" s="13" t="str" cm="1">
        <f t="array" ref="E43">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43" s="13" cm="1">
        <f t="array" ref="F43">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1</v>
      </c>
      <c r="G43" s="13" t="str" cm="1">
        <f t="array" ref="G43">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43" s="13" t="str" cm="1">
        <f t="array" ref="H43">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43" s="13" t="str" cm="1">
        <f t="array" ref="I43">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43" s="13" t="str" cm="1">
        <f t="array" ref="J43">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43" s="13" t="str" cm="1">
        <f t="array" ref="K43">IF(ROW()-ROW(tbl_WR_EligibilitySummary[#Headers])&lt;=ROWS(tbl_WR_Assessment[ActionID]),INDEX(tbl_WR_Assessment[ReviewStatus],ROW()-ROW(tbl_WR_EligibilitySummary[#Headers])),INDEX(tbl_WR_AdditionalActions[ReviewStatus],ROW()-ROW(tbl_WR_EligibilitySummary[#Headers])-ROWS(tbl_WR_Assessment[ActionID])))</f>
        <v>Eligibility corrected</v>
      </c>
      <c r="L43" s="87"/>
      <c r="M43" s="87"/>
      <c r="N43" s="87"/>
      <c r="O43" s="87"/>
      <c r="P43" s="87"/>
      <c r="Q43" s="87"/>
      <c r="R43" s="87"/>
      <c r="S43" s="87"/>
      <c r="T43" s="87"/>
      <c r="U43" s="87"/>
      <c r="V43" s="87"/>
      <c r="AA43" s="186"/>
      <c r="AB43" s="186"/>
      <c r="AC43" s="186"/>
      <c r="AD43" s="186"/>
      <c r="AE43" s="186"/>
      <c r="AF43" s="186"/>
      <c r="AG43" s="186"/>
      <c r="AH43" s="186"/>
      <c r="AI43" s="186"/>
      <c r="AJ43" s="186"/>
    </row>
    <row r="44" spans="2:36" s="185" customFormat="1">
      <c r="B44" s="13" t="str" cm="1">
        <f t="array" ref="B44">IF(ROW()-ROW(tbl_WR_EligibilitySummary[#Headers])&lt;=ROWS(tbl_WR_Assessment[ActionID]),"Existing action","Additional action")</f>
        <v>Existing action</v>
      </c>
      <c r="C44" s="13" t="str" cm="1">
        <f t="array" ref="C44">IF(ROW()-ROW(tbl_WR_EligibilitySummary[#Headers])&lt;=ROWS(tbl_WR_Assessment[ActionID]),INDEX(tbl_WR_Assessment[ActionID],ROW()-ROW(tbl_WR_EligibilitySummary[#Headers])),INDEX(tbl_WR_AdditionalActions[AdditionalActionID],ROW()-ROW(tbl_WR_EligibilitySummary[#Headers])-ROWS(tbl_WR_Assessment[ActionID])))</f>
        <v>ipcc_0086</v>
      </c>
      <c r="D44" s="13" t="str" cm="1">
        <f t="array" ref="D44">IF(ROW()-ROW(tbl_WR_EligibilitySummary[#Headers])&lt;=ROWS(tbl_WR_Assessment[ActionID]),INDEX(tbl_WR_Assessment[ActionName],ROW()-ROW(tbl_WR_EligibilitySummary[#Headers])),INDEX(tbl_WR_AdditionalActions[ActionName],ROW()-ROW(tbl_WR_EligibilitySummary[#Headers])-ROWS(tbl_WR_Assessment[ActionID])))</f>
        <v>Implement ecosystem‑based adaptation measures</v>
      </c>
      <c r="E44" s="13" t="str" cm="1">
        <f t="array" ref="E44">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44" s="13" cm="1">
        <f t="array" ref="F44">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3</v>
      </c>
      <c r="G44" s="13" t="str" cm="1">
        <f t="array" ref="G44">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High effectiveness</v>
      </c>
      <c r="H44" s="13" t="str" cm="1">
        <f t="array" ref="H44">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44" s="13" t="str" cm="1">
        <f t="array" ref="I44">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44" s="13" t="str" cm="1">
        <f t="array" ref="J44">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44" s="13" t="str" cm="1">
        <f t="array" ref="K44">IF(ROW()-ROW(tbl_WR_EligibilitySummary[#Headers])&lt;=ROWS(tbl_WR_Assessment[ActionID]),INDEX(tbl_WR_Assessment[ReviewStatus],ROW()-ROW(tbl_WR_EligibilitySummary[#Headers])),INDEX(tbl_WR_AdditionalActions[ReviewStatus],ROW()-ROW(tbl_WR_EligibilitySummary[#Headers])-ROWS(tbl_WR_Assessment[ActionID])))</f>
        <v>Evidence added</v>
      </c>
      <c r="L44" s="87"/>
      <c r="M44" s="87"/>
      <c r="N44" s="87"/>
      <c r="O44" s="87"/>
      <c r="P44" s="87"/>
      <c r="Q44" s="87"/>
      <c r="R44" s="87"/>
      <c r="S44" s="87"/>
      <c r="T44" s="87"/>
      <c r="U44" s="87"/>
      <c r="V44" s="87"/>
      <c r="AA44" s="186"/>
      <c r="AB44" s="186"/>
      <c r="AC44" s="186"/>
      <c r="AD44" s="186"/>
      <c r="AE44" s="186"/>
      <c r="AF44" s="186"/>
      <c r="AG44" s="186"/>
      <c r="AH44" s="186"/>
      <c r="AI44" s="186"/>
      <c r="AJ44" s="186"/>
    </row>
    <row r="45" spans="2:36" s="185" customFormat="1">
      <c r="B45" s="13" t="str" cm="1">
        <f t="array" ref="B45">IF(ROW()-ROW(tbl_WR_EligibilitySummary[#Headers])&lt;=ROWS(tbl_WR_Assessment[ActionID]),"Existing action","Additional action")</f>
        <v>Existing action</v>
      </c>
      <c r="C45" s="13" t="str" cm="1">
        <f t="array" ref="C45">IF(ROW()-ROW(tbl_WR_EligibilitySummary[#Headers])&lt;=ROWS(tbl_WR_Assessment[ActionID]),INDEX(tbl_WR_Assessment[ActionID],ROW()-ROW(tbl_WR_EligibilitySummary[#Headers])),INDEX(tbl_WR_AdditionalActions[AdditionalActionID],ROW()-ROW(tbl_WR_EligibilitySummary[#Headers])-ROWS(tbl_WR_Assessment[ActionID])))</f>
        <v>ipcc_0087</v>
      </c>
      <c r="D45" s="13" t="str" cm="1">
        <f t="array" ref="D45">IF(ROW()-ROW(tbl_WR_EligibilitySummary[#Headers])&lt;=ROWS(tbl_WR_Assessment[ActionID]),INDEX(tbl_WR_Assessment[ActionName],ROW()-ROW(tbl_WR_EligibilitySummary[#Headers])),INDEX(tbl_WR_AdditionalActions[ActionName],ROW()-ROW(tbl_WR_EligibilitySummary[#Headers])-ROWS(tbl_WR_Assessment[ActionID])))</f>
        <v>Improve Infrastructure retrofitting</v>
      </c>
      <c r="E45" s="13" t="str" cm="1">
        <f t="array" ref="E45">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45" s="13" t="str" cm="1">
        <f t="array" ref="F45">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45" s="13" t="str" cm="1">
        <f t="array" ref="G45">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45" s="13" t="str" cm="1">
        <f t="array" ref="H45">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45" s="13" t="str" cm="1">
        <f t="array" ref="I45">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45" s="13" t="str" cm="1">
        <f t="array" ref="J45">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45" s="13" t="str" cm="1">
        <f t="array" ref="K45">IF(ROW()-ROW(tbl_WR_EligibilitySummary[#Headers])&lt;=ROWS(tbl_WR_Assessment[ActionID]),INDEX(tbl_WR_Assessment[ReviewStatus],ROW()-ROW(tbl_WR_EligibilitySummary[#Headers])),INDEX(tbl_WR_AdditionalActions[ReviewStatus],ROW()-ROW(tbl_WR_EligibilitySummary[#Headers])-ROWS(tbl_WR_Assessment[ActionID])))</f>
        <v>Not assessed</v>
      </c>
      <c r="L45" s="87"/>
      <c r="M45" s="87"/>
      <c r="N45" s="87"/>
      <c r="O45" s="87"/>
      <c r="P45" s="87"/>
      <c r="Q45" s="87"/>
      <c r="R45" s="87"/>
      <c r="S45" s="87"/>
      <c r="T45" s="87"/>
      <c r="U45" s="87"/>
      <c r="V45" s="87"/>
      <c r="AA45" s="186"/>
      <c r="AB45" s="186"/>
      <c r="AC45" s="186"/>
      <c r="AD45" s="186"/>
      <c r="AE45" s="186"/>
      <c r="AF45" s="186"/>
      <c r="AG45" s="186"/>
      <c r="AH45" s="186"/>
      <c r="AI45" s="186"/>
      <c r="AJ45" s="186"/>
    </row>
    <row r="46" spans="2:36" s="185" customFormat="1">
      <c r="B46" s="13" t="str" cm="1">
        <f t="array" ref="B46">IF(ROW()-ROW(tbl_WR_EligibilitySummary[#Headers])&lt;=ROWS(tbl_WR_Assessment[ActionID]),"Existing action","Additional action")</f>
        <v>Existing action</v>
      </c>
      <c r="C46" s="13" t="str" cm="1">
        <f t="array" ref="C46">IF(ROW()-ROW(tbl_WR_EligibilitySummary[#Headers])&lt;=ROWS(tbl_WR_Assessment[ActionID]),INDEX(tbl_WR_Assessment[ActionID],ROW()-ROW(tbl_WR_EligibilitySummary[#Headers])),INDEX(tbl_WR_AdditionalActions[AdditionalActionID],ROW()-ROW(tbl_WR_EligibilitySummary[#Headers])-ROWS(tbl_WR_Assessment[ActionID])))</f>
        <v>ipcc_0088</v>
      </c>
      <c r="D46" s="13" t="str" cm="1">
        <f t="array" ref="D46">IF(ROW()-ROW(tbl_WR_EligibilitySummary[#Headers])&lt;=ROWS(tbl_WR_Assessment[ActionID]),INDEX(tbl_WR_Assessment[ActionName],ROW()-ROW(tbl_WR_EligibilitySummary[#Headers])),INDEX(tbl_WR_AdditionalActions[ActionName],ROW()-ROW(tbl_WR_EligibilitySummary[#Headers])-ROWS(tbl_WR_Assessment[ActionID])))</f>
        <v>Update and enforce climate‑resilient building codes</v>
      </c>
      <c r="E46" s="13" t="str" cm="1">
        <f t="array" ref="E46">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46" s="13" t="str" cm="1">
        <f t="array" ref="F46">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46" s="13" t="str" cm="1">
        <f t="array" ref="G46">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46" s="13" t="str" cm="1">
        <f t="array" ref="H46">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46" s="13" t="str" cm="1">
        <f t="array" ref="I46">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46" s="13" t="str" cm="1">
        <f t="array" ref="J46">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46" s="13" t="str" cm="1">
        <f t="array" ref="K46">IF(ROW()-ROW(tbl_WR_EligibilitySummary[#Headers])&lt;=ROWS(tbl_WR_Assessment[ActionID]),INDEX(tbl_WR_Assessment[ReviewStatus],ROW()-ROW(tbl_WR_EligibilitySummary[#Headers])),INDEX(tbl_WR_AdditionalActions[ReviewStatus],ROW()-ROW(tbl_WR_EligibilitySummary[#Headers])-ROWS(tbl_WR_Assessment[ActionID])))</f>
        <v>Not assessed</v>
      </c>
      <c r="L46" s="87"/>
      <c r="M46" s="87"/>
      <c r="N46" s="87"/>
      <c r="O46" s="87"/>
      <c r="P46" s="87"/>
      <c r="Q46" s="87"/>
      <c r="R46" s="87"/>
      <c r="S46" s="87"/>
      <c r="T46" s="87"/>
      <c r="U46" s="87"/>
      <c r="V46" s="87"/>
      <c r="AA46" s="186"/>
      <c r="AB46" s="186"/>
      <c r="AC46" s="186"/>
      <c r="AD46" s="186"/>
      <c r="AE46" s="186"/>
      <c r="AF46" s="186"/>
      <c r="AG46" s="186"/>
      <c r="AH46" s="186"/>
      <c r="AI46" s="186"/>
      <c r="AJ46" s="186"/>
    </row>
    <row r="47" spans="2:36" s="185" customFormat="1">
      <c r="B47" s="13" t="str" cm="1">
        <f t="array" ref="B47">IF(ROW()-ROW(tbl_WR_EligibilitySummary[#Headers])&lt;=ROWS(tbl_WR_Assessment[ActionID]),"Existing action","Additional action")</f>
        <v>Existing action</v>
      </c>
      <c r="C47" s="13" t="str" cm="1">
        <f t="array" ref="C47">IF(ROW()-ROW(tbl_WR_EligibilitySummary[#Headers])&lt;=ROWS(tbl_WR_Assessment[ActionID]),INDEX(tbl_WR_Assessment[ActionID],ROW()-ROW(tbl_WR_EligibilitySummary[#Headers])),INDEX(tbl_WR_AdditionalActions[AdditionalActionID],ROW()-ROW(tbl_WR_EligibilitySummary[#Headers])-ROWS(tbl_WR_Assessment[ActionID])))</f>
        <v>ipcc_0089</v>
      </c>
      <c r="D47" s="13" t="str" cm="1">
        <f t="array" ref="D47">IF(ROW()-ROW(tbl_WR_EligibilitySummary[#Headers])&lt;=ROWS(tbl_WR_Assessment[ActionID]),INDEX(tbl_WR_Assessment[ActionName],ROW()-ROW(tbl_WR_EligibilitySummary[#Headers])),INDEX(tbl_WR_AdditionalActions[ActionName],ROW()-ROW(tbl_WR_EligibilitySummary[#Headers])-ROWS(tbl_WR_Assessment[ActionID])))</f>
        <v>Spatially redirect development</v>
      </c>
      <c r="E47" s="13" t="str" cm="1">
        <f t="array" ref="E47">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47" s="13" t="str" cm="1">
        <f t="array" ref="F47">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47" s="13" t="str" cm="1">
        <f t="array" ref="G47">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47" s="13" t="str" cm="1">
        <f t="array" ref="H47">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47" s="13" t="str" cm="1">
        <f t="array" ref="I47">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47" s="13" t="str" cm="1">
        <f t="array" ref="J47">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47" s="13" t="str" cm="1">
        <f t="array" ref="K47">IF(ROW()-ROW(tbl_WR_EligibilitySummary[#Headers])&lt;=ROWS(tbl_WR_Assessment[ActionID]),INDEX(tbl_WR_Assessment[ReviewStatus],ROW()-ROW(tbl_WR_EligibilitySummary[#Headers])),INDEX(tbl_WR_AdditionalActions[ReviewStatus],ROW()-ROW(tbl_WR_EligibilitySummary[#Headers])-ROWS(tbl_WR_Assessment[ActionID])))</f>
        <v>Not assessed</v>
      </c>
      <c r="L47" s="87"/>
      <c r="M47" s="87"/>
      <c r="N47" s="87"/>
      <c r="O47" s="87"/>
      <c r="P47" s="87"/>
      <c r="Q47" s="87"/>
      <c r="R47" s="87"/>
      <c r="S47" s="87"/>
      <c r="T47" s="87"/>
      <c r="U47" s="87"/>
      <c r="V47" s="87"/>
      <c r="AA47" s="186"/>
      <c r="AB47" s="186"/>
      <c r="AC47" s="186"/>
      <c r="AD47" s="186"/>
      <c r="AE47" s="186"/>
      <c r="AF47" s="186"/>
      <c r="AG47" s="186"/>
      <c r="AH47" s="186"/>
      <c r="AI47" s="186"/>
      <c r="AJ47" s="186"/>
    </row>
    <row r="48" spans="2:36" s="185" customFormat="1">
      <c r="B48" s="13" t="str" cm="1">
        <f t="array" ref="B48">IF(ROW()-ROW(tbl_WR_EligibilitySummary[#Headers])&lt;=ROWS(tbl_WR_Assessment[ActionID]),"Existing action","Additional action")</f>
        <v>Existing action</v>
      </c>
      <c r="C48" s="13" t="str" cm="1">
        <f t="array" ref="C48">IF(ROW()-ROW(tbl_WR_EligibilitySummary[#Headers])&lt;=ROWS(tbl_WR_Assessment[ActionID]),INDEX(tbl_WR_Assessment[ActionID],ROW()-ROW(tbl_WR_EligibilitySummary[#Headers])),INDEX(tbl_WR_AdditionalActions[AdditionalActionID],ROW()-ROW(tbl_WR_EligibilitySummary[#Headers])-ROWS(tbl_WR_Assessment[ActionID])))</f>
        <v>ipcc_0090</v>
      </c>
      <c r="D48" s="13" t="str" cm="1">
        <f t="array" ref="D48">IF(ROW()-ROW(tbl_WR_EligibilitySummary[#Headers])&lt;=ROWS(tbl_WR_Assessment[ActionID]),INDEX(tbl_WR_Assessment[ActionName],ROW()-ROW(tbl_WR_EligibilitySummary[#Headers])),INDEX(tbl_WR_AdditionalActions[ActionName],ROW()-ROW(tbl_WR_EligibilitySummary[#Headers])-ROWS(tbl_WR_Assessment[ActionID])))</f>
        <v>Expand climate risk insurance coverage</v>
      </c>
      <c r="E48" s="13" t="str" cm="1">
        <f t="array" ref="E48">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48" s="13" t="str" cm="1">
        <f t="array" ref="F48">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48" s="13" t="str" cm="1">
        <f t="array" ref="G48">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48" s="13" t="str" cm="1">
        <f t="array" ref="H48">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48" s="13" t="str" cm="1">
        <f t="array" ref="I48">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48" s="13" t="str" cm="1">
        <f t="array" ref="J48">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48" s="13" t="str" cm="1">
        <f t="array" ref="K48">IF(ROW()-ROW(tbl_WR_EligibilitySummary[#Headers])&lt;=ROWS(tbl_WR_Assessment[ActionID]),INDEX(tbl_WR_Assessment[ReviewStatus],ROW()-ROW(tbl_WR_EligibilitySummary[#Headers])),INDEX(tbl_WR_AdditionalActions[ReviewStatus],ROW()-ROW(tbl_WR_EligibilitySummary[#Headers])-ROWS(tbl_WR_Assessment[ActionID])))</f>
        <v>Not assessed</v>
      </c>
      <c r="L48" s="87"/>
      <c r="M48" s="87"/>
      <c r="N48" s="87"/>
      <c r="O48" s="87"/>
      <c r="P48" s="87"/>
      <c r="Q48" s="87"/>
      <c r="R48" s="87"/>
      <c r="S48" s="87"/>
      <c r="T48" s="87"/>
      <c r="U48" s="87"/>
      <c r="V48" s="87"/>
      <c r="AA48" s="186"/>
      <c r="AB48" s="186"/>
      <c r="AC48" s="186"/>
      <c r="AD48" s="186"/>
      <c r="AE48" s="186"/>
      <c r="AF48" s="186"/>
      <c r="AG48" s="186"/>
      <c r="AH48" s="186"/>
      <c r="AI48" s="186"/>
      <c r="AJ48" s="186"/>
    </row>
    <row r="49" spans="1:36" s="185" customFormat="1">
      <c r="B49" s="13" t="str" cm="1">
        <f t="array" ref="B49">IF(ROW()-ROW(tbl_WR_EligibilitySummary[#Headers])&lt;=ROWS(tbl_WR_Assessment[ActionID]),"Existing action","Additional action")</f>
        <v>Existing action</v>
      </c>
      <c r="C49" s="13" t="str" cm="1">
        <f t="array" ref="C49">IF(ROW()-ROW(tbl_WR_EligibilitySummary[#Headers])&lt;=ROWS(tbl_WR_Assessment[ActionID]),INDEX(tbl_WR_Assessment[ActionID],ROW()-ROW(tbl_WR_EligibilitySummary[#Headers])),INDEX(tbl_WR_AdditionalActions[AdditionalActionID],ROW()-ROW(tbl_WR_EligibilitySummary[#Headers])-ROWS(tbl_WR_Assessment[ActionID])))</f>
        <v>ipcc_0091</v>
      </c>
      <c r="D49" s="13" t="str" cm="1">
        <f t="array" ref="D49">IF(ROW()-ROW(tbl_WR_EligibilitySummary[#Headers])&lt;=ROWS(tbl_WR_Assessment[ActionID]),INDEX(tbl_WR_Assessment[ActionName],ROW()-ROW(tbl_WR_EligibilitySummary[#Headers])),INDEX(tbl_WR_AdditionalActions[ActionName],ROW()-ROW(tbl_WR_EligibilitySummary[#Headers])-ROWS(tbl_WR_Assessment[ActionID])))</f>
        <v>Support livelihood diversification for climate resilience</v>
      </c>
      <c r="E49" s="13" t="str" cm="1">
        <f t="array" ref="E49">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49" s="13" t="str" cm="1">
        <f t="array" ref="F49">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49" s="13" t="str" cm="1">
        <f t="array" ref="G49">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49" s="13" t="str" cm="1">
        <f t="array" ref="H49">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49" s="13" t="str" cm="1">
        <f t="array" ref="I49">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49" s="13" t="str" cm="1">
        <f t="array" ref="J49">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49" s="13" t="str" cm="1">
        <f t="array" ref="K49">IF(ROW()-ROW(tbl_WR_EligibilitySummary[#Headers])&lt;=ROWS(tbl_WR_Assessment[ActionID]),INDEX(tbl_WR_Assessment[ReviewStatus],ROW()-ROW(tbl_WR_EligibilitySummary[#Headers])),INDEX(tbl_WR_AdditionalActions[ReviewStatus],ROW()-ROW(tbl_WR_EligibilitySummary[#Headers])-ROWS(tbl_WR_Assessment[ActionID])))</f>
        <v>Not assessed</v>
      </c>
      <c r="L49" s="87"/>
      <c r="M49" s="87"/>
      <c r="N49" s="87"/>
      <c r="O49" s="87"/>
      <c r="P49" s="87"/>
      <c r="Q49" s="87"/>
      <c r="R49" s="87"/>
      <c r="S49" s="87"/>
      <c r="T49" s="87"/>
      <c r="U49" s="87"/>
      <c r="V49" s="87"/>
      <c r="AA49" s="186"/>
      <c r="AB49" s="186"/>
      <c r="AC49" s="186"/>
      <c r="AD49" s="186"/>
      <c r="AE49" s="186"/>
      <c r="AF49" s="186"/>
      <c r="AG49" s="186"/>
      <c r="AH49" s="186"/>
      <c r="AI49" s="186"/>
      <c r="AJ49" s="186"/>
    </row>
    <row r="50" spans="1:36" s="185" customFormat="1">
      <c r="B50" s="13" t="str" cm="1">
        <f t="array" ref="B50">IF(ROW()-ROW(tbl_WR_EligibilitySummary[#Headers])&lt;=ROWS(tbl_WR_Assessment[ActionID]),"Existing action","Additional action")</f>
        <v>Existing action</v>
      </c>
      <c r="C50" s="13" t="str" cm="1">
        <f t="array" ref="C50">IF(ROW()-ROW(tbl_WR_EligibilitySummary[#Headers])&lt;=ROWS(tbl_WR_Assessment[ActionID]),INDEX(tbl_WR_Assessment[ActionID],ROW()-ROW(tbl_WR_EligibilitySummary[#Headers])),INDEX(tbl_WR_AdditionalActions[AdditionalActionID],ROW()-ROW(tbl_WR_EligibilitySummary[#Headers])-ROWS(tbl_WR_Assessment[ActionID])))</f>
        <v>ipcc_0092</v>
      </c>
      <c r="D50" s="13" t="str" cm="1">
        <f t="array" ref="D50">IF(ROW()-ROW(tbl_WR_EligibilitySummary[#Headers])&lt;=ROWS(tbl_WR_Assessment[ActionID]),INDEX(tbl_WR_Assessment[ActionName],ROW()-ROW(tbl_WR_EligibilitySummary[#Headers])),INDEX(tbl_WR_AdditionalActions[ActionName],ROW()-ROW(tbl_WR_EligibilitySummary[#Headers])-ROWS(tbl_WR_Assessment[ActionID])))</f>
        <v>Expand climate‑responsive social safety nets</v>
      </c>
      <c r="E50" s="13" t="str" cm="1">
        <f t="array" ref="E50">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50" s="13" t="str" cm="1">
        <f t="array" ref="F50">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50" s="13" t="str" cm="1">
        <f t="array" ref="G50">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50" s="13" t="str" cm="1">
        <f t="array" ref="H50">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50" s="13" t="str" cm="1">
        <f t="array" ref="I50">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50" s="13" t="str" cm="1">
        <f t="array" ref="J50">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50" s="13" t="str" cm="1">
        <f t="array" ref="K50">IF(ROW()-ROW(tbl_WR_EligibilitySummary[#Headers])&lt;=ROWS(tbl_WR_Assessment[ActionID]),INDEX(tbl_WR_Assessment[ReviewStatus],ROW()-ROW(tbl_WR_EligibilitySummary[#Headers])),INDEX(tbl_WR_AdditionalActions[ReviewStatus],ROW()-ROW(tbl_WR_EligibilitySummary[#Headers])-ROWS(tbl_WR_Assessment[ActionID])))</f>
        <v>Not assessed</v>
      </c>
      <c r="L50" s="87"/>
      <c r="M50" s="87"/>
      <c r="N50" s="87"/>
      <c r="O50" s="87"/>
      <c r="P50" s="87"/>
      <c r="Q50" s="87"/>
      <c r="R50" s="87"/>
      <c r="S50" s="87"/>
      <c r="T50" s="87"/>
      <c r="U50" s="87"/>
      <c r="V50" s="87"/>
      <c r="AA50" s="186"/>
      <c r="AB50" s="186"/>
      <c r="AC50" s="186"/>
      <c r="AD50" s="186"/>
      <c r="AE50" s="186"/>
      <c r="AF50" s="186"/>
      <c r="AG50" s="186"/>
      <c r="AH50" s="186"/>
      <c r="AI50" s="186"/>
      <c r="AJ50" s="186"/>
    </row>
    <row r="51" spans="1:36" s="185" customFormat="1">
      <c r="B51" s="13" t="str" cm="1">
        <f t="array" ref="B51">IF(ROW()-ROW(tbl_WR_EligibilitySummary[#Headers])&lt;=ROWS(tbl_WR_Assessment[ActionID]),"Existing action","Additional action")</f>
        <v>Existing action</v>
      </c>
      <c r="C51" s="13" t="str" cm="1">
        <f t="array" ref="C51">IF(ROW()-ROW(tbl_WR_EligibilitySummary[#Headers])&lt;=ROWS(tbl_WR_Assessment[ActionID]),INDEX(tbl_WR_Assessment[ActionID],ROW()-ROW(tbl_WR_EligibilitySummary[#Headers])),INDEX(tbl_WR_AdditionalActions[AdditionalActionID],ROW()-ROW(tbl_WR_EligibilitySummary[#Headers])-ROWS(tbl_WR_Assessment[ActionID])))</f>
        <v>ipcc_0094</v>
      </c>
      <c r="D51" s="13" t="str" cm="1">
        <f t="array" ref="D51">IF(ROW()-ROW(tbl_WR_EligibilitySummary[#Headers])&lt;=ROWS(tbl_WR_Assessment[ActionID]),INDEX(tbl_WR_Assessment[ActionName],ROW()-ROW(tbl_WR_EligibilitySummary[#Headers])),INDEX(tbl_WR_AdditionalActions[ActionName],ROW()-ROW(tbl_WR_EligibilitySummary[#Headers])-ROWS(tbl_WR_Assessment[ActionID])))</f>
        <v>Strengthen climate‑resilient health services</v>
      </c>
      <c r="E51" s="13" t="str" cm="1">
        <f t="array" ref="E51">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51" s="13" cm="1">
        <f t="array" ref="F51">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1</v>
      </c>
      <c r="G51" s="13" t="str" cm="1">
        <f t="array" ref="G51">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Medium effectiveness</v>
      </c>
      <c r="H51" s="13" t="str" cm="1">
        <f t="array" ref="H51">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51" s="13" t="str" cm="1">
        <f t="array" ref="I51">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51" s="13" t="str" cm="1">
        <f t="array" ref="J51">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51" s="13" t="str" cm="1">
        <f t="array" ref="K51">IF(ROW()-ROW(tbl_WR_EligibilitySummary[#Headers])&lt;=ROWS(tbl_WR_Assessment[ActionID]),INDEX(tbl_WR_Assessment[ReviewStatus],ROW()-ROW(tbl_WR_EligibilitySummary[#Headers])),INDEX(tbl_WR_AdditionalActions[ReviewStatus],ROW()-ROW(tbl_WR_EligibilitySummary[#Headers])-ROWS(tbl_WR_Assessment[ActionID])))</f>
        <v>Evidence added</v>
      </c>
      <c r="L51" s="87"/>
      <c r="M51" s="87"/>
      <c r="N51" s="87"/>
      <c r="O51" s="87"/>
      <c r="P51" s="87"/>
      <c r="Q51" s="87"/>
      <c r="R51" s="87"/>
      <c r="S51" s="87"/>
      <c r="T51" s="87"/>
      <c r="U51" s="87"/>
      <c r="V51" s="87"/>
      <c r="AA51" s="186"/>
      <c r="AB51" s="186"/>
      <c r="AC51" s="186"/>
      <c r="AD51" s="186"/>
      <c r="AE51" s="186"/>
      <c r="AF51" s="186"/>
      <c r="AG51" s="186"/>
      <c r="AH51" s="186"/>
      <c r="AI51" s="186"/>
      <c r="AJ51" s="186"/>
    </row>
    <row r="52" spans="1:36" s="185" customFormat="1">
      <c r="B52" s="13" t="str" cm="1">
        <f t="array" ref="B52">IF(ROW()-ROW(tbl_WR_EligibilitySummary[#Headers])&lt;=ROWS(tbl_WR_Assessment[ActionID]),"Existing action","Additional action")</f>
        <v>Existing action</v>
      </c>
      <c r="C52" s="13" t="str" cm="1">
        <f t="array" ref="C52">IF(ROW()-ROW(tbl_WR_EligibilitySummary[#Headers])&lt;=ROWS(tbl_WR_Assessment[ActionID]),INDEX(tbl_WR_Assessment[ActionID],ROW()-ROW(tbl_WR_EligibilitySummary[#Headers])),INDEX(tbl_WR_AdditionalActions[AdditionalActionID],ROW()-ROW(tbl_WR_EligibilitySummary[#Headers])-ROWS(tbl_WR_Assessment[ActionID])))</f>
        <v>ipcc_0096</v>
      </c>
      <c r="D52" s="13" t="str" cm="1">
        <f t="array" ref="D52">IF(ROW()-ROW(tbl_WR_EligibilitySummary[#Headers])&lt;=ROWS(tbl_WR_Assessment[ActionID]),INDEX(tbl_WR_Assessment[ActionName],ROW()-ROW(tbl_WR_EligibilitySummary[#Headers])),INDEX(tbl_WR_AdditionalActions[ActionName],ROW()-ROW(tbl_WR_EligibilitySummary[#Headers])-ROWS(tbl_WR_Assessment[ActionID])))</f>
        <v>Strengthen climate resilience in farming and fisheries</v>
      </c>
      <c r="E52" s="13" t="str" cm="1">
        <f t="array" ref="E52">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52" s="13" cm="1">
        <f t="array" ref="F52">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2</v>
      </c>
      <c r="G52" s="13" t="str" cm="1">
        <f t="array" ref="G52">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High effectiveness</v>
      </c>
      <c r="H52" s="13" t="str" cm="1">
        <f t="array" ref="H52">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52" s="13" t="str" cm="1">
        <f t="array" ref="I52">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52" s="13" t="str" cm="1">
        <f t="array" ref="J52">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52" s="13" t="str" cm="1">
        <f t="array" ref="K52">IF(ROW()-ROW(tbl_WR_EligibilitySummary[#Headers])&lt;=ROWS(tbl_WR_Assessment[ActionID]),INDEX(tbl_WR_Assessment[ReviewStatus],ROW()-ROW(tbl_WR_EligibilitySummary[#Headers])),INDEX(tbl_WR_AdditionalActions[ReviewStatus],ROW()-ROW(tbl_WR_EligibilitySummary[#Headers])-ROWS(tbl_WR_Assessment[ActionID])))</f>
        <v>Evidence added</v>
      </c>
      <c r="L52" s="87"/>
      <c r="M52" s="87"/>
      <c r="N52" s="87"/>
      <c r="O52" s="87"/>
      <c r="P52" s="87"/>
      <c r="Q52" s="87"/>
      <c r="R52" s="87"/>
      <c r="S52" s="87"/>
      <c r="T52" s="87"/>
      <c r="U52" s="87"/>
      <c r="V52" s="87"/>
      <c r="AA52" s="186"/>
      <c r="AB52" s="186"/>
      <c r="AC52" s="186"/>
      <c r="AD52" s="186"/>
      <c r="AE52" s="186"/>
      <c r="AF52" s="186"/>
      <c r="AG52" s="186"/>
      <c r="AH52" s="186"/>
      <c r="AI52" s="186"/>
      <c r="AJ52" s="186"/>
    </row>
    <row r="53" spans="1:36" s="185" customFormat="1">
      <c r="B53" s="13" t="str" cm="1">
        <f t="array" ref="B53">IF(ROW()-ROW(tbl_WR_EligibilitySummary[#Headers])&lt;=ROWS(tbl_WR_Assessment[ActionID]),"Existing action","Additional action")</f>
        <v>Existing action</v>
      </c>
      <c r="C53" s="13" t="str" cm="1">
        <f t="array" ref="C53">IF(ROW()-ROW(tbl_WR_EligibilitySummary[#Headers])&lt;=ROWS(tbl_WR_Assessment[ActionID]),INDEX(tbl_WR_Assessment[ActionID],ROW()-ROW(tbl_WR_EligibilitySummary[#Headers])),INDEX(tbl_WR_AdditionalActions[AdditionalActionID],ROW()-ROW(tbl_WR_EligibilitySummary[#Headers])-ROWS(tbl_WR_Assessment[ActionID])))</f>
        <v>ipcc_0097</v>
      </c>
      <c r="D53" s="13" t="str" cm="1">
        <f t="array" ref="D53">IF(ROW()-ROW(tbl_WR_EligibilitySummary[#Headers])&lt;=ROWS(tbl_WR_Assessment[ActionID]),INDEX(tbl_WR_Assessment[ActionName],ROW()-ROW(tbl_WR_EligibilitySummary[#Headers])),INDEX(tbl_WR_AdditionalActions[ActionName],ROW()-ROW(tbl_WR_EligibilitySummary[#Headers])-ROWS(tbl_WR_Assessment[ActionID])))</f>
        <v>Upgrade food storage and distribution for climate resilience</v>
      </c>
      <c r="E53" s="13" t="str" cm="1">
        <f t="array" ref="E53">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53" s="13" t="str" cm="1">
        <f t="array" ref="F53">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53" s="13" t="str" cm="1">
        <f t="array" ref="G53">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53" s="13" t="str" cm="1">
        <f t="array" ref="H53">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53" s="13" t="str" cm="1">
        <f t="array" ref="I53">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53" s="13" t="str" cm="1">
        <f t="array" ref="J53">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53" s="13" t="str" cm="1">
        <f t="array" ref="K53">IF(ROW()-ROW(tbl_WR_EligibilitySummary[#Headers])&lt;=ROWS(tbl_WR_Assessment[ActionID]),INDEX(tbl_WR_Assessment[ReviewStatus],ROW()-ROW(tbl_WR_EligibilitySummary[#Headers])),INDEX(tbl_WR_AdditionalActions[ReviewStatus],ROW()-ROW(tbl_WR_EligibilitySummary[#Headers])-ROWS(tbl_WR_Assessment[ActionID])))</f>
        <v>Not assessed</v>
      </c>
      <c r="L53" s="87"/>
      <c r="M53" s="87"/>
      <c r="N53" s="87"/>
      <c r="O53" s="87"/>
      <c r="P53" s="87"/>
      <c r="Q53" s="87"/>
      <c r="R53" s="87"/>
      <c r="S53" s="87"/>
      <c r="T53" s="87"/>
      <c r="U53" s="87"/>
      <c r="V53" s="87"/>
      <c r="AA53" s="186"/>
      <c r="AB53" s="186"/>
      <c r="AC53" s="186"/>
      <c r="AD53" s="186"/>
      <c r="AE53" s="186"/>
      <c r="AF53" s="186"/>
      <c r="AG53" s="186"/>
      <c r="AH53" s="186"/>
      <c r="AI53" s="186"/>
      <c r="AJ53" s="186"/>
    </row>
    <row r="54" spans="1:36" s="185" customFormat="1">
      <c r="B54" s="13" t="str" cm="1">
        <f t="array" ref="B54">IF(ROW()-ROW(tbl_WR_EligibilitySummary[#Headers])&lt;=ROWS(tbl_WR_Assessment[ActionID]),"Existing action","Additional action")</f>
        <v>Existing action</v>
      </c>
      <c r="C54" s="13" t="str" cm="1">
        <f t="array" ref="C54">IF(ROW()-ROW(tbl_WR_EligibilitySummary[#Headers])&lt;=ROWS(tbl_WR_Assessment[ActionID]),INDEX(tbl_WR_Assessment[ActionID],ROW()-ROW(tbl_WR_EligibilitySummary[#Headers])),INDEX(tbl_WR_AdditionalActions[AdditionalActionID],ROW()-ROW(tbl_WR_EligibilitySummary[#Headers])-ROWS(tbl_WR_Assessment[ActionID])))</f>
        <v>ipcc_0098</v>
      </c>
      <c r="D54" s="13" t="str" cm="1">
        <f t="array" ref="D54">IF(ROW()-ROW(tbl_WR_EligibilitySummary[#Headers])&lt;=ROWS(tbl_WR_Assessment[ActionID]),INDEX(tbl_WR_Assessment[ActionName],ROW()-ROW(tbl_WR_EligibilitySummary[#Headers])),INDEX(tbl_WR_AdditionalActions[ActionName],ROW()-ROW(tbl_WR_EligibilitySummary[#Headers])-ROWS(tbl_WR_Assessment[ActionID])))</f>
        <v>Increase resilience by improving access to food, improving livelihoods and promoting dietary shifts and food waste reduction</v>
      </c>
      <c r="E54" s="13" t="str" cm="1">
        <f t="array" ref="E54">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54" s="13" cm="1">
        <f t="array" ref="F54">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2</v>
      </c>
      <c r="G54" s="13" t="str" cm="1">
        <f t="array" ref="G54">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54" s="13" t="str" cm="1">
        <f t="array" ref="H54">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54" s="13" t="str" cm="1">
        <f t="array" ref="I54">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54" s="13" t="str" cm="1">
        <f t="array" ref="J54">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54" s="13" t="str" cm="1">
        <f t="array" ref="K54">IF(ROW()-ROW(tbl_WR_EligibilitySummary[#Headers])&lt;=ROWS(tbl_WR_Assessment[ActionID]),INDEX(tbl_WR_Assessment[ReviewStatus],ROW()-ROW(tbl_WR_EligibilitySummary[#Headers])),INDEX(tbl_WR_AdditionalActions[ReviewStatus],ROW()-ROW(tbl_WR_EligibilitySummary[#Headers])-ROWS(tbl_WR_Assessment[ActionID])))</f>
        <v>Eligibility corrected</v>
      </c>
      <c r="L54" s="87"/>
      <c r="M54" s="87"/>
      <c r="N54" s="87"/>
      <c r="O54" s="87"/>
      <c r="P54" s="87"/>
      <c r="Q54" s="87"/>
      <c r="R54" s="87"/>
      <c r="S54" s="87"/>
      <c r="T54" s="87"/>
      <c r="U54" s="87"/>
      <c r="V54" s="87"/>
      <c r="AA54" s="186"/>
      <c r="AB54" s="186"/>
      <c r="AC54" s="186"/>
      <c r="AD54" s="186"/>
      <c r="AE54" s="186"/>
      <c r="AF54" s="186"/>
      <c r="AG54" s="186"/>
      <c r="AH54" s="186"/>
      <c r="AI54" s="186"/>
      <c r="AJ54" s="186"/>
    </row>
    <row r="55" spans="1:36" s="185" customFormat="1">
      <c r="B55" s="13" t="str" cm="1">
        <f t="array" ref="B55">IF(ROW()-ROW(tbl_WR_EligibilitySummary[#Headers])&lt;=ROWS(tbl_WR_Assessment[ActionID]),"Existing action","Additional action")</f>
        <v>Existing action</v>
      </c>
      <c r="C55" s="13" t="str" cm="1">
        <f t="array" ref="C55">IF(ROW()-ROW(tbl_WR_EligibilitySummary[#Headers])&lt;=ROWS(tbl_WR_Assessment[ActionID]),INDEX(tbl_WR_Assessment[ActionID],ROW()-ROW(tbl_WR_EligibilitySummary[#Headers])),INDEX(tbl_WR_AdditionalActions[AdditionalActionID],ROW()-ROW(tbl_WR_EligibilitySummary[#Headers])-ROWS(tbl_WR_Assessment[ActionID])))</f>
        <v>ipcc_0099</v>
      </c>
      <c r="D55" s="13" t="str" cm="1">
        <f t="array" ref="D55">IF(ROW()-ROW(tbl_WR_EligibilitySummary[#Headers])&lt;=ROWS(tbl_WR_Assessment[ActionID]),INDEX(tbl_WR_Assessment[ActionName],ROW()-ROW(tbl_WR_EligibilitySummary[#Headers])),INDEX(tbl_WR_AdditionalActions[ActionName],ROW()-ROW(tbl_WR_EligibilitySummary[#Headers])-ROWS(tbl_WR_Assessment[ActionID])))</f>
        <v>Increase Water Capture and Storage</v>
      </c>
      <c r="E55" s="13" t="str" cm="1">
        <f t="array" ref="E55">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55" s="13" cm="1">
        <f t="array" ref="F55">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3</v>
      </c>
      <c r="G55" s="13" t="str" cm="1">
        <f t="array" ref="G55">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High effectiveness</v>
      </c>
      <c r="H55" s="13" t="str" cm="1">
        <f t="array" ref="H55">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55" s="13" t="str" cm="1">
        <f t="array" ref="I55">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55" s="13" t="str" cm="1">
        <f t="array" ref="J55">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55" s="13" t="str" cm="1">
        <f t="array" ref="K55">IF(ROW()-ROW(tbl_WR_EligibilitySummary[#Headers])&lt;=ROWS(tbl_WR_Assessment[ActionID]),INDEX(tbl_WR_Assessment[ReviewStatus],ROW()-ROW(tbl_WR_EligibilitySummary[#Headers])),INDEX(tbl_WR_AdditionalActions[ReviewStatus],ROW()-ROW(tbl_WR_EligibilitySummary[#Headers])-ROWS(tbl_WR_Assessment[ActionID])))</f>
        <v>Evidence added</v>
      </c>
      <c r="L55" s="87"/>
      <c r="M55" s="87"/>
      <c r="N55" s="87"/>
      <c r="O55" s="87"/>
      <c r="P55" s="87"/>
      <c r="Q55" s="87"/>
      <c r="R55" s="87"/>
      <c r="S55" s="87"/>
      <c r="T55" s="87"/>
      <c r="U55" s="87"/>
      <c r="V55" s="87"/>
      <c r="AA55" s="186"/>
      <c r="AB55" s="186"/>
      <c r="AC55" s="186"/>
      <c r="AD55" s="186"/>
      <c r="AE55" s="186"/>
      <c r="AF55" s="186"/>
      <c r="AG55" s="186"/>
      <c r="AH55" s="186"/>
      <c r="AI55" s="186"/>
      <c r="AJ55" s="186"/>
    </row>
    <row r="56" spans="1:36" s="185" customFormat="1">
      <c r="B56" s="13" t="str" cm="1">
        <f t="array" ref="B56">IF(ROW()-ROW(tbl_WR_EligibilitySummary[#Headers])&lt;=ROWS(tbl_WR_Assessment[ActionID]),"Existing action","Additional action")</f>
        <v>Existing action</v>
      </c>
      <c r="C56" s="13" t="str" cm="1">
        <f t="array" ref="C56">IF(ROW()-ROW(tbl_WR_EligibilitySummary[#Headers])&lt;=ROWS(tbl_WR_Assessment[ActionID]),INDEX(tbl_WR_Assessment[ActionID],ROW()-ROW(tbl_WR_EligibilitySummary[#Headers])),INDEX(tbl_WR_AdditionalActions[AdditionalActionID],ROW()-ROW(tbl_WR_EligibilitySummary[#Headers])-ROWS(tbl_WR_Assessment[ActionID])))</f>
        <v>ipcc_0100</v>
      </c>
      <c r="D56" s="13" t="str" cm="1">
        <f t="array" ref="D56">IF(ROW()-ROW(tbl_WR_EligibilitySummary[#Headers])&lt;=ROWS(tbl_WR_Assessment[ActionID]),INDEX(tbl_WR_Assessment[ActionName],ROW()-ROW(tbl_WR_EligibilitySummary[#Headers])),INDEX(tbl_WR_AdditionalActions[ActionName],ROW()-ROW(tbl_WR_EligibilitySummary[#Headers])-ROWS(tbl_WR_Assessment[ActionID])))</f>
        <v>Improve Efficient water use/demand</v>
      </c>
      <c r="E56" s="13" t="str" cm="1">
        <f t="array" ref="E56">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56" s="13" cm="1">
        <f t="array" ref="F56">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3</v>
      </c>
      <c r="G56" s="13" t="str" cm="1">
        <f t="array" ref="G56">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High effectiveness</v>
      </c>
      <c r="H56" s="13" t="str" cm="1">
        <f t="array" ref="H56">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56" s="13" t="str" cm="1">
        <f t="array" ref="I56">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56" s="13" t="str" cm="1">
        <f t="array" ref="J56">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56" s="13" t="str" cm="1">
        <f t="array" ref="K56">IF(ROW()-ROW(tbl_WR_EligibilitySummary[#Headers])&lt;=ROWS(tbl_WR_Assessment[ActionID]),INDEX(tbl_WR_Assessment[ReviewStatus],ROW()-ROW(tbl_WR_EligibilitySummary[#Headers])),INDEX(tbl_WR_AdditionalActions[ReviewStatus],ROW()-ROW(tbl_WR_EligibilitySummary[#Headers])-ROWS(tbl_WR_Assessment[ActionID])))</f>
        <v>Evidence added</v>
      </c>
      <c r="L56" s="87"/>
      <c r="M56" s="87"/>
      <c r="N56" s="87"/>
      <c r="O56" s="87"/>
      <c r="P56" s="87"/>
      <c r="Q56" s="87"/>
      <c r="R56" s="87"/>
      <c r="S56" s="87"/>
      <c r="T56" s="87"/>
      <c r="U56" s="87"/>
      <c r="V56" s="87"/>
      <c r="AA56" s="186"/>
      <c r="AB56" s="186"/>
      <c r="AC56" s="186"/>
      <c r="AD56" s="186"/>
      <c r="AE56" s="186"/>
      <c r="AF56" s="186"/>
      <c r="AG56" s="186"/>
      <c r="AH56" s="186"/>
      <c r="AI56" s="186"/>
      <c r="AJ56" s="186"/>
    </row>
    <row r="57" spans="1:36" s="185" customFormat="1">
      <c r="B57" s="13" t="str" cm="1">
        <f t="array" ref="B57">IF(ROW()-ROW(tbl_WR_EligibilitySummary[#Headers])&lt;=ROWS(tbl_WR_Assessment[ActionID]),"Existing action","Additional action")</f>
        <v>Existing action</v>
      </c>
      <c r="C57" s="13" t="str" cm="1">
        <f t="array" ref="C57">IF(ROW()-ROW(tbl_WR_EligibilitySummary[#Headers])&lt;=ROWS(tbl_WR_Assessment[ActionID]),INDEX(tbl_WR_Assessment[ActionID],ROW()-ROW(tbl_WR_EligibilitySummary[#Headers])),INDEX(tbl_WR_AdditionalActions[AdditionalActionID],ROW()-ROW(tbl_WR_EligibilitySummary[#Headers])-ROWS(tbl_WR_Assessment[ActionID])))</f>
        <v>ipcc_0101</v>
      </c>
      <c r="D57" s="13" t="str" cm="1">
        <f t="array" ref="D57">IF(ROW()-ROW(tbl_WR_EligibilitySummary[#Headers])&lt;=ROWS(tbl_WR_Assessment[ActionID]),INDEX(tbl_WR_Assessment[ActionName],ROW()-ROW(tbl_WR_EligibilitySummary[#Headers])),INDEX(tbl_WR_AdditionalActions[ActionName],ROW()-ROW(tbl_WR_EligibilitySummary[#Headers])-ROWS(tbl_WR_Assessment[ActionID])))</f>
        <v>Improve urban water management</v>
      </c>
      <c r="E57" s="13" t="str" cm="1">
        <f t="array" ref="E57">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57" s="13" cm="1">
        <f t="array" ref="F57">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3</v>
      </c>
      <c r="G57" s="13" t="str" cm="1">
        <f t="array" ref="G57">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Medium effectiveness</v>
      </c>
      <c r="H57" s="13" t="str" cm="1">
        <f t="array" ref="H57">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57" s="13" t="str" cm="1">
        <f t="array" ref="I57">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57" s="13" t="str" cm="1">
        <f t="array" ref="J57">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57" s="13" t="str" cm="1">
        <f t="array" ref="K57">IF(ROW()-ROW(tbl_WR_EligibilitySummary[#Headers])&lt;=ROWS(tbl_WR_Assessment[ActionID]),INDEX(tbl_WR_Assessment[ReviewStatus],ROW()-ROW(tbl_WR_EligibilitySummary[#Headers])),INDEX(tbl_WR_AdditionalActions[ReviewStatus],ROW()-ROW(tbl_WR_EligibilitySummary[#Headers])-ROWS(tbl_WR_Assessment[ActionID])))</f>
        <v>Evidence added</v>
      </c>
      <c r="L57" s="87"/>
      <c r="M57" s="87"/>
      <c r="N57" s="87"/>
      <c r="O57" s="87"/>
      <c r="P57" s="87"/>
      <c r="Q57" s="87"/>
      <c r="R57" s="87"/>
      <c r="S57" s="87"/>
      <c r="T57" s="87"/>
      <c r="U57" s="87"/>
      <c r="V57" s="87"/>
      <c r="AA57" s="186"/>
      <c r="AB57" s="186"/>
      <c r="AC57" s="186"/>
      <c r="AD57" s="186"/>
      <c r="AE57" s="186"/>
      <c r="AF57" s="186"/>
      <c r="AG57" s="186"/>
      <c r="AH57" s="186"/>
      <c r="AI57" s="186"/>
      <c r="AJ57" s="186"/>
    </row>
    <row r="58" spans="1:36" s="185" customFormat="1">
      <c r="B58" s="13" t="str" cm="1">
        <f t="array" ref="B58">IF(ROW()-ROW(tbl_WR_EligibilitySummary[#Headers])&lt;=ROWS(tbl_WR_Assessment[ActionID]),"Existing action","Additional action")</f>
        <v>Existing action</v>
      </c>
      <c r="C58" s="13" t="str" cm="1">
        <f t="array" ref="C58">IF(ROW()-ROW(tbl_WR_EligibilitySummary[#Headers])&lt;=ROWS(tbl_WR_Assessment[ActionID]),INDEX(tbl_WR_Assessment[ActionID],ROW()-ROW(tbl_WR_EligibilitySummary[#Headers])),INDEX(tbl_WR_AdditionalActions[AdditionalActionID],ROW()-ROW(tbl_WR_EligibilitySummary[#Headers])-ROWS(tbl_WR_Assessment[ActionID])))</f>
        <v>ipcc_0102</v>
      </c>
      <c r="D58" s="13" t="str" cm="1">
        <f t="array" ref="D58">IF(ROW()-ROW(tbl_WR_EligibilitySummary[#Headers])&lt;=ROWS(tbl_WR_Assessment[ActionID]),INDEX(tbl_WR_Assessment[ActionName],ROW()-ROW(tbl_WR_EligibilitySummary[#Headers])),INDEX(tbl_WR_AdditionalActions[ActionName],ROW()-ROW(tbl_WR_EligibilitySummary[#Headers])-ROWS(tbl_WR_Assessment[ActionID])))</f>
        <v>Facilitate seasonal and temporary mobility strategies</v>
      </c>
      <c r="E58" s="13" t="str" cm="1">
        <f t="array" ref="E58">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58" s="13" t="str" cm="1">
        <f t="array" ref="F58">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58" s="13" t="str" cm="1">
        <f t="array" ref="G58">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58" s="13" t="str" cm="1">
        <f t="array" ref="H58">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58" s="13" t="str" cm="1">
        <f t="array" ref="I58">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58" s="13" t="str" cm="1">
        <f t="array" ref="J58">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58" s="13" t="str" cm="1">
        <f t="array" ref="K58">IF(ROW()-ROW(tbl_WR_EligibilitySummary[#Headers])&lt;=ROWS(tbl_WR_Assessment[ActionID]),INDEX(tbl_WR_Assessment[ReviewStatus],ROW()-ROW(tbl_WR_EligibilitySummary[#Headers])),INDEX(tbl_WR_AdditionalActions[ReviewStatus],ROW()-ROW(tbl_WR_EligibilitySummary[#Headers])-ROWS(tbl_WR_Assessment[ActionID])))</f>
        <v>Not assessed</v>
      </c>
      <c r="L58" s="87"/>
      <c r="M58" s="87"/>
      <c r="N58" s="87"/>
      <c r="O58" s="87"/>
      <c r="P58" s="87"/>
      <c r="Q58" s="87"/>
      <c r="R58" s="87"/>
      <c r="S58" s="87"/>
      <c r="T58" s="87"/>
      <c r="U58" s="87"/>
      <c r="V58" s="87"/>
      <c r="AA58" s="186"/>
      <c r="AB58" s="186"/>
      <c r="AC58" s="186"/>
      <c r="AD58" s="186"/>
      <c r="AE58" s="186"/>
      <c r="AF58" s="186"/>
      <c r="AG58" s="186"/>
      <c r="AH58" s="186"/>
      <c r="AI58" s="186"/>
      <c r="AJ58" s="186"/>
    </row>
    <row r="59" spans="1:36" s="185" customFormat="1">
      <c r="B59" s="13" t="str" cm="1">
        <f t="array" ref="B59">IF(ROW()-ROW(tbl_WR_EligibilitySummary[#Headers])&lt;=ROWS(tbl_WR_Assessment[ActionID]),"Existing action","Additional action")</f>
        <v>Existing action</v>
      </c>
      <c r="C59" s="13" t="str" cm="1">
        <f t="array" ref="C59">IF(ROW()-ROW(tbl_WR_EligibilitySummary[#Headers])&lt;=ROWS(tbl_WR_Assessment[ActionID]),INDEX(tbl_WR_Assessment[ActionID],ROW()-ROW(tbl_WR_EligibilitySummary[#Headers])),INDEX(tbl_WR_AdditionalActions[AdditionalActionID],ROW()-ROW(tbl_WR_EligibilitySummary[#Headers])-ROWS(tbl_WR_Assessment[ActionID])))</f>
        <v>ipcc_0103</v>
      </c>
      <c r="D59" s="13" t="str" cm="1">
        <f t="array" ref="D59">IF(ROW()-ROW(tbl_WR_EligibilitySummary[#Headers])&lt;=ROWS(tbl_WR_Assessment[ActionID]),INDEX(tbl_WR_Assessment[ActionName],ROW()-ROW(tbl_WR_EligibilitySummary[#Headers])),INDEX(tbl_WR_AdditionalActions[ActionName],ROW()-ROW(tbl_WR_EligibilitySummary[#Headers])-ROWS(tbl_WR_Assessment[ActionID])))</f>
        <v>Strengthen cooperative climate governance</v>
      </c>
      <c r="E59" s="13" t="str" cm="1">
        <f t="array" ref="E59">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59" s="13" cm="1">
        <f t="array" ref="F59">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1</v>
      </c>
      <c r="G59" s="13" t="str" cm="1">
        <f t="array" ref="G59">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59" s="13" t="str" cm="1">
        <f t="array" ref="H59">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59" s="13" t="str" cm="1">
        <f t="array" ref="I59">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59" s="13" t="str" cm="1">
        <f t="array" ref="J59">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59" s="13" t="str" cm="1">
        <f t="array" ref="K59">IF(ROW()-ROW(tbl_WR_EligibilitySummary[#Headers])&lt;=ROWS(tbl_WR_Assessment[ActionID]),INDEX(tbl_WR_Assessment[ReviewStatus],ROW()-ROW(tbl_WR_EligibilitySummary[#Headers])),INDEX(tbl_WR_AdditionalActions[ReviewStatus],ROW()-ROW(tbl_WR_EligibilitySummary[#Headers])-ROWS(tbl_WR_Assessment[ActionID])))</f>
        <v>Eligibility corrected</v>
      </c>
      <c r="L59" s="87"/>
      <c r="M59" s="87"/>
      <c r="N59" s="87"/>
      <c r="O59" s="87"/>
      <c r="P59" s="87"/>
      <c r="Q59" s="87"/>
      <c r="R59" s="87"/>
      <c r="S59" s="87"/>
      <c r="T59" s="87"/>
      <c r="U59" s="87"/>
      <c r="V59" s="87"/>
      <c r="AA59" s="186"/>
      <c r="AB59" s="186"/>
      <c r="AC59" s="186"/>
      <c r="AD59" s="186"/>
      <c r="AE59" s="186"/>
      <c r="AF59" s="186"/>
      <c r="AG59" s="186"/>
      <c r="AH59" s="186"/>
      <c r="AI59" s="186"/>
      <c r="AJ59" s="186"/>
    </row>
    <row r="60" spans="1:36" s="185" customFormat="1">
      <c r="B60" s="13" t="str" cm="1">
        <f t="array" ref="B60">IF(ROW()-ROW(tbl_WR_EligibilitySummary[#Headers])&lt;=ROWS(tbl_WR_Assessment[ActionID]),"Existing action","Additional action")</f>
        <v>Existing action</v>
      </c>
      <c r="C60" s="13" t="str" cm="1">
        <f t="array" ref="C60">IF(ROW()-ROW(tbl_WR_EligibilitySummary[#Headers])&lt;=ROWS(tbl_WR_Assessment[ActionID]),INDEX(tbl_WR_Assessment[ActionID],ROW()-ROW(tbl_WR_EligibilitySummary[#Headers])),INDEX(tbl_WR_AdditionalActions[AdditionalActionID],ROW()-ROW(tbl_WR_EligibilitySummary[#Headers])-ROWS(tbl_WR_Assessment[ActionID])))</f>
        <v>ipcc_0104</v>
      </c>
      <c r="D60" s="13" t="str" cm="1">
        <f t="array" ref="D60">IF(ROW()-ROW(tbl_WR_EligibilitySummary[#Headers])&lt;=ROWS(tbl_WR_Assessment[ActionID]),INDEX(tbl_WR_Assessment[ActionName],ROW()-ROW(tbl_WR_EligibilitySummary[#Headers])),INDEX(tbl_WR_AdditionalActions[ActionName],ROW()-ROW(tbl_WR_EligibilitySummary[#Headers])-ROWS(tbl_WR_Assessment[ActionID])))</f>
        <v>Plan and support permanent climate‑related migration</v>
      </c>
      <c r="E60" s="13" t="str" cm="1">
        <f t="array" ref="E60">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Not eligible</v>
      </c>
      <c r="F60" s="13" t="str" cm="1">
        <f t="array" ref="F60">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
      </c>
      <c r="G60" s="13" t="str" cm="1">
        <f t="array" ref="G60">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N/A</v>
      </c>
      <c r="H60" s="13" t="str" cm="1">
        <f t="array" ref="H60">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60" s="13" t="str" cm="1">
        <f t="array" ref="I60">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60" s="13" t="str" cm="1">
        <f t="array" ref="J60">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60" s="13" t="str" cm="1">
        <f t="array" ref="K60">IF(ROW()-ROW(tbl_WR_EligibilitySummary[#Headers])&lt;=ROWS(tbl_WR_Assessment[ActionID]),INDEX(tbl_WR_Assessment[ReviewStatus],ROW()-ROW(tbl_WR_EligibilitySummary[#Headers])),INDEX(tbl_WR_AdditionalActions[ReviewStatus],ROW()-ROW(tbl_WR_EligibilitySummary[#Headers])-ROWS(tbl_WR_Assessment[ActionID])))</f>
        <v>Not assessed</v>
      </c>
      <c r="L60" s="87"/>
      <c r="M60" s="87"/>
      <c r="N60" s="87"/>
      <c r="O60" s="87"/>
      <c r="P60" s="87"/>
      <c r="Q60" s="87"/>
      <c r="R60" s="87"/>
      <c r="S60" s="87"/>
      <c r="T60" s="87"/>
      <c r="U60" s="87"/>
      <c r="V60" s="87"/>
      <c r="AA60" s="186"/>
      <c r="AB60" s="186"/>
      <c r="AC60" s="186"/>
      <c r="AD60" s="186"/>
      <c r="AE60" s="186"/>
      <c r="AF60" s="186"/>
      <c r="AG60" s="186"/>
      <c r="AH60" s="186"/>
      <c r="AI60" s="186"/>
      <c r="AJ60" s="186"/>
    </row>
    <row r="61" spans="1:36" s="185" customFormat="1">
      <c r="B61" s="13" t="str" cm="1">
        <f t="array" ref="B61">IF(ROW()-ROW(tbl_WR_EligibilitySummary[#Headers])&lt;=ROWS(tbl_WR_Assessment[ActionID]),"Existing action","Additional action")</f>
        <v>Additional action</v>
      </c>
      <c r="C61" s="13" t="str" cm="1">
        <f t="array" ref="C61">IF(ROW()-ROW(tbl_WR_EligibilitySummary[#Headers])&lt;=ROWS(tbl_WR_Assessment[ActionID]),INDEX(tbl_WR_Assessment[ActionID],ROW()-ROW(tbl_WR_EligibilitySummary[#Headers])),INDEX(tbl_WR_AdditionalActions[AdditionalActionID],ROW()-ROW(tbl_WR_EligibilitySummary[#Headers])-ROWS(tbl_WR_Assessment[ActionID])))</f>
        <v>WR_ADD_0001</v>
      </c>
      <c r="D61" s="13" t="str" cm="1">
        <f t="array" ref="D61">IF(ROW()-ROW(tbl_WR_EligibilitySummary[#Headers])&lt;=ROWS(tbl_WR_Assessment[ActionID]),INDEX(tbl_WR_Assessment[ActionName],ROW()-ROW(tbl_WR_EligibilitySummary[#Headers])),INDEX(tbl_WR_AdditionalActions[ActionName],ROW()-ROW(tbl_WR_EligibilitySummary[#Headers])-ROWS(tbl_WR_Assessment[ActionID])))</f>
        <v>Maintain and rehabilitate water and sanitation assets</v>
      </c>
      <c r="E61" s="13" t="str" cm="1">
        <f t="array" ref="E61">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61" s="13" cm="1">
        <f t="array" ref="F61">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1</v>
      </c>
      <c r="G61" s="13" t="str" cm="1">
        <f t="array" ref="G61">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High effectiveness</v>
      </c>
      <c r="H61" s="13" t="str" cm="1">
        <f t="array" ref="H61">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61" s="13" t="str" cm="1">
        <f t="array" ref="I61">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61" s="13" t="str" cm="1">
        <f t="array" ref="J61">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61" s="13" t="str" cm="1">
        <f t="array" ref="K61">IF(ROW()-ROW(tbl_WR_EligibilitySummary[#Headers])&lt;=ROWS(tbl_WR_Assessment[ActionID]),INDEX(tbl_WR_Assessment[ReviewStatus],ROW()-ROW(tbl_WR_EligibilitySummary[#Headers])),INDEX(tbl_WR_AdditionalActions[ReviewStatus],ROW()-ROW(tbl_WR_EligibilitySummary[#Headers])-ROWS(tbl_WR_Assessment[ActionID])))</f>
        <v>New action identified</v>
      </c>
      <c r="L61" s="87"/>
      <c r="M61" s="87"/>
      <c r="N61" s="87"/>
      <c r="O61" s="87"/>
      <c r="P61" s="87"/>
      <c r="Q61" s="87"/>
      <c r="R61" s="87"/>
      <c r="S61" s="87"/>
      <c r="T61" s="87"/>
      <c r="AA61" s="186"/>
      <c r="AB61" s="186"/>
      <c r="AC61" s="186"/>
      <c r="AD61" s="186"/>
      <c r="AE61" s="186"/>
      <c r="AF61" s="186"/>
      <c r="AG61" s="186"/>
      <c r="AH61" s="186"/>
      <c r="AI61" s="186"/>
      <c r="AJ61" s="186"/>
    </row>
    <row r="62" spans="1:36" s="185" customFormat="1">
      <c r="B62" s="13" t="str" cm="1">
        <f t="array" ref="B62">IF(ROW()-ROW(tbl_WR_EligibilitySummary[#Headers])&lt;=ROWS(tbl_WR_Assessment[ActionID]),"Existing action","Additional action")</f>
        <v>Additional action</v>
      </c>
      <c r="C62" s="13" t="str" cm="1">
        <f t="array" ref="C62">IF(ROW()-ROW(tbl_WR_EligibilitySummary[#Headers])&lt;=ROWS(tbl_WR_Assessment[ActionID]),INDEX(tbl_WR_Assessment[ActionID],ROW()-ROW(tbl_WR_EligibilitySummary[#Headers])),INDEX(tbl_WR_AdditionalActions[AdditionalActionID],ROW()-ROW(tbl_WR_EligibilitySummary[#Headers])-ROWS(tbl_WR_Assessment[ActionID])))</f>
        <v>WR_ADD_0002</v>
      </c>
      <c r="D62" s="13" t="str" cm="1">
        <f t="array" ref="D62">IF(ROW()-ROW(tbl_WR_EligibilitySummary[#Headers])&lt;=ROWS(tbl_WR_Assessment[ActionID]),INDEX(tbl_WR_Assessment[ActionName],ROW()-ROW(tbl_WR_EligibilitySummary[#Headers])),INDEX(tbl_WR_AdditionalActions[ActionName],ROW()-ROW(tbl_WR_EligibilitySummary[#Headers])-ROWS(tbl_WR_Assessment[ActionID])))</f>
        <v>Integrate climate risk into water infrastructure investment planning</v>
      </c>
      <c r="E62" s="13" t="str" cm="1">
        <f t="array" ref="E62">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62" s="13" cm="1">
        <f t="array" ref="F62">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1</v>
      </c>
      <c r="G62" s="13" t="str" cm="1">
        <f t="array" ref="G62">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High effectiveness</v>
      </c>
      <c r="H62" s="13" t="str" cm="1">
        <f t="array" ref="H62">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62" s="13" t="str" cm="1">
        <f t="array" ref="I62">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62" s="13" t="str" cm="1">
        <f t="array" ref="J62">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62" s="13" t="str" cm="1">
        <f t="array" ref="K62">IF(ROW()-ROW(tbl_WR_EligibilitySummary[#Headers])&lt;=ROWS(tbl_WR_Assessment[ActionID]),INDEX(tbl_WR_Assessment[ReviewStatus],ROW()-ROW(tbl_WR_EligibilitySummary[#Headers])),INDEX(tbl_WR_AdditionalActions[ReviewStatus],ROW()-ROW(tbl_WR_EligibilitySummary[#Headers])-ROWS(tbl_WR_Assessment[ActionID])))</f>
        <v>New action identified</v>
      </c>
      <c r="L62" s="87"/>
      <c r="M62" s="87"/>
      <c r="N62" s="87"/>
      <c r="O62" s="87"/>
      <c r="P62" s="87"/>
      <c r="Q62" s="87"/>
      <c r="R62" s="87"/>
      <c r="S62" s="87"/>
      <c r="T62" s="87"/>
      <c r="AA62" s="186"/>
      <c r="AB62" s="186"/>
      <c r="AC62" s="186"/>
      <c r="AD62" s="186"/>
      <c r="AE62" s="186"/>
      <c r="AF62" s="186"/>
      <c r="AG62" s="186"/>
      <c r="AH62" s="186"/>
      <c r="AI62" s="186"/>
      <c r="AJ62" s="186"/>
    </row>
    <row r="63" spans="1:36">
      <c r="A63" s="185"/>
      <c r="B63" s="13" t="str" cm="1">
        <f t="array" ref="B63">IF(ROW()-ROW(tbl_WR_EligibilitySummary[#Headers])&lt;=ROWS(tbl_WR_Assessment[ActionID]),"Existing action","Additional action")</f>
        <v>Additional action</v>
      </c>
      <c r="C63" s="13" t="str" cm="1">
        <f t="array" ref="C63">IF(ROW()-ROW(tbl_WR_EligibilitySummary[#Headers])&lt;=ROWS(tbl_WR_Assessment[ActionID]),INDEX(tbl_WR_Assessment[ActionID],ROW()-ROW(tbl_WR_EligibilitySummary[#Headers])),INDEX(tbl_WR_AdditionalActions[AdditionalActionID],ROW()-ROW(tbl_WR_EligibilitySummary[#Headers])-ROWS(tbl_WR_Assessment[ActionID])))</f>
        <v>WR_ADD_0003</v>
      </c>
      <c r="D63" s="13" t="str" cm="1">
        <f t="array" ref="D63">IF(ROW()-ROW(tbl_WR_EligibilitySummary[#Headers])&lt;=ROWS(tbl_WR_Assessment[ActionID]),INDEX(tbl_WR_Assessment[ActionName],ROW()-ROW(tbl_WR_EligibilitySummary[#Headers])),INDEX(tbl_WR_AdditionalActions[ActionName],ROW()-ROW(tbl_WR_EligibilitySummary[#Headers])-ROWS(tbl_WR_Assessment[ActionID])))</f>
        <v>Use earmarked water tariffs to finance ecosystem services and climate adaptation</v>
      </c>
      <c r="E63" s="13" t="str" cm="1">
        <f t="array" ref="E63">IF(ROW()-ROW(tbl_WR_EligibilitySummary[#Headers])&lt;=ROWS(tbl_WR_Assessment[ActionID]),INDEX(tbl_WR_Assessment[Vulnerability Eligibility],ROW()-ROW(tbl_WR_EligibilitySummary[#Headers])),INDEX(tbl_WR_AdditionalActions[Vulnerability Eligibility],ROW()-ROW(tbl_WR_EligibilitySummary[#Headers])-ROWS(tbl_WR_Assessment[ActionID])))</f>
        <v>Eligible</v>
      </c>
      <c r="F63" s="13" cm="1">
        <f t="array" ref="F63">IF(ROW()-ROW(tbl_WR_EligibilitySummary[#Headers])&lt;=ROWS(tbl_WR_Assessment[ActionID]),IF(INDEX(tbl_WR_Assessment[Vulnerability Evidence Count],ROW()-ROW(tbl_WR_EligibilitySummary[#Headers]))=0,"",INDEX(tbl_WR_Assessment[Vulnerability Evidence Count],ROW()-ROW(tbl_WR_EligibilitySummary[#Headers]))),IF(INDEX(tbl_WR_AdditionalActions[Vulnerability Evidence Count],ROW()-ROW(tbl_WR_EligibilitySummary[#Headers])-ROWS(tbl_WR_Assessment[ActionID]))=0,"",INDEX(tbl_WR_AdditionalActions[Vulnerability Evidence Count],ROW()-ROW(tbl_WR_EligibilitySummary[#Headers])-ROWS(tbl_WR_Assessment[ActionID]))))</f>
        <v>1</v>
      </c>
      <c r="G63" s="13" t="str" cm="1">
        <f t="array" ref="G63">IF(tbl_WR_EligibilitySummary[[#This Row],[Vulnerability Eligibility]]="Eligible",IF(ROW()-ROW(tbl_WR_EligibilitySummary[#Headers])&lt;=ROWS(tbl_WR_Assessment[ActionID]),INDEX(tbl_WR_Assessment[Effectiveness on Vulnerability],ROW()-ROW(tbl_WR_EligibilitySummary[#Headers])),INDEX(tbl_WR_AdditionalActions[Effectiveness on Vulnerability],ROW()-ROW(tbl_WR_EligibilitySummary[#Headers])-ROWS(tbl_WR_Assessment[ActionID]))),IF(tbl_WR_EligibilitySummary[[#This Row],[Vulnerability Eligibility]]="Review required","Review required",IF(tbl_WR_EligibilitySummary[[#This Row],[Vulnerability Eligibility]]="Not eligible","N/A","")))</f>
        <v>Medium effectiveness</v>
      </c>
      <c r="H63" s="13" t="str" cm="1">
        <f t="array" ref="H63">IF(ROW()-ROW(tbl_WR_EligibilitySummary[#Headers])&lt;=ROWS(tbl_WR_Assessment[ActionID]),INDEX(tbl_WR_Assessment[Exposure Eligibility],ROW()-ROW(tbl_WR_EligibilitySummary[#Headers])),INDEX(tbl_WR_AdditionalActions[Exposure Eligibility],ROW()-ROW(tbl_WR_EligibilitySummary[#Headers])-ROWS(tbl_WR_Assessment[ActionID])))</f>
        <v>Not eligible</v>
      </c>
      <c r="I63" s="13" t="str" cm="1">
        <f t="array" ref="I63">IF(ROW()-ROW(tbl_WR_EligibilitySummary[#Headers])&lt;=ROWS(tbl_WR_Assessment[ActionID]),IF(INDEX(tbl_WR_Assessment[Exposure Evidence Count],ROW()-ROW(tbl_WR_EligibilitySummary[#Headers]))=0,"",INDEX(tbl_WR_Assessment[Exposure Evidence Count],ROW()-ROW(tbl_WR_EligibilitySummary[#Headers]))),IF(INDEX(tbl_WR_AdditionalActions[Exposure Evidence Count],ROW()-ROW(tbl_WR_EligibilitySummary[#Headers])-ROWS(tbl_WR_Assessment[ActionID]))=0,"",INDEX(tbl_WR_AdditionalActions[Exposure Evidence Count],ROW()-ROW(tbl_WR_EligibilitySummary[#Headers])-ROWS(tbl_WR_Assessment[ActionID]))))</f>
        <v/>
      </c>
      <c r="J63" s="13" t="str" cm="1">
        <f t="array" ref="J63">IF(tbl_WR_EligibilitySummary[[#This Row],[Exposure Eligibility]]="Eligible",IF(ROW()-ROW(tbl_WR_EligibilitySummary[#Headers])&lt;=ROWS(tbl_WR_Assessment[ActionID]),INDEX(tbl_WR_Assessment[Effectiveness on Exposure],ROW()-ROW(tbl_WR_EligibilitySummary[#Headers])),INDEX(tbl_WR_AdditionalActions[Effectiveness on Exposure],ROW()-ROW(tbl_WR_EligibilitySummary[#Headers])-ROWS(tbl_WR_Assessment[ActionID]))),IF(tbl_WR_EligibilitySummary[[#This Row],[Exposure Eligibility]]="Review required","Review required",IF(tbl_WR_EligibilitySummary[[#This Row],[Exposure Eligibility]]="Not eligible","N/A","")))</f>
        <v>N/A</v>
      </c>
      <c r="K63" s="13" t="str" cm="1">
        <f t="array" ref="K63">IF(ROW()-ROW(tbl_WR_EligibilitySummary[#Headers])&lt;=ROWS(tbl_WR_Assessment[ActionID]),INDEX(tbl_WR_Assessment[ReviewStatus],ROW()-ROW(tbl_WR_EligibilitySummary[#Headers])),INDEX(tbl_WR_AdditionalActions[ReviewStatus],ROW()-ROW(tbl_WR_EligibilitySummary[#Headers])-ROWS(tbl_WR_Assessment[ActionID])))</f>
        <v>New action identified</v>
      </c>
      <c r="L63" s="191" t="s">
        <v>1505</v>
      </c>
      <c r="M63" s="191"/>
      <c r="N63" s="191"/>
      <c r="O63" s="191"/>
      <c r="P63" s="191"/>
      <c r="Q63" s="191"/>
      <c r="R63" s="191"/>
      <c r="S63" s="191"/>
      <c r="T63" s="191"/>
    </row>
    <row r="64" spans="1:36">
      <c r="B64" s="74"/>
      <c r="C64" s="74"/>
      <c r="D64" s="74"/>
      <c r="E64" s="74"/>
    </row>
    <row r="65" spans="1:36">
      <c r="B65" s="74"/>
      <c r="C65" s="74"/>
      <c r="D65" s="74"/>
      <c r="E65" s="74"/>
    </row>
    <row r="66" spans="1:36" ht="21">
      <c r="A66" s="185"/>
      <c r="B66" s="116" t="s">
        <v>2566</v>
      </c>
      <c r="C66" s="116"/>
      <c r="D66" s="116"/>
      <c r="E66" s="116"/>
      <c r="F66" s="116"/>
      <c r="G66" s="116"/>
      <c r="H66" s="116"/>
      <c r="I66" s="116"/>
      <c r="J66" s="116"/>
      <c r="K66" s="116"/>
      <c r="L66" s="116"/>
      <c r="M66" s="116"/>
      <c r="N66" s="116"/>
      <c r="O66" s="116"/>
      <c r="P66" s="116"/>
      <c r="Q66" s="116"/>
      <c r="R66" s="116"/>
      <c r="S66" s="116"/>
      <c r="T66" s="116"/>
    </row>
    <row r="67" spans="1:36">
      <c r="B67" s="93" t="s">
        <v>1613</v>
      </c>
      <c r="C67" s="80" t="s">
        <v>2567</v>
      </c>
    </row>
    <row r="68" spans="1:36">
      <c r="B68" s="192" t="s">
        <v>1542</v>
      </c>
      <c r="C68" s="83" t="s">
        <v>1541</v>
      </c>
    </row>
    <row r="70" spans="1:36" ht="15.6">
      <c r="A70" s="185"/>
      <c r="B70" s="119" t="s">
        <v>1532</v>
      </c>
      <c r="C70" s="120"/>
    </row>
    <row r="71" spans="1:36">
      <c r="A71" s="185"/>
      <c r="B71" s="193" t="s">
        <v>828</v>
      </c>
      <c r="C71" s="194" t="s">
        <v>2</v>
      </c>
    </row>
    <row r="72" spans="1:36">
      <c r="A72" s="185"/>
      <c r="B72" s="193" t="s">
        <v>1504</v>
      </c>
      <c r="C72" s="195" t="s">
        <v>33</v>
      </c>
    </row>
    <row r="73" spans="1:36">
      <c r="A73" s="185"/>
      <c r="B73" s="82" t="s">
        <v>1520</v>
      </c>
      <c r="C73" s="106" t="str" cm="1">
        <f t="array" ref="C73">_xlfn.TEXTJOIN(", ",TRUE,_xlfn.UNIQUE(_xlfn._xlws.FILTER(Table227[base_indicator_name],(Table227[sector_name]=$C$71)*(Table227[risk_component_name]=$C$72),"")))</f>
        <v>Inefficiency in water production, Inefficiency in water distribution, Average per capita water consumption, Water balance for agriculture, Water balance for industry, Diseases due to inadequate sanitation, Water quality, Degraded and/or deforested areas, Areas with soils susceptible to erosion, Ecological flow for ecosystem uses, Dam and mining safety, Municipal basic sanitation plan, Level of activity in basin committees, Drought-related prevention actions, Alternatives to water supply, Investments in water resources, Investments in adaptation policies, Resilient cities program, Cisterns program: water for consumption, Nature reserve, Artificial reserve, Underground storage potential, Agricultural participation in GDP, Industrial participation in GDP, Income not affected by water prices, Income greater than two minimum wages</v>
      </c>
    </row>
    <row r="75" spans="1:36" ht="15.6">
      <c r="A75" s="185"/>
      <c r="B75" s="117" t="s">
        <v>1533</v>
      </c>
      <c r="C75" s="118"/>
    </row>
    <row r="76" spans="1:36">
      <c r="A76" s="185"/>
      <c r="B76" s="193" t="s">
        <v>828</v>
      </c>
      <c r="C76" s="194" t="s">
        <v>2</v>
      </c>
    </row>
    <row r="77" spans="1:36">
      <c r="A77" s="185"/>
      <c r="B77" s="193" t="s">
        <v>1504</v>
      </c>
      <c r="C77" s="195" t="s">
        <v>71</v>
      </c>
    </row>
    <row r="78" spans="1:36">
      <c r="A78" s="185"/>
      <c r="B78" s="82" t="s">
        <v>1520</v>
      </c>
      <c r="C78" s="107" t="str" cm="1">
        <f t="array" ref="C78">_xlfn.TEXTJOIN(", ",TRUE,_xlfn.UNIQUE(_xlfn._xlws.FILTER(Table227[base_indicator_name],(Table227[sector_name]=$C$76)*(Table227[risk_component_name]=$C$77),"")))</f>
        <v>Population density, Urban users exposed, Exposed rural users, Exposed industrial users, Mining Users Exposed, Thermoelectricity users exposed, Animal husbandry users exposed, Irrigation users exposed</v>
      </c>
    </row>
    <row r="80" spans="1:36" s="185" customFormat="1" ht="21">
      <c r="B80" s="114" t="s">
        <v>2568</v>
      </c>
      <c r="C80" s="114"/>
      <c r="D80" s="114"/>
      <c r="E80" s="114"/>
      <c r="F80" s="114"/>
      <c r="G80" s="114"/>
      <c r="H80" s="114"/>
      <c r="I80" s="114"/>
      <c r="J80" s="114"/>
      <c r="K80" s="114"/>
      <c r="L80" s="114"/>
      <c r="M80" s="114"/>
      <c r="N80" s="114"/>
      <c r="O80" s="114"/>
      <c r="P80" s="114"/>
      <c r="Q80" s="114"/>
      <c r="R80" s="114"/>
      <c r="S80" s="114"/>
      <c r="T80" s="114"/>
      <c r="AA80" s="186"/>
      <c r="AB80" s="186"/>
      <c r="AC80" s="186"/>
      <c r="AD80" s="186"/>
      <c r="AE80" s="186"/>
      <c r="AF80" s="186"/>
      <c r="AG80" s="186"/>
      <c r="AH80" s="186"/>
      <c r="AI80" s="186"/>
      <c r="AJ80" s="186"/>
    </row>
    <row r="81" spans="1:36" s="185" customFormat="1">
      <c r="B81" s="89" t="s">
        <v>1576</v>
      </c>
      <c r="C81" s="80" t="s">
        <v>1562</v>
      </c>
      <c r="D81" s="80"/>
      <c r="E81" s="80"/>
      <c r="F81" s="80"/>
      <c r="G81" s="80"/>
      <c r="H81" s="80"/>
      <c r="I81" s="80"/>
      <c r="J81" s="80"/>
      <c r="K81" s="80"/>
      <c r="L81" s="80"/>
      <c r="M81" s="80"/>
      <c r="N81" s="80"/>
      <c r="O81" s="80"/>
      <c r="P81" s="80"/>
      <c r="Q81" s="80"/>
      <c r="R81" s="80"/>
      <c r="S81" s="80"/>
      <c r="T81" s="80"/>
      <c r="AA81" s="186"/>
      <c r="AB81" s="186"/>
      <c r="AC81" s="186"/>
      <c r="AD81" s="186"/>
      <c r="AE81" s="186"/>
      <c r="AF81" s="186"/>
      <c r="AG81" s="186"/>
      <c r="AH81" s="186"/>
      <c r="AI81" s="186"/>
      <c r="AJ81" s="186"/>
    </row>
    <row r="82" spans="1:36" s="185" customFormat="1">
      <c r="B82" s="89" t="s">
        <v>1577</v>
      </c>
      <c r="C82" s="80" t="s">
        <v>2569</v>
      </c>
      <c r="D82" s="80"/>
      <c r="AA82" s="186"/>
      <c r="AB82" s="186"/>
      <c r="AC82" s="186"/>
      <c r="AD82" s="186"/>
      <c r="AE82" s="186"/>
      <c r="AF82" s="186"/>
      <c r="AG82" s="186"/>
      <c r="AH82" s="186"/>
      <c r="AI82" s="186"/>
      <c r="AJ82" s="186"/>
    </row>
    <row r="83" spans="1:36" s="185" customFormat="1">
      <c r="B83" s="89" t="s">
        <v>1557</v>
      </c>
      <c r="C83" s="80" t="str">
        <f>"Sector:"&amp;CHAR(10)&amp;"Water resources"&amp;CHAR(10)&amp;CHAR(10)&amp;"Approved Vulnerability Indicators:"&amp;CHAR(10)&amp;$C$73&amp;CHAR(10)&amp;CHAR(10)&amp;"Approved Exposure Indicators:"&amp;CHAR(10)&amp;$C$78&amp;CHAR(10)&amp;CHAR(10)&amp;"Mandatory framework sources:"&amp;CHAR(10)&amp;"WR_SRC_001 | Brazil | AdaptaBrasil MCTI: Índices e Indicadores | MCTI | 2023"&amp;CHAR(10)&amp;CHAR(10)&amp;"WR_SRC_002 | International | IPCC AR6 WGII: Chapter 4: Water | IPCC | 2022"</f>
        <v>Sector:
Water resources
Approved Vulnerability Indicators:
Inefficiency in water production, Inefficiency in water distribution, Average per capita water consumption, Water balance for agriculture, Water balance for industry, Diseases due to inadequate sanitation, Water quality, Degraded and/or deforested areas, Areas with soils susceptible to erosion, Ecological flow for ecosystem uses, Dam and mining safety, Municipal basic sanitation plan, Level of activity in basin committees, Drought-related prevention actions, Alternatives to water supply, Investments in water resources, Investments in adaptation policies, Resilient cities program, Cisterns program: water for consumption, Nature reserve, Artificial reserve, Underground storage potential, Agricultural participation in GDP, Industrial participation in GDP, Income not affected by water prices, Income greater than two minimum wages
Approved Exposure Indicators:
Population density, Urban users exposed, Exposed rural users, Exposed industrial users, Mining Users Exposed, Thermoelectricity users exposed, Animal husbandry users exposed, Irrigation users exposed
Mandatory framework sources:
WR_SRC_001 | Brazil | AdaptaBrasil MCTI: Índices e Indicadores | MCTI | 2023
WR_SRC_002 | International | IPCC AR6 WGII: Chapter 4: Water | IPCC | 2022</v>
      </c>
      <c r="D83" s="91" t="s">
        <v>1588</v>
      </c>
    </row>
    <row r="84" spans="1:36" s="185" customFormat="1">
      <c r="B84" s="84" t="s">
        <v>1543</v>
      </c>
      <c r="C84" s="83" t="s">
        <v>1578</v>
      </c>
      <c r="D84" s="91" t="s">
        <v>1588</v>
      </c>
    </row>
    <row r="85" spans="1:36" s="185" customFormat="1">
      <c r="B85" s="89" t="s">
        <v>1544</v>
      </c>
      <c r="C85" s="90" t="s">
        <v>1579</v>
      </c>
      <c r="D85" s="90"/>
    </row>
    <row r="86" spans="1:36">
      <c r="AA86" s="185"/>
      <c r="AB86" s="185"/>
      <c r="AC86" s="185"/>
      <c r="AD86" s="185"/>
      <c r="AE86" s="185"/>
      <c r="AF86" s="185"/>
      <c r="AG86" s="185"/>
      <c r="AH86" s="185"/>
      <c r="AI86" s="185"/>
      <c r="AJ86" s="185"/>
    </row>
    <row r="87" spans="1:36">
      <c r="B87" s="196" t="s">
        <v>1580</v>
      </c>
      <c r="C87" s="196"/>
      <c r="D87" s="196"/>
      <c r="E87" s="196"/>
      <c r="F87" s="196"/>
      <c r="G87" s="196"/>
      <c r="AA87" s="185"/>
      <c r="AB87" s="185"/>
      <c r="AC87" s="185"/>
      <c r="AD87" s="185"/>
      <c r="AE87" s="185"/>
      <c r="AF87" s="185"/>
      <c r="AG87" s="185"/>
      <c r="AH87" s="185"/>
      <c r="AI87" s="185"/>
      <c r="AJ87" s="185"/>
    </row>
    <row r="88" spans="1:36">
      <c r="A88" s="185"/>
      <c r="B88" s="104" t="s">
        <v>1506</v>
      </c>
      <c r="C88" s="104" t="s">
        <v>1507</v>
      </c>
      <c r="D88" s="104" t="s">
        <v>1508</v>
      </c>
      <c r="E88" s="104" t="s">
        <v>1509</v>
      </c>
      <c r="F88" s="104" t="s">
        <v>1510</v>
      </c>
      <c r="G88" s="104" t="s">
        <v>1511</v>
      </c>
      <c r="H88" s="74"/>
      <c r="I88" s="74"/>
      <c r="J88" s="74"/>
      <c r="K88" s="74"/>
      <c r="L88" s="74"/>
      <c r="M88" s="74"/>
      <c r="N88" s="74"/>
      <c r="O88" s="74"/>
      <c r="P88" s="74"/>
      <c r="Q88" s="74"/>
      <c r="R88" s="74"/>
      <c r="S88" s="74"/>
      <c r="T88" s="74"/>
      <c r="AA88" s="185"/>
      <c r="AB88" s="185"/>
      <c r="AC88" s="185"/>
      <c r="AD88" s="185"/>
      <c r="AE88" s="185"/>
      <c r="AF88" s="185"/>
      <c r="AG88" s="185"/>
      <c r="AH88" s="185"/>
      <c r="AI88" s="185"/>
      <c r="AJ88" s="185"/>
    </row>
    <row r="89" spans="1:36">
      <c r="B89" s="76" t="s">
        <v>1479</v>
      </c>
      <c r="C89" s="74" t="s">
        <v>1472</v>
      </c>
      <c r="D89" s="74" t="s">
        <v>1309</v>
      </c>
      <c r="E89" s="74" t="s">
        <v>1473</v>
      </c>
      <c r="F89" s="86">
        <v>2023</v>
      </c>
      <c r="G89" s="74" t="s">
        <v>1555</v>
      </c>
      <c r="H89" s="74"/>
      <c r="I89" s="74"/>
      <c r="J89" s="74"/>
      <c r="K89" s="74"/>
      <c r="L89" s="74"/>
      <c r="M89" s="74"/>
      <c r="N89" s="74"/>
      <c r="O89" s="74"/>
      <c r="P89" s="74"/>
      <c r="Q89" s="74"/>
      <c r="R89" s="74"/>
      <c r="S89" s="74"/>
      <c r="T89" s="74"/>
    </row>
    <row r="90" spans="1:36">
      <c r="B90" s="76" t="s">
        <v>1480</v>
      </c>
      <c r="C90" s="74" t="s">
        <v>1474</v>
      </c>
      <c r="D90" s="74" t="s">
        <v>1321</v>
      </c>
      <c r="E90" s="74" t="s">
        <v>1475</v>
      </c>
      <c r="F90" s="86">
        <v>2022</v>
      </c>
      <c r="G90" s="74" t="s">
        <v>1556</v>
      </c>
      <c r="H90" s="74"/>
      <c r="I90" s="74"/>
      <c r="J90" s="74"/>
      <c r="K90" s="74"/>
      <c r="L90" s="74"/>
      <c r="M90" s="74"/>
      <c r="N90" s="74"/>
      <c r="O90" s="74"/>
      <c r="P90" s="74"/>
      <c r="Q90" s="74"/>
      <c r="R90" s="74"/>
      <c r="S90" s="74"/>
      <c r="T90" s="74"/>
    </row>
    <row r="91" spans="1:36">
      <c r="B91" s="76" t="s">
        <v>1481</v>
      </c>
      <c r="C91" s="74" t="s">
        <v>1472</v>
      </c>
      <c r="D91" s="74" t="s">
        <v>1551</v>
      </c>
      <c r="E91" s="74" t="s">
        <v>1581</v>
      </c>
      <c r="F91" s="86">
        <v>2021</v>
      </c>
      <c r="G91" s="85" t="s">
        <v>1574</v>
      </c>
      <c r="H91" s="74"/>
      <c r="I91" s="74"/>
      <c r="J91" s="74"/>
      <c r="K91" s="74"/>
      <c r="L91" s="74"/>
      <c r="M91" s="74"/>
      <c r="N91" s="74"/>
      <c r="O91" s="74"/>
      <c r="P91" s="74"/>
      <c r="Q91" s="74"/>
      <c r="R91" s="74"/>
      <c r="S91" s="74"/>
      <c r="T91" s="74"/>
    </row>
    <row r="92" spans="1:36">
      <c r="B92" s="76" t="s">
        <v>1482</v>
      </c>
      <c r="C92" s="74" t="s">
        <v>1472</v>
      </c>
      <c r="D92" s="74" t="s">
        <v>1552</v>
      </c>
      <c r="E92" s="74" t="s">
        <v>1581</v>
      </c>
      <c r="F92" s="86">
        <v>2026</v>
      </c>
      <c r="G92" s="74"/>
      <c r="H92" s="74"/>
      <c r="I92" s="74"/>
      <c r="J92" s="74"/>
      <c r="K92" s="74"/>
      <c r="L92" s="74"/>
      <c r="M92" s="74"/>
      <c r="N92" s="74"/>
      <c r="O92" s="74"/>
      <c r="P92" s="74"/>
      <c r="Q92" s="74"/>
      <c r="R92" s="74"/>
      <c r="S92" s="74"/>
      <c r="T92" s="74"/>
    </row>
    <row r="93" spans="1:36">
      <c r="B93" s="76" t="s">
        <v>1483</v>
      </c>
      <c r="C93" s="74" t="s">
        <v>1472</v>
      </c>
      <c r="D93" s="74" t="s">
        <v>1582</v>
      </c>
      <c r="E93" s="74" t="s">
        <v>1553</v>
      </c>
      <c r="F93" s="86">
        <v>2020</v>
      </c>
      <c r="G93" s="85" t="s">
        <v>1575</v>
      </c>
      <c r="H93" s="74"/>
      <c r="I93" s="74"/>
      <c r="J93" s="74"/>
      <c r="K93" s="74"/>
      <c r="L93" s="74"/>
      <c r="M93" s="74"/>
      <c r="N93" s="74"/>
      <c r="O93" s="74"/>
      <c r="P93" s="74"/>
      <c r="Q93" s="74"/>
      <c r="R93" s="74"/>
      <c r="S93" s="74"/>
      <c r="T93" s="74"/>
    </row>
    <row r="94" spans="1:36">
      <c r="B94" s="76" t="s">
        <v>1484</v>
      </c>
      <c r="C94" s="74" t="s">
        <v>1474</v>
      </c>
      <c r="D94" s="74" t="s">
        <v>1545</v>
      </c>
      <c r="E94" s="74" t="s">
        <v>1546</v>
      </c>
      <c r="F94" s="86">
        <v>2023</v>
      </c>
      <c r="G94" s="74" t="s">
        <v>1584</v>
      </c>
      <c r="H94" s="74"/>
      <c r="I94" s="74"/>
      <c r="J94" s="74"/>
      <c r="K94" s="74"/>
      <c r="L94" s="74"/>
      <c r="M94" s="74"/>
      <c r="N94" s="74"/>
      <c r="O94" s="74"/>
      <c r="P94" s="74"/>
      <c r="Q94" s="74"/>
      <c r="R94" s="74"/>
      <c r="S94" s="74"/>
      <c r="T94" s="74"/>
    </row>
    <row r="95" spans="1:36">
      <c r="B95" s="76" t="s">
        <v>1485</v>
      </c>
      <c r="C95" s="74" t="s">
        <v>1474</v>
      </c>
      <c r="D95" s="74" t="s">
        <v>1539</v>
      </c>
      <c r="E95" s="74" t="s">
        <v>1540</v>
      </c>
      <c r="F95" s="86">
        <v>2009</v>
      </c>
      <c r="G95" s="85" t="s">
        <v>1554</v>
      </c>
      <c r="H95" s="74"/>
      <c r="I95" s="74"/>
      <c r="J95" s="74"/>
      <c r="K95" s="74"/>
      <c r="L95" s="74"/>
      <c r="M95" s="74"/>
      <c r="N95" s="74"/>
      <c r="O95" s="74"/>
      <c r="P95" s="74"/>
      <c r="Q95" s="74"/>
      <c r="R95" s="74"/>
      <c r="S95" s="74"/>
      <c r="T95" s="74"/>
    </row>
    <row r="96" spans="1:36">
      <c r="B96" s="76" t="s">
        <v>1486</v>
      </c>
      <c r="C96" s="74" t="s">
        <v>1474</v>
      </c>
      <c r="D96" s="74" t="s">
        <v>1547</v>
      </c>
      <c r="E96" s="74" t="s">
        <v>1548</v>
      </c>
      <c r="F96" s="86">
        <v>2015</v>
      </c>
      <c r="G96" s="85" t="s">
        <v>1585</v>
      </c>
      <c r="H96" s="74"/>
      <c r="I96" s="74"/>
      <c r="J96" s="74"/>
      <c r="K96" s="74"/>
      <c r="L96" s="74"/>
      <c r="M96" s="74"/>
      <c r="N96" s="74"/>
      <c r="O96" s="74"/>
      <c r="P96" s="74"/>
      <c r="Q96" s="74"/>
      <c r="R96" s="74"/>
      <c r="S96" s="74"/>
      <c r="T96" s="74"/>
    </row>
    <row r="97" spans="2:36">
      <c r="B97" s="76" t="s">
        <v>1537</v>
      </c>
      <c r="C97" s="74" t="s">
        <v>1474</v>
      </c>
      <c r="D97" s="74" t="s">
        <v>1549</v>
      </c>
      <c r="E97" s="74" t="s">
        <v>1550</v>
      </c>
      <c r="F97" s="86">
        <v>2010</v>
      </c>
      <c r="G97" s="85" t="s">
        <v>1587</v>
      </c>
      <c r="H97" s="74"/>
      <c r="I97" s="74"/>
      <c r="J97" s="74"/>
      <c r="K97" s="74"/>
      <c r="L97" s="74"/>
      <c r="M97" s="74"/>
      <c r="N97" s="74"/>
      <c r="O97" s="74"/>
      <c r="P97" s="74"/>
      <c r="Q97" s="74"/>
      <c r="R97" s="74"/>
      <c r="S97" s="74"/>
      <c r="T97" s="74"/>
    </row>
    <row r="98" spans="2:36">
      <c r="B98" s="76" t="s">
        <v>1538</v>
      </c>
      <c r="C98" s="74" t="s">
        <v>1474</v>
      </c>
      <c r="D98" s="74" t="s">
        <v>1583</v>
      </c>
      <c r="E98" s="74" t="s">
        <v>1476</v>
      </c>
      <c r="F98" s="86">
        <v>2026</v>
      </c>
      <c r="G98" s="85" t="s">
        <v>1586</v>
      </c>
      <c r="H98" s="74"/>
      <c r="I98" s="74"/>
      <c r="J98" s="74"/>
      <c r="K98" s="74"/>
      <c r="L98" s="74"/>
      <c r="M98" s="74"/>
      <c r="N98" s="74"/>
      <c r="O98" s="74"/>
      <c r="P98" s="74"/>
      <c r="Q98" s="74"/>
      <c r="R98" s="74"/>
      <c r="S98" s="74"/>
      <c r="T98" s="74"/>
    </row>
    <row r="99" spans="2:36">
      <c r="B99" s="76"/>
      <c r="C99" s="74"/>
      <c r="D99" s="74"/>
      <c r="E99" s="74"/>
      <c r="F99" s="86"/>
      <c r="G99" s="74"/>
      <c r="H99" s="74"/>
      <c r="I99" s="74"/>
      <c r="J99" s="74"/>
      <c r="K99" s="74"/>
      <c r="L99" s="74"/>
      <c r="M99" s="74"/>
      <c r="N99" s="74"/>
      <c r="O99" s="74"/>
      <c r="P99" s="74"/>
      <c r="Q99" s="74"/>
      <c r="R99" s="74"/>
      <c r="S99" s="74"/>
      <c r="T99" s="74"/>
    </row>
    <row r="100" spans="2:36" s="185" customFormat="1" ht="17.399999999999999">
      <c r="B100" s="113" t="s">
        <v>2570</v>
      </c>
      <c r="C100" s="113"/>
      <c r="D100" s="113"/>
      <c r="E100" s="113"/>
      <c r="F100" s="113"/>
      <c r="G100" s="113"/>
      <c r="H100" s="113"/>
      <c r="I100" s="113"/>
      <c r="J100" s="113"/>
      <c r="K100" s="113"/>
      <c r="L100" s="113"/>
      <c r="M100" s="113"/>
      <c r="N100" s="113"/>
      <c r="O100" s="113"/>
      <c r="P100" s="113"/>
      <c r="Q100" s="113"/>
      <c r="R100" s="113"/>
      <c r="S100" s="113"/>
      <c r="T100" s="113"/>
      <c r="AA100" s="186"/>
      <c r="AB100" s="186"/>
      <c r="AC100" s="186"/>
      <c r="AD100" s="186"/>
      <c r="AE100" s="186"/>
      <c r="AF100" s="186"/>
      <c r="AG100" s="186"/>
      <c r="AH100" s="186"/>
      <c r="AI100" s="186"/>
      <c r="AJ100" s="186"/>
    </row>
    <row r="101" spans="2:36" s="185" customFormat="1">
      <c r="B101" s="89" t="s">
        <v>1558</v>
      </c>
      <c r="C101" s="96" t="s">
        <v>2571</v>
      </c>
      <c r="D101" s="87"/>
      <c r="E101" s="87"/>
      <c r="F101" s="87"/>
      <c r="G101" s="87"/>
      <c r="H101" s="87"/>
      <c r="I101" s="87"/>
      <c r="J101" s="87"/>
      <c r="K101" s="87"/>
      <c r="L101" s="87"/>
      <c r="M101" s="87"/>
      <c r="N101" s="87"/>
      <c r="O101" s="87"/>
      <c r="P101" s="87"/>
      <c r="Q101" s="87"/>
      <c r="R101" s="87"/>
      <c r="S101" s="87"/>
      <c r="T101" s="87"/>
      <c r="AA101" s="186"/>
      <c r="AB101" s="186"/>
      <c r="AC101" s="186"/>
      <c r="AD101" s="186"/>
      <c r="AE101" s="186"/>
      <c r="AF101" s="186"/>
      <c r="AG101" s="186"/>
      <c r="AH101" s="186"/>
      <c r="AI101" s="186"/>
      <c r="AJ101" s="186"/>
    </row>
    <row r="102" spans="2:36" s="185" customFormat="1">
      <c r="B102" s="89" t="s">
        <v>1560</v>
      </c>
      <c r="C102" s="96" t="str">
        <f>$C$73</f>
        <v>Inefficiency in water production, Inefficiency in water distribution, Average per capita water consumption, Water balance for agriculture, Water balance for industry, Diseases due to inadequate sanitation, Water quality, Degraded and/or deforested areas, Areas with soils susceptible to erosion, Ecological flow for ecosystem uses, Dam and mining safety, Municipal basic sanitation plan, Level of activity in basin committees, Drought-related prevention actions, Alternatives to water supply, Investments in water resources, Investments in adaptation policies, Resilient cities program, Cisterns program: water for consumption, Nature reserve, Artificial reserve, Underground storage potential, Agricultural participation in GDP, Industrial participation in GDP, Income not affected by water prices, Income greater than two minimum wages</v>
      </c>
      <c r="D102" s="91" t="s">
        <v>1588</v>
      </c>
      <c r="E102" s="87"/>
      <c r="F102" s="87"/>
      <c r="G102" s="87"/>
      <c r="H102" s="87"/>
      <c r="I102" s="87"/>
      <c r="J102" s="87"/>
      <c r="K102" s="87"/>
      <c r="L102" s="87"/>
      <c r="M102" s="87"/>
      <c r="N102" s="87"/>
      <c r="O102" s="87"/>
      <c r="P102" s="87"/>
      <c r="Q102" s="87"/>
      <c r="R102" s="87"/>
      <c r="S102" s="87"/>
      <c r="T102" s="87"/>
      <c r="AA102" s="186"/>
      <c r="AB102" s="186"/>
      <c r="AC102" s="186"/>
      <c r="AD102" s="186"/>
      <c r="AE102" s="186"/>
      <c r="AF102" s="186"/>
      <c r="AG102" s="186"/>
      <c r="AH102" s="186"/>
      <c r="AI102" s="186"/>
      <c r="AJ102" s="186"/>
    </row>
    <row r="103" spans="2:36" s="185" customFormat="1">
      <c r="B103" s="89" t="s">
        <v>1561</v>
      </c>
      <c r="C103" s="96" t="str">
        <f>$C$78</f>
        <v>Population density, Urban users exposed, Exposed rural users, Exposed industrial users, Mining Users Exposed, Thermoelectricity users exposed, Animal husbandry users exposed, Irrigation users exposed</v>
      </c>
      <c r="D103" s="91" t="s">
        <v>1588</v>
      </c>
      <c r="E103" s="87"/>
      <c r="F103" s="87"/>
      <c r="G103" s="87"/>
      <c r="H103" s="87"/>
      <c r="I103" s="87"/>
      <c r="J103" s="87"/>
      <c r="K103" s="87"/>
      <c r="L103" s="87"/>
      <c r="M103" s="87"/>
      <c r="N103" s="87"/>
      <c r="O103" s="87"/>
      <c r="P103" s="87"/>
      <c r="Q103" s="87"/>
      <c r="R103" s="87"/>
      <c r="S103" s="87"/>
      <c r="T103" s="87"/>
    </row>
    <row r="104" spans="2:36" s="185" customFormat="1">
      <c r="B104" s="89" t="s">
        <v>1632</v>
      </c>
      <c r="C104" s="96" t="s">
        <v>1633</v>
      </c>
      <c r="D104" s="91" t="s">
        <v>1634</v>
      </c>
      <c r="E104" s="87"/>
      <c r="F104" s="87"/>
      <c r="G104" s="87"/>
      <c r="H104" s="87"/>
      <c r="I104" s="87"/>
      <c r="J104" s="87"/>
      <c r="K104" s="87"/>
      <c r="L104" s="87"/>
      <c r="M104" s="87"/>
      <c r="N104" s="87"/>
      <c r="O104" s="87"/>
      <c r="P104" s="87"/>
      <c r="Q104" s="87"/>
      <c r="R104" s="87"/>
      <c r="S104" s="87"/>
      <c r="T104" s="87"/>
    </row>
    <row r="105" spans="2:36" s="185" customFormat="1">
      <c r="B105" s="89" t="s">
        <v>1564</v>
      </c>
      <c r="C105" s="96" t="s">
        <v>1567</v>
      </c>
      <c r="D105" s="91" t="s">
        <v>1634</v>
      </c>
      <c r="E105" s="87"/>
      <c r="F105" s="87"/>
      <c r="G105" s="87"/>
      <c r="H105" s="87"/>
      <c r="I105" s="87"/>
      <c r="J105" s="87"/>
      <c r="K105" s="87"/>
      <c r="L105" s="87"/>
      <c r="M105" s="87"/>
      <c r="N105" s="87"/>
      <c r="O105" s="87"/>
      <c r="P105" s="87"/>
      <c r="Q105" s="87"/>
      <c r="R105" s="87"/>
      <c r="S105" s="87"/>
      <c r="T105" s="87"/>
      <c r="U105" s="87"/>
    </row>
    <row r="106" spans="2:36" s="185" customFormat="1">
      <c r="B106" s="84" t="s">
        <v>1563</v>
      </c>
      <c r="C106" s="83" t="s">
        <v>2572</v>
      </c>
      <c r="D106" s="91" t="s">
        <v>1588</v>
      </c>
      <c r="E106" s="87"/>
      <c r="F106" s="87"/>
      <c r="G106" s="87"/>
      <c r="H106" s="87"/>
      <c r="I106" s="87"/>
      <c r="J106" s="87"/>
      <c r="K106" s="87"/>
      <c r="L106" s="87"/>
      <c r="M106" s="87"/>
      <c r="N106" s="87"/>
      <c r="O106" s="87"/>
      <c r="P106" s="87"/>
      <c r="Q106" s="87"/>
      <c r="R106" s="87"/>
      <c r="S106" s="87"/>
      <c r="T106" s="87"/>
      <c r="U106" s="87"/>
    </row>
    <row r="107" spans="2:36" s="185" customFormat="1">
      <c r="B107" s="89" t="s">
        <v>1565</v>
      </c>
      <c r="C107" s="97" t="s">
        <v>1559</v>
      </c>
      <c r="D107" s="98"/>
      <c r="E107" s="87"/>
      <c r="F107" s="87"/>
      <c r="G107" s="87"/>
      <c r="H107" s="87"/>
      <c r="I107" s="87"/>
      <c r="J107" s="87"/>
      <c r="K107" s="87"/>
      <c r="L107" s="87"/>
      <c r="M107" s="87"/>
      <c r="N107" s="87"/>
      <c r="O107" s="87"/>
      <c r="P107" s="87"/>
      <c r="Q107" s="87"/>
      <c r="R107" s="87"/>
      <c r="S107" s="87"/>
      <c r="T107" s="87"/>
      <c r="U107" s="87"/>
    </row>
    <row r="108" spans="2:36" s="185" customFormat="1">
      <c r="B108" s="89" t="s">
        <v>1566</v>
      </c>
      <c r="C108" s="96" t="s">
        <v>1646</v>
      </c>
      <c r="D108" s="87"/>
      <c r="E108" s="87"/>
      <c r="F108" s="87"/>
      <c r="G108" s="87"/>
      <c r="H108" s="87"/>
      <c r="I108" s="87"/>
      <c r="J108" s="87"/>
      <c r="K108" s="87"/>
      <c r="L108" s="87"/>
      <c r="M108" s="87"/>
      <c r="N108" s="87"/>
      <c r="O108" s="87"/>
      <c r="P108" s="87"/>
      <c r="Q108" s="87"/>
      <c r="R108" s="87"/>
      <c r="S108" s="87"/>
      <c r="T108" s="87"/>
    </row>
    <row r="109" spans="2:36" s="185" customFormat="1">
      <c r="D109" s="87"/>
      <c r="E109" s="87"/>
      <c r="F109" s="87"/>
      <c r="G109" s="87"/>
      <c r="H109" s="87"/>
      <c r="I109" s="87"/>
      <c r="J109" s="87"/>
      <c r="K109" s="87"/>
      <c r="L109" s="87"/>
      <c r="M109" s="87"/>
      <c r="N109" s="87"/>
      <c r="O109" s="87"/>
      <c r="P109" s="87"/>
      <c r="Q109" s="87"/>
      <c r="R109" s="87"/>
      <c r="S109" s="87"/>
      <c r="T109" s="87"/>
    </row>
    <row r="110" spans="2:36" s="185" customFormat="1" ht="17.399999999999999">
      <c r="B110" s="121" t="s">
        <v>1269</v>
      </c>
      <c r="C110" s="121"/>
      <c r="D110" s="121"/>
      <c r="E110" s="121"/>
      <c r="F110" s="121"/>
      <c r="G110" s="121"/>
      <c r="H110" s="121"/>
      <c r="I110" s="121"/>
      <c r="J110" s="121"/>
      <c r="K110" s="121"/>
      <c r="L110" s="121"/>
      <c r="M110" s="121"/>
      <c r="N110" s="121"/>
      <c r="O110" s="121"/>
      <c r="P110" s="121"/>
      <c r="Q110" s="121"/>
      <c r="R110" s="121"/>
      <c r="S110" s="121"/>
      <c r="T110" s="121"/>
    </row>
    <row r="111" spans="2:36" s="185" customFormat="1">
      <c r="B111" s="92" t="s">
        <v>310</v>
      </c>
      <c r="C111" s="92" t="s">
        <v>311</v>
      </c>
      <c r="D111" s="92" t="s">
        <v>1293</v>
      </c>
      <c r="E111" s="102" t="s">
        <v>1636</v>
      </c>
      <c r="F111" s="103" t="s">
        <v>1637</v>
      </c>
      <c r="G111" s="103" t="s">
        <v>1647</v>
      </c>
      <c r="H111" s="92" t="s">
        <v>1502</v>
      </c>
      <c r="I111" s="92" t="s">
        <v>1487</v>
      </c>
      <c r="J111" s="92" t="s">
        <v>1469</v>
      </c>
      <c r="K111" s="92" t="s">
        <v>1488</v>
      </c>
      <c r="L111" s="92" t="s">
        <v>1500</v>
      </c>
      <c r="M111" s="92" t="s">
        <v>1489</v>
      </c>
      <c r="N111" s="92" t="s">
        <v>1490</v>
      </c>
      <c r="O111" s="102" t="s">
        <v>1638</v>
      </c>
      <c r="P111" s="103" t="s">
        <v>1639</v>
      </c>
      <c r="Q111" s="103" t="s">
        <v>1648</v>
      </c>
      <c r="R111" s="92" t="s">
        <v>1503</v>
      </c>
      <c r="S111" s="92" t="s">
        <v>1491</v>
      </c>
      <c r="T111" s="92" t="s">
        <v>1470</v>
      </c>
      <c r="U111" s="92" t="s">
        <v>1492</v>
      </c>
      <c r="V111" s="92" t="s">
        <v>1501</v>
      </c>
      <c r="W111" s="92" t="s">
        <v>1493</v>
      </c>
      <c r="X111" s="92" t="s">
        <v>1494</v>
      </c>
      <c r="Y111" s="92" t="s">
        <v>1495</v>
      </c>
      <c r="Z111" s="92" t="s">
        <v>1496</v>
      </c>
    </row>
    <row r="112" spans="2:36" s="185" customFormat="1">
      <c r="B112" s="88" t="s">
        <v>320</v>
      </c>
      <c r="C112" s="80" t="s">
        <v>321</v>
      </c>
      <c r="D112" s="80" t="s">
        <v>322</v>
      </c>
      <c r="E112" s="100" t="s">
        <v>1649</v>
      </c>
      <c r="F112" s="101" t="s">
        <v>1652</v>
      </c>
      <c r="G112" s="101" t="str" cm="1">
        <f t="array" ref="G112">_xlfn.LET(_xlpm.q,tbl_WR_Assessment[[#This Row],[Vulnerability Quote]],_xlpm.e,tbl_WR_Assessment[[#This Row],[Vulnerability EvidenceID]],IF(_xlpm.q="","",IF(_xlpm.e="",1,ROWS(_xlfn.UNIQUE(_xlfn._xlws.FILTER(_xlfn.TEXTSPLIT(_xlpm.e,,CHAR(10)),_xlfn.TEXTSPLIT(_xlpm.e,,CHAR(10))&lt;&gt;""))))))</f>
        <v/>
      </c>
      <c r="H112" s="88"/>
      <c r="I112" s="80"/>
      <c r="J112" s="80"/>
      <c r="K112" s="80"/>
      <c r="L112" s="80"/>
      <c r="M112" s="80"/>
      <c r="N112" s="80"/>
      <c r="O112" s="100" t="s">
        <v>1649</v>
      </c>
      <c r="P112" s="101" t="s">
        <v>1676</v>
      </c>
      <c r="Q112" s="101" t="str" cm="1">
        <f t="array" ref="Q112">_xlfn.LET(_xlpm.q,tbl_WR_Assessment[[#This Row],[Exposure Quote]],_xlpm.e,tbl_WR_Assessment[[#This Row],[Exposure EvidenceID]],IF(_xlpm.q="","",IF(_xlpm.e="",1,ROWS(_xlfn.UNIQUE(_xlfn._xlws.FILTER(_xlfn.TEXTSPLIT(_xlpm.e,,CHAR(10)),_xlfn.TEXTSPLIT(_xlpm.e,,CHAR(10))&lt;&gt;""))))))</f>
        <v/>
      </c>
      <c r="R112" s="88"/>
      <c r="S112" s="80"/>
      <c r="T112" s="80"/>
      <c r="U112" s="80"/>
      <c r="V112" s="80"/>
      <c r="W112" s="80"/>
      <c r="X112" s="80"/>
      <c r="Y112" s="88" t="s">
        <v>1187</v>
      </c>
      <c r="Z112" s="80"/>
    </row>
    <row r="113" spans="2:26" s="185" customFormat="1">
      <c r="B113" s="88" t="s">
        <v>329</v>
      </c>
      <c r="C113" s="80" t="s">
        <v>330</v>
      </c>
      <c r="D113" s="80" t="s">
        <v>331</v>
      </c>
      <c r="E113" s="100" t="s">
        <v>1649</v>
      </c>
      <c r="F113" s="101" t="s">
        <v>1699</v>
      </c>
      <c r="G113" s="101" cm="1">
        <f t="array" ref="G113">_xlfn.LET(_xlpm.q,tbl_WR_Assessment[[#This Row],[Vulnerability Quote]],_xlpm.e,tbl_WR_Assessment[[#This Row],[Vulnerability EvidenceID]],IF(_xlpm.q="","",IF(_xlpm.e="",1,ROWS(_xlfn.UNIQUE(_xlfn._xlws.FILTER(_xlfn.TEXTSPLIT(_xlpm.e,,CHAR(10)),_xlfn.TEXTSPLIT(_xlpm.e,,CHAR(10))&lt;&gt;""))))))</f>
        <v>1</v>
      </c>
      <c r="H113" s="88" t="s">
        <v>1162</v>
      </c>
      <c r="I113" s="80" t="s">
        <v>44</v>
      </c>
      <c r="J113" s="80" t="s">
        <v>1615</v>
      </c>
      <c r="K113" s="80" t="s">
        <v>1616</v>
      </c>
      <c r="L113" s="80" t="s">
        <v>1568</v>
      </c>
      <c r="M113" s="80" t="s">
        <v>1617</v>
      </c>
      <c r="N113" s="80" t="s">
        <v>1618</v>
      </c>
      <c r="O113" s="100" t="s">
        <v>1649</v>
      </c>
      <c r="P113" s="101" t="s">
        <v>1700</v>
      </c>
      <c r="Q113" s="101" t="str" cm="1">
        <f t="array" ref="Q113">_xlfn.LET(_xlpm.q,tbl_WR_Assessment[[#This Row],[Exposure Quote]],_xlpm.e,tbl_WR_Assessment[[#This Row],[Exposure EvidenceID]],IF(_xlpm.q="","",IF(_xlpm.e="",1,ROWS(_xlfn.UNIQUE(_xlfn._xlws.FILTER(_xlfn.TEXTSPLIT(_xlpm.e,,CHAR(10)),_xlfn.TEXTSPLIT(_xlpm.e,,CHAR(10))&lt;&gt;""))))))</f>
        <v/>
      </c>
      <c r="R113" s="88"/>
      <c r="S113" s="80"/>
      <c r="T113" s="80"/>
      <c r="U113" s="80"/>
      <c r="V113" s="80"/>
      <c r="W113" s="80"/>
      <c r="X113" s="80"/>
      <c r="Y113" s="88" t="s">
        <v>1701</v>
      </c>
      <c r="Z113" s="80"/>
    </row>
    <row r="114" spans="2:26" s="185" customFormat="1">
      <c r="B114" s="88" t="s">
        <v>335</v>
      </c>
      <c r="C114" s="80" t="s">
        <v>336</v>
      </c>
      <c r="D114" s="80" t="s">
        <v>337</v>
      </c>
      <c r="E114" s="100" t="s">
        <v>1649</v>
      </c>
      <c r="F114" s="101" t="s">
        <v>1653</v>
      </c>
      <c r="G114" s="101" t="str" cm="1">
        <f t="array" ref="G114">_xlfn.LET(_xlpm.q,tbl_WR_Assessment[[#This Row],[Vulnerability Quote]],_xlpm.e,tbl_WR_Assessment[[#This Row],[Vulnerability EvidenceID]],IF(_xlpm.q="","",IF(_xlpm.e="",1,ROWS(_xlfn.UNIQUE(_xlfn._xlws.FILTER(_xlfn.TEXTSPLIT(_xlpm.e,,CHAR(10)),_xlfn.TEXTSPLIT(_xlpm.e,,CHAR(10))&lt;&gt;""))))))</f>
        <v/>
      </c>
      <c r="H114" s="88"/>
      <c r="I114" s="80"/>
      <c r="J114" s="80"/>
      <c r="K114" s="80"/>
      <c r="L114" s="80"/>
      <c r="M114" s="80"/>
      <c r="N114" s="80"/>
      <c r="O114" s="100" t="s">
        <v>1649</v>
      </c>
      <c r="P114" s="101" t="s">
        <v>1677</v>
      </c>
      <c r="Q114" s="101" t="str" cm="1">
        <f t="array" ref="Q114">_xlfn.LET(_xlpm.q,tbl_WR_Assessment[[#This Row],[Exposure Quote]],_xlpm.e,tbl_WR_Assessment[[#This Row],[Exposure EvidenceID]],IF(_xlpm.q="","",IF(_xlpm.e="",1,ROWS(_xlfn.UNIQUE(_xlfn._xlws.FILTER(_xlfn.TEXTSPLIT(_xlpm.e,,CHAR(10)),_xlfn.TEXTSPLIT(_xlpm.e,,CHAR(10))&lt;&gt;""))))))</f>
        <v/>
      </c>
      <c r="R114" s="88"/>
      <c r="S114" s="80"/>
      <c r="T114" s="80"/>
      <c r="U114" s="80"/>
      <c r="V114" s="80"/>
      <c r="W114" s="80"/>
      <c r="X114" s="80"/>
      <c r="Y114" s="88" t="s">
        <v>1187</v>
      </c>
      <c r="Z114" s="80"/>
    </row>
    <row r="115" spans="2:26" s="185" customFormat="1">
      <c r="B115" s="88" t="s">
        <v>341</v>
      </c>
      <c r="C115" s="80" t="s">
        <v>342</v>
      </c>
      <c r="D115" s="80" t="s">
        <v>343</v>
      </c>
      <c r="E115" s="100" t="s">
        <v>1649</v>
      </c>
      <c r="F115" s="101" t="s">
        <v>1654</v>
      </c>
      <c r="G115" s="101" t="str" cm="1">
        <f t="array" ref="G115">_xlfn.LET(_xlpm.q,tbl_WR_Assessment[[#This Row],[Vulnerability Quote]],_xlpm.e,tbl_WR_Assessment[[#This Row],[Vulnerability EvidenceID]],IF(_xlpm.q="","",IF(_xlpm.e="",1,ROWS(_xlfn.UNIQUE(_xlfn._xlws.FILTER(_xlfn.TEXTSPLIT(_xlpm.e,,CHAR(10)),_xlfn.TEXTSPLIT(_xlpm.e,,CHAR(10))&lt;&gt;""))))))</f>
        <v/>
      </c>
      <c r="H115" s="88"/>
      <c r="I115" s="80"/>
      <c r="J115" s="80"/>
      <c r="K115" s="80"/>
      <c r="L115" s="80"/>
      <c r="M115" s="80"/>
      <c r="N115" s="80"/>
      <c r="O115" s="100" t="s">
        <v>1649</v>
      </c>
      <c r="P115" s="101" t="s">
        <v>1678</v>
      </c>
      <c r="Q115" s="101" t="str" cm="1">
        <f t="array" ref="Q115">_xlfn.LET(_xlpm.q,tbl_WR_Assessment[[#This Row],[Exposure Quote]],_xlpm.e,tbl_WR_Assessment[[#This Row],[Exposure EvidenceID]],IF(_xlpm.q="","",IF(_xlpm.e="",1,ROWS(_xlfn.UNIQUE(_xlfn._xlws.FILTER(_xlfn.TEXTSPLIT(_xlpm.e,,CHAR(10)),_xlfn.TEXTSPLIT(_xlpm.e,,CHAR(10))&lt;&gt;""))))))</f>
        <v/>
      </c>
      <c r="R115" s="88"/>
      <c r="S115" s="80"/>
      <c r="T115" s="80"/>
      <c r="U115" s="80"/>
      <c r="V115" s="80"/>
      <c r="W115" s="80"/>
      <c r="X115" s="80"/>
      <c r="Y115" s="88" t="s">
        <v>1187</v>
      </c>
      <c r="Z115" s="80"/>
    </row>
    <row r="116" spans="2:26" s="185" customFormat="1">
      <c r="B116" s="88" t="s">
        <v>346</v>
      </c>
      <c r="C116" s="80" t="s">
        <v>347</v>
      </c>
      <c r="D116" s="80" t="s">
        <v>348</v>
      </c>
      <c r="E116" s="100" t="s">
        <v>1649</v>
      </c>
      <c r="F116" s="101" t="s">
        <v>1655</v>
      </c>
      <c r="G116" s="101" t="str" cm="1">
        <f t="array" ref="G116">_xlfn.LET(_xlpm.q,tbl_WR_Assessment[[#This Row],[Vulnerability Quote]],_xlpm.e,tbl_WR_Assessment[[#This Row],[Vulnerability EvidenceID]],IF(_xlpm.q="","",IF(_xlpm.e="",1,ROWS(_xlfn.UNIQUE(_xlfn._xlws.FILTER(_xlfn.TEXTSPLIT(_xlpm.e,,CHAR(10)),_xlfn.TEXTSPLIT(_xlpm.e,,CHAR(10))&lt;&gt;""))))))</f>
        <v/>
      </c>
      <c r="H116" s="88"/>
      <c r="I116" s="80"/>
      <c r="J116" s="80"/>
      <c r="K116" s="80"/>
      <c r="L116" s="80"/>
      <c r="M116" s="80"/>
      <c r="N116" s="80"/>
      <c r="O116" s="100" t="s">
        <v>1649</v>
      </c>
      <c r="P116" s="101" t="s">
        <v>1679</v>
      </c>
      <c r="Q116" s="101" t="str" cm="1">
        <f t="array" ref="Q116">_xlfn.LET(_xlpm.q,tbl_WR_Assessment[[#This Row],[Exposure Quote]],_xlpm.e,tbl_WR_Assessment[[#This Row],[Exposure EvidenceID]],IF(_xlpm.q="","",IF(_xlpm.e="",1,ROWS(_xlfn.UNIQUE(_xlfn._xlws.FILTER(_xlfn.TEXTSPLIT(_xlpm.e,,CHAR(10)),_xlfn.TEXTSPLIT(_xlpm.e,,CHAR(10))&lt;&gt;""))))))</f>
        <v/>
      </c>
      <c r="R116" s="88"/>
      <c r="S116" s="80"/>
      <c r="T116" s="80"/>
      <c r="U116" s="80"/>
      <c r="V116" s="80"/>
      <c r="W116" s="80"/>
      <c r="X116" s="80"/>
      <c r="Y116" s="88" t="s">
        <v>1187</v>
      </c>
      <c r="Z116" s="80"/>
    </row>
    <row r="117" spans="2:26" s="185" customFormat="1">
      <c r="B117" s="88" t="s">
        <v>349</v>
      </c>
      <c r="C117" s="80" t="s">
        <v>350</v>
      </c>
      <c r="D117" s="80" t="s">
        <v>351</v>
      </c>
      <c r="E117" s="100" t="s">
        <v>1651</v>
      </c>
      <c r="F117" s="101" t="s">
        <v>1656</v>
      </c>
      <c r="G117" s="101">
        <v>3</v>
      </c>
      <c r="H117" s="88" t="s">
        <v>1162</v>
      </c>
      <c r="I117" s="80" t="s">
        <v>1589</v>
      </c>
      <c r="J117" s="80" t="s">
        <v>1758</v>
      </c>
      <c r="K117" s="80" t="s">
        <v>1759</v>
      </c>
      <c r="L117" s="80" t="s">
        <v>1760</v>
      </c>
      <c r="M117" s="80" t="s">
        <v>1761</v>
      </c>
      <c r="N117" s="80" t="s">
        <v>1762</v>
      </c>
      <c r="O117" s="100" t="s">
        <v>1649</v>
      </c>
      <c r="P117" s="101" t="s">
        <v>1680</v>
      </c>
      <c r="Q117" s="101" t="str" cm="1">
        <f t="array" ref="Q117">_xlfn.LET(_xlpm.q,tbl_WR_Assessment[[#This Row],[Exposure Quote]],_xlpm.e,tbl_WR_Assessment[[#This Row],[Exposure EvidenceID]],IF(_xlpm.q="","",IF(_xlpm.e="",1,ROWS(_xlfn.UNIQUE(_xlfn._xlws.FILTER(_xlfn.TEXTSPLIT(_xlpm.e,,CHAR(10)),_xlfn.TEXTSPLIT(_xlpm.e,,CHAR(10))&lt;&gt;""))))))</f>
        <v/>
      </c>
      <c r="R117" s="88"/>
      <c r="S117" s="80"/>
      <c r="T117" s="80"/>
      <c r="U117" s="80"/>
      <c r="V117" s="80"/>
      <c r="W117" s="80"/>
      <c r="X117" s="80"/>
      <c r="Y117" s="88" t="s">
        <v>1569</v>
      </c>
      <c r="Z117" s="80"/>
    </row>
    <row r="118" spans="2:26" s="185" customFormat="1">
      <c r="B118" s="88" t="s">
        <v>355</v>
      </c>
      <c r="C118" s="80" t="s">
        <v>356</v>
      </c>
      <c r="D118" s="80" t="s">
        <v>357</v>
      </c>
      <c r="E118" s="100" t="s">
        <v>1651</v>
      </c>
      <c r="F118" s="101" t="s">
        <v>1657</v>
      </c>
      <c r="G118" s="101">
        <v>3</v>
      </c>
      <c r="H118" s="88" t="s">
        <v>1161</v>
      </c>
      <c r="I118" s="80" t="s">
        <v>1763</v>
      </c>
      <c r="J118" s="80" t="s">
        <v>1764</v>
      </c>
      <c r="K118" s="80" t="s">
        <v>1765</v>
      </c>
      <c r="L118" s="80" t="s">
        <v>1760</v>
      </c>
      <c r="M118" s="80" t="s">
        <v>1766</v>
      </c>
      <c r="N118" s="80" t="s">
        <v>1767</v>
      </c>
      <c r="O118" s="100" t="s">
        <v>1649</v>
      </c>
      <c r="P118" s="101" t="s">
        <v>1681</v>
      </c>
      <c r="Q118" s="101" t="str" cm="1">
        <f t="array" ref="Q118">_xlfn.LET(_xlpm.q,tbl_WR_Assessment[[#This Row],[Exposure Quote]],_xlpm.e,tbl_WR_Assessment[[#This Row],[Exposure EvidenceID]],IF(_xlpm.q="","",IF(_xlpm.e="",1,ROWS(_xlfn.UNIQUE(_xlfn._xlws.FILTER(_xlfn.TEXTSPLIT(_xlpm.e,,CHAR(10)),_xlfn.TEXTSPLIT(_xlpm.e,,CHAR(10))&lt;&gt;""))))))</f>
        <v/>
      </c>
      <c r="R118" s="88"/>
      <c r="S118" s="80"/>
      <c r="T118" s="80"/>
      <c r="U118" s="80"/>
      <c r="V118" s="80"/>
      <c r="W118" s="80"/>
      <c r="X118" s="80"/>
      <c r="Y118" s="88" t="s">
        <v>1569</v>
      </c>
      <c r="Z118" s="80"/>
    </row>
    <row r="119" spans="2:26" s="185" customFormat="1">
      <c r="B119" s="88" t="s">
        <v>360</v>
      </c>
      <c r="C119" s="80" t="s">
        <v>361</v>
      </c>
      <c r="D119" s="80" t="s">
        <v>362</v>
      </c>
      <c r="E119" s="100" t="s">
        <v>1651</v>
      </c>
      <c r="F119" s="101" t="s">
        <v>1658</v>
      </c>
      <c r="G119" s="101">
        <v>3</v>
      </c>
      <c r="H119" s="88" t="s">
        <v>1162</v>
      </c>
      <c r="I119" s="80" t="s">
        <v>1591</v>
      </c>
      <c r="J119" s="80" t="s">
        <v>1768</v>
      </c>
      <c r="K119" s="80" t="s">
        <v>1769</v>
      </c>
      <c r="L119" s="80" t="s">
        <v>1770</v>
      </c>
      <c r="M119" s="80" t="s">
        <v>1771</v>
      </c>
      <c r="N119" s="80" t="s">
        <v>1772</v>
      </c>
      <c r="O119" s="100" t="s">
        <v>1649</v>
      </c>
      <c r="P119" s="101" t="s">
        <v>1682</v>
      </c>
      <c r="Q119" s="101" t="str" cm="1">
        <f t="array" ref="Q119">_xlfn.LET(_xlpm.q,tbl_WR_Assessment[[#This Row],[Exposure Quote]],_xlpm.e,tbl_WR_Assessment[[#This Row],[Exposure EvidenceID]],IF(_xlpm.q="","",IF(_xlpm.e="",1,ROWS(_xlfn.UNIQUE(_xlfn._xlws.FILTER(_xlfn.TEXTSPLIT(_xlpm.e,,CHAR(10)),_xlfn.TEXTSPLIT(_xlpm.e,,CHAR(10))&lt;&gt;""))))))</f>
        <v/>
      </c>
      <c r="R119" s="88"/>
      <c r="S119" s="80"/>
      <c r="T119" s="80"/>
      <c r="U119" s="80"/>
      <c r="V119" s="80"/>
      <c r="W119" s="80"/>
      <c r="X119" s="80"/>
      <c r="Y119" s="88" t="s">
        <v>1569</v>
      </c>
      <c r="Z119" s="80"/>
    </row>
    <row r="120" spans="2:26" s="185" customFormat="1">
      <c r="B120" s="88" t="s">
        <v>364</v>
      </c>
      <c r="C120" s="80" t="s">
        <v>365</v>
      </c>
      <c r="D120" s="80" t="s">
        <v>366</v>
      </c>
      <c r="E120" s="100" t="s">
        <v>1649</v>
      </c>
      <c r="F120" s="101" t="s">
        <v>1659</v>
      </c>
      <c r="G120" s="101" t="str" cm="1">
        <f t="array" ref="G120">_xlfn.LET(_xlpm.q,tbl_WR_Assessment[[#This Row],[Vulnerability Quote]],_xlpm.e,tbl_WR_Assessment[[#This Row],[Vulnerability EvidenceID]],IF(_xlpm.q="","",IF(_xlpm.e="",1,ROWS(_xlfn.UNIQUE(_xlfn._xlws.FILTER(_xlfn.TEXTSPLIT(_xlpm.e,,CHAR(10)),_xlfn.TEXTSPLIT(_xlpm.e,,CHAR(10))&lt;&gt;""))))))</f>
        <v/>
      </c>
      <c r="H120" s="88"/>
      <c r="I120" s="80"/>
      <c r="J120" s="80"/>
      <c r="K120" s="80"/>
      <c r="L120" s="80"/>
      <c r="M120" s="80"/>
      <c r="N120" s="80"/>
      <c r="O120" s="100" t="s">
        <v>1649</v>
      </c>
      <c r="P120" s="101" t="s">
        <v>1683</v>
      </c>
      <c r="Q120" s="101" t="str" cm="1">
        <f t="array" ref="Q120">_xlfn.LET(_xlpm.q,tbl_WR_Assessment[[#This Row],[Exposure Quote]],_xlpm.e,tbl_WR_Assessment[[#This Row],[Exposure EvidenceID]],IF(_xlpm.q="","",IF(_xlpm.e="",1,ROWS(_xlfn.UNIQUE(_xlfn._xlws.FILTER(_xlfn.TEXTSPLIT(_xlpm.e,,CHAR(10)),_xlfn.TEXTSPLIT(_xlpm.e,,CHAR(10))&lt;&gt;""))))))</f>
        <v/>
      </c>
      <c r="R120" s="88"/>
      <c r="S120" s="80"/>
      <c r="T120" s="80"/>
      <c r="U120" s="80"/>
      <c r="V120" s="80"/>
      <c r="W120" s="80"/>
      <c r="X120" s="80"/>
      <c r="Y120" s="88" t="s">
        <v>1187</v>
      </c>
      <c r="Z120" s="80"/>
    </row>
    <row r="121" spans="2:26" s="185" customFormat="1">
      <c r="B121" s="88" t="s">
        <v>369</v>
      </c>
      <c r="C121" s="80" t="s">
        <v>370</v>
      </c>
      <c r="D121" s="80" t="s">
        <v>371</v>
      </c>
      <c r="E121" s="100" t="s">
        <v>1649</v>
      </c>
      <c r="F121" s="101" t="s">
        <v>1702</v>
      </c>
      <c r="G121" s="101" t="str" cm="1">
        <f t="array" ref="G121">_xlfn.LET(_xlpm.q,tbl_WR_Assessment[[#This Row],[Vulnerability Quote]],_xlpm.e,tbl_WR_Assessment[[#This Row],[Vulnerability EvidenceID]],IF(_xlpm.q="","",IF(_xlpm.e="",1,ROWS(_xlfn.UNIQUE(_xlfn._xlws.FILTER(_xlfn.TEXTSPLIT(_xlpm.e,,CHAR(10)),_xlfn.TEXTSPLIT(_xlpm.e,,CHAR(10))&lt;&gt;""))))))</f>
        <v/>
      </c>
      <c r="H121" s="88"/>
      <c r="I121" s="80"/>
      <c r="J121" s="80"/>
      <c r="K121" s="80"/>
      <c r="L121" s="80"/>
      <c r="M121" s="80"/>
      <c r="N121" s="80"/>
      <c r="O121" s="100" t="s">
        <v>1649</v>
      </c>
      <c r="P121" s="101" t="s">
        <v>1703</v>
      </c>
      <c r="Q121" s="101" t="str" cm="1">
        <f t="array" ref="Q121">_xlfn.LET(_xlpm.q,tbl_WR_Assessment[[#This Row],[Exposure Quote]],_xlpm.e,tbl_WR_Assessment[[#This Row],[Exposure EvidenceID]],IF(_xlpm.q="","",IF(_xlpm.e="",1,ROWS(_xlfn.UNIQUE(_xlfn._xlws.FILTER(_xlfn.TEXTSPLIT(_xlpm.e,,CHAR(10)),_xlfn.TEXTSPLIT(_xlpm.e,,CHAR(10))&lt;&gt;""))))))</f>
        <v/>
      </c>
      <c r="R121" s="88"/>
      <c r="S121" s="80"/>
      <c r="T121" s="80"/>
      <c r="U121" s="80"/>
      <c r="V121" s="80"/>
      <c r="W121" s="80"/>
      <c r="X121" s="80"/>
      <c r="Y121" s="88" t="s">
        <v>1187</v>
      </c>
      <c r="Z121" s="80"/>
    </row>
    <row r="122" spans="2:26" s="185" customFormat="1">
      <c r="B122" s="88" t="s">
        <v>375</v>
      </c>
      <c r="C122" s="80" t="s">
        <v>376</v>
      </c>
      <c r="D122" s="80" t="s">
        <v>377</v>
      </c>
      <c r="E122" s="100" t="s">
        <v>1649</v>
      </c>
      <c r="F122" s="101" t="s">
        <v>1704</v>
      </c>
      <c r="G122" s="101" t="str" cm="1">
        <f t="array" ref="G122">_xlfn.LET(_xlpm.q,tbl_WR_Assessment[[#This Row],[Vulnerability Quote]],_xlpm.e,tbl_WR_Assessment[[#This Row],[Vulnerability EvidenceID]],IF(_xlpm.q="","",IF(_xlpm.e="",1,ROWS(_xlfn.UNIQUE(_xlfn._xlws.FILTER(_xlfn.TEXTSPLIT(_xlpm.e,,CHAR(10)),_xlfn.TEXTSPLIT(_xlpm.e,,CHAR(10))&lt;&gt;""))))))</f>
        <v/>
      </c>
      <c r="H122" s="88"/>
      <c r="I122" s="80"/>
      <c r="J122" s="80"/>
      <c r="K122" s="80"/>
      <c r="L122" s="80"/>
      <c r="M122" s="80"/>
      <c r="N122" s="80"/>
      <c r="O122" s="100" t="s">
        <v>1649</v>
      </c>
      <c r="P122" s="101" t="s">
        <v>1705</v>
      </c>
      <c r="Q122" s="101" t="str" cm="1">
        <f t="array" ref="Q122">_xlfn.LET(_xlpm.q,tbl_WR_Assessment[[#This Row],[Exposure Quote]],_xlpm.e,tbl_WR_Assessment[[#This Row],[Exposure EvidenceID]],IF(_xlpm.q="","",IF(_xlpm.e="",1,ROWS(_xlfn.UNIQUE(_xlfn._xlws.FILTER(_xlfn.TEXTSPLIT(_xlpm.e,,CHAR(10)),_xlfn.TEXTSPLIT(_xlpm.e,,CHAR(10))&lt;&gt;""))))))</f>
        <v/>
      </c>
      <c r="R122" s="88"/>
      <c r="S122" s="80"/>
      <c r="T122" s="80"/>
      <c r="U122" s="80"/>
      <c r="V122" s="80"/>
      <c r="W122" s="80"/>
      <c r="X122" s="80"/>
      <c r="Y122" s="88" t="s">
        <v>1187</v>
      </c>
      <c r="Z122" s="80"/>
    </row>
    <row r="123" spans="2:26" s="185" customFormat="1">
      <c r="B123" s="88" t="s">
        <v>379</v>
      </c>
      <c r="C123" s="80" t="s">
        <v>380</v>
      </c>
      <c r="D123" s="80" t="s">
        <v>381</v>
      </c>
      <c r="E123" s="100" t="s">
        <v>1649</v>
      </c>
      <c r="F123" s="101" t="s">
        <v>1706</v>
      </c>
      <c r="G123" s="101" t="str" cm="1">
        <f t="array" ref="G123">_xlfn.LET(_xlpm.q,tbl_WR_Assessment[[#This Row],[Vulnerability Quote]],_xlpm.e,tbl_WR_Assessment[[#This Row],[Vulnerability EvidenceID]],IF(_xlpm.q="","",IF(_xlpm.e="",1,ROWS(_xlfn.UNIQUE(_xlfn._xlws.FILTER(_xlfn.TEXTSPLIT(_xlpm.e,,CHAR(10)),_xlfn.TEXTSPLIT(_xlpm.e,,CHAR(10))&lt;&gt;""))))))</f>
        <v/>
      </c>
      <c r="H123" s="88"/>
      <c r="I123" s="80"/>
      <c r="J123" s="80"/>
      <c r="K123" s="80"/>
      <c r="L123" s="80"/>
      <c r="M123" s="80"/>
      <c r="N123" s="80"/>
      <c r="O123" s="100" t="s">
        <v>1649</v>
      </c>
      <c r="P123" s="101" t="s">
        <v>1707</v>
      </c>
      <c r="Q123" s="101" t="str" cm="1">
        <f t="array" ref="Q123">_xlfn.LET(_xlpm.q,tbl_WR_Assessment[[#This Row],[Exposure Quote]],_xlpm.e,tbl_WR_Assessment[[#This Row],[Exposure EvidenceID]],IF(_xlpm.q="","",IF(_xlpm.e="",1,ROWS(_xlfn.UNIQUE(_xlfn._xlws.FILTER(_xlfn.TEXTSPLIT(_xlpm.e,,CHAR(10)),_xlfn.TEXTSPLIT(_xlpm.e,,CHAR(10))&lt;&gt;""))))))</f>
        <v/>
      </c>
      <c r="R123" s="88"/>
      <c r="S123" s="80"/>
      <c r="T123" s="80"/>
      <c r="U123" s="80"/>
      <c r="V123" s="80"/>
      <c r="W123" s="80"/>
      <c r="X123" s="80"/>
      <c r="Y123" s="88" t="s">
        <v>1187</v>
      </c>
      <c r="Z123" s="80"/>
    </row>
    <row r="124" spans="2:26" s="185" customFormat="1">
      <c r="B124" s="88" t="s">
        <v>384</v>
      </c>
      <c r="C124" s="80" t="s">
        <v>385</v>
      </c>
      <c r="D124" s="80" t="s">
        <v>386</v>
      </c>
      <c r="E124" s="100" t="s">
        <v>1649</v>
      </c>
      <c r="F124" s="101" t="s">
        <v>1708</v>
      </c>
      <c r="G124" s="101" cm="1">
        <f t="array" ref="G124">_xlfn.LET(_xlpm.q,tbl_WR_Assessment[[#This Row],[Vulnerability Quote]],_xlpm.e,tbl_WR_Assessment[[#This Row],[Vulnerability EvidenceID]],IF(_xlpm.q="","",IF(_xlpm.e="",1,ROWS(_xlfn.UNIQUE(_xlfn._xlws.FILTER(_xlfn.TEXTSPLIT(_xlpm.e,,CHAR(10)),_xlfn.TEXTSPLIT(_xlpm.e,,CHAR(10))&lt;&gt;""))))))</f>
        <v>2</v>
      </c>
      <c r="H124" s="88" t="s">
        <v>1162</v>
      </c>
      <c r="I124" s="80" t="s">
        <v>53</v>
      </c>
      <c r="J124" s="80" t="s">
        <v>1593</v>
      </c>
      <c r="K124" s="80" t="s">
        <v>1594</v>
      </c>
      <c r="L124" s="80" t="s">
        <v>1590</v>
      </c>
      <c r="M124" s="80" t="s">
        <v>1595</v>
      </c>
      <c r="N124" s="80" t="s">
        <v>1596</v>
      </c>
      <c r="O124" s="100" t="s">
        <v>1649</v>
      </c>
      <c r="P124" s="101" t="s">
        <v>1709</v>
      </c>
      <c r="Q124" s="101" t="str" cm="1">
        <f t="array" ref="Q124">_xlfn.LET(_xlpm.q,tbl_WR_Assessment[[#This Row],[Exposure Quote]],_xlpm.e,tbl_WR_Assessment[[#This Row],[Exposure EvidenceID]],IF(_xlpm.q="","",IF(_xlpm.e="",1,ROWS(_xlfn.UNIQUE(_xlfn._xlws.FILTER(_xlfn.TEXTSPLIT(_xlpm.e,,CHAR(10)),_xlfn.TEXTSPLIT(_xlpm.e,,CHAR(10))&lt;&gt;""))))))</f>
        <v/>
      </c>
      <c r="R124" s="88"/>
      <c r="S124" s="80"/>
      <c r="T124" s="80"/>
      <c r="U124" s="80"/>
      <c r="V124" s="80"/>
      <c r="W124" s="80"/>
      <c r="X124" s="80"/>
      <c r="Y124" s="88" t="s">
        <v>1701</v>
      </c>
      <c r="Z124" s="80"/>
    </row>
    <row r="125" spans="2:26" s="185" customFormat="1">
      <c r="B125" s="88" t="s">
        <v>388</v>
      </c>
      <c r="C125" s="80" t="s">
        <v>389</v>
      </c>
      <c r="D125" s="80" t="s">
        <v>390</v>
      </c>
      <c r="E125" s="100" t="s">
        <v>1649</v>
      </c>
      <c r="F125" s="101" t="s">
        <v>1710</v>
      </c>
      <c r="G125" s="101" t="str" cm="1">
        <f t="array" ref="G125">_xlfn.LET(_xlpm.q,tbl_WR_Assessment[[#This Row],[Vulnerability Quote]],_xlpm.e,tbl_WR_Assessment[[#This Row],[Vulnerability EvidenceID]],IF(_xlpm.q="","",IF(_xlpm.e="",1,ROWS(_xlfn.UNIQUE(_xlfn._xlws.FILTER(_xlfn.TEXTSPLIT(_xlpm.e,,CHAR(10)),_xlfn.TEXTSPLIT(_xlpm.e,,CHAR(10))&lt;&gt;""))))))</f>
        <v/>
      </c>
      <c r="H125" s="88"/>
      <c r="I125" s="80"/>
      <c r="J125" s="80"/>
      <c r="K125" s="80"/>
      <c r="L125" s="80"/>
      <c r="M125" s="80"/>
      <c r="N125" s="80"/>
      <c r="O125" s="100" t="s">
        <v>1649</v>
      </c>
      <c r="P125" s="101" t="s">
        <v>1711</v>
      </c>
      <c r="Q125" s="101" t="str" cm="1">
        <f t="array" ref="Q125">_xlfn.LET(_xlpm.q,tbl_WR_Assessment[[#This Row],[Exposure Quote]],_xlpm.e,tbl_WR_Assessment[[#This Row],[Exposure EvidenceID]],IF(_xlpm.q="","",IF(_xlpm.e="",1,ROWS(_xlfn.UNIQUE(_xlfn._xlws.FILTER(_xlfn.TEXTSPLIT(_xlpm.e,,CHAR(10)),_xlfn.TEXTSPLIT(_xlpm.e,,CHAR(10))&lt;&gt;""))))))</f>
        <v/>
      </c>
      <c r="R125" s="88"/>
      <c r="S125" s="80"/>
      <c r="T125" s="80"/>
      <c r="U125" s="80"/>
      <c r="V125" s="80"/>
      <c r="W125" s="80"/>
      <c r="X125" s="80"/>
      <c r="Y125" s="88" t="s">
        <v>1187</v>
      </c>
      <c r="Z125" s="80"/>
    </row>
    <row r="126" spans="2:26" s="185" customFormat="1">
      <c r="B126" s="88" t="s">
        <v>393</v>
      </c>
      <c r="C126" s="80" t="s">
        <v>394</v>
      </c>
      <c r="D126" s="80" t="s">
        <v>395</v>
      </c>
      <c r="E126" s="100" t="s">
        <v>1649</v>
      </c>
      <c r="F126" s="101" t="s">
        <v>1660</v>
      </c>
      <c r="G126" s="101" t="str" cm="1">
        <f t="array" ref="G126">_xlfn.LET(_xlpm.q,tbl_WR_Assessment[[#This Row],[Vulnerability Quote]],_xlpm.e,tbl_WR_Assessment[[#This Row],[Vulnerability EvidenceID]],IF(_xlpm.q="","",IF(_xlpm.e="",1,ROWS(_xlfn.UNIQUE(_xlfn._xlws.FILTER(_xlfn.TEXTSPLIT(_xlpm.e,,CHAR(10)),_xlfn.TEXTSPLIT(_xlpm.e,,CHAR(10))&lt;&gt;""))))))</f>
        <v/>
      </c>
      <c r="H126" s="88"/>
      <c r="I126" s="80"/>
      <c r="J126" s="80"/>
      <c r="K126" s="80"/>
      <c r="L126" s="80"/>
      <c r="M126" s="80"/>
      <c r="N126" s="80"/>
      <c r="O126" s="100" t="s">
        <v>1649</v>
      </c>
      <c r="P126" s="101" t="s">
        <v>1684</v>
      </c>
      <c r="Q126" s="101" t="str" cm="1">
        <f t="array" ref="Q126">_xlfn.LET(_xlpm.q,tbl_WR_Assessment[[#This Row],[Exposure Quote]],_xlpm.e,tbl_WR_Assessment[[#This Row],[Exposure EvidenceID]],IF(_xlpm.q="","",IF(_xlpm.e="",1,ROWS(_xlfn.UNIQUE(_xlfn._xlws.FILTER(_xlfn.TEXTSPLIT(_xlpm.e,,CHAR(10)),_xlfn.TEXTSPLIT(_xlpm.e,,CHAR(10))&lt;&gt;""))))))</f>
        <v/>
      </c>
      <c r="R126" s="88"/>
      <c r="S126" s="80"/>
      <c r="T126" s="80"/>
      <c r="U126" s="80"/>
      <c r="V126" s="80"/>
      <c r="W126" s="80"/>
      <c r="X126" s="80"/>
      <c r="Y126" s="88" t="s">
        <v>1187</v>
      </c>
      <c r="Z126" s="80"/>
    </row>
    <row r="127" spans="2:26" s="185" customFormat="1">
      <c r="B127" s="88" t="s">
        <v>398</v>
      </c>
      <c r="C127" s="80" t="s">
        <v>399</v>
      </c>
      <c r="D127" s="80" t="s">
        <v>400</v>
      </c>
      <c r="E127" s="100" t="s">
        <v>1651</v>
      </c>
      <c r="F127" s="101" t="s">
        <v>1712</v>
      </c>
      <c r="G127" s="101">
        <v>2</v>
      </c>
      <c r="H127" s="88" t="s">
        <v>1162</v>
      </c>
      <c r="I127" s="80" t="s">
        <v>54</v>
      </c>
      <c r="J127" s="80" t="s">
        <v>1773</v>
      </c>
      <c r="K127" s="80" t="s">
        <v>1774</v>
      </c>
      <c r="L127" s="80" t="s">
        <v>1770</v>
      </c>
      <c r="M127" s="80" t="s">
        <v>1775</v>
      </c>
      <c r="N127" s="80" t="s">
        <v>1776</v>
      </c>
      <c r="O127" s="100" t="s">
        <v>1649</v>
      </c>
      <c r="P127" s="101" t="s">
        <v>1713</v>
      </c>
      <c r="Q127" s="101" t="str" cm="1">
        <f t="array" ref="Q127">_xlfn.LET(_xlpm.q,tbl_WR_Assessment[[#This Row],[Exposure Quote]],_xlpm.e,tbl_WR_Assessment[[#This Row],[Exposure EvidenceID]],IF(_xlpm.q="","",IF(_xlpm.e="",1,ROWS(_xlfn.UNIQUE(_xlfn._xlws.FILTER(_xlfn.TEXTSPLIT(_xlpm.e,,CHAR(10)),_xlfn.TEXTSPLIT(_xlpm.e,,CHAR(10))&lt;&gt;""))))))</f>
        <v/>
      </c>
      <c r="R127" s="88"/>
      <c r="S127" s="80"/>
      <c r="T127" s="80"/>
      <c r="U127" s="80"/>
      <c r="V127" s="80"/>
      <c r="W127" s="80"/>
      <c r="X127" s="80"/>
      <c r="Y127" s="88" t="s">
        <v>1569</v>
      </c>
      <c r="Z127" s="80"/>
    </row>
    <row r="128" spans="2:26" s="185" customFormat="1">
      <c r="B128" s="88" t="s">
        <v>404</v>
      </c>
      <c r="C128" s="80" t="s">
        <v>405</v>
      </c>
      <c r="D128" s="80" t="s">
        <v>406</v>
      </c>
      <c r="E128" s="100" t="s">
        <v>1649</v>
      </c>
      <c r="F128" s="101" t="s">
        <v>1714</v>
      </c>
      <c r="G128" s="101" t="str" cm="1">
        <f t="array" ref="G128">_xlfn.LET(_xlpm.q,tbl_WR_Assessment[[#This Row],[Vulnerability Quote]],_xlpm.e,tbl_WR_Assessment[[#This Row],[Vulnerability EvidenceID]],IF(_xlpm.q="","",IF(_xlpm.e="",1,ROWS(_xlfn.UNIQUE(_xlfn._xlws.FILTER(_xlfn.TEXTSPLIT(_xlpm.e,,CHAR(10)),_xlfn.TEXTSPLIT(_xlpm.e,,CHAR(10))&lt;&gt;""))))))</f>
        <v/>
      </c>
      <c r="H128" s="88"/>
      <c r="I128" s="80"/>
      <c r="J128" s="80"/>
      <c r="K128" s="80"/>
      <c r="L128" s="80"/>
      <c r="M128" s="80"/>
      <c r="N128" s="80"/>
      <c r="O128" s="100" t="s">
        <v>1649</v>
      </c>
      <c r="P128" s="101" t="s">
        <v>1715</v>
      </c>
      <c r="Q128" s="101" t="str" cm="1">
        <f t="array" ref="Q128">_xlfn.LET(_xlpm.q,tbl_WR_Assessment[[#This Row],[Exposure Quote]],_xlpm.e,tbl_WR_Assessment[[#This Row],[Exposure EvidenceID]],IF(_xlpm.q="","",IF(_xlpm.e="",1,ROWS(_xlfn.UNIQUE(_xlfn._xlws.FILTER(_xlfn.TEXTSPLIT(_xlpm.e,,CHAR(10)),_xlfn.TEXTSPLIT(_xlpm.e,,CHAR(10))&lt;&gt;""))))))</f>
        <v/>
      </c>
      <c r="R128" s="88"/>
      <c r="S128" s="80"/>
      <c r="T128" s="80"/>
      <c r="U128" s="80"/>
      <c r="V128" s="80"/>
      <c r="W128" s="80"/>
      <c r="X128" s="80"/>
      <c r="Y128" s="88" t="s">
        <v>1187</v>
      </c>
      <c r="Z128" s="80"/>
    </row>
    <row r="129" spans="2:26" s="185" customFormat="1">
      <c r="B129" s="88" t="s">
        <v>408</v>
      </c>
      <c r="C129" s="80" t="s">
        <v>409</v>
      </c>
      <c r="D129" s="80" t="s">
        <v>410</v>
      </c>
      <c r="E129" s="100" t="s">
        <v>1649</v>
      </c>
      <c r="F129" s="101" t="s">
        <v>1661</v>
      </c>
      <c r="G129" s="101" t="str" cm="1">
        <f t="array" ref="G129">_xlfn.LET(_xlpm.q,tbl_WR_Assessment[[#This Row],[Vulnerability Quote]],_xlpm.e,tbl_WR_Assessment[[#This Row],[Vulnerability EvidenceID]],IF(_xlpm.q="","",IF(_xlpm.e="",1,ROWS(_xlfn.UNIQUE(_xlfn._xlws.FILTER(_xlfn.TEXTSPLIT(_xlpm.e,,CHAR(10)),_xlfn.TEXTSPLIT(_xlpm.e,,CHAR(10))&lt;&gt;""))))))</f>
        <v/>
      </c>
      <c r="H129" s="88"/>
      <c r="I129" s="80"/>
      <c r="J129" s="80"/>
      <c r="K129" s="80"/>
      <c r="L129" s="80"/>
      <c r="M129" s="80"/>
      <c r="N129" s="80"/>
      <c r="O129" s="100" t="s">
        <v>1649</v>
      </c>
      <c r="P129" s="101" t="s">
        <v>1685</v>
      </c>
      <c r="Q129" s="101" t="str" cm="1">
        <f t="array" ref="Q129">_xlfn.LET(_xlpm.q,tbl_WR_Assessment[[#This Row],[Exposure Quote]],_xlpm.e,tbl_WR_Assessment[[#This Row],[Exposure EvidenceID]],IF(_xlpm.q="","",IF(_xlpm.e="",1,ROWS(_xlfn.UNIQUE(_xlfn._xlws.FILTER(_xlfn.TEXTSPLIT(_xlpm.e,,CHAR(10)),_xlfn.TEXTSPLIT(_xlpm.e,,CHAR(10))&lt;&gt;""))))))</f>
        <v/>
      </c>
      <c r="R129" s="88"/>
      <c r="S129" s="80"/>
      <c r="T129" s="80"/>
      <c r="U129" s="80"/>
      <c r="V129" s="80"/>
      <c r="W129" s="80"/>
      <c r="X129" s="80"/>
      <c r="Y129" s="88" t="s">
        <v>1187</v>
      </c>
      <c r="Z129" s="80"/>
    </row>
    <row r="130" spans="2:26" s="185" customFormat="1">
      <c r="B130" s="88" t="s">
        <v>412</v>
      </c>
      <c r="C130" s="80" t="s">
        <v>413</v>
      </c>
      <c r="D130" s="80" t="s">
        <v>414</v>
      </c>
      <c r="E130" s="100" t="s">
        <v>1649</v>
      </c>
      <c r="F130" s="101" t="s">
        <v>1716</v>
      </c>
      <c r="G130" s="101" t="str" cm="1">
        <f t="array" ref="G130">_xlfn.LET(_xlpm.q,tbl_WR_Assessment[[#This Row],[Vulnerability Quote]],_xlpm.e,tbl_WR_Assessment[[#This Row],[Vulnerability EvidenceID]],IF(_xlpm.q="","",IF(_xlpm.e="",1,ROWS(_xlfn.UNIQUE(_xlfn._xlws.FILTER(_xlfn.TEXTSPLIT(_xlpm.e,,CHAR(10)),_xlfn.TEXTSPLIT(_xlpm.e,,CHAR(10))&lt;&gt;""))))))</f>
        <v/>
      </c>
      <c r="H130" s="88"/>
      <c r="I130" s="80"/>
      <c r="J130" s="80"/>
      <c r="K130" s="80"/>
      <c r="L130" s="80"/>
      <c r="M130" s="80"/>
      <c r="N130" s="80"/>
      <c r="O130" s="100" t="s">
        <v>1649</v>
      </c>
      <c r="P130" s="101" t="s">
        <v>1717</v>
      </c>
      <c r="Q130" s="101" cm="1">
        <f t="array" ref="Q130">_xlfn.LET(_xlpm.q,tbl_WR_Assessment[[#This Row],[Exposure Quote]],_xlpm.e,tbl_WR_Assessment[[#This Row],[Exposure EvidenceID]],IF(_xlpm.q="","",IF(_xlpm.e="",1,ROWS(_xlfn.UNIQUE(_xlfn._xlws.FILTER(_xlfn.TEXTSPLIT(_xlpm.e,,CHAR(10)),_xlfn.TEXTSPLIT(_xlpm.e,,CHAR(10))&lt;&gt;""))))))</f>
        <v>1</v>
      </c>
      <c r="R130" s="88" t="s">
        <v>1162</v>
      </c>
      <c r="S130" s="80" t="s">
        <v>75</v>
      </c>
      <c r="T130" s="80" t="s">
        <v>1619</v>
      </c>
      <c r="U130" s="80" t="s">
        <v>1620</v>
      </c>
      <c r="V130" s="80" t="s">
        <v>1568</v>
      </c>
      <c r="W130" s="80" t="s">
        <v>1621</v>
      </c>
      <c r="X130" s="80" t="s">
        <v>1622</v>
      </c>
      <c r="Y130" s="88" t="s">
        <v>1701</v>
      </c>
      <c r="Z130" s="80"/>
    </row>
    <row r="131" spans="2:26" s="185" customFormat="1">
      <c r="B131" s="88" t="s">
        <v>417</v>
      </c>
      <c r="C131" s="80" t="s">
        <v>418</v>
      </c>
      <c r="D131" s="80" t="s">
        <v>419</v>
      </c>
      <c r="E131" s="100" t="s">
        <v>1650</v>
      </c>
      <c r="F131" s="101" t="s">
        <v>1718</v>
      </c>
      <c r="G131" s="101" cm="1">
        <f t="array" ref="G131">_xlfn.LET(_xlpm.q,tbl_WR_Assessment[[#This Row],[Vulnerability Quote]],_xlpm.e,tbl_WR_Assessment[[#This Row],[Vulnerability EvidenceID]],IF(_xlpm.q="","",IF(_xlpm.e="",1,ROWS(_xlfn.UNIQUE(_xlfn._xlws.FILTER(_xlfn.TEXTSPLIT(_xlpm.e,,CHAR(10)),_xlfn.TEXTSPLIT(_xlpm.e,,CHAR(10))&lt;&gt;""))))))</f>
        <v>1</v>
      </c>
      <c r="H131" s="88" t="s">
        <v>1162</v>
      </c>
      <c r="I131" s="80" t="s">
        <v>54</v>
      </c>
      <c r="J131" s="80" t="s">
        <v>1599</v>
      </c>
      <c r="K131" s="80" t="s">
        <v>1597</v>
      </c>
      <c r="L131" s="80" t="s">
        <v>1592</v>
      </c>
      <c r="M131" s="80" t="s">
        <v>1598</v>
      </c>
      <c r="N131" s="80" t="s">
        <v>1600</v>
      </c>
      <c r="O131" s="100" t="s">
        <v>1649</v>
      </c>
      <c r="P131" s="101" t="s">
        <v>1719</v>
      </c>
      <c r="Q131" s="101" t="str" cm="1">
        <f t="array" ref="Q131">_xlfn.LET(_xlpm.q,tbl_WR_Assessment[[#This Row],[Exposure Quote]],_xlpm.e,tbl_WR_Assessment[[#This Row],[Exposure EvidenceID]],IF(_xlpm.q="","",IF(_xlpm.e="",1,ROWS(_xlfn.UNIQUE(_xlfn._xlws.FILTER(_xlfn.TEXTSPLIT(_xlpm.e,,CHAR(10)),_xlfn.TEXTSPLIT(_xlpm.e,,CHAR(10))&lt;&gt;""))))))</f>
        <v/>
      </c>
      <c r="R131" s="88"/>
      <c r="S131" s="80"/>
      <c r="T131" s="80"/>
      <c r="U131" s="80"/>
      <c r="V131" s="80"/>
      <c r="W131" s="80"/>
      <c r="X131" s="80"/>
      <c r="Y131" s="88" t="s">
        <v>1701</v>
      </c>
      <c r="Z131" s="80"/>
    </row>
    <row r="132" spans="2:26" s="185" customFormat="1">
      <c r="B132" s="88" t="s">
        <v>423</v>
      </c>
      <c r="C132" s="80" t="s">
        <v>424</v>
      </c>
      <c r="D132" s="80" t="s">
        <v>425</v>
      </c>
      <c r="E132" s="100" t="s">
        <v>1649</v>
      </c>
      <c r="F132" s="101" t="s">
        <v>1662</v>
      </c>
      <c r="G132" s="101" t="str" cm="1">
        <f t="array" ref="G132">_xlfn.LET(_xlpm.q,tbl_WR_Assessment[[#This Row],[Vulnerability Quote]],_xlpm.e,tbl_WR_Assessment[[#This Row],[Vulnerability EvidenceID]],IF(_xlpm.q="","",IF(_xlpm.e="",1,ROWS(_xlfn.UNIQUE(_xlfn._xlws.FILTER(_xlfn.TEXTSPLIT(_xlpm.e,,CHAR(10)),_xlfn.TEXTSPLIT(_xlpm.e,,CHAR(10))&lt;&gt;""))))))</f>
        <v/>
      </c>
      <c r="H132" s="88"/>
      <c r="I132" s="80"/>
      <c r="J132" s="80"/>
      <c r="K132" s="80"/>
      <c r="L132" s="80"/>
      <c r="M132" s="80"/>
      <c r="N132" s="80"/>
      <c r="O132" s="100" t="s">
        <v>1649</v>
      </c>
      <c r="P132" s="101" t="s">
        <v>1686</v>
      </c>
      <c r="Q132" s="101" t="str" cm="1">
        <f t="array" ref="Q132">_xlfn.LET(_xlpm.q,tbl_WR_Assessment[[#This Row],[Exposure Quote]],_xlpm.e,tbl_WR_Assessment[[#This Row],[Exposure EvidenceID]],IF(_xlpm.q="","",IF(_xlpm.e="",1,ROWS(_xlfn.UNIQUE(_xlfn._xlws.FILTER(_xlfn.TEXTSPLIT(_xlpm.e,,CHAR(10)),_xlfn.TEXTSPLIT(_xlpm.e,,CHAR(10))&lt;&gt;""))))))</f>
        <v/>
      </c>
      <c r="R132" s="88"/>
      <c r="S132" s="80"/>
      <c r="T132" s="80"/>
      <c r="U132" s="80"/>
      <c r="V132" s="80"/>
      <c r="W132" s="80"/>
      <c r="X132" s="80"/>
      <c r="Y132" s="88" t="s">
        <v>1187</v>
      </c>
      <c r="Z132" s="80"/>
    </row>
    <row r="133" spans="2:26" s="185" customFormat="1">
      <c r="B133" s="88" t="s">
        <v>427</v>
      </c>
      <c r="C133" s="80" t="s">
        <v>428</v>
      </c>
      <c r="D133" s="80" t="s">
        <v>429</v>
      </c>
      <c r="E133" s="100" t="s">
        <v>1649</v>
      </c>
      <c r="F133" s="101" t="s">
        <v>1720</v>
      </c>
      <c r="G133" s="101" t="str" cm="1">
        <f t="array" ref="G133">_xlfn.LET(_xlpm.q,tbl_WR_Assessment[[#This Row],[Vulnerability Quote]],_xlpm.e,tbl_WR_Assessment[[#This Row],[Vulnerability EvidenceID]],IF(_xlpm.q="","",IF(_xlpm.e="",1,ROWS(_xlfn.UNIQUE(_xlfn._xlws.FILTER(_xlfn.TEXTSPLIT(_xlpm.e,,CHAR(10)),_xlfn.TEXTSPLIT(_xlpm.e,,CHAR(10))&lt;&gt;""))))))</f>
        <v/>
      </c>
      <c r="H133" s="88"/>
      <c r="I133" s="80"/>
      <c r="J133" s="80"/>
      <c r="K133" s="80"/>
      <c r="L133" s="80"/>
      <c r="M133" s="80"/>
      <c r="N133" s="80"/>
      <c r="O133" s="100" t="s">
        <v>1649</v>
      </c>
      <c r="P133" s="101" t="s">
        <v>1721</v>
      </c>
      <c r="Q133" s="101" t="str" cm="1">
        <f t="array" ref="Q133">_xlfn.LET(_xlpm.q,tbl_WR_Assessment[[#This Row],[Exposure Quote]],_xlpm.e,tbl_WR_Assessment[[#This Row],[Exposure EvidenceID]],IF(_xlpm.q="","",IF(_xlpm.e="",1,ROWS(_xlfn.UNIQUE(_xlfn._xlws.FILTER(_xlfn.TEXTSPLIT(_xlpm.e,,CHAR(10)),_xlfn.TEXTSPLIT(_xlpm.e,,CHAR(10))&lt;&gt;""))))))</f>
        <v/>
      </c>
      <c r="R133" s="88"/>
      <c r="S133" s="80"/>
      <c r="T133" s="80"/>
      <c r="U133" s="80"/>
      <c r="V133" s="80"/>
      <c r="W133" s="80"/>
      <c r="X133" s="80"/>
      <c r="Y133" s="88" t="s">
        <v>1187</v>
      </c>
      <c r="Z133" s="80"/>
    </row>
    <row r="134" spans="2:26" s="185" customFormat="1">
      <c r="B134" s="88" t="s">
        <v>432</v>
      </c>
      <c r="C134" s="80" t="s">
        <v>433</v>
      </c>
      <c r="D134" s="80" t="s">
        <v>434</v>
      </c>
      <c r="E134" s="100" t="s">
        <v>1649</v>
      </c>
      <c r="F134" s="101" t="s">
        <v>1722</v>
      </c>
      <c r="G134" s="101" t="str" cm="1">
        <f t="array" ref="G134">_xlfn.LET(_xlpm.q,tbl_WR_Assessment[[#This Row],[Vulnerability Quote]],_xlpm.e,tbl_WR_Assessment[[#This Row],[Vulnerability EvidenceID]],IF(_xlpm.q="","",IF(_xlpm.e="",1,ROWS(_xlfn.UNIQUE(_xlfn._xlws.FILTER(_xlfn.TEXTSPLIT(_xlpm.e,,CHAR(10)),_xlfn.TEXTSPLIT(_xlpm.e,,CHAR(10))&lt;&gt;""))))))</f>
        <v/>
      </c>
      <c r="H134" s="88"/>
      <c r="I134" s="80"/>
      <c r="J134" s="80"/>
      <c r="K134" s="80"/>
      <c r="L134" s="80"/>
      <c r="M134" s="80"/>
      <c r="N134" s="80"/>
      <c r="O134" s="100" t="s">
        <v>1649</v>
      </c>
      <c r="P134" s="101" t="s">
        <v>1723</v>
      </c>
      <c r="Q134" s="101" t="str" cm="1">
        <f t="array" ref="Q134">_xlfn.LET(_xlpm.q,tbl_WR_Assessment[[#This Row],[Exposure Quote]],_xlpm.e,tbl_WR_Assessment[[#This Row],[Exposure EvidenceID]],IF(_xlpm.q="","",IF(_xlpm.e="",1,ROWS(_xlfn.UNIQUE(_xlfn._xlws.FILTER(_xlfn.TEXTSPLIT(_xlpm.e,,CHAR(10)),_xlfn.TEXTSPLIT(_xlpm.e,,CHAR(10))&lt;&gt;""))))))</f>
        <v/>
      </c>
      <c r="R134" s="88"/>
      <c r="S134" s="80"/>
      <c r="T134" s="80"/>
      <c r="U134" s="80"/>
      <c r="V134" s="80"/>
      <c r="W134" s="80"/>
      <c r="X134" s="80"/>
      <c r="Y134" s="88" t="s">
        <v>1187</v>
      </c>
      <c r="Z134" s="80"/>
    </row>
    <row r="135" spans="2:26" s="185" customFormat="1">
      <c r="B135" s="88" t="s">
        <v>436</v>
      </c>
      <c r="C135" s="80" t="s">
        <v>437</v>
      </c>
      <c r="D135" s="80" t="s">
        <v>438</v>
      </c>
      <c r="E135" s="100" t="s">
        <v>1649</v>
      </c>
      <c r="F135" s="101" t="s">
        <v>1663</v>
      </c>
      <c r="G135" s="101" t="str" cm="1">
        <f t="array" ref="G135">_xlfn.LET(_xlpm.q,tbl_WR_Assessment[[#This Row],[Vulnerability Quote]],_xlpm.e,tbl_WR_Assessment[[#This Row],[Vulnerability EvidenceID]],IF(_xlpm.q="","",IF(_xlpm.e="",1,ROWS(_xlfn.UNIQUE(_xlfn._xlws.FILTER(_xlfn.TEXTSPLIT(_xlpm.e,,CHAR(10)),_xlfn.TEXTSPLIT(_xlpm.e,,CHAR(10))&lt;&gt;""))))))</f>
        <v/>
      </c>
      <c r="H135" s="88"/>
      <c r="I135" s="80"/>
      <c r="J135" s="80"/>
      <c r="K135" s="80"/>
      <c r="L135" s="80"/>
      <c r="M135" s="80"/>
      <c r="N135" s="80"/>
      <c r="O135" s="100" t="s">
        <v>1649</v>
      </c>
      <c r="P135" s="101" t="s">
        <v>1687</v>
      </c>
      <c r="Q135" s="101" t="str" cm="1">
        <f t="array" ref="Q135">_xlfn.LET(_xlpm.q,tbl_WR_Assessment[[#This Row],[Exposure Quote]],_xlpm.e,tbl_WR_Assessment[[#This Row],[Exposure EvidenceID]],IF(_xlpm.q="","",IF(_xlpm.e="",1,ROWS(_xlfn.UNIQUE(_xlfn._xlws.FILTER(_xlfn.TEXTSPLIT(_xlpm.e,,CHAR(10)),_xlfn.TEXTSPLIT(_xlpm.e,,CHAR(10))&lt;&gt;""))))))</f>
        <v/>
      </c>
      <c r="R135" s="88"/>
      <c r="S135" s="80"/>
      <c r="T135" s="80"/>
      <c r="U135" s="80"/>
      <c r="V135" s="80"/>
      <c r="W135" s="80"/>
      <c r="X135" s="80"/>
      <c r="Y135" s="88" t="s">
        <v>1187</v>
      </c>
      <c r="Z135" s="80"/>
    </row>
    <row r="136" spans="2:26" s="185" customFormat="1">
      <c r="B136" s="88" t="s">
        <v>440</v>
      </c>
      <c r="C136" s="80" t="s">
        <v>441</v>
      </c>
      <c r="D136" s="80" t="s">
        <v>442</v>
      </c>
      <c r="E136" s="100" t="s">
        <v>1651</v>
      </c>
      <c r="F136" s="101" t="s">
        <v>1724</v>
      </c>
      <c r="G136" s="101">
        <v>2</v>
      </c>
      <c r="H136" s="88" t="s">
        <v>1162</v>
      </c>
      <c r="I136" s="80" t="s">
        <v>1777</v>
      </c>
      <c r="J136" s="80" t="s">
        <v>1778</v>
      </c>
      <c r="K136" s="80" t="s">
        <v>1779</v>
      </c>
      <c r="L136" s="80" t="s">
        <v>1780</v>
      </c>
      <c r="M136" s="80" t="s">
        <v>1781</v>
      </c>
      <c r="N136" s="80" t="s">
        <v>1782</v>
      </c>
      <c r="O136" s="100" t="s">
        <v>1649</v>
      </c>
      <c r="P136" s="101" t="s">
        <v>1725</v>
      </c>
      <c r="Q136" s="101" t="str" cm="1">
        <f t="array" ref="Q136">_xlfn.LET(_xlpm.q,tbl_WR_Assessment[[#This Row],[Exposure Quote]],_xlpm.e,tbl_WR_Assessment[[#This Row],[Exposure EvidenceID]],IF(_xlpm.q="","",IF(_xlpm.e="",1,ROWS(_xlfn.UNIQUE(_xlfn._xlws.FILTER(_xlfn.TEXTSPLIT(_xlpm.e,,CHAR(10)),_xlfn.TEXTSPLIT(_xlpm.e,,CHAR(10))&lt;&gt;""))))))</f>
        <v/>
      </c>
      <c r="R136" s="88"/>
      <c r="S136" s="80"/>
      <c r="T136" s="80"/>
      <c r="U136" s="80"/>
      <c r="V136" s="80"/>
      <c r="W136" s="80"/>
      <c r="X136" s="80"/>
      <c r="Y136" s="88" t="s">
        <v>1569</v>
      </c>
      <c r="Z136" s="80"/>
    </row>
    <row r="137" spans="2:26" s="185" customFormat="1">
      <c r="B137" s="88" t="s">
        <v>444</v>
      </c>
      <c r="C137" s="80" t="s">
        <v>445</v>
      </c>
      <c r="D137" s="80" t="s">
        <v>446</v>
      </c>
      <c r="E137" s="100" t="s">
        <v>1649</v>
      </c>
      <c r="F137" s="101" t="s">
        <v>1726</v>
      </c>
      <c r="G137" s="101" t="str" cm="1">
        <f t="array" ref="G137">_xlfn.LET(_xlpm.q,tbl_WR_Assessment[[#This Row],[Vulnerability Quote]],_xlpm.e,tbl_WR_Assessment[[#This Row],[Vulnerability EvidenceID]],IF(_xlpm.q="","",IF(_xlpm.e="",1,ROWS(_xlfn.UNIQUE(_xlfn._xlws.FILTER(_xlfn.TEXTSPLIT(_xlpm.e,,CHAR(10)),_xlfn.TEXTSPLIT(_xlpm.e,,CHAR(10))&lt;&gt;""))))))</f>
        <v/>
      </c>
      <c r="H137" s="88"/>
      <c r="I137" s="80"/>
      <c r="J137" s="80"/>
      <c r="K137" s="80"/>
      <c r="L137" s="80"/>
      <c r="M137" s="80"/>
      <c r="N137" s="80"/>
      <c r="O137" s="100" t="s">
        <v>1649</v>
      </c>
      <c r="P137" s="101" t="s">
        <v>1727</v>
      </c>
      <c r="Q137" s="101" t="str" cm="1">
        <f t="array" ref="Q137">_xlfn.LET(_xlpm.q,tbl_WR_Assessment[[#This Row],[Exposure Quote]],_xlpm.e,tbl_WR_Assessment[[#This Row],[Exposure EvidenceID]],IF(_xlpm.q="","",IF(_xlpm.e="",1,ROWS(_xlfn.UNIQUE(_xlfn._xlws.FILTER(_xlfn.TEXTSPLIT(_xlpm.e,,CHAR(10)),_xlfn.TEXTSPLIT(_xlpm.e,,CHAR(10))&lt;&gt;""))))))</f>
        <v/>
      </c>
      <c r="R137" s="88"/>
      <c r="S137" s="80"/>
      <c r="T137" s="80"/>
      <c r="U137" s="80"/>
      <c r="V137" s="80"/>
      <c r="W137" s="80"/>
      <c r="X137" s="80"/>
      <c r="Y137" s="88" t="s">
        <v>1187</v>
      </c>
      <c r="Z137" s="80"/>
    </row>
    <row r="138" spans="2:26" s="185" customFormat="1">
      <c r="B138" s="88" t="s">
        <v>449</v>
      </c>
      <c r="C138" s="80" t="s">
        <v>450</v>
      </c>
      <c r="D138" s="80" t="s">
        <v>451</v>
      </c>
      <c r="E138" s="100" t="s">
        <v>1651</v>
      </c>
      <c r="F138" s="101" t="s">
        <v>1728</v>
      </c>
      <c r="G138" s="101">
        <v>1</v>
      </c>
      <c r="H138" s="88" t="s">
        <v>1161</v>
      </c>
      <c r="I138" s="80" t="s">
        <v>1783</v>
      </c>
      <c r="J138" s="80" t="s">
        <v>1784</v>
      </c>
      <c r="K138" s="80" t="s">
        <v>1785</v>
      </c>
      <c r="L138" s="80" t="s">
        <v>1786</v>
      </c>
      <c r="M138" s="80" t="s">
        <v>1787</v>
      </c>
      <c r="N138" s="80" t="s">
        <v>1788</v>
      </c>
      <c r="O138" s="100" t="s">
        <v>1649</v>
      </c>
      <c r="P138" s="101" t="s">
        <v>1729</v>
      </c>
      <c r="Q138" s="101" t="str" cm="1">
        <f t="array" ref="Q138">_xlfn.LET(_xlpm.q,tbl_WR_Assessment[[#This Row],[Exposure Quote]],_xlpm.e,tbl_WR_Assessment[[#This Row],[Exposure EvidenceID]],IF(_xlpm.q="","",IF(_xlpm.e="",1,ROWS(_xlfn.UNIQUE(_xlfn._xlws.FILTER(_xlfn.TEXTSPLIT(_xlpm.e,,CHAR(10)),_xlfn.TEXTSPLIT(_xlpm.e,,CHAR(10))&lt;&gt;""))))))</f>
        <v/>
      </c>
      <c r="R138" s="88"/>
      <c r="S138" s="80"/>
      <c r="T138" s="80"/>
      <c r="U138" s="80"/>
      <c r="V138" s="80"/>
      <c r="W138" s="80"/>
      <c r="X138" s="80"/>
      <c r="Y138" s="88" t="s">
        <v>1569</v>
      </c>
      <c r="Z138" s="80"/>
    </row>
    <row r="139" spans="2:26" s="185" customFormat="1">
      <c r="B139" s="88" t="s">
        <v>453</v>
      </c>
      <c r="C139" s="80" t="s">
        <v>454</v>
      </c>
      <c r="D139" s="80" t="s">
        <v>455</v>
      </c>
      <c r="E139" s="100" t="s">
        <v>1649</v>
      </c>
      <c r="F139" s="101" t="s">
        <v>1664</v>
      </c>
      <c r="G139" s="101" t="str" cm="1">
        <f t="array" ref="G139">_xlfn.LET(_xlpm.q,tbl_WR_Assessment[[#This Row],[Vulnerability Quote]],_xlpm.e,tbl_WR_Assessment[[#This Row],[Vulnerability EvidenceID]],IF(_xlpm.q="","",IF(_xlpm.e="",1,ROWS(_xlfn.UNIQUE(_xlfn._xlws.FILTER(_xlfn.TEXTSPLIT(_xlpm.e,,CHAR(10)),_xlfn.TEXTSPLIT(_xlpm.e,,CHAR(10))&lt;&gt;""))))))</f>
        <v/>
      </c>
      <c r="H139" s="88"/>
      <c r="I139" s="80"/>
      <c r="J139" s="80"/>
      <c r="K139" s="80"/>
      <c r="L139" s="80"/>
      <c r="M139" s="80"/>
      <c r="N139" s="80"/>
      <c r="O139" s="100" t="s">
        <v>1649</v>
      </c>
      <c r="P139" s="101" t="s">
        <v>1688</v>
      </c>
      <c r="Q139" s="101" t="str" cm="1">
        <f t="array" ref="Q139">_xlfn.LET(_xlpm.q,tbl_WR_Assessment[[#This Row],[Exposure Quote]],_xlpm.e,tbl_WR_Assessment[[#This Row],[Exposure EvidenceID]],IF(_xlpm.q="","",IF(_xlpm.e="",1,ROWS(_xlfn.UNIQUE(_xlfn._xlws.FILTER(_xlfn.TEXTSPLIT(_xlpm.e,,CHAR(10)),_xlfn.TEXTSPLIT(_xlpm.e,,CHAR(10))&lt;&gt;""))))))</f>
        <v/>
      </c>
      <c r="R139" s="88"/>
      <c r="S139" s="80"/>
      <c r="T139" s="80"/>
      <c r="U139" s="80"/>
      <c r="V139" s="80"/>
      <c r="W139" s="80"/>
      <c r="X139" s="80"/>
      <c r="Y139" s="88" t="s">
        <v>1187</v>
      </c>
      <c r="Z139" s="80"/>
    </row>
    <row r="140" spans="2:26" s="185" customFormat="1">
      <c r="B140" s="88" t="s">
        <v>457</v>
      </c>
      <c r="C140" s="80" t="s">
        <v>458</v>
      </c>
      <c r="D140" s="80" t="s">
        <v>459</v>
      </c>
      <c r="E140" s="100" t="s">
        <v>1651</v>
      </c>
      <c r="F140" s="101" t="s">
        <v>1730</v>
      </c>
      <c r="G140" s="101" t="str" cm="1">
        <f t="array" ref="G140">_xlfn.LET(_xlpm.q,tbl_WR_Assessment[[#This Row],[Vulnerability Quote]],_xlpm.e,tbl_WR_Assessment[[#This Row],[Vulnerability EvidenceID]],IF(_xlpm.q="","",IF(_xlpm.e="",1,ROWS(_xlfn.UNIQUE(_xlfn._xlws.FILTER(_xlfn.TEXTSPLIT(_xlpm.e,,CHAR(10)),_xlfn.TEXTSPLIT(_xlpm.e,,CHAR(10))&lt;&gt;""))))))</f>
        <v/>
      </c>
      <c r="H140" s="88"/>
      <c r="I140" s="80"/>
      <c r="J140" s="80"/>
      <c r="K140" s="80"/>
      <c r="L140" s="80"/>
      <c r="M140" s="80"/>
      <c r="N140" s="80"/>
      <c r="O140" s="100" t="s">
        <v>1649</v>
      </c>
      <c r="P140" s="101" t="s">
        <v>1731</v>
      </c>
      <c r="Q140" s="101" t="str" cm="1">
        <f t="array" ref="Q140">_xlfn.LET(_xlpm.q,tbl_WR_Assessment[[#This Row],[Exposure Quote]],_xlpm.e,tbl_WR_Assessment[[#This Row],[Exposure EvidenceID]],IF(_xlpm.q="","",IF(_xlpm.e="",1,ROWS(_xlfn.UNIQUE(_xlfn._xlws.FILTER(_xlfn.TEXTSPLIT(_xlpm.e,,CHAR(10)),_xlfn.TEXTSPLIT(_xlpm.e,,CHAR(10))&lt;&gt;""))))))</f>
        <v/>
      </c>
      <c r="R140" s="88"/>
      <c r="S140" s="80"/>
      <c r="T140" s="80"/>
      <c r="U140" s="80"/>
      <c r="V140" s="80"/>
      <c r="W140" s="80"/>
      <c r="X140" s="80"/>
      <c r="Y140" s="88" t="s">
        <v>1187</v>
      </c>
      <c r="Z140" s="80"/>
    </row>
    <row r="141" spans="2:26" s="185" customFormat="1">
      <c r="B141" s="88" t="s">
        <v>461</v>
      </c>
      <c r="C141" s="80" t="s">
        <v>462</v>
      </c>
      <c r="D141" s="80" t="s">
        <v>463</v>
      </c>
      <c r="E141" s="100" t="s">
        <v>1649</v>
      </c>
      <c r="F141" s="101" t="s">
        <v>1732</v>
      </c>
      <c r="G141" s="101" t="str" cm="1">
        <f t="array" ref="G141">_xlfn.LET(_xlpm.q,tbl_WR_Assessment[[#This Row],[Vulnerability Quote]],_xlpm.e,tbl_WR_Assessment[[#This Row],[Vulnerability EvidenceID]],IF(_xlpm.q="","",IF(_xlpm.e="",1,ROWS(_xlfn.UNIQUE(_xlfn._xlws.FILTER(_xlfn.TEXTSPLIT(_xlpm.e,,CHAR(10)),_xlfn.TEXTSPLIT(_xlpm.e,,CHAR(10))&lt;&gt;""))))))</f>
        <v/>
      </c>
      <c r="H141" s="88"/>
      <c r="I141" s="80"/>
      <c r="J141" s="80"/>
      <c r="K141" s="80"/>
      <c r="L141" s="80"/>
      <c r="M141" s="80"/>
      <c r="N141" s="80"/>
      <c r="O141" s="100" t="s">
        <v>1649</v>
      </c>
      <c r="P141" s="101" t="s">
        <v>1733</v>
      </c>
      <c r="Q141" s="101" t="str" cm="1">
        <f t="array" ref="Q141">_xlfn.LET(_xlpm.q,tbl_WR_Assessment[[#This Row],[Exposure Quote]],_xlpm.e,tbl_WR_Assessment[[#This Row],[Exposure EvidenceID]],IF(_xlpm.q="","",IF(_xlpm.e="",1,ROWS(_xlfn.UNIQUE(_xlfn._xlws.FILTER(_xlfn.TEXTSPLIT(_xlpm.e,,CHAR(10)),_xlfn.TEXTSPLIT(_xlpm.e,,CHAR(10))&lt;&gt;""))))))</f>
        <v/>
      </c>
      <c r="R141" s="88"/>
      <c r="S141" s="80"/>
      <c r="T141" s="80"/>
      <c r="U141" s="80"/>
      <c r="V141" s="80"/>
      <c r="W141" s="80"/>
      <c r="X141" s="80"/>
      <c r="Y141" s="88" t="s">
        <v>1187</v>
      </c>
      <c r="Z141" s="80"/>
    </row>
    <row r="142" spans="2:26" s="185" customFormat="1">
      <c r="B142" s="88" t="s">
        <v>466</v>
      </c>
      <c r="C142" s="80" t="s">
        <v>467</v>
      </c>
      <c r="D142" s="80" t="s">
        <v>468</v>
      </c>
      <c r="E142" s="100" t="s">
        <v>1649</v>
      </c>
      <c r="F142" s="101" t="s">
        <v>1665</v>
      </c>
      <c r="G142" s="101" t="str" cm="1">
        <f t="array" ref="G142">_xlfn.LET(_xlpm.q,tbl_WR_Assessment[[#This Row],[Vulnerability Quote]],_xlpm.e,tbl_WR_Assessment[[#This Row],[Vulnerability EvidenceID]],IF(_xlpm.q="","",IF(_xlpm.e="",1,ROWS(_xlfn.UNIQUE(_xlfn._xlws.FILTER(_xlfn.TEXTSPLIT(_xlpm.e,,CHAR(10)),_xlfn.TEXTSPLIT(_xlpm.e,,CHAR(10))&lt;&gt;""))))))</f>
        <v/>
      </c>
      <c r="H142" s="88"/>
      <c r="I142" s="80"/>
      <c r="J142" s="80"/>
      <c r="K142" s="80"/>
      <c r="L142" s="80"/>
      <c r="M142" s="80"/>
      <c r="N142" s="80"/>
      <c r="O142" s="100" t="s">
        <v>1649</v>
      </c>
      <c r="P142" s="101" t="s">
        <v>1689</v>
      </c>
      <c r="Q142" s="101" t="str" cm="1">
        <f t="array" ref="Q142">_xlfn.LET(_xlpm.q,tbl_WR_Assessment[[#This Row],[Exposure Quote]],_xlpm.e,tbl_WR_Assessment[[#This Row],[Exposure EvidenceID]],IF(_xlpm.q="","",IF(_xlpm.e="",1,ROWS(_xlfn.UNIQUE(_xlfn._xlws.FILTER(_xlfn.TEXTSPLIT(_xlpm.e,,CHAR(10)),_xlfn.TEXTSPLIT(_xlpm.e,,CHAR(10))&lt;&gt;""))))))</f>
        <v/>
      </c>
      <c r="R142" s="88"/>
      <c r="S142" s="80"/>
      <c r="T142" s="80"/>
      <c r="U142" s="80"/>
      <c r="V142" s="80"/>
      <c r="W142" s="80"/>
      <c r="X142" s="80"/>
      <c r="Y142" s="88" t="s">
        <v>1187</v>
      </c>
      <c r="Z142" s="80"/>
    </row>
    <row r="143" spans="2:26" s="185" customFormat="1">
      <c r="B143" s="88" t="s">
        <v>471</v>
      </c>
      <c r="C143" s="80" t="s">
        <v>472</v>
      </c>
      <c r="D143" s="80" t="s">
        <v>473</v>
      </c>
      <c r="E143" s="100" t="s">
        <v>1649</v>
      </c>
      <c r="F143" s="101" t="s">
        <v>1734</v>
      </c>
      <c r="G143" s="101" t="str" cm="1">
        <f t="array" ref="G143">_xlfn.LET(_xlpm.q,tbl_WR_Assessment[[#This Row],[Vulnerability Quote]],_xlpm.e,tbl_WR_Assessment[[#This Row],[Vulnerability EvidenceID]],IF(_xlpm.q="","",IF(_xlpm.e="",1,ROWS(_xlfn.UNIQUE(_xlfn._xlws.FILTER(_xlfn.TEXTSPLIT(_xlpm.e,,CHAR(10)),_xlfn.TEXTSPLIT(_xlpm.e,,CHAR(10))&lt;&gt;""))))))</f>
        <v/>
      </c>
      <c r="H143" s="88"/>
      <c r="I143" s="80"/>
      <c r="J143" s="80"/>
      <c r="K143" s="80"/>
      <c r="L143" s="80"/>
      <c r="M143" s="80"/>
      <c r="N143" s="80"/>
      <c r="O143" s="100" t="s">
        <v>1649</v>
      </c>
      <c r="P143" s="101" t="s">
        <v>1735</v>
      </c>
      <c r="Q143" s="101" t="str" cm="1">
        <f t="array" ref="Q143">_xlfn.LET(_xlpm.q,tbl_WR_Assessment[[#This Row],[Exposure Quote]],_xlpm.e,tbl_WR_Assessment[[#This Row],[Exposure EvidenceID]],IF(_xlpm.q="","",IF(_xlpm.e="",1,ROWS(_xlfn.UNIQUE(_xlfn._xlws.FILTER(_xlfn.TEXTSPLIT(_xlpm.e,,CHAR(10)),_xlfn.TEXTSPLIT(_xlpm.e,,CHAR(10))&lt;&gt;""))))))</f>
        <v/>
      </c>
      <c r="R143" s="88"/>
      <c r="S143" s="80"/>
      <c r="T143" s="80"/>
      <c r="U143" s="80"/>
      <c r="V143" s="80"/>
      <c r="W143" s="80"/>
      <c r="X143" s="80"/>
      <c r="Y143" s="88" t="s">
        <v>1187</v>
      </c>
      <c r="Z143" s="80"/>
    </row>
    <row r="144" spans="2:26" s="185" customFormat="1">
      <c r="B144" s="88" t="s">
        <v>475</v>
      </c>
      <c r="C144" s="80" t="s">
        <v>476</v>
      </c>
      <c r="D144" s="80" t="s">
        <v>477</v>
      </c>
      <c r="E144" s="100" t="s">
        <v>1649</v>
      </c>
      <c r="F144" s="101" t="s">
        <v>1736</v>
      </c>
      <c r="G144" s="101" t="str" cm="1">
        <f t="array" ref="G144">_xlfn.LET(_xlpm.q,tbl_WR_Assessment[[#This Row],[Vulnerability Quote]],_xlpm.e,tbl_WR_Assessment[[#This Row],[Vulnerability EvidenceID]],IF(_xlpm.q="","",IF(_xlpm.e="",1,ROWS(_xlfn.UNIQUE(_xlfn._xlws.FILTER(_xlfn.TEXTSPLIT(_xlpm.e,,CHAR(10)),_xlfn.TEXTSPLIT(_xlpm.e,,CHAR(10))&lt;&gt;""))))))</f>
        <v/>
      </c>
      <c r="H144" s="88"/>
      <c r="I144" s="80"/>
      <c r="J144" s="80"/>
      <c r="K144" s="80"/>
      <c r="L144" s="80"/>
      <c r="M144" s="80"/>
      <c r="N144" s="80"/>
      <c r="O144" s="100" t="s">
        <v>1649</v>
      </c>
      <c r="P144" s="101" t="s">
        <v>1737</v>
      </c>
      <c r="Q144" s="101" t="str" cm="1">
        <f t="array" ref="Q144">_xlfn.LET(_xlpm.q,tbl_WR_Assessment[[#This Row],[Exposure Quote]],_xlpm.e,tbl_WR_Assessment[[#This Row],[Exposure EvidenceID]],IF(_xlpm.q="","",IF(_xlpm.e="",1,ROWS(_xlfn.UNIQUE(_xlfn._xlws.FILTER(_xlfn.TEXTSPLIT(_xlpm.e,,CHAR(10)),_xlfn.TEXTSPLIT(_xlpm.e,,CHAR(10))&lt;&gt;""))))))</f>
        <v/>
      </c>
      <c r="R144" s="88"/>
      <c r="S144" s="80"/>
      <c r="T144" s="80"/>
      <c r="U144" s="80"/>
      <c r="V144" s="80"/>
      <c r="W144" s="80"/>
      <c r="X144" s="80"/>
      <c r="Y144" s="88" t="s">
        <v>1187</v>
      </c>
      <c r="Z144" s="80"/>
    </row>
    <row r="145" spans="2:26" s="185" customFormat="1">
      <c r="B145" s="88" t="s">
        <v>480</v>
      </c>
      <c r="C145" s="80" t="s">
        <v>481</v>
      </c>
      <c r="D145" s="80" t="s">
        <v>482</v>
      </c>
      <c r="E145" s="100" t="s">
        <v>1649</v>
      </c>
      <c r="F145" s="101" t="s">
        <v>1666</v>
      </c>
      <c r="G145" s="101" t="str" cm="1">
        <f t="array" ref="G145">_xlfn.LET(_xlpm.q,tbl_WR_Assessment[[#This Row],[Vulnerability Quote]],_xlpm.e,tbl_WR_Assessment[[#This Row],[Vulnerability EvidenceID]],IF(_xlpm.q="","",IF(_xlpm.e="",1,ROWS(_xlfn.UNIQUE(_xlfn._xlws.FILTER(_xlfn.TEXTSPLIT(_xlpm.e,,CHAR(10)),_xlfn.TEXTSPLIT(_xlpm.e,,CHAR(10))&lt;&gt;""))))))</f>
        <v/>
      </c>
      <c r="H145" s="88"/>
      <c r="I145" s="80"/>
      <c r="J145" s="80"/>
      <c r="K145" s="80"/>
      <c r="L145" s="80"/>
      <c r="M145" s="80"/>
      <c r="N145" s="80"/>
      <c r="O145" s="100" t="s">
        <v>1649</v>
      </c>
      <c r="P145" s="101" t="s">
        <v>1690</v>
      </c>
      <c r="Q145" s="101" cm="1">
        <f t="array" ref="Q145">_xlfn.LET(_xlpm.q,tbl_WR_Assessment[[#This Row],[Exposure Quote]],_xlpm.e,tbl_WR_Assessment[[#This Row],[Exposure EvidenceID]],IF(_xlpm.q="","",IF(_xlpm.e="",1,ROWS(_xlfn.UNIQUE(_xlfn._xlws.FILTER(_xlfn.TEXTSPLIT(_xlpm.e,,CHAR(10)),_xlfn.TEXTSPLIT(_xlpm.e,,CHAR(10))&lt;&gt;""))))))</f>
        <v>1</v>
      </c>
      <c r="R145" s="88" t="s">
        <v>1162</v>
      </c>
      <c r="S145" s="80" t="s">
        <v>75</v>
      </c>
      <c r="T145" s="80" t="s">
        <v>1625</v>
      </c>
      <c r="U145" s="80" t="s">
        <v>1620</v>
      </c>
      <c r="V145" s="80" t="s">
        <v>1568</v>
      </c>
      <c r="W145" s="80" t="s">
        <v>1621</v>
      </c>
      <c r="X145" s="80" t="s">
        <v>1622</v>
      </c>
      <c r="Y145" s="88" t="s">
        <v>1569</v>
      </c>
      <c r="Z145" s="80"/>
    </row>
    <row r="146" spans="2:26" s="185" customFormat="1">
      <c r="B146" s="88" t="s">
        <v>485</v>
      </c>
      <c r="C146" s="80" t="s">
        <v>486</v>
      </c>
      <c r="D146" s="80" t="s">
        <v>487</v>
      </c>
      <c r="E146" s="100" t="s">
        <v>1649</v>
      </c>
      <c r="F146" s="101" t="s">
        <v>1738</v>
      </c>
      <c r="G146" s="101" cm="1">
        <f t="array" ref="G146">_xlfn.LET(_xlpm.q,tbl_WR_Assessment[[#This Row],[Vulnerability Quote]],_xlpm.e,tbl_WR_Assessment[[#This Row],[Vulnerability EvidenceID]],IF(_xlpm.q="","",IF(_xlpm.e="",1,ROWS(_xlfn.UNIQUE(_xlfn._xlws.FILTER(_xlfn.TEXTSPLIT(_xlpm.e,,CHAR(10)),_xlfn.TEXTSPLIT(_xlpm.e,,CHAR(10))&lt;&gt;""))))))</f>
        <v>1</v>
      </c>
      <c r="H146" s="88" t="s">
        <v>1162</v>
      </c>
      <c r="I146" s="80" t="s">
        <v>1626</v>
      </c>
      <c r="J146" s="80" t="s">
        <v>1627</v>
      </c>
      <c r="K146" s="80" t="s">
        <v>1623</v>
      </c>
      <c r="L146" s="80" t="s">
        <v>1568</v>
      </c>
      <c r="M146" s="80" t="s">
        <v>1624</v>
      </c>
      <c r="N146" s="80" t="s">
        <v>1628</v>
      </c>
      <c r="O146" s="100" t="s">
        <v>1649</v>
      </c>
      <c r="P146" s="101" t="s">
        <v>1739</v>
      </c>
      <c r="Q146" s="101" t="str" cm="1">
        <f t="array" ref="Q146">_xlfn.LET(_xlpm.q,tbl_WR_Assessment[[#This Row],[Exposure Quote]],_xlpm.e,tbl_WR_Assessment[[#This Row],[Exposure EvidenceID]],IF(_xlpm.q="","",IF(_xlpm.e="",1,ROWS(_xlfn.UNIQUE(_xlfn._xlws.FILTER(_xlfn.TEXTSPLIT(_xlpm.e,,CHAR(10)),_xlfn.TEXTSPLIT(_xlpm.e,,CHAR(10))&lt;&gt;""))))))</f>
        <v/>
      </c>
      <c r="R146" s="88"/>
      <c r="S146" s="80"/>
      <c r="T146" s="80"/>
      <c r="U146" s="80"/>
      <c r="V146" s="80"/>
      <c r="W146" s="80"/>
      <c r="X146" s="80"/>
      <c r="Y146" s="88" t="s">
        <v>1701</v>
      </c>
      <c r="Z146" s="80"/>
    </row>
    <row r="147" spans="2:26" s="185" customFormat="1">
      <c r="B147" s="88" t="s">
        <v>490</v>
      </c>
      <c r="C147" s="80" t="s">
        <v>491</v>
      </c>
      <c r="D147" s="80" t="s">
        <v>492</v>
      </c>
      <c r="E147" s="100" t="s">
        <v>1649</v>
      </c>
      <c r="F147" s="101" t="s">
        <v>1740</v>
      </c>
      <c r="G147" s="101" cm="1">
        <f t="array" ref="G147">_xlfn.LET(_xlpm.q,tbl_WR_Assessment[[#This Row],[Vulnerability Quote]],_xlpm.e,tbl_WR_Assessment[[#This Row],[Vulnerability EvidenceID]],IF(_xlpm.q="","",IF(_xlpm.e="",1,ROWS(_xlfn.UNIQUE(_xlfn._xlws.FILTER(_xlfn.TEXTSPLIT(_xlpm.e,,CHAR(10)),_xlfn.TEXTSPLIT(_xlpm.e,,CHAR(10))&lt;&gt;""))))))</f>
        <v>1</v>
      </c>
      <c r="H147" s="88" t="s">
        <v>1162</v>
      </c>
      <c r="I147" s="80" t="s">
        <v>1629</v>
      </c>
      <c r="J147" s="80" t="s">
        <v>1630</v>
      </c>
      <c r="K147" s="80" t="s">
        <v>1623</v>
      </c>
      <c r="L147" s="80" t="s">
        <v>1568</v>
      </c>
      <c r="M147" s="80" t="s">
        <v>1624</v>
      </c>
      <c r="N147" s="80" t="s">
        <v>1631</v>
      </c>
      <c r="O147" s="100" t="s">
        <v>1649</v>
      </c>
      <c r="P147" s="101" t="s">
        <v>1741</v>
      </c>
      <c r="Q147" s="101" t="str" cm="1">
        <f t="array" ref="Q147">_xlfn.LET(_xlpm.q,tbl_WR_Assessment[[#This Row],[Exposure Quote]],_xlpm.e,tbl_WR_Assessment[[#This Row],[Exposure EvidenceID]],IF(_xlpm.q="","",IF(_xlpm.e="",1,ROWS(_xlfn.UNIQUE(_xlfn._xlws.FILTER(_xlfn.TEXTSPLIT(_xlpm.e,,CHAR(10)),_xlfn.TEXTSPLIT(_xlpm.e,,CHAR(10))&lt;&gt;""))))))</f>
        <v/>
      </c>
      <c r="R147" s="88"/>
      <c r="S147" s="80"/>
      <c r="T147" s="80"/>
      <c r="U147" s="80"/>
      <c r="V147" s="80"/>
      <c r="W147" s="80"/>
      <c r="X147" s="80"/>
      <c r="Y147" s="88" t="s">
        <v>1701</v>
      </c>
      <c r="Z147" s="80"/>
    </row>
    <row r="148" spans="2:26" s="185" customFormat="1">
      <c r="B148" s="88" t="s">
        <v>495</v>
      </c>
      <c r="C148" s="80" t="s">
        <v>496</v>
      </c>
      <c r="D148" s="80" t="s">
        <v>497</v>
      </c>
      <c r="E148" s="100" t="s">
        <v>1651</v>
      </c>
      <c r="F148" s="101" t="s">
        <v>1742</v>
      </c>
      <c r="G148" s="101">
        <v>3</v>
      </c>
      <c r="H148" s="88" t="s">
        <v>1161</v>
      </c>
      <c r="I148" s="80" t="s">
        <v>1789</v>
      </c>
      <c r="J148" s="80" t="s">
        <v>1790</v>
      </c>
      <c r="K148" s="80" t="s">
        <v>1791</v>
      </c>
      <c r="L148" s="80" t="s">
        <v>1792</v>
      </c>
      <c r="M148" s="80" t="s">
        <v>1793</v>
      </c>
      <c r="N148" s="80" t="s">
        <v>1794</v>
      </c>
      <c r="O148" s="100" t="s">
        <v>1649</v>
      </c>
      <c r="P148" s="101" t="s">
        <v>1743</v>
      </c>
      <c r="Q148" s="101" t="str" cm="1">
        <f t="array" ref="Q148">_xlfn.LET(_xlpm.q,tbl_WR_Assessment[[#This Row],[Exposure Quote]],_xlpm.e,tbl_WR_Assessment[[#This Row],[Exposure EvidenceID]],IF(_xlpm.q="","",IF(_xlpm.e="",1,ROWS(_xlfn.UNIQUE(_xlfn._xlws.FILTER(_xlfn.TEXTSPLIT(_xlpm.e,,CHAR(10)),_xlfn.TEXTSPLIT(_xlpm.e,,CHAR(10))&lt;&gt;""))))))</f>
        <v/>
      </c>
      <c r="R148" s="88"/>
      <c r="S148" s="80"/>
      <c r="T148" s="80"/>
      <c r="U148" s="80"/>
      <c r="V148" s="80"/>
      <c r="W148" s="80"/>
      <c r="X148" s="80"/>
      <c r="Y148" s="88" t="s">
        <v>1569</v>
      </c>
      <c r="Z148" s="80"/>
    </row>
    <row r="149" spans="2:26" s="185" customFormat="1">
      <c r="B149" s="88" t="s">
        <v>500</v>
      </c>
      <c r="C149" s="80" t="s">
        <v>501</v>
      </c>
      <c r="D149" s="80" t="s">
        <v>502</v>
      </c>
      <c r="E149" s="100" t="s">
        <v>1649</v>
      </c>
      <c r="F149" s="101" t="s">
        <v>1744</v>
      </c>
      <c r="G149" s="101" t="str" cm="1">
        <f t="array" ref="G149">_xlfn.LET(_xlpm.q,tbl_WR_Assessment[[#This Row],[Vulnerability Quote]],_xlpm.e,tbl_WR_Assessment[[#This Row],[Vulnerability EvidenceID]],IF(_xlpm.q="","",IF(_xlpm.e="",1,ROWS(_xlfn.UNIQUE(_xlfn._xlws.FILTER(_xlfn.TEXTSPLIT(_xlpm.e,,CHAR(10)),_xlfn.TEXTSPLIT(_xlpm.e,,CHAR(10))&lt;&gt;""))))))</f>
        <v/>
      </c>
      <c r="H149" s="88"/>
      <c r="I149" s="80"/>
      <c r="J149" s="80"/>
      <c r="K149" s="80"/>
      <c r="L149" s="80"/>
      <c r="M149" s="80"/>
      <c r="N149" s="80"/>
      <c r="O149" s="100" t="s">
        <v>1649</v>
      </c>
      <c r="P149" s="101" t="s">
        <v>1745</v>
      </c>
      <c r="Q149" s="101" t="str" cm="1">
        <f t="array" ref="Q149">_xlfn.LET(_xlpm.q,tbl_WR_Assessment[[#This Row],[Exposure Quote]],_xlpm.e,tbl_WR_Assessment[[#This Row],[Exposure EvidenceID]],IF(_xlpm.q="","",IF(_xlpm.e="",1,ROWS(_xlfn.UNIQUE(_xlfn._xlws.FILTER(_xlfn.TEXTSPLIT(_xlpm.e,,CHAR(10)),_xlfn.TEXTSPLIT(_xlpm.e,,CHAR(10))&lt;&gt;""))))))</f>
        <v/>
      </c>
      <c r="R149" s="88"/>
      <c r="S149" s="80"/>
      <c r="T149" s="80"/>
      <c r="U149" s="80"/>
      <c r="V149" s="80"/>
      <c r="W149" s="80"/>
      <c r="X149" s="80"/>
      <c r="Y149" s="88" t="s">
        <v>1187</v>
      </c>
      <c r="Z149" s="80"/>
    </row>
    <row r="150" spans="2:26" s="185" customFormat="1">
      <c r="B150" s="88" t="s">
        <v>505</v>
      </c>
      <c r="C150" s="80" t="s">
        <v>506</v>
      </c>
      <c r="D150" s="80" t="s">
        <v>507</v>
      </c>
      <c r="E150" s="100" t="s">
        <v>1649</v>
      </c>
      <c r="F150" s="101" t="s">
        <v>1667</v>
      </c>
      <c r="G150" s="101" t="str" cm="1">
        <f t="array" ref="G150">_xlfn.LET(_xlpm.q,tbl_WR_Assessment[[#This Row],[Vulnerability Quote]],_xlpm.e,tbl_WR_Assessment[[#This Row],[Vulnerability EvidenceID]],IF(_xlpm.q="","",IF(_xlpm.e="",1,ROWS(_xlfn.UNIQUE(_xlfn._xlws.FILTER(_xlfn.TEXTSPLIT(_xlpm.e,,CHAR(10)),_xlfn.TEXTSPLIT(_xlpm.e,,CHAR(10))&lt;&gt;""))))))</f>
        <v/>
      </c>
      <c r="H150" s="88"/>
      <c r="I150" s="80"/>
      <c r="J150" s="80"/>
      <c r="K150" s="80"/>
      <c r="L150" s="80"/>
      <c r="M150" s="80"/>
      <c r="N150" s="80"/>
      <c r="O150" s="100" t="s">
        <v>1649</v>
      </c>
      <c r="P150" s="101" t="s">
        <v>1691</v>
      </c>
      <c r="Q150" s="101" t="str" cm="1">
        <f t="array" ref="Q150">_xlfn.LET(_xlpm.q,tbl_WR_Assessment[[#This Row],[Exposure Quote]],_xlpm.e,tbl_WR_Assessment[[#This Row],[Exposure EvidenceID]],IF(_xlpm.q="","",IF(_xlpm.e="",1,ROWS(_xlfn.UNIQUE(_xlfn._xlws.FILTER(_xlfn.TEXTSPLIT(_xlpm.e,,CHAR(10)),_xlfn.TEXTSPLIT(_xlpm.e,,CHAR(10))&lt;&gt;""))))))</f>
        <v/>
      </c>
      <c r="R150" s="88"/>
      <c r="S150" s="80"/>
      <c r="T150" s="80"/>
      <c r="U150" s="80"/>
      <c r="V150" s="80"/>
      <c r="W150" s="80"/>
      <c r="X150" s="80"/>
      <c r="Y150" s="88" t="s">
        <v>1187</v>
      </c>
      <c r="Z150" s="80"/>
    </row>
    <row r="151" spans="2:26" s="185" customFormat="1">
      <c r="B151" s="88" t="s">
        <v>509</v>
      </c>
      <c r="C151" s="80" t="s">
        <v>510</v>
      </c>
      <c r="D151" s="80" t="s">
        <v>511</v>
      </c>
      <c r="E151" s="100" t="s">
        <v>1649</v>
      </c>
      <c r="F151" s="101" t="s">
        <v>1668</v>
      </c>
      <c r="G151" s="101" t="str" cm="1">
        <f t="array" ref="G151">_xlfn.LET(_xlpm.q,tbl_WR_Assessment[[#This Row],[Vulnerability Quote]],_xlpm.e,tbl_WR_Assessment[[#This Row],[Vulnerability EvidenceID]],IF(_xlpm.q="","",IF(_xlpm.e="",1,ROWS(_xlfn.UNIQUE(_xlfn._xlws.FILTER(_xlfn.TEXTSPLIT(_xlpm.e,,CHAR(10)),_xlfn.TEXTSPLIT(_xlpm.e,,CHAR(10))&lt;&gt;""))))))</f>
        <v/>
      </c>
      <c r="H151" s="88"/>
      <c r="I151" s="80"/>
      <c r="J151" s="80"/>
      <c r="K151" s="80"/>
      <c r="L151" s="80"/>
      <c r="M151" s="80"/>
      <c r="N151" s="80"/>
      <c r="O151" s="100" t="s">
        <v>1649</v>
      </c>
      <c r="P151" s="101" t="s">
        <v>1692</v>
      </c>
      <c r="Q151" s="101" t="str" cm="1">
        <f t="array" ref="Q151">_xlfn.LET(_xlpm.q,tbl_WR_Assessment[[#This Row],[Exposure Quote]],_xlpm.e,tbl_WR_Assessment[[#This Row],[Exposure EvidenceID]],IF(_xlpm.q="","",IF(_xlpm.e="",1,ROWS(_xlfn.UNIQUE(_xlfn._xlws.FILTER(_xlfn.TEXTSPLIT(_xlpm.e,,CHAR(10)),_xlfn.TEXTSPLIT(_xlpm.e,,CHAR(10))&lt;&gt;""))))))</f>
        <v/>
      </c>
      <c r="R151" s="88"/>
      <c r="S151" s="80"/>
      <c r="T151" s="80"/>
      <c r="U151" s="80"/>
      <c r="V151" s="80"/>
      <c r="W151" s="80"/>
      <c r="X151" s="80"/>
      <c r="Y151" s="88" t="s">
        <v>1187</v>
      </c>
      <c r="Z151" s="80"/>
    </row>
    <row r="152" spans="2:26" s="185" customFormat="1">
      <c r="B152" s="88" t="s">
        <v>513</v>
      </c>
      <c r="C152" s="80" t="s">
        <v>514</v>
      </c>
      <c r="D152" s="80" t="s">
        <v>515</v>
      </c>
      <c r="E152" s="100" t="s">
        <v>1649</v>
      </c>
      <c r="F152" s="101" t="s">
        <v>1746</v>
      </c>
      <c r="G152" s="101" t="str" cm="1">
        <f t="array" ref="G152">_xlfn.LET(_xlpm.q,tbl_WR_Assessment[[#This Row],[Vulnerability Quote]],_xlpm.e,tbl_WR_Assessment[[#This Row],[Vulnerability EvidenceID]],IF(_xlpm.q="","",IF(_xlpm.e="",1,ROWS(_xlfn.UNIQUE(_xlfn._xlws.FILTER(_xlfn.TEXTSPLIT(_xlpm.e,,CHAR(10)),_xlfn.TEXTSPLIT(_xlpm.e,,CHAR(10))&lt;&gt;""))))))</f>
        <v/>
      </c>
      <c r="H152" s="88"/>
      <c r="I152" s="80"/>
      <c r="J152" s="80"/>
      <c r="K152" s="80"/>
      <c r="L152" s="80"/>
      <c r="M152" s="80"/>
      <c r="N152" s="80"/>
      <c r="O152" s="100" t="s">
        <v>1649</v>
      </c>
      <c r="P152" s="101" t="s">
        <v>1747</v>
      </c>
      <c r="Q152" s="101" t="str" cm="1">
        <f t="array" ref="Q152">_xlfn.LET(_xlpm.q,tbl_WR_Assessment[[#This Row],[Exposure Quote]],_xlpm.e,tbl_WR_Assessment[[#This Row],[Exposure EvidenceID]],IF(_xlpm.q="","",IF(_xlpm.e="",1,ROWS(_xlfn.UNIQUE(_xlfn._xlws.FILTER(_xlfn.TEXTSPLIT(_xlpm.e,,CHAR(10)),_xlfn.TEXTSPLIT(_xlpm.e,,CHAR(10))&lt;&gt;""))))))</f>
        <v/>
      </c>
      <c r="R152" s="88"/>
      <c r="S152" s="80"/>
      <c r="T152" s="80"/>
      <c r="U152" s="80"/>
      <c r="V152" s="80"/>
      <c r="W152" s="80"/>
      <c r="X152" s="80"/>
      <c r="Y152" s="88" t="s">
        <v>1187</v>
      </c>
      <c r="Z152" s="80"/>
    </row>
    <row r="153" spans="2:26" s="185" customFormat="1">
      <c r="B153" s="88" t="s">
        <v>517</v>
      </c>
      <c r="C153" s="80" t="s">
        <v>518</v>
      </c>
      <c r="D153" s="80" t="s">
        <v>519</v>
      </c>
      <c r="E153" s="100" t="s">
        <v>1649</v>
      </c>
      <c r="F153" s="101" t="s">
        <v>1669</v>
      </c>
      <c r="G153" s="101" t="str" cm="1">
        <f t="array" ref="G153">_xlfn.LET(_xlpm.q,tbl_WR_Assessment[[#This Row],[Vulnerability Quote]],_xlpm.e,tbl_WR_Assessment[[#This Row],[Vulnerability EvidenceID]],IF(_xlpm.q="","",IF(_xlpm.e="",1,ROWS(_xlfn.UNIQUE(_xlfn._xlws.FILTER(_xlfn.TEXTSPLIT(_xlpm.e,,CHAR(10)),_xlfn.TEXTSPLIT(_xlpm.e,,CHAR(10))&lt;&gt;""))))))</f>
        <v/>
      </c>
      <c r="H153" s="88"/>
      <c r="I153" s="80"/>
      <c r="J153" s="80"/>
      <c r="K153" s="80"/>
      <c r="L153" s="80"/>
      <c r="M153" s="80"/>
      <c r="N153" s="80"/>
      <c r="O153" s="100" t="s">
        <v>1649</v>
      </c>
      <c r="P153" s="101" t="s">
        <v>1693</v>
      </c>
      <c r="Q153" s="101" t="str" cm="1">
        <f t="array" ref="Q153">_xlfn.LET(_xlpm.q,tbl_WR_Assessment[[#This Row],[Exposure Quote]],_xlpm.e,tbl_WR_Assessment[[#This Row],[Exposure EvidenceID]],IF(_xlpm.q="","",IF(_xlpm.e="",1,ROWS(_xlfn.UNIQUE(_xlfn._xlws.FILTER(_xlfn.TEXTSPLIT(_xlpm.e,,CHAR(10)),_xlfn.TEXTSPLIT(_xlpm.e,,CHAR(10))&lt;&gt;""))))))</f>
        <v/>
      </c>
      <c r="R153" s="88"/>
      <c r="S153" s="80"/>
      <c r="T153" s="80"/>
      <c r="U153" s="80"/>
      <c r="V153" s="80"/>
      <c r="W153" s="80"/>
      <c r="X153" s="80"/>
      <c r="Y153" s="88" t="s">
        <v>1187</v>
      </c>
      <c r="Z153" s="80"/>
    </row>
    <row r="154" spans="2:26" s="185" customFormat="1">
      <c r="B154" s="88" t="s">
        <v>522</v>
      </c>
      <c r="C154" s="80" t="s">
        <v>523</v>
      </c>
      <c r="D154" s="80" t="s">
        <v>524</v>
      </c>
      <c r="E154" s="100" t="s">
        <v>1649</v>
      </c>
      <c r="F154" s="101" t="s">
        <v>1748</v>
      </c>
      <c r="G154" s="101" t="str" cm="1">
        <f t="array" ref="G154">_xlfn.LET(_xlpm.q,tbl_WR_Assessment[[#This Row],[Vulnerability Quote]],_xlpm.e,tbl_WR_Assessment[[#This Row],[Vulnerability EvidenceID]],IF(_xlpm.q="","",IF(_xlpm.e="",1,ROWS(_xlfn.UNIQUE(_xlfn._xlws.FILTER(_xlfn.TEXTSPLIT(_xlpm.e,,CHAR(10)),_xlfn.TEXTSPLIT(_xlpm.e,,CHAR(10))&lt;&gt;""))))))</f>
        <v/>
      </c>
      <c r="H154" s="88"/>
      <c r="I154" s="80"/>
      <c r="J154" s="80"/>
      <c r="K154" s="80"/>
      <c r="L154" s="80"/>
      <c r="M154" s="80"/>
      <c r="N154" s="80"/>
      <c r="O154" s="100" t="s">
        <v>1649</v>
      </c>
      <c r="P154" s="101" t="s">
        <v>1749</v>
      </c>
      <c r="Q154" s="101" t="str" cm="1">
        <f t="array" ref="Q154">_xlfn.LET(_xlpm.q,tbl_WR_Assessment[[#This Row],[Exposure Quote]],_xlpm.e,tbl_WR_Assessment[[#This Row],[Exposure EvidenceID]],IF(_xlpm.q="","",IF(_xlpm.e="",1,ROWS(_xlfn.UNIQUE(_xlfn._xlws.FILTER(_xlfn.TEXTSPLIT(_xlpm.e,,CHAR(10)),_xlfn.TEXTSPLIT(_xlpm.e,,CHAR(10))&lt;&gt;""))))))</f>
        <v/>
      </c>
      <c r="R154" s="88"/>
      <c r="S154" s="80"/>
      <c r="T154" s="80"/>
      <c r="U154" s="80"/>
      <c r="V154" s="80"/>
      <c r="W154" s="80"/>
      <c r="X154" s="80"/>
      <c r="Y154" s="88" t="s">
        <v>1187</v>
      </c>
      <c r="Z154" s="80"/>
    </row>
    <row r="155" spans="2:26" s="185" customFormat="1">
      <c r="B155" s="88" t="s">
        <v>527</v>
      </c>
      <c r="C155" s="80" t="s">
        <v>528</v>
      </c>
      <c r="D155" s="80" t="s">
        <v>529</v>
      </c>
      <c r="E155" s="100" t="s">
        <v>1651</v>
      </c>
      <c r="F155" s="101" t="s">
        <v>1750</v>
      </c>
      <c r="G155" s="101" cm="1">
        <f t="array" ref="G155">_xlfn.LET(_xlpm.q,tbl_WR_Assessment[[#This Row],[Vulnerability Quote]],_xlpm.e,tbl_WR_Assessment[[#This Row],[Vulnerability EvidenceID]],IF(_xlpm.q="","",IF(_xlpm.e="",1,ROWS(_xlfn.UNIQUE(_xlfn._xlws.FILTER(_xlfn.TEXTSPLIT(_xlpm.e,,CHAR(10)),_xlfn.TEXTSPLIT(_xlpm.e,,CHAR(10))&lt;&gt;""))))))</f>
        <v>1</v>
      </c>
      <c r="H155" s="88" t="s">
        <v>1162</v>
      </c>
      <c r="I155" s="80" t="s">
        <v>1603</v>
      </c>
      <c r="J155" s="80" t="s">
        <v>1604</v>
      </c>
      <c r="K155" s="80" t="s">
        <v>1601</v>
      </c>
      <c r="L155" s="80" t="s">
        <v>1592</v>
      </c>
      <c r="M155" s="80" t="s">
        <v>1602</v>
      </c>
      <c r="N155" s="80" t="s">
        <v>1605</v>
      </c>
      <c r="O155" s="100" t="s">
        <v>1649</v>
      </c>
      <c r="P155" s="101" t="s">
        <v>1751</v>
      </c>
      <c r="Q155" s="101" t="str" cm="1">
        <f t="array" ref="Q155">_xlfn.LET(_xlpm.q,tbl_WR_Assessment[[#This Row],[Exposure Quote]],_xlpm.e,tbl_WR_Assessment[[#This Row],[Exposure EvidenceID]],IF(_xlpm.q="","",IF(_xlpm.e="",1,ROWS(_xlfn.UNIQUE(_xlfn._xlws.FILTER(_xlfn.TEXTSPLIT(_xlpm.e,,CHAR(10)),_xlfn.TEXTSPLIT(_xlpm.e,,CHAR(10))&lt;&gt;""))))))</f>
        <v/>
      </c>
      <c r="R155" s="88"/>
      <c r="S155" s="80"/>
      <c r="T155" s="80"/>
      <c r="U155" s="80"/>
      <c r="V155" s="80"/>
      <c r="W155" s="80"/>
      <c r="X155" s="80"/>
      <c r="Y155" s="88" t="s">
        <v>1569</v>
      </c>
      <c r="Z155" s="80"/>
    </row>
    <row r="156" spans="2:26" s="185" customFormat="1">
      <c r="B156" s="88" t="s">
        <v>531</v>
      </c>
      <c r="C156" s="80" t="s">
        <v>532</v>
      </c>
      <c r="D156" s="80" t="s">
        <v>533</v>
      </c>
      <c r="E156" s="100" t="s">
        <v>1651</v>
      </c>
      <c r="F156" s="101" t="s">
        <v>1670</v>
      </c>
      <c r="G156" s="101">
        <v>2</v>
      </c>
      <c r="H156" s="88" t="s">
        <v>1161</v>
      </c>
      <c r="I156" s="80" t="s">
        <v>40</v>
      </c>
      <c r="J156" s="80" t="s">
        <v>1795</v>
      </c>
      <c r="K156" s="80" t="s">
        <v>1796</v>
      </c>
      <c r="L156" s="80" t="s">
        <v>1780</v>
      </c>
      <c r="M156" s="80" t="s">
        <v>1797</v>
      </c>
      <c r="N156" s="80" t="s">
        <v>1798</v>
      </c>
      <c r="O156" s="100" t="s">
        <v>1649</v>
      </c>
      <c r="P156" s="101" t="s">
        <v>1694</v>
      </c>
      <c r="Q156" s="101" t="str" cm="1">
        <f t="array" ref="Q156">_xlfn.LET(_xlpm.q,tbl_WR_Assessment[[#This Row],[Exposure Quote]],_xlpm.e,tbl_WR_Assessment[[#This Row],[Exposure EvidenceID]],IF(_xlpm.q="","",IF(_xlpm.e="",1,ROWS(_xlfn.UNIQUE(_xlfn._xlws.FILTER(_xlfn.TEXTSPLIT(_xlpm.e,,CHAR(10)),_xlfn.TEXTSPLIT(_xlpm.e,,CHAR(10))&lt;&gt;""))))))</f>
        <v/>
      </c>
      <c r="R156" s="88"/>
      <c r="S156" s="80"/>
      <c r="T156" s="80"/>
      <c r="U156" s="80"/>
      <c r="V156" s="80"/>
      <c r="W156" s="80"/>
      <c r="X156" s="80"/>
      <c r="Y156" s="88" t="s">
        <v>1569</v>
      </c>
      <c r="Z156" s="80"/>
    </row>
    <row r="157" spans="2:26" s="185" customFormat="1">
      <c r="B157" s="88" t="s">
        <v>535</v>
      </c>
      <c r="C157" s="80" t="s">
        <v>536</v>
      </c>
      <c r="D157" s="80" t="s">
        <v>537</v>
      </c>
      <c r="E157" s="100" t="s">
        <v>1649</v>
      </c>
      <c r="F157" s="101" t="s">
        <v>1671</v>
      </c>
      <c r="G157" s="101" t="str" cm="1">
        <f t="array" ref="G157">_xlfn.LET(_xlpm.q,tbl_WR_Assessment[[#This Row],[Vulnerability Quote]],_xlpm.e,tbl_WR_Assessment[[#This Row],[Vulnerability EvidenceID]],IF(_xlpm.q="","",IF(_xlpm.e="",1,ROWS(_xlfn.UNIQUE(_xlfn._xlws.FILTER(_xlfn.TEXTSPLIT(_xlpm.e,,CHAR(10)),_xlfn.TEXTSPLIT(_xlpm.e,,CHAR(10))&lt;&gt;""))))))</f>
        <v/>
      </c>
      <c r="H157" s="88"/>
      <c r="I157" s="80"/>
      <c r="J157" s="80"/>
      <c r="K157" s="80"/>
      <c r="L157" s="80"/>
      <c r="M157" s="80"/>
      <c r="N157" s="80"/>
      <c r="O157" s="100" t="s">
        <v>1649</v>
      </c>
      <c r="P157" s="101" t="s">
        <v>1693</v>
      </c>
      <c r="Q157" s="101" t="str" cm="1">
        <f t="array" ref="Q157">_xlfn.LET(_xlpm.q,tbl_WR_Assessment[[#This Row],[Exposure Quote]],_xlpm.e,tbl_WR_Assessment[[#This Row],[Exposure EvidenceID]],IF(_xlpm.q="","",IF(_xlpm.e="",1,ROWS(_xlfn.UNIQUE(_xlfn._xlws.FILTER(_xlfn.TEXTSPLIT(_xlpm.e,,CHAR(10)),_xlfn.TEXTSPLIT(_xlpm.e,,CHAR(10))&lt;&gt;""))))))</f>
        <v/>
      </c>
      <c r="R157" s="88"/>
      <c r="S157" s="80"/>
      <c r="T157" s="80"/>
      <c r="U157" s="80"/>
      <c r="V157" s="80"/>
      <c r="W157" s="80"/>
      <c r="X157" s="80"/>
      <c r="Y157" s="88" t="s">
        <v>1187</v>
      </c>
      <c r="Z157" s="80"/>
    </row>
    <row r="158" spans="2:26" s="185" customFormat="1">
      <c r="B158" s="88" t="s">
        <v>539</v>
      </c>
      <c r="C158" s="80" t="s">
        <v>540</v>
      </c>
      <c r="D158" s="80" t="s">
        <v>541</v>
      </c>
      <c r="E158" s="100" t="s">
        <v>1649</v>
      </c>
      <c r="F158" s="101" t="s">
        <v>1752</v>
      </c>
      <c r="G158" s="101" cm="1">
        <f t="array" ref="G158">_xlfn.LET(_xlpm.q,tbl_WR_Assessment[[#This Row],[Vulnerability Quote]],_xlpm.e,tbl_WR_Assessment[[#This Row],[Vulnerability EvidenceID]],IF(_xlpm.q="","",IF(_xlpm.e="",1,ROWS(_xlfn.UNIQUE(_xlfn._xlws.FILTER(_xlfn.TEXTSPLIT(_xlpm.e,,CHAR(10)),_xlfn.TEXTSPLIT(_xlpm.e,,CHAR(10))&lt;&gt;""))))))</f>
        <v>2</v>
      </c>
      <c r="H158" s="88" t="s">
        <v>1162</v>
      </c>
      <c r="I158" s="80" t="s">
        <v>1606</v>
      </c>
      <c r="J158" s="80" t="s">
        <v>1607</v>
      </c>
      <c r="K158" s="80" t="s">
        <v>1608</v>
      </c>
      <c r="L158" s="80" t="s">
        <v>1590</v>
      </c>
      <c r="M158" s="80" t="s">
        <v>1609</v>
      </c>
      <c r="N158" s="80" t="s">
        <v>1610</v>
      </c>
      <c r="O158" s="100" t="s">
        <v>1649</v>
      </c>
      <c r="P158" s="101" t="s">
        <v>1753</v>
      </c>
      <c r="Q158" s="101" t="str" cm="1">
        <f t="array" ref="Q158">_xlfn.LET(_xlpm.q,tbl_WR_Assessment[[#This Row],[Exposure Quote]],_xlpm.e,tbl_WR_Assessment[[#This Row],[Exposure EvidenceID]],IF(_xlpm.q="","",IF(_xlpm.e="",1,ROWS(_xlfn.UNIQUE(_xlfn._xlws.FILTER(_xlfn.TEXTSPLIT(_xlpm.e,,CHAR(10)),_xlfn.TEXTSPLIT(_xlpm.e,,CHAR(10))&lt;&gt;""))))))</f>
        <v/>
      </c>
      <c r="R158" s="88"/>
      <c r="S158" s="80"/>
      <c r="T158" s="80"/>
      <c r="U158" s="80"/>
      <c r="V158" s="80"/>
      <c r="W158" s="80"/>
      <c r="X158" s="80"/>
      <c r="Y158" s="88" t="s">
        <v>1701</v>
      </c>
      <c r="Z158" s="80"/>
    </row>
    <row r="159" spans="2:26" s="185" customFormat="1">
      <c r="B159" s="88" t="s">
        <v>543</v>
      </c>
      <c r="C159" s="80" t="s">
        <v>544</v>
      </c>
      <c r="D159" s="80" t="s">
        <v>545</v>
      </c>
      <c r="E159" s="100" t="s">
        <v>1651</v>
      </c>
      <c r="F159" s="101" t="s">
        <v>1672</v>
      </c>
      <c r="G159" s="101">
        <v>3</v>
      </c>
      <c r="H159" s="88" t="s">
        <v>1161</v>
      </c>
      <c r="I159" s="80" t="s">
        <v>1611</v>
      </c>
      <c r="J159" s="80" t="s">
        <v>1799</v>
      </c>
      <c r="K159" s="80" t="s">
        <v>1800</v>
      </c>
      <c r="L159" s="80" t="s">
        <v>1760</v>
      </c>
      <c r="M159" s="80" t="s">
        <v>1801</v>
      </c>
      <c r="N159" s="80" t="s">
        <v>1802</v>
      </c>
      <c r="O159" s="100" t="s">
        <v>1649</v>
      </c>
      <c r="P159" s="101" t="s">
        <v>1695</v>
      </c>
      <c r="Q159" s="101" t="str" cm="1">
        <f t="array" ref="Q159">_xlfn.LET(_xlpm.q,tbl_WR_Assessment[[#This Row],[Exposure Quote]],_xlpm.e,tbl_WR_Assessment[[#This Row],[Exposure EvidenceID]],IF(_xlpm.q="","",IF(_xlpm.e="",1,ROWS(_xlfn.UNIQUE(_xlfn._xlws.FILTER(_xlfn.TEXTSPLIT(_xlpm.e,,CHAR(10)),_xlfn.TEXTSPLIT(_xlpm.e,,CHAR(10))&lt;&gt;""))))))</f>
        <v/>
      </c>
      <c r="R159" s="88"/>
      <c r="S159" s="80"/>
      <c r="T159" s="80"/>
      <c r="U159" s="80"/>
      <c r="V159" s="80"/>
      <c r="W159" s="80"/>
      <c r="X159" s="80"/>
      <c r="Y159" s="88" t="s">
        <v>1569</v>
      </c>
      <c r="Z159" s="80"/>
    </row>
    <row r="160" spans="2:26" s="185" customFormat="1">
      <c r="B160" s="88" t="s">
        <v>547</v>
      </c>
      <c r="C160" s="80" t="s">
        <v>548</v>
      </c>
      <c r="D160" s="80" t="s">
        <v>549</v>
      </c>
      <c r="E160" s="100" t="s">
        <v>1651</v>
      </c>
      <c r="F160" s="101" t="s">
        <v>1673</v>
      </c>
      <c r="G160" s="101">
        <v>3</v>
      </c>
      <c r="H160" s="88" t="s">
        <v>1161</v>
      </c>
      <c r="I160" s="80" t="s">
        <v>1612</v>
      </c>
      <c r="J160" s="80" t="s">
        <v>1803</v>
      </c>
      <c r="K160" s="80" t="s">
        <v>1759</v>
      </c>
      <c r="L160" s="80" t="s">
        <v>1760</v>
      </c>
      <c r="M160" s="80" t="s">
        <v>1761</v>
      </c>
      <c r="N160" s="80" t="s">
        <v>1804</v>
      </c>
      <c r="O160" s="100" t="s">
        <v>1649</v>
      </c>
      <c r="P160" s="101" t="s">
        <v>1696</v>
      </c>
      <c r="Q160" s="101" t="str" cm="1">
        <f t="array" ref="Q160">_xlfn.LET(_xlpm.q,tbl_WR_Assessment[[#This Row],[Exposure Quote]],_xlpm.e,tbl_WR_Assessment[[#This Row],[Exposure EvidenceID]],IF(_xlpm.q="","",IF(_xlpm.e="",1,ROWS(_xlfn.UNIQUE(_xlfn._xlws.FILTER(_xlfn.TEXTSPLIT(_xlpm.e,,CHAR(10)),_xlfn.TEXTSPLIT(_xlpm.e,,CHAR(10))&lt;&gt;""))))))</f>
        <v/>
      </c>
      <c r="R160" s="88"/>
      <c r="S160" s="80"/>
      <c r="T160" s="80"/>
      <c r="U160" s="80"/>
      <c r="V160" s="80"/>
      <c r="W160" s="80"/>
      <c r="X160" s="80"/>
      <c r="Y160" s="88" t="s">
        <v>1569</v>
      </c>
      <c r="Z160" s="80"/>
    </row>
    <row r="161" spans="2:36" s="185" customFormat="1">
      <c r="B161" s="88" t="s">
        <v>552</v>
      </c>
      <c r="C161" s="80" t="s">
        <v>553</v>
      </c>
      <c r="D161" s="80" t="s">
        <v>554</v>
      </c>
      <c r="E161" s="100" t="s">
        <v>1651</v>
      </c>
      <c r="F161" s="101" t="s">
        <v>1674</v>
      </c>
      <c r="G161" s="101">
        <v>3</v>
      </c>
      <c r="H161" s="88" t="s">
        <v>1162</v>
      </c>
      <c r="I161" s="80" t="s">
        <v>1805</v>
      </c>
      <c r="J161" s="80" t="s">
        <v>1806</v>
      </c>
      <c r="K161" s="80" t="s">
        <v>1807</v>
      </c>
      <c r="L161" s="80" t="s">
        <v>1760</v>
      </c>
      <c r="M161" s="80" t="s">
        <v>1808</v>
      </c>
      <c r="N161" s="80" t="s">
        <v>1809</v>
      </c>
      <c r="O161" s="100" t="s">
        <v>1649</v>
      </c>
      <c r="P161" s="101" t="s">
        <v>1697</v>
      </c>
      <c r="Q161" s="101" t="str" cm="1">
        <f t="array" ref="Q161">_xlfn.LET(_xlpm.q,tbl_WR_Assessment[[#This Row],[Exposure Quote]],_xlpm.e,tbl_WR_Assessment[[#This Row],[Exposure EvidenceID]],IF(_xlpm.q="","",IF(_xlpm.e="",1,ROWS(_xlfn.UNIQUE(_xlfn._xlws.FILTER(_xlfn.TEXTSPLIT(_xlpm.e,,CHAR(10)),_xlfn.TEXTSPLIT(_xlpm.e,,CHAR(10))&lt;&gt;""))))))</f>
        <v/>
      </c>
      <c r="R161" s="88"/>
      <c r="S161" s="80"/>
      <c r="T161" s="80"/>
      <c r="U161" s="80"/>
      <c r="V161" s="80"/>
      <c r="W161" s="80"/>
      <c r="X161" s="80"/>
      <c r="Y161" s="88" t="s">
        <v>1569</v>
      </c>
      <c r="Z161" s="80"/>
    </row>
    <row r="162" spans="2:36" s="185" customFormat="1">
      <c r="B162" s="88" t="s">
        <v>556</v>
      </c>
      <c r="C162" s="80" t="s">
        <v>557</v>
      </c>
      <c r="D162" s="80" t="s">
        <v>558</v>
      </c>
      <c r="E162" s="100" t="s">
        <v>1649</v>
      </c>
      <c r="F162" s="101" t="s">
        <v>1675</v>
      </c>
      <c r="G162" s="101" t="str" cm="1">
        <f t="array" ref="G162">_xlfn.LET(_xlpm.q,tbl_WR_Assessment[[#This Row],[Vulnerability Quote]],_xlpm.e,tbl_WR_Assessment[[#This Row],[Vulnerability EvidenceID]],IF(_xlpm.q="","",IF(_xlpm.e="",1,ROWS(_xlfn.UNIQUE(_xlfn._xlws.FILTER(_xlfn.TEXTSPLIT(_xlpm.e,,CHAR(10)),_xlfn.TEXTSPLIT(_xlpm.e,,CHAR(10))&lt;&gt;""))))))</f>
        <v/>
      </c>
      <c r="H162" s="88"/>
      <c r="I162" s="80"/>
      <c r="J162" s="80"/>
      <c r="K162" s="80"/>
      <c r="L162" s="80"/>
      <c r="M162" s="80"/>
      <c r="N162" s="80"/>
      <c r="O162" s="100" t="s">
        <v>1649</v>
      </c>
      <c r="P162" s="101" t="s">
        <v>1698</v>
      </c>
      <c r="Q162" s="101" t="str" cm="1">
        <f t="array" ref="Q162">_xlfn.LET(_xlpm.q,tbl_WR_Assessment[[#This Row],[Exposure Quote]],_xlpm.e,tbl_WR_Assessment[[#This Row],[Exposure EvidenceID]],IF(_xlpm.q="","",IF(_xlpm.e="",1,ROWS(_xlfn.UNIQUE(_xlfn._xlws.FILTER(_xlfn.TEXTSPLIT(_xlpm.e,,CHAR(10)),_xlfn.TEXTSPLIT(_xlpm.e,,CHAR(10))&lt;&gt;""))))))</f>
        <v/>
      </c>
      <c r="R162" s="88"/>
      <c r="S162" s="80"/>
      <c r="T162" s="80"/>
      <c r="U162" s="80"/>
      <c r="V162" s="80"/>
      <c r="W162" s="80"/>
      <c r="X162" s="80"/>
      <c r="Y162" s="88" t="s">
        <v>1187</v>
      </c>
      <c r="Z162" s="80"/>
    </row>
    <row r="163" spans="2:36" s="185" customFormat="1">
      <c r="B163" s="88" t="s">
        <v>561</v>
      </c>
      <c r="C163" s="80" t="s">
        <v>562</v>
      </c>
      <c r="D163" s="80" t="s">
        <v>563</v>
      </c>
      <c r="E163" s="100" t="s">
        <v>1649</v>
      </c>
      <c r="F163" s="101" t="s">
        <v>1754</v>
      </c>
      <c r="G163" s="101" cm="1">
        <f t="array" ref="G163">_xlfn.LET(_xlpm.q,tbl_WR_Assessment[[#This Row],[Vulnerability Quote]],_xlpm.e,tbl_WR_Assessment[[#This Row],[Vulnerability EvidenceID]],IF(_xlpm.q="","",IF(_xlpm.e="",1,ROWS(_xlfn.UNIQUE(_xlfn._xlws.FILTER(_xlfn.TEXTSPLIT(_xlpm.e,,CHAR(10)),_xlfn.TEXTSPLIT(_xlpm.e,,CHAR(10))&lt;&gt;""))))))</f>
        <v>1</v>
      </c>
      <c r="H163" s="88" t="s">
        <v>1162</v>
      </c>
      <c r="I163" s="80" t="s">
        <v>53</v>
      </c>
      <c r="J163" s="80" t="s">
        <v>1572</v>
      </c>
      <c r="K163" s="80" t="s">
        <v>1570</v>
      </c>
      <c r="L163" s="80" t="s">
        <v>1568</v>
      </c>
      <c r="M163" s="80" t="s">
        <v>1571</v>
      </c>
      <c r="N163" s="80" t="s">
        <v>1573</v>
      </c>
      <c r="O163" s="100" t="s">
        <v>1649</v>
      </c>
      <c r="P163" s="101" t="s">
        <v>1755</v>
      </c>
      <c r="Q163" s="101" t="str" cm="1">
        <f t="array" ref="Q163">_xlfn.LET(_xlpm.q,tbl_WR_Assessment[[#This Row],[Exposure Quote]],_xlpm.e,tbl_WR_Assessment[[#This Row],[Exposure EvidenceID]],IF(_xlpm.q="","",IF(_xlpm.e="",1,ROWS(_xlfn.UNIQUE(_xlfn._xlws.FILTER(_xlfn.TEXTSPLIT(_xlpm.e,,CHAR(10)),_xlfn.TEXTSPLIT(_xlpm.e,,CHAR(10))&lt;&gt;""))))))</f>
        <v/>
      </c>
      <c r="R163" s="88"/>
      <c r="S163" s="80"/>
      <c r="T163" s="80"/>
      <c r="U163" s="80"/>
      <c r="V163" s="80"/>
      <c r="W163" s="80"/>
      <c r="X163" s="80"/>
      <c r="Y163" s="88" t="s">
        <v>1701</v>
      </c>
      <c r="Z163" s="80"/>
    </row>
    <row r="164" spans="2:36" s="185" customFormat="1">
      <c r="B164" s="88" t="s">
        <v>564</v>
      </c>
      <c r="C164" s="80" t="s">
        <v>565</v>
      </c>
      <c r="D164" s="80" t="s">
        <v>566</v>
      </c>
      <c r="E164" s="100" t="s">
        <v>1649</v>
      </c>
      <c r="F164" s="101" t="s">
        <v>1756</v>
      </c>
      <c r="G164" s="101" t="str" cm="1">
        <f t="array" ref="G164">_xlfn.LET(_xlpm.q,tbl_WR_Assessment[[#This Row],[Vulnerability Quote]],_xlpm.e,tbl_WR_Assessment[[#This Row],[Vulnerability EvidenceID]],IF(_xlpm.q="","",IF(_xlpm.e="",1,ROWS(_xlfn.UNIQUE(_xlfn._xlws.FILTER(_xlfn.TEXTSPLIT(_xlpm.e,,CHAR(10)),_xlfn.TEXTSPLIT(_xlpm.e,,CHAR(10))&lt;&gt;""))))))</f>
        <v/>
      </c>
      <c r="H164" s="88"/>
      <c r="I164" s="80"/>
      <c r="J164" s="80"/>
      <c r="K164" s="80"/>
      <c r="L164" s="80"/>
      <c r="M164" s="80"/>
      <c r="N164" s="80"/>
      <c r="O164" s="100" t="s">
        <v>1649</v>
      </c>
      <c r="P164" s="101" t="s">
        <v>1757</v>
      </c>
      <c r="Q164" s="101" t="str" cm="1">
        <f t="array" ref="Q164">_xlfn.LET(_xlpm.q,tbl_WR_Assessment[[#This Row],[Exposure Quote]],_xlpm.e,tbl_WR_Assessment[[#This Row],[Exposure EvidenceID]],IF(_xlpm.q="","",IF(_xlpm.e="",1,ROWS(_xlfn.UNIQUE(_xlfn._xlws.FILTER(_xlfn.TEXTSPLIT(_xlpm.e,,CHAR(10)),_xlfn.TEXTSPLIT(_xlpm.e,,CHAR(10))&lt;&gt;""))))))</f>
        <v/>
      </c>
      <c r="R164" s="88"/>
      <c r="S164" s="80"/>
      <c r="T164" s="80"/>
      <c r="U164" s="80"/>
      <c r="V164" s="80"/>
      <c r="W164" s="80"/>
      <c r="X164" s="80"/>
      <c r="Y164" s="88" t="s">
        <v>1187</v>
      </c>
      <c r="Z164" s="80"/>
    </row>
    <row r="165" spans="2:36" s="185" customFormat="1"/>
    <row r="166" spans="2:36" s="185" customFormat="1"/>
    <row r="167" spans="2:36" s="75" customFormat="1" ht="17.399999999999999">
      <c r="B167" s="113" t="s">
        <v>2593</v>
      </c>
      <c r="C167" s="113"/>
      <c r="D167" s="113"/>
      <c r="E167" s="113"/>
      <c r="F167" s="113"/>
      <c r="G167" s="113"/>
      <c r="H167" s="113"/>
      <c r="I167" s="113"/>
      <c r="J167" s="113"/>
      <c r="K167" s="113"/>
      <c r="L167" s="113"/>
      <c r="M167" s="113"/>
      <c r="N167" s="113"/>
      <c r="O167" s="113"/>
      <c r="P167" s="113"/>
      <c r="Q167" s="113"/>
      <c r="R167" s="113"/>
      <c r="S167" s="113"/>
      <c r="T167" s="113"/>
      <c r="AA167" s="185"/>
      <c r="AB167" s="185"/>
      <c r="AC167" s="185"/>
      <c r="AD167" s="185"/>
      <c r="AE167" s="185"/>
      <c r="AF167" s="185"/>
      <c r="AG167" s="185"/>
      <c r="AH167" s="185"/>
      <c r="AI167" s="185"/>
      <c r="AJ167" s="185"/>
    </row>
    <row r="168" spans="2:36" s="75" customFormat="1">
      <c r="B168" s="95" t="s">
        <v>312</v>
      </c>
      <c r="C168" s="99" t="s">
        <v>2594</v>
      </c>
      <c r="D168" s="99"/>
      <c r="E168" s="99"/>
      <c r="F168" s="99"/>
      <c r="G168" s="99"/>
      <c r="H168" s="99"/>
      <c r="I168" s="99"/>
      <c r="J168" s="99"/>
      <c r="K168" s="99"/>
      <c r="L168" s="99"/>
      <c r="M168" s="99"/>
      <c r="N168" s="99"/>
      <c r="O168" s="99"/>
      <c r="P168" s="99"/>
      <c r="Q168" s="99"/>
      <c r="R168" s="99"/>
      <c r="S168" s="99"/>
      <c r="T168" s="99"/>
      <c r="AA168" s="185"/>
      <c r="AB168" s="185"/>
      <c r="AC168" s="185"/>
      <c r="AD168" s="185"/>
      <c r="AE168" s="185"/>
      <c r="AF168" s="185"/>
      <c r="AG168" s="185"/>
      <c r="AH168" s="185"/>
      <c r="AI168" s="185"/>
      <c r="AJ168" s="185"/>
    </row>
    <row r="169" spans="2:36" s="75" customFormat="1">
      <c r="D169" s="99"/>
      <c r="E169" s="99"/>
      <c r="F169" s="99"/>
      <c r="G169" s="99"/>
      <c r="H169" s="99"/>
      <c r="I169" s="99"/>
      <c r="J169" s="99"/>
      <c r="K169" s="99"/>
      <c r="L169" s="99"/>
      <c r="M169" s="99"/>
      <c r="N169" s="99"/>
      <c r="O169" s="99"/>
      <c r="P169" s="99"/>
      <c r="Q169" s="99"/>
      <c r="R169" s="99"/>
      <c r="S169" s="99"/>
      <c r="T169" s="99"/>
      <c r="AA169" s="185"/>
      <c r="AB169" s="185"/>
      <c r="AC169" s="185"/>
      <c r="AD169" s="185"/>
      <c r="AE169" s="185"/>
      <c r="AF169" s="185"/>
      <c r="AG169" s="185"/>
      <c r="AH169" s="185"/>
      <c r="AI169" s="185"/>
      <c r="AJ169" s="185"/>
    </row>
    <row r="170" spans="2:36" s="75" customFormat="1" ht="17.399999999999999">
      <c r="B170" s="113" t="s">
        <v>1635</v>
      </c>
      <c r="C170" s="113"/>
      <c r="D170" s="113"/>
      <c r="E170" s="113"/>
      <c r="F170" s="113"/>
      <c r="G170" s="113"/>
      <c r="H170" s="113"/>
      <c r="I170" s="113"/>
      <c r="J170" s="113"/>
      <c r="K170" s="113"/>
      <c r="L170" s="113"/>
      <c r="M170" s="113"/>
      <c r="N170" s="113"/>
      <c r="O170" s="113"/>
      <c r="P170" s="113"/>
      <c r="Q170" s="113"/>
      <c r="R170" s="113"/>
      <c r="S170" s="113"/>
      <c r="T170" s="113"/>
    </row>
    <row r="171" spans="2:36" s="75" customFormat="1">
      <c r="B171" s="92" t="s">
        <v>1614</v>
      </c>
      <c r="C171" s="92" t="s">
        <v>311</v>
      </c>
      <c r="D171" s="92" t="s">
        <v>1293</v>
      </c>
      <c r="E171" s="102" t="s">
        <v>1636</v>
      </c>
      <c r="F171" s="103" t="s">
        <v>1637</v>
      </c>
      <c r="G171" s="103" t="s">
        <v>1647</v>
      </c>
      <c r="H171" s="92" t="s">
        <v>1502</v>
      </c>
      <c r="I171" s="92" t="s">
        <v>1487</v>
      </c>
      <c r="J171" s="92" t="s">
        <v>1469</v>
      </c>
      <c r="K171" s="92" t="s">
        <v>1488</v>
      </c>
      <c r="L171" s="92" t="s">
        <v>1500</v>
      </c>
      <c r="M171" s="92" t="s">
        <v>1489</v>
      </c>
      <c r="N171" s="92" t="s">
        <v>1490</v>
      </c>
      <c r="O171" s="102" t="s">
        <v>1638</v>
      </c>
      <c r="P171" s="103" t="s">
        <v>1639</v>
      </c>
      <c r="Q171" s="103" t="s">
        <v>1648</v>
      </c>
      <c r="R171" s="92" t="s">
        <v>1503</v>
      </c>
      <c r="S171" s="92" t="s">
        <v>1491</v>
      </c>
      <c r="T171" s="92" t="s">
        <v>1470</v>
      </c>
      <c r="U171" s="92" t="s">
        <v>1492</v>
      </c>
      <c r="V171" s="92" t="s">
        <v>1501</v>
      </c>
      <c r="W171" s="92" t="s">
        <v>1493</v>
      </c>
      <c r="X171" s="92" t="s">
        <v>1494</v>
      </c>
      <c r="Y171" s="92" t="s">
        <v>1495</v>
      </c>
      <c r="Z171" s="92" t="s">
        <v>1496</v>
      </c>
    </row>
    <row r="172" spans="2:36" s="75" customFormat="1">
      <c r="B172" s="88" t="s">
        <v>1810</v>
      </c>
      <c r="C172" s="80" t="s">
        <v>1811</v>
      </c>
      <c r="D172" s="80" t="s">
        <v>1812</v>
      </c>
      <c r="E172" s="100" t="s">
        <v>1651</v>
      </c>
      <c r="F172" s="101" t="s">
        <v>1813</v>
      </c>
      <c r="G172" s="101">
        <v>1</v>
      </c>
      <c r="H172" s="88" t="s">
        <v>1161</v>
      </c>
      <c r="I172" s="80" t="s">
        <v>1814</v>
      </c>
      <c r="J172" s="80" t="s">
        <v>1815</v>
      </c>
      <c r="K172" s="80" t="s">
        <v>1816</v>
      </c>
      <c r="L172" s="80" t="s">
        <v>1786</v>
      </c>
      <c r="M172" s="80" t="s">
        <v>1817</v>
      </c>
      <c r="N172" s="80" t="s">
        <v>1818</v>
      </c>
      <c r="O172" s="100" t="s">
        <v>1649</v>
      </c>
      <c r="P172" s="101" t="s">
        <v>1819</v>
      </c>
      <c r="Q172" s="101"/>
      <c r="R172" s="88"/>
      <c r="S172" s="80"/>
      <c r="T172" s="80"/>
      <c r="U172" s="80"/>
      <c r="V172" s="80"/>
      <c r="W172" s="80"/>
      <c r="X172" s="80"/>
      <c r="Y172" s="88" t="s">
        <v>1820</v>
      </c>
      <c r="Z172" s="80"/>
    </row>
    <row r="173" spans="2:36">
      <c r="B173" s="88" t="s">
        <v>1821</v>
      </c>
      <c r="C173" s="80" t="s">
        <v>1822</v>
      </c>
      <c r="D173" s="80" t="s">
        <v>1823</v>
      </c>
      <c r="E173" s="100" t="s">
        <v>1651</v>
      </c>
      <c r="F173" s="101" t="s">
        <v>1824</v>
      </c>
      <c r="G173" s="101">
        <v>1</v>
      </c>
      <c r="H173" s="88" t="s">
        <v>1161</v>
      </c>
      <c r="I173" s="80" t="s">
        <v>1825</v>
      </c>
      <c r="J173" s="80" t="s">
        <v>1826</v>
      </c>
      <c r="K173" s="80" t="s">
        <v>1827</v>
      </c>
      <c r="L173" s="80" t="s">
        <v>1786</v>
      </c>
      <c r="M173" s="80" t="s">
        <v>1828</v>
      </c>
      <c r="N173" s="80" t="s">
        <v>1829</v>
      </c>
      <c r="O173" s="100" t="s">
        <v>1649</v>
      </c>
      <c r="P173" s="101" t="s">
        <v>1830</v>
      </c>
      <c r="Q173" s="101"/>
      <c r="R173" s="88"/>
      <c r="S173" s="80"/>
      <c r="T173" s="80"/>
      <c r="U173" s="80"/>
      <c r="V173" s="80"/>
      <c r="W173" s="80"/>
      <c r="X173" s="80"/>
      <c r="Y173" s="88" t="s">
        <v>1820</v>
      </c>
      <c r="Z173" s="80"/>
      <c r="AA173" s="75"/>
      <c r="AB173" s="75"/>
      <c r="AC173" s="75"/>
      <c r="AD173" s="75"/>
      <c r="AE173" s="75"/>
      <c r="AF173" s="75"/>
      <c r="AG173" s="75"/>
      <c r="AH173" s="75"/>
      <c r="AI173" s="75"/>
      <c r="AJ173" s="75"/>
    </row>
    <row r="174" spans="2:36">
      <c r="B174" s="88" t="s">
        <v>1831</v>
      </c>
      <c r="C174" s="80" t="s">
        <v>1832</v>
      </c>
      <c r="D174" s="80" t="s">
        <v>1833</v>
      </c>
      <c r="E174" s="100" t="s">
        <v>1651</v>
      </c>
      <c r="F174" s="101" t="s">
        <v>1834</v>
      </c>
      <c r="G174" s="101">
        <v>1</v>
      </c>
      <c r="H174" s="88" t="s">
        <v>1162</v>
      </c>
      <c r="I174" s="80" t="s">
        <v>1835</v>
      </c>
      <c r="J174" s="80" t="s">
        <v>1836</v>
      </c>
      <c r="K174" s="80" t="s">
        <v>1837</v>
      </c>
      <c r="L174" s="80" t="s">
        <v>1786</v>
      </c>
      <c r="M174" s="80" t="s">
        <v>1838</v>
      </c>
      <c r="N174" s="80" t="s">
        <v>1839</v>
      </c>
      <c r="O174" s="100" t="s">
        <v>1649</v>
      </c>
      <c r="P174" s="101" t="s">
        <v>1840</v>
      </c>
      <c r="Q174" s="101"/>
      <c r="R174" s="88"/>
      <c r="S174" s="80"/>
      <c r="T174" s="80"/>
      <c r="U174" s="80"/>
      <c r="V174" s="80"/>
      <c r="W174" s="80"/>
      <c r="X174" s="80"/>
      <c r="Y174" s="88" t="s">
        <v>1820</v>
      </c>
      <c r="Z174" s="80"/>
      <c r="AA174" s="75"/>
      <c r="AB174" s="75"/>
      <c r="AC174" s="75"/>
      <c r="AD174" s="75"/>
      <c r="AE174" s="75"/>
      <c r="AF174" s="75"/>
      <c r="AG174" s="75"/>
      <c r="AH174" s="75"/>
      <c r="AI174" s="75"/>
      <c r="AJ174" s="75"/>
    </row>
    <row r="175" spans="2:36">
      <c r="AA175" s="75"/>
      <c r="AB175" s="75"/>
      <c r="AC175" s="75"/>
      <c r="AD175" s="75"/>
      <c r="AE175" s="75"/>
      <c r="AF175" s="75"/>
      <c r="AG175" s="75"/>
      <c r="AH175" s="75"/>
      <c r="AI175" s="75"/>
      <c r="AJ175" s="75"/>
    </row>
  </sheetData>
  <mergeCells count="11">
    <mergeCell ref="B170:T170"/>
    <mergeCell ref="B80:T80"/>
    <mergeCell ref="B100:T100"/>
    <mergeCell ref="B167:T167"/>
    <mergeCell ref="B2:T2"/>
    <mergeCell ref="B3:T3"/>
    <mergeCell ref="B66:T66"/>
    <mergeCell ref="B75:C75"/>
    <mergeCell ref="B70:C70"/>
    <mergeCell ref="B110:T110"/>
    <mergeCell ref="L63:T63"/>
  </mergeCells>
  <phoneticPr fontId="28" type="noConversion"/>
  <conditionalFormatting sqref="B112:Z164 B172:Z174">
    <cfRule type="expression" dxfId="449" priority="18">
      <formula>B112=""</formula>
    </cfRule>
  </conditionalFormatting>
  <dataValidations count="8">
    <dataValidation type="list" allowBlank="1" showInputMessage="1" showErrorMessage="1" sqref="C76" xr:uid="{FFDE4C8E-C216-4860-AF5B-4DD800D2CC84}">
      <formula1>WR_ExposureSectors</formula1>
    </dataValidation>
    <dataValidation type="list" allowBlank="1" showInputMessage="1" showErrorMessage="1" sqref="C77" xr:uid="{838A50E5-0E76-4F20-ADE0-B62BC1C08C50}">
      <formula1>WR_ExposureComponents</formula1>
    </dataValidation>
    <dataValidation type="list" allowBlank="1" showInputMessage="1" showErrorMessage="1" sqref="C71" xr:uid="{BFF124AD-2F8F-44A1-B1AB-554F31C5F897}">
      <formula1>WR_VulnerabilitySectors</formula1>
    </dataValidation>
    <dataValidation type="list" allowBlank="1" showInputMessage="1" showErrorMessage="1" sqref="C72" xr:uid="{61A20066-FBED-4D2A-8E57-3AEC2C589503}">
      <formula1>WR_VulnerabilityComponents</formula1>
    </dataValidation>
    <dataValidation type="list" allowBlank="1" showInputMessage="1" showErrorMessage="1" sqref="H112:H164 R112:R164" xr:uid="{E3563BA8-7154-4AB2-9491-09CDD3397144}">
      <formula1>WR_EffectivenessLevel</formula1>
    </dataValidation>
    <dataValidation type="list" allowBlank="1" showInputMessage="1" showErrorMessage="1" sqref="Y112:Y164" xr:uid="{8BA5C7D6-45C8-4CA1-8241-8A0674D93E55}">
      <formula1>WR_ReviewStatus</formula1>
    </dataValidation>
    <dataValidation type="list" allowBlank="1" showInputMessage="1" showErrorMessage="1" sqref="C89:C99" xr:uid="{2EDFD099-064F-4173-AC34-2CFFA0996110}">
      <formula1>WR_SourceScope</formula1>
    </dataValidation>
    <dataValidation type="list" allowBlank="1" showInputMessage="1" showErrorMessage="1" sqref="O112:O164 O172:O174 E172:E174 E112:E164" xr:uid="{9537396B-3608-4A8D-A2EF-EC6B1DDADF11}">
      <formula1>"Eligible,Review required,Not eligible"</formula1>
    </dataValidation>
  </dataValidations>
  <hyperlinks>
    <hyperlink ref="G95" r:id="rId1" xr:uid="{6692A58B-A105-486E-AAB3-AEE058848133}"/>
    <hyperlink ref="G96" r:id="rId2" xr:uid="{A525E44A-5D33-4BCE-96DA-AEFC73BDC5F1}"/>
    <hyperlink ref="G98" r:id="rId3" xr:uid="{A00D309A-12D9-4E52-927C-40E22E416D23}"/>
    <hyperlink ref="G97" r:id="rId4" xr:uid="{A2C3C0B9-3C3B-44BB-826C-63939EC10777}"/>
    <hyperlink ref="G91" r:id="rId5" display="https://www.gov.br/ana/pt-br/assuntos/gestao-das-aguas/planos-de-recursos-hidricos/planos-de-recursos-hidricos-de-bacias-hidrograficas/planos-de-bacias-hidrograficas-interfederativas/planejamento-integrado-de-recursos-hidricos-nas-bacias-compartilhadas-pirh-parhs/copy_of_ManualparaavaliaodaimplementaodePlanosdeRecursosHdricos.pdf" xr:uid="{78F1F51C-674A-43AD-AA8E-505430F6172C}"/>
    <hyperlink ref="G93" r:id="rId6" xr:uid="{476555FA-0587-4912-A43E-1CBC3FD926B5}"/>
  </hyperlinks>
  <pageMargins left="0.7" right="0.7" top="0.75" bottom="0.75" header="0.3" footer="0.3"/>
  <tableParts count="4">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CEA4F-7035-40A3-873E-79BB697D4153}">
  <sheetPr>
    <tabColor rgb="FFC00000"/>
  </sheetPr>
  <dimension ref="B2:H19"/>
  <sheetViews>
    <sheetView showGridLines="0" zoomScale="70" zoomScaleNormal="70" workbookViewId="0">
      <selection activeCell="D32" sqref="D32"/>
    </sheetView>
  </sheetViews>
  <sheetFormatPr baseColWidth="10" defaultRowHeight="15"/>
  <cols>
    <col min="1" max="1" width="3.09765625" customWidth="1"/>
    <col min="2" max="2" width="19.8984375" customWidth="1"/>
    <col min="3" max="3" width="17.19921875" bestFit="1" customWidth="1"/>
    <col min="4" max="4" width="46.296875" bestFit="1" customWidth="1"/>
    <col min="5" max="5" width="117.19921875" customWidth="1"/>
    <col min="6" max="6" width="20.296875" customWidth="1"/>
    <col min="7" max="7" width="18.09765625" bestFit="1" customWidth="1"/>
    <col min="8" max="8" width="18.796875" bestFit="1" customWidth="1"/>
    <col min="9" max="9" width="33.296875" customWidth="1"/>
  </cols>
  <sheetData>
    <row r="2" spans="2:8" ht="24.6">
      <c r="B2" s="53" t="s">
        <v>1197</v>
      </c>
      <c r="C2" s="53"/>
      <c r="D2" s="53"/>
      <c r="E2" s="53"/>
    </row>
    <row r="4" spans="2:8" ht="16.2" thickBot="1">
      <c r="B4" s="54" t="s">
        <v>1198</v>
      </c>
      <c r="C4" s="54"/>
      <c r="D4" s="54"/>
      <c r="E4" s="54"/>
      <c r="F4">
        <v>0.4</v>
      </c>
      <c r="G4">
        <v>0.3</v>
      </c>
    </row>
    <row r="5" spans="2:8" ht="15.6" thickBot="1">
      <c r="B5" s="40" t="s">
        <v>1194</v>
      </c>
      <c r="C5" s="46" t="s">
        <v>828</v>
      </c>
      <c r="D5" s="40" t="s">
        <v>311</v>
      </c>
      <c r="E5" s="40" t="s">
        <v>1186</v>
      </c>
      <c r="F5" s="47" t="s">
        <v>1139</v>
      </c>
      <c r="G5" s="47" t="s">
        <v>1181</v>
      </c>
      <c r="H5" s="47" t="s">
        <v>1193</v>
      </c>
    </row>
    <row r="6" spans="2:8">
      <c r="B6" s="55" t="s">
        <v>1196</v>
      </c>
      <c r="C6" s="56" t="s">
        <v>830</v>
      </c>
      <c r="D6" s="56" t="s">
        <v>544</v>
      </c>
      <c r="E6" s="13" t="str">
        <f>IFERROR(INDEX(Table24[Description],MATCH(tblImpactCityResults12[[#This Row],[ActionName]],Table24[ActionName],0)),"")</f>
        <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v>
      </c>
      <c r="F6" s="57">
        <f>INDEX(tblImpactScaled_Summary[Final Impact Score],MATCH(tblImpactCityResults12[[#This Row],[ActionName]],tblImpactScaled_Summary[ActionName],0))</f>
        <v>0.6328125</v>
      </c>
      <c r="G6" s="58"/>
      <c r="H6" s="58"/>
    </row>
    <row r="7" spans="2:8">
      <c r="B7" s="55" t="s">
        <v>1196</v>
      </c>
      <c r="C7" s="56" t="s">
        <v>830</v>
      </c>
      <c r="D7" s="56" t="s">
        <v>548</v>
      </c>
      <c r="E7" s="13" t="str">
        <f>IFERROR(INDEX(Table24[Description],MATCH(tblImpactCityResults12[[#This Row],[ActionName]],Table24[ActionName],0)),"")</f>
        <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v>
      </c>
      <c r="F7" s="57">
        <f>INDEX(tblImpactScaled_Summary[Final Impact Score],MATCH(tblImpactCityResults12[[#This Row],[ActionName]],tblImpactScaled_Summary[ActionName],0))</f>
        <v>0.5625</v>
      </c>
      <c r="G7" s="58"/>
      <c r="H7" s="58"/>
    </row>
    <row r="8" spans="2:8">
      <c r="B8" s="55" t="s">
        <v>1196</v>
      </c>
      <c r="C8" s="56" t="s">
        <v>830</v>
      </c>
      <c r="D8" s="56" t="s">
        <v>356</v>
      </c>
      <c r="E8" s="13" t="str">
        <f>IFERROR(INDEX(Table24[Description],MATCH(tblImpactCityResults12[[#This Row],[ActionName]],Table24[ActionName],0)),"")</f>
        <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v>
      </c>
      <c r="F8" s="57">
        <f>INDEX(tblImpactScaled_Summary[Final Impact Score],MATCH(tblImpactCityResults12[[#This Row],[ActionName]],tblImpactScaled_Summary[ActionName],0))</f>
        <v>0.375</v>
      </c>
      <c r="G8" s="58"/>
      <c r="H8" s="58"/>
    </row>
    <row r="9" spans="2:8" ht="30">
      <c r="B9" s="55" t="s">
        <v>1196</v>
      </c>
      <c r="C9" s="56" t="s">
        <v>834</v>
      </c>
      <c r="D9" s="56" t="s">
        <v>370</v>
      </c>
      <c r="E9" s="13" t="str">
        <f>IFERROR(INDEX(Table24[Description],MATCH(tblImpactCityResults12[[#This Row],[ActionName]],Table24[ActionName],0)),"")</f>
        <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v>
      </c>
      <c r="F9" s="57">
        <f>INDEX(tblImpactScaled_Summary[Final Impact Score],MATCH(tblImpactCityResults12[[#This Row],[ActionName]],tblImpactScaled_Summary[ActionName],0))</f>
        <v>0.1875</v>
      </c>
      <c r="G9" s="58"/>
      <c r="H9" s="58"/>
    </row>
    <row r="10" spans="2:8">
      <c r="B10" s="55" t="s">
        <v>1196</v>
      </c>
      <c r="C10" s="56" t="s">
        <v>834</v>
      </c>
      <c r="D10" s="56" t="s">
        <v>342</v>
      </c>
      <c r="E10" s="13" t="str">
        <f>IFERROR(INDEX(Table24[Description],MATCH(tblImpactCityResults12[[#This Row],[ActionName]],Table24[ActionName],0)),"")</f>
        <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v>
      </c>
      <c r="F10" s="57">
        <f>INDEX(tblImpactScaled_Summary[Final Impact Score],MATCH(tblImpactCityResults12[[#This Row],[ActionName]],tblImpactScaled_Summary[ActionName],0))</f>
        <v>0</v>
      </c>
      <c r="G10" s="58"/>
      <c r="H10" s="58"/>
    </row>
    <row r="11" spans="2:8">
      <c r="B11" s="55" t="s">
        <v>1196</v>
      </c>
      <c r="C11" s="56" t="s">
        <v>831</v>
      </c>
      <c r="D11" s="56" t="s">
        <v>532</v>
      </c>
      <c r="E11" s="13" t="str">
        <f>IFERROR(INDEX(Table24[Description],MATCH(tblImpactCityResults12[[#This Row],[ActionName]],Table24[ActionName],0)),"")</f>
        <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v>
      </c>
      <c r="F11" s="57">
        <f>INDEX(tblImpactScaled_Summary[Final Impact Score],MATCH(tblImpactCityResults12[[#This Row],[ActionName]],tblImpactScaled_Summary[ActionName],0))</f>
        <v>0.5625</v>
      </c>
      <c r="G11" s="58"/>
      <c r="H11" s="58"/>
    </row>
    <row r="12" spans="2:8">
      <c r="B12" s="55" t="s">
        <v>1196</v>
      </c>
      <c r="C12" s="56" t="s">
        <v>831</v>
      </c>
      <c r="D12" s="56" t="s">
        <v>518</v>
      </c>
      <c r="E12" s="13" t="str">
        <f>IFERROR(INDEX(Table24[Description],MATCH(tblImpactCityResults12[[#This Row],[ActionName]],Table24[ActionName],0)),"")</f>
        <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v>
      </c>
      <c r="F12" s="57">
        <f>INDEX(tblImpactScaled_Summary[Final Impact Score],MATCH(tblImpactCityResults12[[#This Row],[ActionName]],tblImpactScaled_Summary[ActionName],0))</f>
        <v>0.375</v>
      </c>
      <c r="G12" s="58"/>
      <c r="H12" s="58"/>
    </row>
    <row r="13" spans="2:8">
      <c r="B13" s="55" t="s">
        <v>1195</v>
      </c>
      <c r="C13" s="56" t="s">
        <v>830</v>
      </c>
      <c r="D13" s="56" t="s">
        <v>544</v>
      </c>
      <c r="E13" s="13" t="str">
        <f>IFERROR(INDEX(Table24[Description],MATCH(tblImpactCityResults12[[#This Row],[ActionName]],Table24[ActionName],0)),"")</f>
        <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v>
      </c>
      <c r="F13" s="57">
        <f>INDEX(tblImpactScaled_Summary[Final Impact Score],MATCH(tblImpactCityResults12[[#This Row],[ActionName]],tblImpactScaled_Summary[ActionName],0))</f>
        <v>0.6328125</v>
      </c>
      <c r="G13" s="58"/>
      <c r="H13" s="58"/>
    </row>
    <row r="14" spans="2:8">
      <c r="B14" s="55" t="s">
        <v>1195</v>
      </c>
      <c r="C14" s="56" t="s">
        <v>830</v>
      </c>
      <c r="D14" s="56" t="s">
        <v>548</v>
      </c>
      <c r="E14" s="13" t="str">
        <f>IFERROR(INDEX(Table24[Description],MATCH(tblImpactCityResults12[[#This Row],[ActionName]],Table24[ActionName],0)),"")</f>
        <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v>
      </c>
      <c r="F14" s="57">
        <f>INDEX(tblImpactScaled_Summary[Final Impact Score],MATCH(tblImpactCityResults12[[#This Row],[ActionName]],tblImpactScaled_Summary[ActionName],0))</f>
        <v>0.5625</v>
      </c>
      <c r="G14" s="58"/>
      <c r="H14" s="58"/>
    </row>
    <row r="15" spans="2:8">
      <c r="B15" s="55" t="s">
        <v>1195</v>
      </c>
      <c r="C15" s="56" t="s">
        <v>830</v>
      </c>
      <c r="D15" s="56" t="s">
        <v>356</v>
      </c>
      <c r="E15" s="13" t="str">
        <f>IFERROR(INDEX(Table24[Description],MATCH(tblImpactCityResults12[[#This Row],[ActionName]],Table24[ActionName],0)),"")</f>
        <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v>
      </c>
      <c r="F15" s="57">
        <f>INDEX(tblImpactScaled_Summary[Final Impact Score],MATCH(tblImpactCityResults12[[#This Row],[ActionName]],tblImpactScaled_Summary[ActionName],0))</f>
        <v>0.375</v>
      </c>
      <c r="G15" s="58"/>
      <c r="H15" s="58"/>
    </row>
    <row r="16" spans="2:8" ht="30">
      <c r="B16" s="55" t="s">
        <v>1195</v>
      </c>
      <c r="C16" s="56" t="s">
        <v>834</v>
      </c>
      <c r="D16" s="56" t="s">
        <v>370</v>
      </c>
      <c r="E16" s="13" t="str">
        <f>IFERROR(INDEX(Table24[Description],MATCH(tblImpactCityResults12[[#This Row],[ActionName]],Table24[ActionName],0)),"")</f>
        <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v>
      </c>
      <c r="F16" s="57">
        <f>INDEX(tblImpactScaled_Summary[Final Impact Score],MATCH(tblImpactCityResults12[[#This Row],[ActionName]],tblImpactScaled_Summary[ActionName],0))</f>
        <v>0.1875</v>
      </c>
      <c r="G16" s="58"/>
      <c r="H16" s="58"/>
    </row>
    <row r="17" spans="2:8">
      <c r="B17" s="55" t="s">
        <v>1195</v>
      </c>
      <c r="C17" s="56" t="s">
        <v>834</v>
      </c>
      <c r="D17" s="56" t="s">
        <v>342</v>
      </c>
      <c r="E17" s="13" t="str">
        <f>IFERROR(INDEX(Table24[Description],MATCH(tblImpactCityResults12[[#This Row],[ActionName]],Table24[ActionName],0)),"")</f>
        <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v>
      </c>
      <c r="F17" s="57">
        <f>INDEX(tblImpactScaled_Summary[Final Impact Score],MATCH(tblImpactCityResults12[[#This Row],[ActionName]],tblImpactScaled_Summary[ActionName],0))</f>
        <v>0</v>
      </c>
      <c r="G17" s="58"/>
      <c r="H17" s="58"/>
    </row>
    <row r="18" spans="2:8">
      <c r="B18" s="55" t="s">
        <v>1195</v>
      </c>
      <c r="C18" s="56" t="s">
        <v>831</v>
      </c>
      <c r="D18" s="56" t="s">
        <v>532</v>
      </c>
      <c r="E18" s="13" t="str">
        <f>IFERROR(INDEX(Table24[Description],MATCH(tblImpactCityResults12[[#This Row],[ActionName]],Table24[ActionName],0)),"")</f>
        <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v>
      </c>
      <c r="F18" s="57">
        <f>INDEX(tblImpactScaled_Summary[Final Impact Score],MATCH(tblImpactCityResults12[[#This Row],[ActionName]],tblImpactScaled_Summary[ActionName],0))</f>
        <v>0.5625</v>
      </c>
      <c r="G18" s="58"/>
      <c r="H18" s="58"/>
    </row>
    <row r="19" spans="2:8" ht="15.6" thickBot="1">
      <c r="B19" s="55" t="s">
        <v>1195</v>
      </c>
      <c r="C19" s="59" t="s">
        <v>831</v>
      </c>
      <c r="D19" s="56" t="s">
        <v>518</v>
      </c>
      <c r="E19" s="13" t="str">
        <f>IFERROR(INDEX(Table24[Description],MATCH(tblImpactCityResults12[[#This Row],[ActionName]],Table24[ActionName],0)),"")</f>
        <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v>
      </c>
      <c r="F19" s="57">
        <f>INDEX(tblImpactScaled_Summary[Final Impact Score],MATCH(tblImpactCityResults12[[#This Row],[ActionName]],tblImpactScaled_Summary[ActionName],0))</f>
        <v>0.375</v>
      </c>
      <c r="G19" s="60"/>
      <c r="H19" s="60"/>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55B9D-1060-4696-A06A-034C81A6802D}">
  <sheetPr>
    <tabColor rgb="FF1B8782"/>
  </sheetPr>
  <dimension ref="B2:AC43"/>
  <sheetViews>
    <sheetView showGridLines="0" zoomScale="55" zoomScaleNormal="55" workbookViewId="0">
      <pane ySplit="22" topLeftCell="A33" activePane="bottomLeft" state="frozen"/>
      <selection pane="bottomLeft" activeCell="C5" sqref="C5:D9"/>
    </sheetView>
  </sheetViews>
  <sheetFormatPr baseColWidth="10" defaultRowHeight="15"/>
  <cols>
    <col min="1" max="1" width="3.3984375" customWidth="1"/>
    <col min="2" max="2" width="17.5" customWidth="1"/>
    <col min="3" max="3" width="24.19921875" customWidth="1"/>
    <col min="4" max="4" width="13.296875" customWidth="1"/>
    <col min="5" max="5" width="20.796875" customWidth="1"/>
    <col min="6" max="6" width="31.5" customWidth="1"/>
    <col min="7" max="7" width="30" customWidth="1"/>
    <col min="8" max="8" width="18.296875" customWidth="1"/>
    <col min="9" max="9" width="15" customWidth="1"/>
    <col min="10" max="10" width="22.5" customWidth="1"/>
    <col min="11" max="11" width="44.09765625" customWidth="1"/>
    <col min="12" max="12" width="50.796875" customWidth="1"/>
    <col min="13" max="13" width="20" customWidth="1"/>
    <col min="14" max="14" width="15.796875" customWidth="1"/>
    <col min="15" max="15" width="18.296875" customWidth="1"/>
    <col min="16" max="16" width="15" customWidth="1"/>
    <col min="17" max="17" width="18.296875" customWidth="1"/>
    <col min="18" max="18" width="30" customWidth="1"/>
    <col min="19" max="19" width="15" customWidth="1"/>
    <col min="20" max="20" width="24.19921875" customWidth="1"/>
    <col min="21" max="21" width="28.296875" customWidth="1"/>
    <col min="22" max="22" width="15.796875" customWidth="1"/>
    <col min="23" max="24" width="14.19921875" customWidth="1"/>
    <col min="25" max="25" width="12.5" customWidth="1"/>
    <col min="26" max="26" width="15" customWidth="1"/>
    <col min="27" max="27" width="20.796875" customWidth="1"/>
    <col min="28" max="28" width="19.19921875" customWidth="1"/>
    <col min="29" max="29" width="15" customWidth="1"/>
    <col min="30" max="30" width="26.69921875" customWidth="1"/>
    <col min="31" max="31" width="15" customWidth="1"/>
    <col min="32" max="32" width="14.19921875" customWidth="1"/>
    <col min="33" max="33" width="16.69921875" customWidth="1"/>
    <col min="34" max="34" width="15" customWidth="1"/>
    <col min="35" max="35" width="19.19921875" customWidth="1"/>
  </cols>
  <sheetData>
    <row r="2" spans="2:28" ht="30" customHeight="1">
      <c r="B2" s="122" t="s">
        <v>1225</v>
      </c>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row>
    <row r="4" spans="2:28">
      <c r="B4" s="123" t="s">
        <v>1229</v>
      </c>
      <c r="C4" s="123"/>
      <c r="D4" s="123"/>
      <c r="E4" s="123"/>
      <c r="F4" s="123"/>
      <c r="H4" s="123" t="s">
        <v>1230</v>
      </c>
      <c r="I4" s="123"/>
      <c r="J4" s="123"/>
      <c r="K4" s="123"/>
      <c r="L4" s="123"/>
      <c r="M4" s="123"/>
      <c r="N4" s="123"/>
      <c r="O4" s="123"/>
      <c r="P4" s="123"/>
      <c r="Q4" s="123"/>
      <c r="R4" s="123"/>
      <c r="S4" s="123"/>
    </row>
    <row r="5" spans="2:28" ht="30" customHeight="1">
      <c r="B5" s="41" t="s">
        <v>1167</v>
      </c>
      <c r="C5" s="41" t="s">
        <v>1149</v>
      </c>
      <c r="D5" s="41" t="s">
        <v>1150</v>
      </c>
      <c r="E5" s="41" t="s">
        <v>1151</v>
      </c>
      <c r="F5" s="41" t="s">
        <v>1152</v>
      </c>
      <c r="H5" s="5" t="s">
        <v>828</v>
      </c>
      <c r="I5" s="5" t="s">
        <v>1217</v>
      </c>
      <c r="J5" s="5" t="s">
        <v>310</v>
      </c>
      <c r="K5" s="5" t="s">
        <v>311</v>
      </c>
      <c r="L5" s="5" t="s">
        <v>1186</v>
      </c>
      <c r="M5" s="5" t="s">
        <v>1164</v>
      </c>
      <c r="N5" s="5" t="s">
        <v>1165</v>
      </c>
      <c r="O5" s="5" t="s">
        <v>1212</v>
      </c>
      <c r="P5" s="5" t="s">
        <v>1166</v>
      </c>
      <c r="Q5" s="5" t="s">
        <v>1140</v>
      </c>
      <c r="R5" s="5" t="s">
        <v>1220</v>
      </c>
      <c r="S5" s="5" t="s">
        <v>1199</v>
      </c>
      <c r="T5" s="5" t="s">
        <v>1211</v>
      </c>
    </row>
    <row r="6" spans="2:28">
      <c r="B6" s="42" t="s">
        <v>1202</v>
      </c>
      <c r="C6" s="42" t="s">
        <v>1161</v>
      </c>
      <c r="D6" s="43">
        <v>-1</v>
      </c>
      <c r="E6" s="42" t="s">
        <v>1203</v>
      </c>
      <c r="F6" s="42" t="s">
        <v>1221</v>
      </c>
      <c r="H6" t="str">
        <f>IF(tblImpactScaled_Summary[[#This Row],[ActionID]]="","",_xlfn.XLOOKUP(tblImpactScaled_Summary[[#This Row],[ActionID]],tblImpactScaled_Assessment[ActionID],tblImpactScaled_Assessment[Sector],""))</f>
        <v>Food security</v>
      </c>
      <c r="I6" t="str">
        <f>IF(tblImpactScaled_Summary[[#This Row],[ActionID]]="","",_xlfn.XLOOKUP(tblImpactScaled_Summary[[#This Row],[ActionID]],tblImpactScaled_Assessment[ActionID],tblImpactScaled_Assessment[Risk],""))</f>
        <v>Food availability</v>
      </c>
      <c r="J6" t="str" cm="1">
        <f t="array" ref="J6">_xlfn.LET(_xlpm.ids,_xlfn.UNIQUE(_xlfn._xlws.FILTER(tblImpactScaled_Assessment[ActionID],tblImpactScaled_Assessment[ActionID]&lt;&gt;"")),_xlpm.secs,_xlfn.XLOOKUP(_xlpm.ids,tblImpactScaled_Assessment[ActionID],tblImpactScaled_Assessment[Sector]),_xlpm.scores,SUMIFS(tblImpactScaled_Assessment[Component Impact Score],tblImpactScaled_Assessment[ActionID],_xlpm.ids),_xlpm.ordered,_xlfn.SORTBY(_xlpm.ids,_xlpm.secs,1,_xlpm.scores,-1),IFERROR(INDEX(_xlpm.ordered,ROW()-ROW(tblImpactScaled_Summary[#Headers])),""))</f>
        <v>ipcc_0096</v>
      </c>
      <c r="K6" t="str">
        <f>IF(tblImpactScaled_Summary[[#This Row],[ActionID]]="","",_xlfn.XLOOKUP(tblImpactScaled_Summary[[#This Row],[ActionID]],tblImpactScaled_Assessment[ActionID],tblImpactScaled_Assessment[ActionName],""))</f>
        <v>Strengthen climate resilience in farming and fisheries</v>
      </c>
      <c r="L6" t="s">
        <v>519</v>
      </c>
      <c r="M6" s="30">
        <f>IF(tblImpactScaled_Summary[[#This Row],[ActionID]]="","",SUMIFS(tblImpactScaled_Assessment[Component Impact Score],tblImpactScaled_Assessment[ActionID],tblImpactScaled_Summary[[#This Row],[ActionID]],tblImpactScaled_Assessment[Level 3 Component],"Vulnerability"))</f>
        <v>0.5625</v>
      </c>
      <c r="N6" s="30">
        <f>IF(tblImpactScaled_Summary[[#This Row],[ActionID]]="","",SUMIFS(tblImpactScaled_Assessment[Component Impact Score],tblImpactScaled_Assessment[ActionID],tblImpactScaled_Summary[[#This Row],[ActionID]],tblImpactScaled_Assessment[Level 3 Component],"Exposure"))</f>
        <v>0</v>
      </c>
      <c r="O6" s="30">
        <f>IF(tblImpactScaled_Summary[[#This Row],[ActionID]]="","",SUM(tblImpactScaled_Summary[[#This Row],[Vulnerability Score]],tblImpactScaled_Summary[[#This Row],[Exposure Score]]))</f>
        <v>0.5625</v>
      </c>
      <c r="P6" s="45">
        <f>IF(tblImpactScaled_Summary[[#This Row],[ActionID]]="","",MIN(_xlfn.XLOOKUP("Maximum final score",$C$6:$C$19,$D$6:$D$19),tblImpactScaled_Summary[[#This Row],[Raw Action Impact Score]]))</f>
        <v>0.5625</v>
      </c>
      <c r="Q6" s="44" t="str">
        <f>IF(tblImpactScaled_Summary[[#This Row],[ActionID]]="","",IF(tblImpactScaled_Summary[[#This Row],[Final Impact Score]]&gt;=0.75,"Very high impact",IF(tblImpactScaled_Summary[[#This Row],[Final Impact Score]]&gt;=0.5,"High impact",IF(tblImpactScaled_Summary[[#This Row],[Final Impact Score]]&gt;=0.25,"Medium impact",IF(tblImpactScaled_Summary[[#This Row],[Final Impact Score]]&gt;0,"Low impact","No impact")))))</f>
        <v>High impact</v>
      </c>
      <c r="R6" t="str">
        <f>IF(tblImpactScaled_Summary[[#This Row],[ActionID]]="","",IF(COUNTIFS(tblImpactScaled_Assessment[ActionID],tblImpactScaled_Summary[[#This Row],[ActionID]],tblImpactScaled_Assessment[Impacts Level 3?],"Yes")=0,"",IF(COUNTIFS(tblImpactScaled_Assessment[ActionID],tblImpactScaled_Summary[[#This Row],[ActionID]],tblImpactScaled_Assessment[Impacts Level 3?],"Yes",tblImpactScaled_Assessment[Confidence level],"Low")&gt;0,"Low",IF(COUNTIFS(tblImpactScaled_Assessment[ActionID],tblImpactScaled_Summary[[#This Row],[ActionID]],tblImpactScaled_Assessment[Impacts Level 3?],"Yes",tblImpactScaled_Assessment[Confidence level],"Medium")&gt;0,"Medium","High"))))</f>
        <v>Low</v>
      </c>
      <c r="S6" t="str">
        <f>IF(tblImpactScaled_Summary[[#This Row],[ActionID]]="","",IF(COUNTIFS(tblImpactScaled_Assessment[ActionID],tblImpactScaled_Summary[[#This Row],[ActionID]],tblImpactScaled_Assessment[Maladaptation risk?],"Yes")&gt;0,"Yes","No"))</f>
        <v>No</v>
      </c>
      <c r="T6" t="str">
        <f>IF(tblImpactScaled_Summary[[#This Row],[ActionID]]="","",IF(tblImpactScaled_Summary[[#This Row],[Maladaptation risk?]]="Yes","Maladaptation risk to review",IF(COUNTIFS(tblImpactScaled_Assessment[ActionID],tblImpactScaled_Summary[[#This Row],[ActionID]],tblImpactScaled_Assessment[Review status],"To review")&gt;0,"To review",IF(tblImpactScaled_Summary[[#This Row],[Final Impact Score]]=0,"No impact","Complete"))))</f>
        <v>Complete</v>
      </c>
    </row>
    <row r="7" spans="2:28">
      <c r="B7" s="42" t="s">
        <v>1202</v>
      </c>
      <c r="C7" s="42" t="s">
        <v>1162</v>
      </c>
      <c r="D7" s="43">
        <v>-0.5</v>
      </c>
      <c r="E7" s="42" t="s">
        <v>1204</v>
      </c>
      <c r="F7" s="42" t="s">
        <v>1222</v>
      </c>
      <c r="H7" t="str">
        <f>IF(tblImpactScaled_Summary[[#This Row],[ActionID]]="","",_xlfn.XLOOKUP(tblImpactScaled_Summary[[#This Row],[ActionID]],tblImpactScaled_Assessment[ActionID],tblImpactScaled_Assessment[Sector],""))</f>
        <v>Food security</v>
      </c>
      <c r="I7" t="str">
        <f>IF(tblImpactScaled_Summary[[#This Row],[ActionID]]="","",_xlfn.XLOOKUP(tblImpactScaled_Summary[[#This Row],[ActionID]],tblImpactScaled_Assessment[ActionID],tblImpactScaled_Assessment[Risk],""))</f>
        <v>Food availability</v>
      </c>
      <c r="J7" t="str" cm="1">
        <f t="array" ref="J7">_xlfn.LET(_xlpm.ids,_xlfn.UNIQUE(_xlfn._xlws.FILTER(tblImpactScaled_Assessment[ActionID],tblImpactScaled_Assessment[ActionID]&lt;&gt;"")),_xlpm.secs,_xlfn.XLOOKUP(_xlpm.ids,tblImpactScaled_Assessment[ActionID],tblImpactScaled_Assessment[Sector]),_xlpm.scores,SUMIFS(tblImpactScaled_Assessment[Component Impact Score],tblImpactScaled_Assessment[ActionID],_xlpm.ids),_xlpm.ordered,_xlfn.SORTBY(_xlpm.ids,_xlpm.secs,1,_xlpm.scores,-1),IFERROR(INDEX(_xlpm.ordered,ROW()-ROW(tblImpactScaled_Summary[#Headers])),""))</f>
        <v>ipcc_0091</v>
      </c>
      <c r="K7" t="str">
        <f>IF(tblImpactScaled_Summary[[#This Row],[ActionID]]="","",_xlfn.XLOOKUP(tblImpactScaled_Summary[[#This Row],[ActionID]],tblImpactScaled_Assessment[ActionID],tblImpactScaled_Assessment[ActionName],""))</f>
        <v>Support livelihood diversification for climate resilience</v>
      </c>
      <c r="L7" t="s">
        <v>533</v>
      </c>
      <c r="M7" s="30">
        <f>IF(tblImpactScaled_Summary[[#This Row],[ActionID]]="","",SUMIFS(tblImpactScaled_Assessment[Component Impact Score],tblImpactScaled_Assessment[ActionID],tblImpactScaled_Summary[[#This Row],[ActionID]],tblImpactScaled_Assessment[Level 3 Component],"Vulnerability"))</f>
        <v>0.375</v>
      </c>
      <c r="N7" s="30">
        <f>IF(tblImpactScaled_Summary[[#This Row],[ActionID]]="","",SUMIFS(tblImpactScaled_Assessment[Component Impact Score],tblImpactScaled_Assessment[ActionID],tblImpactScaled_Summary[[#This Row],[ActionID]],tblImpactScaled_Assessment[Level 3 Component],"Exposure"))</f>
        <v>0</v>
      </c>
      <c r="O7" s="30">
        <f>IF(tblImpactScaled_Summary[[#This Row],[ActionID]]="","",SUM(tblImpactScaled_Summary[[#This Row],[Vulnerability Score]],tblImpactScaled_Summary[[#This Row],[Exposure Score]]))</f>
        <v>0.375</v>
      </c>
      <c r="P7" s="45">
        <f>IF(tblImpactScaled_Summary[[#This Row],[ActionID]]="","",MIN(_xlfn.XLOOKUP("Maximum final score",$C$6:$C$19,$D$6:$D$19),tblImpactScaled_Summary[[#This Row],[Raw Action Impact Score]]))</f>
        <v>0.375</v>
      </c>
      <c r="Q7" s="44" t="str">
        <f>IF(tblImpactScaled_Summary[[#This Row],[ActionID]]="","",IF(tblImpactScaled_Summary[[#This Row],[Final Impact Score]]&gt;=0.75,"Very high impact",IF(tblImpactScaled_Summary[[#This Row],[Final Impact Score]]&gt;=0.5,"High impact",IF(tblImpactScaled_Summary[[#This Row],[Final Impact Score]]&gt;=0.25,"Medium impact",IF(tblImpactScaled_Summary[[#This Row],[Final Impact Score]]&gt;0,"Low impact","No impact")))))</f>
        <v>Medium impact</v>
      </c>
      <c r="R7" t="str">
        <f>IF(tblImpactScaled_Summary[[#This Row],[ActionID]]="","",IF(COUNTIFS(tblImpactScaled_Assessment[ActionID],tblImpactScaled_Summary[[#This Row],[ActionID]],tblImpactScaled_Assessment[Impacts Level 3?],"Yes")=0,"",IF(COUNTIFS(tblImpactScaled_Assessment[ActionID],tblImpactScaled_Summary[[#This Row],[ActionID]],tblImpactScaled_Assessment[Impacts Level 3?],"Yes",tblImpactScaled_Assessment[Confidence level],"Low")&gt;0,"Low",IF(COUNTIFS(tblImpactScaled_Assessment[ActionID],tblImpactScaled_Summary[[#This Row],[ActionID]],tblImpactScaled_Assessment[Impacts Level 3?],"Yes",tblImpactScaled_Assessment[Confidence level],"Medium")&gt;0,"Medium","High"))))</f>
        <v>Low</v>
      </c>
      <c r="S7" t="str">
        <f>IF(tblImpactScaled_Summary[[#This Row],[ActionID]]="","",IF(COUNTIFS(tblImpactScaled_Assessment[ActionID],tblImpactScaled_Summary[[#This Row],[ActionID]],tblImpactScaled_Assessment[Maladaptation risk?],"Yes")&gt;0,"Yes","No"))</f>
        <v>No</v>
      </c>
      <c r="T7" t="str">
        <f>IF(tblImpactScaled_Summary[[#This Row],[ActionID]]="","",IF(tblImpactScaled_Summary[[#This Row],[Maladaptation risk?]]="Yes","Maladaptation risk to review",IF(COUNTIFS(tblImpactScaled_Assessment[ActionID],tblImpactScaled_Summary[[#This Row],[ActionID]],tblImpactScaled_Assessment[Review status],"To review")&gt;0,"To review",IF(tblImpactScaled_Summary[[#This Row],[Final Impact Score]]=0,"No impact","Complete"))))</f>
        <v>Complete</v>
      </c>
    </row>
    <row r="8" spans="2:28">
      <c r="B8" s="42" t="s">
        <v>1202</v>
      </c>
      <c r="C8" s="42" t="s">
        <v>1201</v>
      </c>
      <c r="D8" s="43">
        <v>-0.25</v>
      </c>
      <c r="E8" s="42" t="s">
        <v>1205</v>
      </c>
      <c r="F8" s="42" t="s">
        <v>1223</v>
      </c>
      <c r="H8" t="str">
        <f>IF(tblImpactScaled_Summary[[#This Row],[ActionID]]="","",_xlfn.XLOOKUP(tblImpactScaled_Summary[[#This Row],[ActionID]],tblImpactScaled_Assessment[ActionID],tblImpactScaled_Assessment[Sector],""))</f>
        <v>Health</v>
      </c>
      <c r="I8" t="str">
        <f>IF(tblImpactScaled_Summary[[#This Row],[ActionID]]="","",_xlfn.XLOOKUP(tblImpactScaled_Summary[[#This Row],[ActionID]],tblImpactScaled_Assessment[ActionID],tblImpactScaled_Assessment[Risk],""))</f>
        <v>Malaria</v>
      </c>
      <c r="J8" t="str" cm="1">
        <f t="array" ref="J8">_xlfn.LET(_xlpm.ids,_xlfn.UNIQUE(_xlfn._xlws.FILTER(tblImpactScaled_Assessment[ActionID],tblImpactScaled_Assessment[ActionID]&lt;&gt;"")),_xlpm.secs,_xlfn.XLOOKUP(_xlpm.ids,tblImpactScaled_Assessment[ActionID],tblImpactScaled_Assessment[Sector]),_xlpm.scores,SUMIFS(tblImpactScaled_Assessment[Component Impact Score],tblImpactScaled_Assessment[ActionID],_xlpm.ids),_xlpm.ordered,_xlfn.SORTBY(_xlpm.ids,_xlpm.secs,1,_xlpm.scores,-1),IFERROR(INDEX(_xlpm.ordered,ROW()-ROW(tblImpactScaled_Summary[#Headers])),""))</f>
        <v>icare_0145</v>
      </c>
      <c r="K8" t="str">
        <f>IF(tblImpactScaled_Summary[[#This Row],[ActionID]]="","",_xlfn.XLOOKUP(tblImpactScaled_Summary[[#This Row],[ActionID]],tblImpactScaled_Assessment[ActionID],tblImpactScaled_Assessment[ActionName],""))</f>
        <v>Strengthen the healthcare system to respond effectively to extreme events</v>
      </c>
      <c r="L8" t="s">
        <v>343</v>
      </c>
      <c r="M8" s="30">
        <f>IF(tblImpactScaled_Summary[[#This Row],[ActionID]]="","",SUMIFS(tblImpactScaled_Assessment[Component Impact Score],tblImpactScaled_Assessment[ActionID],tblImpactScaled_Summary[[#This Row],[ActionID]],tblImpactScaled_Assessment[Level 3 Component],"Vulnerability"))</f>
        <v>0.1875</v>
      </c>
      <c r="N8" s="30">
        <f>IF(tblImpactScaled_Summary[[#This Row],[ActionID]]="","",SUMIFS(tblImpactScaled_Assessment[Component Impact Score],tblImpactScaled_Assessment[ActionID],tblImpactScaled_Summary[[#This Row],[ActionID]],tblImpactScaled_Assessment[Level 3 Component],"Exposure"))</f>
        <v>0</v>
      </c>
      <c r="O8" s="30">
        <f>IF(tblImpactScaled_Summary[[#This Row],[ActionID]]="","",SUM(tblImpactScaled_Summary[[#This Row],[Vulnerability Score]],tblImpactScaled_Summary[[#This Row],[Exposure Score]]))</f>
        <v>0.1875</v>
      </c>
      <c r="P8" s="45">
        <f>IF(tblImpactScaled_Summary[[#This Row],[ActionID]]="","",MIN(_xlfn.XLOOKUP("Maximum final score",$C$6:$C$19,$D$6:$D$19),tblImpactScaled_Summary[[#This Row],[Raw Action Impact Score]]))</f>
        <v>0.1875</v>
      </c>
      <c r="Q8" s="44" t="str">
        <f>IF(tblImpactScaled_Summary[[#This Row],[ActionID]]="","",IF(tblImpactScaled_Summary[[#This Row],[Final Impact Score]]&gt;=0.75,"Very high impact",IF(tblImpactScaled_Summary[[#This Row],[Final Impact Score]]&gt;=0.5,"High impact",IF(tblImpactScaled_Summary[[#This Row],[Final Impact Score]]&gt;=0.25,"Medium impact",IF(tblImpactScaled_Summary[[#This Row],[Final Impact Score]]&gt;0,"Low impact","No impact")))))</f>
        <v>Low impact</v>
      </c>
      <c r="R8" t="str">
        <f>IF(tblImpactScaled_Summary[[#This Row],[ActionID]]="","",IF(COUNTIFS(tblImpactScaled_Assessment[ActionID],tblImpactScaled_Summary[[#This Row],[ActionID]],tblImpactScaled_Assessment[Impacts Level 3?],"Yes")=0,"",IF(COUNTIFS(tblImpactScaled_Assessment[ActionID],tblImpactScaled_Summary[[#This Row],[ActionID]],tblImpactScaled_Assessment[Impacts Level 3?],"Yes",tblImpactScaled_Assessment[Confidence level],"Low")&gt;0,"Low",IF(COUNTIFS(tblImpactScaled_Assessment[ActionID],tblImpactScaled_Summary[[#This Row],[ActionID]],tblImpactScaled_Assessment[Impacts Level 3?],"Yes",tblImpactScaled_Assessment[Confidence level],"Medium")&gt;0,"Medium","High"))))</f>
        <v>Low</v>
      </c>
      <c r="S8" t="str">
        <f>IF(tblImpactScaled_Summary[[#This Row],[ActionID]]="","",IF(COUNTIFS(tblImpactScaled_Assessment[ActionID],tblImpactScaled_Summary[[#This Row],[ActionID]],tblImpactScaled_Assessment[Maladaptation risk?],"Yes")&gt;0,"Yes","No"))</f>
        <v>No</v>
      </c>
      <c r="T8" t="str">
        <f>IF(tblImpactScaled_Summary[[#This Row],[ActionID]]="","",IF(tblImpactScaled_Summary[[#This Row],[Maladaptation risk?]]="Yes","Maladaptation risk to review",IF(COUNTIFS(tblImpactScaled_Assessment[ActionID],tblImpactScaled_Summary[[#This Row],[ActionID]],tblImpactScaled_Assessment[Review status],"To review")&gt;0,"To review",IF(tblImpactScaled_Summary[[#This Row],[Final Impact Score]]=0,"No impact","Complete"))))</f>
        <v>Complete</v>
      </c>
    </row>
    <row r="9" spans="2:28">
      <c r="B9" s="42" t="s">
        <v>1202</v>
      </c>
      <c r="C9" s="42" t="s">
        <v>1163</v>
      </c>
      <c r="D9" s="43">
        <v>0</v>
      </c>
      <c r="E9" s="42" t="s">
        <v>1206</v>
      </c>
      <c r="F9" s="42" t="s">
        <v>1224</v>
      </c>
      <c r="H9" t="str">
        <f>IF(tblImpactScaled_Summary[[#This Row],[ActionID]]="","",_xlfn.XLOOKUP(tblImpactScaled_Summary[[#This Row],[ActionID]],tblImpactScaled_Assessment[ActionID],tblImpactScaled_Assessment[Sector],""))</f>
        <v>Health</v>
      </c>
      <c r="I9" t="str">
        <f>IF(tblImpactScaled_Summary[[#This Row],[ActionID]]="","",_xlfn.XLOOKUP(tblImpactScaled_Summary[[#This Row],[ActionID]],tblImpactScaled_Assessment[ActionID],tblImpactScaled_Assessment[Risk],""))</f>
        <v>Malaria</v>
      </c>
      <c r="J9" t="str" cm="1">
        <f t="array" ref="J9">_xlfn.LET(_xlpm.ids,_xlfn.UNIQUE(_xlfn._xlws.FILTER(tblImpactScaled_Assessment[ActionID],tblImpactScaled_Assessment[ActionID]&lt;&gt;"")),_xlpm.secs,_xlfn.XLOOKUP(_xlpm.ids,tblImpactScaled_Assessment[ActionID],tblImpactScaled_Assessment[Sector]),_xlpm.scores,SUMIFS(tblImpactScaled_Assessment[Component Impact Score],tblImpactScaled_Assessment[ActionID],_xlpm.ids),_xlpm.ordered,_xlfn.SORTBY(_xlpm.ids,_xlpm.secs,1,_xlpm.scores,-1),IFERROR(INDEX(_xlpm.ordered,ROW()-ROW(tblImpactScaled_Summary[#Headers])),""))</f>
        <v>c40_0051</v>
      </c>
      <c r="K9" t="str">
        <f>IF(tblImpactScaled_Summary[[#This Row],[ActionID]]="","",_xlfn.XLOOKUP(tblImpactScaled_Summary[[#This Row],[ActionID]],tblImpactScaled_Assessment[ActionID],tblImpactScaled_Assessment[ActionName],""))</f>
        <v>Provide public shading in heat hotspots</v>
      </c>
      <c r="L9" t="s">
        <v>371</v>
      </c>
      <c r="M9" s="30">
        <f>IF(tblImpactScaled_Summary[[#This Row],[ActionID]]="","",SUMIFS(tblImpactScaled_Assessment[Component Impact Score],tblImpactScaled_Assessment[ActionID],tblImpactScaled_Summary[[#This Row],[ActionID]],tblImpactScaled_Assessment[Level 3 Component],"Vulnerability"))</f>
        <v>0</v>
      </c>
      <c r="N9" s="30">
        <f>IF(tblImpactScaled_Summary[[#This Row],[ActionID]]="","",SUMIFS(tblImpactScaled_Assessment[Component Impact Score],tblImpactScaled_Assessment[ActionID],tblImpactScaled_Summary[[#This Row],[ActionID]],tblImpactScaled_Assessment[Level 3 Component],"Exposure"))</f>
        <v>0</v>
      </c>
      <c r="O9" s="30">
        <f>IF(tblImpactScaled_Summary[[#This Row],[ActionID]]="","",SUM(tblImpactScaled_Summary[[#This Row],[Vulnerability Score]],tblImpactScaled_Summary[[#This Row],[Exposure Score]]))</f>
        <v>0</v>
      </c>
      <c r="P9" s="45">
        <f>IF(tblImpactScaled_Summary[[#This Row],[ActionID]]="","",MIN(_xlfn.XLOOKUP("Maximum final score",$C$6:$C$19,$D$6:$D$19),tblImpactScaled_Summary[[#This Row],[Raw Action Impact Score]]))</f>
        <v>0</v>
      </c>
      <c r="Q9" s="44" t="str">
        <f>IF(tblImpactScaled_Summary[[#This Row],[ActionID]]="","",IF(tblImpactScaled_Summary[[#This Row],[Final Impact Score]]&gt;=0.75,"Very high impact",IF(tblImpactScaled_Summary[[#This Row],[Final Impact Score]]&gt;=0.5,"High impact",IF(tblImpactScaled_Summary[[#This Row],[Final Impact Score]]&gt;=0.25,"Medium impact",IF(tblImpactScaled_Summary[[#This Row],[Final Impact Score]]&gt;0,"Low impact","No impact")))))</f>
        <v>No impact</v>
      </c>
      <c r="R9" t="str">
        <f>IF(tblImpactScaled_Summary[[#This Row],[ActionID]]="","",IF(COUNTIFS(tblImpactScaled_Assessment[ActionID],tblImpactScaled_Summary[[#This Row],[ActionID]],tblImpactScaled_Assessment[Impacts Level 3?],"Yes")=0,"",IF(COUNTIFS(tblImpactScaled_Assessment[ActionID],tblImpactScaled_Summary[[#This Row],[ActionID]],tblImpactScaled_Assessment[Impacts Level 3?],"Yes",tblImpactScaled_Assessment[Confidence level],"Low")&gt;0,"Low",IF(COUNTIFS(tblImpactScaled_Assessment[ActionID],tblImpactScaled_Summary[[#This Row],[ActionID]],tblImpactScaled_Assessment[Impacts Level 3?],"Yes",tblImpactScaled_Assessment[Confidence level],"Medium")&gt;0,"Medium","High"))))</f>
        <v/>
      </c>
      <c r="S9" t="str">
        <f>IF(tblImpactScaled_Summary[[#This Row],[ActionID]]="","",IF(COUNTIFS(tblImpactScaled_Assessment[ActionID],tblImpactScaled_Summary[[#This Row],[ActionID]],tblImpactScaled_Assessment[Maladaptation risk?],"Yes")&gt;0,"Yes","No"))</f>
        <v>No</v>
      </c>
      <c r="T9" t="str">
        <f>IF(tblImpactScaled_Summary[[#This Row],[ActionID]]="","",IF(tblImpactScaled_Summary[[#This Row],[Maladaptation risk?]]="Yes","Maladaptation risk to review",IF(COUNTIFS(tblImpactScaled_Assessment[ActionID],tblImpactScaled_Summary[[#This Row],[ActionID]],tblImpactScaled_Assessment[Review status],"To review")&gt;0,"To review",IF(tblImpactScaled_Summary[[#This Row],[Final Impact Score]]=0,"No impact","Complete"))))</f>
        <v>No impact</v>
      </c>
    </row>
    <row r="10" spans="2:28">
      <c r="B10" s="42" t="s">
        <v>1153</v>
      </c>
      <c r="C10" s="42" t="s">
        <v>1136</v>
      </c>
      <c r="D10" s="43">
        <v>1.25</v>
      </c>
      <c r="E10" s="42" t="s">
        <v>1168</v>
      </c>
      <c r="F10" s="42" t="s">
        <v>1182</v>
      </c>
      <c r="H10" t="str">
        <f>IF(tblImpactScaled_Summary[[#This Row],[ActionID]]="","",_xlfn.XLOOKUP(tblImpactScaled_Summary[[#This Row],[ActionID]],tblImpactScaled_Assessment[ActionID],tblImpactScaled_Assessment[Sector],""))</f>
        <v>Water resources</v>
      </c>
      <c r="I10" t="str">
        <f>IF(tblImpactScaled_Summary[[#This Row],[ActionID]]="","",_xlfn.XLOOKUP(tblImpactScaled_Summary[[#This Row],[ActionID]],tblImpactScaled_Assessment[ActionID],tblImpactScaled_Assessment[Risk],""))</f>
        <v>Risk of water stress</v>
      </c>
      <c r="J10" t="str" cm="1">
        <f t="array" ref="J10">_xlfn.LET(_xlpm.ids,_xlfn.UNIQUE(_xlfn._xlws.FILTER(tblImpactScaled_Assessment[ActionID],tblImpactScaled_Assessment[ActionID]&lt;&gt;"")),_xlpm.secs,_xlfn.XLOOKUP(_xlpm.ids,tblImpactScaled_Assessment[ActionID],tblImpactScaled_Assessment[Sector]),_xlpm.scores,SUMIFS(tblImpactScaled_Assessment[Component Impact Score],tblImpactScaled_Assessment[ActionID],_xlpm.ids),_xlpm.ordered,_xlfn.SORTBY(_xlpm.ids,_xlpm.secs,1,_xlpm.scores,-1),IFERROR(INDEX(_xlpm.ordered,ROW()-ROW(tblImpactScaled_Summary[#Headers])),""))</f>
        <v>ipcc_0099</v>
      </c>
      <c r="K10" t="str">
        <f>IF(tblImpactScaled_Summary[[#This Row],[ActionID]]="","",_xlfn.XLOOKUP(tblImpactScaled_Summary[[#This Row],[ActionID]],tblImpactScaled_Assessment[ActionID],tblImpactScaled_Assessment[ActionName],""))</f>
        <v>Increase Water Capture and Storage</v>
      </c>
      <c r="L10" t="s">
        <v>545</v>
      </c>
      <c r="M10" s="30">
        <f>IF(tblImpactScaled_Summary[[#This Row],[ActionID]]="","",SUMIFS(tblImpactScaled_Assessment[Component Impact Score],tblImpactScaled_Assessment[ActionID],tblImpactScaled_Summary[[#This Row],[ActionID]],tblImpactScaled_Assessment[Level 3 Component],"Vulnerability"))</f>
        <v>0.421875</v>
      </c>
      <c r="N10" s="30">
        <f>IF(tblImpactScaled_Summary[[#This Row],[ActionID]]="","",SUMIFS(tblImpactScaled_Assessment[Component Impact Score],tblImpactScaled_Assessment[ActionID],tblImpactScaled_Summary[[#This Row],[ActionID]],tblImpactScaled_Assessment[Level 3 Component],"Exposure"))</f>
        <v>0.2109375</v>
      </c>
      <c r="O10" s="30">
        <f>IF(tblImpactScaled_Summary[[#This Row],[ActionID]]="","",SUM(tblImpactScaled_Summary[[#This Row],[Vulnerability Score]],tblImpactScaled_Summary[[#This Row],[Exposure Score]]))</f>
        <v>0.6328125</v>
      </c>
      <c r="P10" s="45">
        <f>IF(tblImpactScaled_Summary[[#This Row],[ActionID]]="","",MIN(_xlfn.XLOOKUP("Maximum final score",$C$6:$C$19,$D$6:$D$19),tblImpactScaled_Summary[[#This Row],[Raw Action Impact Score]]))</f>
        <v>0.6328125</v>
      </c>
      <c r="Q10" s="44" t="str">
        <f>IF(tblImpactScaled_Summary[[#This Row],[ActionID]]="","",IF(tblImpactScaled_Summary[[#This Row],[Final Impact Score]]&gt;=0.75,"Very high impact",IF(tblImpactScaled_Summary[[#This Row],[Final Impact Score]]&gt;=0.5,"High impact",IF(tblImpactScaled_Summary[[#This Row],[Final Impact Score]]&gt;=0.25,"Medium impact",IF(tblImpactScaled_Summary[[#This Row],[Final Impact Score]]&gt;0,"Low impact","No impact")))))</f>
        <v>High impact</v>
      </c>
      <c r="R10" t="str">
        <f>IF(tblImpactScaled_Summary[[#This Row],[ActionID]]="","",IF(COUNTIFS(tblImpactScaled_Assessment[ActionID],tblImpactScaled_Summary[[#This Row],[ActionID]],tblImpactScaled_Assessment[Impacts Level 3?],"Yes")=0,"",IF(COUNTIFS(tblImpactScaled_Assessment[ActionID],tblImpactScaled_Summary[[#This Row],[ActionID]],tblImpactScaled_Assessment[Impacts Level 3?],"Yes",tblImpactScaled_Assessment[Confidence level],"Low")&gt;0,"Low",IF(COUNTIFS(tblImpactScaled_Assessment[ActionID],tblImpactScaled_Summary[[#This Row],[ActionID]],tblImpactScaled_Assessment[Impacts Level 3?],"Yes",tblImpactScaled_Assessment[Confidence level],"Medium")&gt;0,"Medium","High"))))</f>
        <v>Low</v>
      </c>
      <c r="S10" t="str">
        <f>IF(tblImpactScaled_Summary[[#This Row],[ActionID]]="","",IF(COUNTIFS(tblImpactScaled_Assessment[ActionID],tblImpactScaled_Summary[[#This Row],[ActionID]],tblImpactScaled_Assessment[Maladaptation risk?],"Yes")&gt;0,"Yes","No"))</f>
        <v>Yes</v>
      </c>
      <c r="T10" t="str">
        <f>IF(tblImpactScaled_Summary[[#This Row],[ActionID]]="","",IF(tblImpactScaled_Summary[[#This Row],[Maladaptation risk?]]="Yes","Maladaptation risk to review",IF(COUNTIFS(tblImpactScaled_Assessment[ActionID],tblImpactScaled_Summary[[#This Row],[ActionID]],tblImpactScaled_Assessment[Review status],"To review")&gt;0,"To review",IF(tblImpactScaled_Summary[[#This Row],[Final Impact Score]]=0,"No impact","Complete"))))</f>
        <v>Maladaptation risk to review</v>
      </c>
    </row>
    <row r="11" spans="2:28">
      <c r="B11" s="42" t="s">
        <v>1153</v>
      </c>
      <c r="C11" s="42" t="s">
        <v>1137</v>
      </c>
      <c r="D11" s="43">
        <v>1</v>
      </c>
      <c r="E11" s="42" t="s">
        <v>1169</v>
      </c>
      <c r="F11" s="42" t="s">
        <v>1170</v>
      </c>
      <c r="H11" t="str">
        <f>IF(tblImpactScaled_Summary[[#This Row],[ActionID]]="","",_xlfn.XLOOKUP(tblImpactScaled_Summary[[#This Row],[ActionID]],tblImpactScaled_Assessment[ActionID],tblImpactScaled_Assessment[Sector],""))</f>
        <v>Water resources</v>
      </c>
      <c r="I11" t="str">
        <f>IF(tblImpactScaled_Summary[[#This Row],[ActionID]]="","",_xlfn.XLOOKUP(tblImpactScaled_Summary[[#This Row],[ActionID]],tblImpactScaled_Assessment[ActionID],tblImpactScaled_Assessment[Risk],""))</f>
        <v>Risk of water stress</v>
      </c>
      <c r="J11" t="str" cm="1">
        <f t="array" ref="J11">_xlfn.LET(_xlpm.ids,_xlfn.UNIQUE(_xlfn._xlws.FILTER(tblImpactScaled_Assessment[ActionID],tblImpactScaled_Assessment[ActionID]&lt;&gt;"")),_xlpm.secs,_xlfn.XLOOKUP(_xlpm.ids,tblImpactScaled_Assessment[ActionID],tblImpactScaled_Assessment[Sector]),_xlpm.scores,SUMIFS(tblImpactScaled_Assessment[Component Impact Score],tblImpactScaled_Assessment[ActionID],_xlpm.ids),_xlpm.ordered,_xlfn.SORTBY(_xlpm.ids,_xlpm.secs,1,_xlpm.scores,-1),IFERROR(INDEX(_xlpm.ordered,ROW()-ROW(tblImpactScaled_Summary[#Headers])),""))</f>
        <v>ipcc_0100</v>
      </c>
      <c r="K11" t="str">
        <f>IF(tblImpactScaled_Summary[[#This Row],[ActionID]]="","",_xlfn.XLOOKUP(tblImpactScaled_Summary[[#This Row],[ActionID]],tblImpactScaled_Assessment[ActionID],tblImpactScaled_Assessment[ActionName],""))</f>
        <v>Improve Efficient water use/demand</v>
      </c>
      <c r="L11" t="s">
        <v>549</v>
      </c>
      <c r="M11" s="30">
        <f>IF(tblImpactScaled_Summary[[#This Row],[ActionID]]="","",SUMIFS(tblImpactScaled_Assessment[Component Impact Score],tblImpactScaled_Assessment[ActionID],tblImpactScaled_Summary[[#This Row],[ActionID]],tblImpactScaled_Assessment[Level 3 Component],"Vulnerability"))</f>
        <v>0.5625</v>
      </c>
      <c r="N11" s="30">
        <f>IF(tblImpactScaled_Summary[[#This Row],[ActionID]]="","",SUMIFS(tblImpactScaled_Assessment[Component Impact Score],tblImpactScaled_Assessment[ActionID],tblImpactScaled_Summary[[#This Row],[ActionID]],tblImpactScaled_Assessment[Level 3 Component],"Exposure"))</f>
        <v>0</v>
      </c>
      <c r="O11" s="30">
        <f>IF(tblImpactScaled_Summary[[#This Row],[ActionID]]="","",SUM(tblImpactScaled_Summary[[#This Row],[Vulnerability Score]],tblImpactScaled_Summary[[#This Row],[Exposure Score]]))</f>
        <v>0.5625</v>
      </c>
      <c r="P11" s="45">
        <f>IF(tblImpactScaled_Summary[[#This Row],[ActionID]]="","",MIN(_xlfn.XLOOKUP("Maximum final score",$C$6:$C$19,$D$6:$D$19),tblImpactScaled_Summary[[#This Row],[Raw Action Impact Score]]))</f>
        <v>0.5625</v>
      </c>
      <c r="Q11" s="44" t="str">
        <f>IF(tblImpactScaled_Summary[[#This Row],[ActionID]]="","",IF(tblImpactScaled_Summary[[#This Row],[Final Impact Score]]&gt;=0.75,"Very high impact",IF(tblImpactScaled_Summary[[#This Row],[Final Impact Score]]&gt;=0.5,"High impact",IF(tblImpactScaled_Summary[[#This Row],[Final Impact Score]]&gt;=0.25,"Medium impact",IF(tblImpactScaled_Summary[[#This Row],[Final Impact Score]]&gt;0,"Low impact","No impact")))))</f>
        <v>High impact</v>
      </c>
      <c r="R11" t="str">
        <f>IF(tblImpactScaled_Summary[[#This Row],[ActionID]]="","",IF(COUNTIFS(tblImpactScaled_Assessment[ActionID],tblImpactScaled_Summary[[#This Row],[ActionID]],tblImpactScaled_Assessment[Impacts Level 3?],"Yes")=0,"",IF(COUNTIFS(tblImpactScaled_Assessment[ActionID],tblImpactScaled_Summary[[#This Row],[ActionID]],tblImpactScaled_Assessment[Impacts Level 3?],"Yes",tblImpactScaled_Assessment[Confidence level],"Low")&gt;0,"Low",IF(COUNTIFS(tblImpactScaled_Assessment[ActionID],tblImpactScaled_Summary[[#This Row],[ActionID]],tblImpactScaled_Assessment[Impacts Level 3?],"Yes",tblImpactScaled_Assessment[Confidence level],"Medium")&gt;0,"Medium","High"))))</f>
        <v>Low</v>
      </c>
      <c r="S11" t="str">
        <f>IF(tblImpactScaled_Summary[[#This Row],[ActionID]]="","",IF(COUNTIFS(tblImpactScaled_Assessment[ActionID],tblImpactScaled_Summary[[#This Row],[ActionID]],tblImpactScaled_Assessment[Maladaptation risk?],"Yes")&gt;0,"Yes","No"))</f>
        <v>No</v>
      </c>
      <c r="T11" t="str">
        <f>IF(tblImpactScaled_Summary[[#This Row],[ActionID]]="","",IF(tblImpactScaled_Summary[[#This Row],[Maladaptation risk?]]="Yes","Maladaptation risk to review",IF(COUNTIFS(tblImpactScaled_Assessment[ActionID],tblImpactScaled_Summary[[#This Row],[ActionID]],tblImpactScaled_Assessment[Review status],"To review")&gt;0,"To review",IF(tblImpactScaled_Summary[[#This Row],[Final Impact Score]]=0,"No impact","Complete"))))</f>
        <v>Complete</v>
      </c>
    </row>
    <row r="12" spans="2:28">
      <c r="B12" s="42" t="s">
        <v>1153</v>
      </c>
      <c r="C12" s="42" t="s">
        <v>1138</v>
      </c>
      <c r="D12" s="43">
        <v>0.75</v>
      </c>
      <c r="E12" s="42" t="s">
        <v>1171</v>
      </c>
      <c r="F12" s="42" t="s">
        <v>1172</v>
      </c>
      <c r="H12" t="str">
        <f>IF(tblImpactScaled_Summary[[#This Row],[ActionID]]="","",_xlfn.XLOOKUP(tblImpactScaled_Summary[[#This Row],[ActionID]],tblImpactScaled_Assessment[ActionID],tblImpactScaled_Assessment[Sector],""))</f>
        <v>Water resources</v>
      </c>
      <c r="I12" t="str">
        <f>IF(tblImpactScaled_Summary[[#This Row],[ActionID]]="","",_xlfn.XLOOKUP(tblImpactScaled_Summary[[#This Row],[ActionID]],tblImpactScaled_Assessment[ActionID],tblImpactScaled_Assessment[Risk],""))</f>
        <v>Risk of water stress</v>
      </c>
      <c r="J12" t="str" cm="1">
        <f t="array" ref="J12">_xlfn.LET(_xlpm.ids,_xlfn.UNIQUE(_xlfn._xlws.FILTER(tblImpactScaled_Assessment[ActionID],tblImpactScaled_Assessment[ActionID]&lt;&gt;"")),_xlpm.secs,_xlfn.XLOOKUP(_xlpm.ids,tblImpactScaled_Assessment[ActionID],tblImpactScaled_Assessment[Sector]),_xlpm.scores,SUMIFS(tblImpactScaled_Assessment[Component Impact Score],tblImpactScaled_Assessment[ActionID],_xlpm.ids),_xlpm.ordered,_xlfn.SORTBY(_xlpm.ids,_xlpm.secs,1,_xlpm.scores,-1),IFERROR(INDEX(_xlpm.ordered,ROW()-ROW(tblImpactScaled_Summary[#Headers])),""))</f>
        <v>c40_0056</v>
      </c>
      <c r="K12" t="str">
        <f>IF(tblImpactScaled_Summary[[#This Row],[ActionID]]="","",_xlfn.XLOOKUP(tblImpactScaled_Summary[[#This Row],[ActionID]],tblImpactScaled_Assessment[ActionID],tblImpactScaled_Assessment[ActionName],""))</f>
        <v>Improve Watershed Protection and Management</v>
      </c>
      <c r="L12" t="s">
        <v>357</v>
      </c>
      <c r="M12" s="30">
        <f>IF(tblImpactScaled_Summary[[#This Row],[ActionID]]="","",SUMIFS(tblImpactScaled_Assessment[Component Impact Score],tblImpactScaled_Assessment[ActionID],tblImpactScaled_Summary[[#This Row],[ActionID]],tblImpactScaled_Assessment[Level 3 Component],"Vulnerability"))</f>
        <v>0.375</v>
      </c>
      <c r="N12" s="30">
        <f>IF(tblImpactScaled_Summary[[#This Row],[ActionID]]="","",SUMIFS(tblImpactScaled_Assessment[Component Impact Score],tblImpactScaled_Assessment[ActionID],tblImpactScaled_Summary[[#This Row],[ActionID]],tblImpactScaled_Assessment[Level 3 Component],"Exposure"))</f>
        <v>0</v>
      </c>
      <c r="O12" s="30">
        <f>IF(tblImpactScaled_Summary[[#This Row],[ActionID]]="","",SUM(tblImpactScaled_Summary[[#This Row],[Vulnerability Score]],tblImpactScaled_Summary[[#This Row],[Exposure Score]]))</f>
        <v>0.375</v>
      </c>
      <c r="P12" s="45">
        <f>IF(tblImpactScaled_Summary[[#This Row],[ActionID]]="","",MIN(_xlfn.XLOOKUP("Maximum final score",$C$6:$C$19,$D$6:$D$19),tblImpactScaled_Summary[[#This Row],[Raw Action Impact Score]]))</f>
        <v>0.375</v>
      </c>
      <c r="Q12" s="44" t="str">
        <f>IF(tblImpactScaled_Summary[[#This Row],[ActionID]]="","",IF(tblImpactScaled_Summary[[#This Row],[Final Impact Score]]&gt;=0.75,"Very high impact",IF(tblImpactScaled_Summary[[#This Row],[Final Impact Score]]&gt;=0.5,"High impact",IF(tblImpactScaled_Summary[[#This Row],[Final Impact Score]]&gt;=0.25,"Medium impact",IF(tblImpactScaled_Summary[[#This Row],[Final Impact Score]]&gt;0,"Low impact","No impact")))))</f>
        <v>Medium impact</v>
      </c>
      <c r="R12" t="str">
        <f>IF(tblImpactScaled_Summary[[#This Row],[ActionID]]="","",IF(COUNTIFS(tblImpactScaled_Assessment[ActionID],tblImpactScaled_Summary[[#This Row],[ActionID]],tblImpactScaled_Assessment[Impacts Level 3?],"Yes")=0,"",IF(COUNTIFS(tblImpactScaled_Assessment[ActionID],tblImpactScaled_Summary[[#This Row],[ActionID]],tblImpactScaled_Assessment[Impacts Level 3?],"Yes",tblImpactScaled_Assessment[Confidence level],"Low")&gt;0,"Low",IF(COUNTIFS(tblImpactScaled_Assessment[ActionID],tblImpactScaled_Summary[[#This Row],[ActionID]],tblImpactScaled_Assessment[Impacts Level 3?],"Yes",tblImpactScaled_Assessment[Confidence level],"Medium")&gt;0,"Medium","High"))))</f>
        <v>Low</v>
      </c>
      <c r="S12" t="str">
        <f>IF(tblImpactScaled_Summary[[#This Row],[ActionID]]="","",IF(COUNTIFS(tblImpactScaled_Assessment[ActionID],tblImpactScaled_Summary[[#This Row],[ActionID]],tblImpactScaled_Assessment[Maladaptation risk?],"Yes")&gt;0,"Yes","No"))</f>
        <v>No</v>
      </c>
      <c r="T12" t="str">
        <f>IF(tblImpactScaled_Summary[[#This Row],[ActionID]]="","",IF(tblImpactScaled_Summary[[#This Row],[Maladaptation risk?]]="Yes","Maladaptation risk to review",IF(COUNTIFS(tblImpactScaled_Assessment[ActionID],tblImpactScaled_Summary[[#This Row],[ActionID]],tblImpactScaled_Assessment[Review status],"To review")&gt;0,"To review",IF(tblImpactScaled_Summary[[#This Row],[Final Impact Score]]=0,"No impact","Complete"))))</f>
        <v>Complete</v>
      </c>
    </row>
    <row r="13" spans="2:28">
      <c r="B13" s="42" t="s">
        <v>1146</v>
      </c>
      <c r="C13" s="42" t="s">
        <v>1156</v>
      </c>
      <c r="D13" s="43">
        <v>1</v>
      </c>
      <c r="E13" s="42" t="s">
        <v>1173</v>
      </c>
      <c r="F13" s="42" t="s">
        <v>1174</v>
      </c>
    </row>
    <row r="14" spans="2:28">
      <c r="B14" s="42" t="s">
        <v>1146</v>
      </c>
      <c r="C14" s="42" t="s">
        <v>1157</v>
      </c>
      <c r="D14" s="43">
        <v>0.75</v>
      </c>
      <c r="E14" s="42" t="s">
        <v>1175</v>
      </c>
      <c r="F14" s="42" t="s">
        <v>1176</v>
      </c>
    </row>
    <row r="15" spans="2:28">
      <c r="B15" s="42" t="s">
        <v>1146</v>
      </c>
      <c r="C15" s="42" t="s">
        <v>1158</v>
      </c>
      <c r="D15" s="43">
        <v>0.5</v>
      </c>
      <c r="E15" s="42" t="s">
        <v>1177</v>
      </c>
      <c r="F15" s="42" t="s">
        <v>1178</v>
      </c>
    </row>
    <row r="16" spans="2:28">
      <c r="B16" s="42" t="s">
        <v>1207</v>
      </c>
      <c r="C16" s="42" t="s">
        <v>1208</v>
      </c>
      <c r="D16" s="43">
        <v>1</v>
      </c>
      <c r="E16" s="42" t="s">
        <v>1209</v>
      </c>
      <c r="F16" s="42" t="s">
        <v>1210</v>
      </c>
    </row>
    <row r="17" spans="2:29">
      <c r="B17" s="42" t="s">
        <v>1207</v>
      </c>
      <c r="C17" s="42" t="s">
        <v>1226</v>
      </c>
      <c r="D17" s="43">
        <v>1</v>
      </c>
      <c r="E17" s="42" t="s">
        <v>1227</v>
      </c>
      <c r="F17" s="42" t="s">
        <v>1228</v>
      </c>
    </row>
    <row r="18" spans="2:29">
      <c r="B18" s="42" t="s">
        <v>1243</v>
      </c>
      <c r="C18" s="42" t="s">
        <v>1244</v>
      </c>
      <c r="D18" s="43">
        <v>0.75</v>
      </c>
      <c r="E18" s="42" t="s">
        <v>1245</v>
      </c>
      <c r="F18" s="42" t="s">
        <v>1246</v>
      </c>
    </row>
    <row r="19" spans="2:29" ht="15" customHeight="1">
      <c r="B19" s="42" t="s">
        <v>1243</v>
      </c>
      <c r="C19" s="42" t="s">
        <v>1247</v>
      </c>
      <c r="D19" s="43">
        <v>1</v>
      </c>
      <c r="E19" s="42" t="s">
        <v>1248</v>
      </c>
      <c r="F19" s="42" t="s">
        <v>1249</v>
      </c>
    </row>
    <row r="21" spans="2:29">
      <c r="B21" s="123" t="s">
        <v>1231</v>
      </c>
      <c r="C21" s="123"/>
      <c r="D21" s="123"/>
      <c r="E21" s="123"/>
      <c r="F21" s="123"/>
      <c r="G21" s="123"/>
      <c r="H21" s="123"/>
      <c r="I21" s="123"/>
      <c r="J21" s="123"/>
      <c r="K21" s="123"/>
      <c r="L21" s="123" t="s">
        <v>1232</v>
      </c>
      <c r="M21" s="123"/>
      <c r="N21" s="123"/>
      <c r="O21" s="123"/>
      <c r="P21" s="123"/>
      <c r="Q21" s="123"/>
      <c r="R21" s="123"/>
      <c r="S21" s="123"/>
      <c r="T21" s="123"/>
      <c r="U21" s="123"/>
      <c r="V21" s="123" t="s">
        <v>1233</v>
      </c>
      <c r="W21" s="123"/>
      <c r="X21" s="123"/>
      <c r="Y21" s="123"/>
      <c r="Z21" s="123"/>
      <c r="AA21" s="123"/>
      <c r="AB21" s="123"/>
    </row>
    <row r="22" spans="2:29" ht="30" customHeight="1">
      <c r="B22" s="5" t="s">
        <v>828</v>
      </c>
      <c r="C22" s="5" t="s">
        <v>1217</v>
      </c>
      <c r="D22" s="5" t="s">
        <v>310</v>
      </c>
      <c r="E22" s="5" t="s">
        <v>1234</v>
      </c>
      <c r="F22" s="5" t="s">
        <v>311</v>
      </c>
      <c r="G22" s="5" t="s">
        <v>1186</v>
      </c>
      <c r="H22" s="5" t="s">
        <v>1218</v>
      </c>
      <c r="I22" s="5" t="s">
        <v>1219</v>
      </c>
      <c r="J22" s="5" t="s">
        <v>865</v>
      </c>
      <c r="K22" s="5" t="s">
        <v>1142</v>
      </c>
      <c r="L22" s="5" t="s">
        <v>1185</v>
      </c>
      <c r="M22" s="5" t="s">
        <v>1143</v>
      </c>
      <c r="N22" s="5" t="s">
        <v>1160</v>
      </c>
      <c r="O22" s="5" t="s">
        <v>1183</v>
      </c>
      <c r="P22" s="5" t="s">
        <v>1154</v>
      </c>
      <c r="Q22" s="5" t="s">
        <v>1155</v>
      </c>
      <c r="R22" s="5" t="s">
        <v>1145</v>
      </c>
      <c r="S22" s="5" t="s">
        <v>1144</v>
      </c>
      <c r="T22" s="5" t="s">
        <v>1199</v>
      </c>
      <c r="U22" s="5" t="s">
        <v>1251</v>
      </c>
      <c r="V22" s="5" t="s">
        <v>1250</v>
      </c>
      <c r="W22" s="5" t="s">
        <v>1200</v>
      </c>
      <c r="X22" s="5" t="s">
        <v>1141</v>
      </c>
      <c r="Y22" s="5" t="s">
        <v>1159</v>
      </c>
      <c r="Z22" s="5" t="s">
        <v>1180</v>
      </c>
      <c r="AA22" s="5" t="s">
        <v>1179</v>
      </c>
      <c r="AB22" s="5" t="s">
        <v>1184</v>
      </c>
      <c r="AC22" s="5" t="s">
        <v>1211</v>
      </c>
    </row>
    <row r="23" spans="2:29" ht="225">
      <c r="B23" s="48" t="s">
        <v>2</v>
      </c>
      <c r="C23" s="48" t="s">
        <v>3</v>
      </c>
      <c r="D23" s="48" t="s">
        <v>355</v>
      </c>
      <c r="E23" s="48" t="s">
        <v>1192</v>
      </c>
      <c r="F23" s="48" t="str">
        <f>_xlfn.XLOOKUP(tblImpactScaled_Assessment[[#This Row],[ActionID]],Table24[ActionID],Table24[ActionName],"")</f>
        <v>Improve Watershed Protection and Management</v>
      </c>
      <c r="G23" s="61" t="str">
        <f>_xlfn.XLOOKUP(tblImpactScaled_Assessment[[#This Row],[ActionID]],Table24[ActionID],Table24[Description],"")</f>
        <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v>
      </c>
      <c r="H23" s="48" t="str">
        <f>_xlfn.XLOOKUP(tblImpactScaled_Assessment[[#This Row],[ActionID]],Table24[ActionID],Table24[ActionSubcategory],"")</f>
        <v>Nature-Based Solutions</v>
      </c>
      <c r="I23" s="48" t="str">
        <f>_xlfn.XLOOKUP(tblImpactScaled_Assessment[[#This Row],[ActionID]],Table24[ActionID],Table24[ActionType],"")</f>
        <v>adaptation</v>
      </c>
      <c r="J23" s="48" t="s">
        <v>959</v>
      </c>
      <c r="K23" s="48" t="s">
        <v>33</v>
      </c>
      <c r="L23" s="48" t="str" cm="1">
        <f t="array" ref="L23">IFERROR(_xlfn.TEXTJOIN(", ",TRUE,_xlfn.UNIQUE(_xlfn._xlws.FILTER(Table2[base_indicator_name],(Table2[sector_name]=tblImpactScaled_Assessment[[#This Row],[Sector]])*(Table2[risk_name]=tblImpactScaled_Assessment[[#This Row],[Risk]])*(Table2[risk_component_name]=tblImpactScaled_Assessment[[#This Row],[Level 3 Component]])))),"")</f>
        <v>Inefficiency in water production, Inefficiency in water distribution, Average per capita water consumption, Water balance for agriculture, Water balance for industry, Diseases due to inadequate sanitation, Water quality, Degraded and/or deforested areas, Areas with soils susceptible to erosion, Ecological flow for ecosystem uses, Dam and mining safety, Municipal basic sanitation plan, Level of activity in basin committees, Drought-related prevention actions, Alternatives to water supply, Investments in water resources, Investments in adaptation policies, Resilient cities program, Cisterns program: water for consumption, Nature reserve, Artificial reserve, Underground storage potential, Agricultural participation in GDP, Industrial participation in GDP, Income not affected by water prices, Income greater than two minimum wages</v>
      </c>
      <c r="M23" s="49" t="s">
        <v>1147</v>
      </c>
      <c r="N23" s="49" t="s">
        <v>1162</v>
      </c>
      <c r="O23" s="49" t="s">
        <v>1148</v>
      </c>
      <c r="P23" s="49"/>
      <c r="Q23" s="49"/>
      <c r="R23" s="49" t="s">
        <v>1213</v>
      </c>
      <c r="S23" s="49" t="s">
        <v>1189</v>
      </c>
      <c r="T23" s="49" t="s">
        <v>1148</v>
      </c>
      <c r="U23" s="49"/>
      <c r="V23" s="50">
        <f>IF(tblImpactScaled_Assessment[[#This Row],[Maladaptation risk?]]="Yes",_xlfn.XLOOKUP("Maladaptation adjustment factor",$C$6:$C$19,$D$6:$D$19),IF(tblImpactScaled_Assessment[[#This Row],[Maladaptation risk?]]="No",_xlfn.XLOOKUP("No maladaptation adjustment factor",$C$6:$C$19,$D$6:$D$19),""))</f>
        <v>1</v>
      </c>
      <c r="W23" s="51">
        <f>IF(tblImpactScaled_Assessment[[#This Row],[Impacts Level 3?]]&lt;&gt;"Yes",_xlfn.XLOOKUP("No effectiveness",$C$6:$C$19,$D$6:$D$19),_xlfn.XLOOKUP(tblImpactScaled_Assessment[[#This Row],[Effectiveness class]],$C$6:$C$19,$D$6:$D$19,0))</f>
        <v>-0.5</v>
      </c>
      <c r="X23" s="50">
        <f>IF(tblImpactScaled_Assessment[[#This Row],[Impacts Level 3?]]&lt;&gt;"Yes",0,_xlfn.XLOOKUP(tblImpactScaled_Assessment[[#This Row],[Confidence level]]&amp;" confidence factor",$C$6:$C$19,$D$6:$D$19,0))</f>
        <v>0.75</v>
      </c>
      <c r="Y23" s="48" t="str">
        <f>_xlfn.XLOOKUP(tblImpactScaled_Assessment[[#This Row],[ActionID]],Table24[ActionID],Table24[TimelineForImplementation],"")</f>
        <v>&lt;5 years</v>
      </c>
      <c r="Z23" s="50">
        <f>_xlfn.XLOOKUP(IF(tblImpactScaled_Assessment[[#This Row],[Time horizon]]="&lt;5 years","Time factor (&lt; 5 years)",IF(tblImpactScaled_Assessment[[#This Row],[Time horizon]]="5-10 years","Time factor (5-10 years)","Time factor (&gt; 10 years)")),$C$6:$C$19,$D$6:$D$19,0)</f>
        <v>1</v>
      </c>
      <c r="AA23"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0.375</v>
      </c>
      <c r="AB23" s="48" t="str">
        <f>IF(tblImpactScaled_Assessment[[#This Row],[Maladaptation risk?]]="Yes","Maladaptation risk to review","No")</f>
        <v>No</v>
      </c>
      <c r="AC23"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Complete</v>
      </c>
    </row>
    <row r="24" spans="2:29" ht="165">
      <c r="B24" s="48" t="s">
        <v>2</v>
      </c>
      <c r="C24" s="48" t="s">
        <v>3</v>
      </c>
      <c r="D24" s="48" t="s">
        <v>355</v>
      </c>
      <c r="E24" s="48" t="s">
        <v>1192</v>
      </c>
      <c r="F24" s="48" t="str">
        <f>_xlfn.XLOOKUP(tblImpactScaled_Assessment[[#This Row],[ActionID]],Table24[ActionID],Table24[ActionName],"")</f>
        <v>Improve Watershed Protection and Management</v>
      </c>
      <c r="G24" s="48" t="str">
        <f>_xlfn.XLOOKUP(tblImpactScaled_Assessment[[#This Row],[ActionID]],Table24[ActionID],Table24[Description],"")</f>
        <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v>
      </c>
      <c r="H24" s="48" t="str">
        <f>_xlfn.XLOOKUP(tblImpactScaled_Assessment[[#This Row],[ActionID]],Table24[ActionID],Table24[ActionSubcategory],"")</f>
        <v>Nature-Based Solutions</v>
      </c>
      <c r="I24" s="48" t="str">
        <f>_xlfn.XLOOKUP(tblImpactScaled_Assessment[[#This Row],[ActionID]],Table24[ActionID],Table24[ActionType],"")</f>
        <v>adaptation</v>
      </c>
      <c r="J24" s="48" t="s">
        <v>963</v>
      </c>
      <c r="K24" s="48" t="s">
        <v>71</v>
      </c>
      <c r="L24" s="48" t="str" cm="1">
        <f t="array" ref="L24">IFERROR(_xlfn.TEXTJOIN(", ",TRUE,_xlfn.UNIQUE(_xlfn._xlws.FILTER(Table2[base_indicator_name],(Table2[sector_name]=tblImpactScaled_Assessment[[#This Row],[Sector]])*(Table2[risk_name]=tblImpactScaled_Assessment[[#This Row],[Risk]])*(Table2[risk_component_name]=tblImpactScaled_Assessment[[#This Row],[Level 3 Component]])))),"")</f>
        <v>Population density, Urban users exposed, Exposed rural users, Exposed industrial users, Mining Users Exposed, Thermoelectricity users exposed, Animal husbandry users exposed, Irrigation users exposed</v>
      </c>
      <c r="M24" s="49" t="s">
        <v>1148</v>
      </c>
      <c r="N24" s="49" t="s">
        <v>1163</v>
      </c>
      <c r="O24" s="49" t="s">
        <v>1148</v>
      </c>
      <c r="P24" s="49"/>
      <c r="Q24" s="49"/>
      <c r="R24" s="49"/>
      <c r="S24" s="49"/>
      <c r="T24" s="49" t="s">
        <v>1148</v>
      </c>
      <c r="U24" s="49"/>
      <c r="V24" s="50">
        <f>IF(tblImpactScaled_Assessment[[#This Row],[Maladaptation risk?]]="Yes",_xlfn.XLOOKUP("Maladaptation adjustment factor",$C$6:$C$19,$D$6:$D$19),IF(tblImpactScaled_Assessment[[#This Row],[Maladaptation risk?]]="No",_xlfn.XLOOKUP("No maladaptation adjustment factor",$C$6:$C$19,$D$6:$D$19),""))</f>
        <v>1</v>
      </c>
      <c r="W24" s="51">
        <f>IF(tblImpactScaled_Assessment[[#This Row],[Impacts Level 3?]]&lt;&gt;"Yes",_xlfn.XLOOKUP("No effectiveness",$C$6:$C$19,$D$6:$D$19),_xlfn.XLOOKUP(tblImpactScaled_Assessment[[#This Row],[Effectiveness class]],$C$6:$C$19,$D$6:$D$19,0))</f>
        <v>0</v>
      </c>
      <c r="X24" s="50">
        <f>IF(tblImpactScaled_Assessment[[#This Row],[Impacts Level 3?]]&lt;&gt;"Yes",0,_xlfn.XLOOKUP(tblImpactScaled_Assessment[[#This Row],[Confidence level]]&amp;" confidence factor",$C$6:$C$19,$D$6:$D$19,0))</f>
        <v>0</v>
      </c>
      <c r="Y24" s="48" t="str">
        <f>_xlfn.XLOOKUP(tblImpactScaled_Assessment[[#This Row],[ActionID]],Table24[ActionID],Table24[TimelineForImplementation],"")</f>
        <v>&lt;5 years</v>
      </c>
      <c r="Z24" s="50">
        <f>_xlfn.XLOOKUP(IF(tblImpactScaled_Assessment[[#This Row],[Time horizon]]="&lt;5 years","Time factor (&lt; 5 years)",IF(tblImpactScaled_Assessment[[#This Row],[Time horizon]]="5-10 years","Time factor (5-10 years)","Time factor (&gt; 10 years)")),$C$6:$C$19,$D$6:$D$19,0)</f>
        <v>1</v>
      </c>
      <c r="AA24"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24" s="48" t="str">
        <f>IF(tblImpactScaled_Assessment[[#This Row],[Maladaptation risk?]]="Yes","Maladaptation risk to review","No")</f>
        <v>No</v>
      </c>
      <c r="AC24"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No impact</v>
      </c>
    </row>
    <row r="25" spans="2:29" ht="165">
      <c r="B25" s="48" t="s">
        <v>2</v>
      </c>
      <c r="C25" s="48" t="s">
        <v>3</v>
      </c>
      <c r="D25" s="48" t="s">
        <v>355</v>
      </c>
      <c r="E25" s="48" t="s">
        <v>1192</v>
      </c>
      <c r="F25" s="48" t="str">
        <f>_xlfn.XLOOKUP(tblImpactScaled_Assessment[[#This Row],[ActionID]],Table24[ActionID],Table24[ActionName],"")</f>
        <v>Improve Watershed Protection and Management</v>
      </c>
      <c r="G25" s="48" t="str">
        <f>_xlfn.XLOOKUP(tblImpactScaled_Assessment[[#This Row],[ActionID]],Table24[ActionID],Table24[Description],"")</f>
        <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v>
      </c>
      <c r="H25" s="48" t="str">
        <f>_xlfn.XLOOKUP(tblImpactScaled_Assessment[[#This Row],[ActionID]],Table24[ActionID],Table24[ActionSubcategory],"")</f>
        <v>Nature-Based Solutions</v>
      </c>
      <c r="I25" s="48" t="str">
        <f>_xlfn.XLOOKUP(tblImpactScaled_Assessment[[#This Row],[ActionID]],Table24[ActionID],Table24[ActionType],"")</f>
        <v>adaptation</v>
      </c>
      <c r="J25" s="48" t="s">
        <v>964</v>
      </c>
      <c r="K25" s="48" t="s">
        <v>85</v>
      </c>
      <c r="L25" s="48" t="str" cm="1">
        <f t="array" ref="L25">IFERROR(_xlfn.TEXTJOIN(", ",TRUE,_xlfn.UNIQUE(_xlfn._xlws.FILTER(Table2[base_indicator_name],(Table2[sector_name]=tblImpactScaled_Assessment[[#This Row],[Sector]])*(Table2[risk_name]=tblImpactScaled_Assessment[[#This Row],[Risk]])*(Table2[risk_component_name]=tblImpactScaled_Assessment[[#This Row],[Level 3 Component]])))),"")</f>
        <v>Water scarcity hazard</v>
      </c>
      <c r="M25" s="49" t="s">
        <v>1187</v>
      </c>
      <c r="N25" s="49" t="s">
        <v>1163</v>
      </c>
      <c r="O25" s="49" t="s">
        <v>1148</v>
      </c>
      <c r="P25" s="49"/>
      <c r="Q25" s="49"/>
      <c r="R25" s="49"/>
      <c r="S25" s="49"/>
      <c r="T25" s="49" t="s">
        <v>1148</v>
      </c>
      <c r="U25" s="49"/>
      <c r="V25" s="50">
        <f>IF(tblImpactScaled_Assessment[[#This Row],[Maladaptation risk?]]="Yes",_xlfn.XLOOKUP("Maladaptation adjustment factor",$C$6:$C$19,$D$6:$D$19),IF(tblImpactScaled_Assessment[[#This Row],[Maladaptation risk?]]="No",_xlfn.XLOOKUP("No maladaptation adjustment factor",$C$6:$C$19,$D$6:$D$19),""))</f>
        <v>1</v>
      </c>
      <c r="W25" s="51">
        <f>IF(tblImpactScaled_Assessment[[#This Row],[Impacts Level 3?]]&lt;&gt;"Yes",_xlfn.XLOOKUP("No effectiveness",$C$6:$C$19,$D$6:$D$19),_xlfn.XLOOKUP(tblImpactScaled_Assessment[[#This Row],[Effectiveness class]],$C$6:$C$19,$D$6:$D$19,0))</f>
        <v>0</v>
      </c>
      <c r="X25" s="50">
        <f>IF(tblImpactScaled_Assessment[[#This Row],[Impacts Level 3?]]&lt;&gt;"Yes",0,_xlfn.XLOOKUP(tblImpactScaled_Assessment[[#This Row],[Confidence level]]&amp;" confidence factor",$C$6:$C$19,$D$6:$D$19,0))</f>
        <v>0</v>
      </c>
      <c r="Y25" s="48" t="str">
        <f>_xlfn.XLOOKUP(tblImpactScaled_Assessment[[#This Row],[ActionID]],Table24[ActionID],Table24[TimelineForImplementation],"")</f>
        <v>&lt;5 years</v>
      </c>
      <c r="Z25" s="50">
        <f>_xlfn.XLOOKUP(IF(tblImpactScaled_Assessment[[#This Row],[Time horizon]]="&lt;5 years","Time factor (&lt; 5 years)",IF(tblImpactScaled_Assessment[[#This Row],[Time horizon]]="5-10 years","Time factor (5-10 years)","Time factor (&gt; 10 years)")),$C$6:$C$19,$D$6:$D$19,0)</f>
        <v>1</v>
      </c>
      <c r="AA25"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25" s="48" t="str">
        <f>IF(tblImpactScaled_Assessment[[#This Row],[Maladaptation risk?]]="Yes","Maladaptation risk to review","No")</f>
        <v>No</v>
      </c>
      <c r="AC25"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Excluded</v>
      </c>
    </row>
    <row r="26" spans="2:29" ht="315">
      <c r="B26" s="48" t="s">
        <v>2</v>
      </c>
      <c r="C26" s="48" t="s">
        <v>3</v>
      </c>
      <c r="D26" s="48" t="s">
        <v>543</v>
      </c>
      <c r="E26" s="48" t="s">
        <v>1192</v>
      </c>
      <c r="F26" s="48" t="str">
        <f>_xlfn.XLOOKUP(tblImpactScaled_Assessment[[#This Row],[ActionID]],Table24[ActionID],Table24[ActionName],"")</f>
        <v>Increase Water Capture and Storage</v>
      </c>
      <c r="G26" s="48" t="str">
        <f>_xlfn.XLOOKUP(tblImpactScaled_Assessment[[#This Row],[ActionID]],Table24[ActionID],Table24[Description],"")</f>
        <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v>
      </c>
      <c r="H26" s="48" t="str">
        <f>_xlfn.XLOOKUP(tblImpactScaled_Assessment[[#This Row],[ActionID]],Table24[ActionID],Table24[ActionSubcategory],"")</f>
        <v>Infrastructure Development</v>
      </c>
      <c r="I26" s="48" t="str">
        <f>_xlfn.XLOOKUP(tblImpactScaled_Assessment[[#This Row],[ActionID]],Table24[ActionID],Table24[ActionType],"")</f>
        <v>adaptation</v>
      </c>
      <c r="J26" s="48" t="s">
        <v>959</v>
      </c>
      <c r="K26" s="48" t="s">
        <v>33</v>
      </c>
      <c r="L26" s="48" t="str" cm="1">
        <f t="array" ref="L26">IFERROR(_xlfn.TEXTJOIN(", ",TRUE,_xlfn.UNIQUE(_xlfn._xlws.FILTER(Table2[base_indicator_name],(Table2[sector_name]=tblImpactScaled_Assessment[[#This Row],[Sector]])*(Table2[risk_name]=tblImpactScaled_Assessment[[#This Row],[Risk]])*(Table2[risk_component_name]=tblImpactScaled_Assessment[[#This Row],[Level 3 Component]])))),"")</f>
        <v>Inefficiency in water production, Inefficiency in water distribution, Average per capita water consumption, Water balance for agriculture, Water balance for industry, Diseases due to inadequate sanitation, Water quality, Degraded and/or deforested areas, Areas with soils susceptible to erosion, Ecological flow for ecosystem uses, Dam and mining safety, Municipal basic sanitation plan, Level of activity in basin committees, Drought-related prevention actions, Alternatives to water supply, Investments in water resources, Investments in adaptation policies, Resilient cities program, Cisterns program: water for consumption, Nature reserve, Artificial reserve, Underground storage potential, Agricultural participation in GDP, Industrial participation in GDP, Income not affected by water prices, Income greater than two minimum wages</v>
      </c>
      <c r="M26" s="49" t="s">
        <v>1147</v>
      </c>
      <c r="N26" s="49" t="s">
        <v>1161</v>
      </c>
      <c r="O26" s="49" t="s">
        <v>1148</v>
      </c>
      <c r="P26" s="49"/>
      <c r="Q26" s="49"/>
      <c r="R26" s="49" t="s">
        <v>1214</v>
      </c>
      <c r="S26" s="49" t="s">
        <v>1189</v>
      </c>
      <c r="T26" s="49" t="s">
        <v>1147</v>
      </c>
      <c r="U26" s="49"/>
      <c r="V26" s="50">
        <f>IF(tblImpactScaled_Assessment[[#This Row],[Maladaptation risk?]]="Yes",_xlfn.XLOOKUP("Maladaptation adjustment factor",$C$6:$C$19,$D$6:$D$19),IF(tblImpactScaled_Assessment[[#This Row],[Maladaptation risk?]]="No",_xlfn.XLOOKUP("No maladaptation adjustment factor",$C$6:$C$19,$D$6:$D$19),""))</f>
        <v>0.75</v>
      </c>
      <c r="W26" s="51">
        <f>IF(tblImpactScaled_Assessment[[#This Row],[Impacts Level 3?]]&lt;&gt;"Yes",_xlfn.XLOOKUP("No effectiveness",$C$6:$C$19,$D$6:$D$19),_xlfn.XLOOKUP(tblImpactScaled_Assessment[[#This Row],[Effectiveness class]],$C$6:$C$19,$D$6:$D$19,0))</f>
        <v>-1</v>
      </c>
      <c r="X26" s="50">
        <f>IF(tblImpactScaled_Assessment[[#This Row],[Impacts Level 3?]]&lt;&gt;"Yes",0,_xlfn.XLOOKUP(tblImpactScaled_Assessment[[#This Row],[Confidence level]]&amp;" confidence factor",$C$6:$C$19,$D$6:$D$19,0))</f>
        <v>0.75</v>
      </c>
      <c r="Y26" s="48" t="str">
        <f>_xlfn.XLOOKUP(tblImpactScaled_Assessment[[#This Row],[ActionID]],Table24[ActionID],Table24[TimelineForImplementation],"")</f>
        <v>5-10 years</v>
      </c>
      <c r="Z26" s="50">
        <f>_xlfn.XLOOKUP(IF(tblImpactScaled_Assessment[[#This Row],[Time horizon]]="&lt;5 years","Time factor (&lt; 5 years)",IF(tblImpactScaled_Assessment[[#This Row],[Time horizon]]="5-10 years","Time factor (5-10 years)","Time factor (&gt; 10 years)")),$C$6:$C$19,$D$6:$D$19,0)</f>
        <v>0.75</v>
      </c>
      <c r="AA26"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0.421875</v>
      </c>
      <c r="AB26" s="48" t="str">
        <f>IF(tblImpactScaled_Assessment[[#This Row],[Maladaptation risk?]]="Yes","Maladaptation risk to review","No")</f>
        <v>Maladaptation risk to review</v>
      </c>
      <c r="AC26"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Maladaptation risk to review</v>
      </c>
    </row>
    <row r="27" spans="2:29" ht="315">
      <c r="B27" s="48" t="s">
        <v>2</v>
      </c>
      <c r="C27" s="48" t="s">
        <v>3</v>
      </c>
      <c r="D27" s="48" t="s">
        <v>543</v>
      </c>
      <c r="E27" s="48" t="s">
        <v>1192</v>
      </c>
      <c r="F27" s="48" t="str">
        <f>_xlfn.XLOOKUP(tblImpactScaled_Assessment[[#This Row],[ActionID]],Table24[ActionID],Table24[ActionName],"")</f>
        <v>Increase Water Capture and Storage</v>
      </c>
      <c r="G27" s="48" t="str">
        <f>_xlfn.XLOOKUP(tblImpactScaled_Assessment[[#This Row],[ActionID]],Table24[ActionID],Table24[Description],"")</f>
        <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v>
      </c>
      <c r="H27" s="48" t="str">
        <f>_xlfn.XLOOKUP(tblImpactScaled_Assessment[[#This Row],[ActionID]],Table24[ActionID],Table24[ActionSubcategory],"")</f>
        <v>Infrastructure Development</v>
      </c>
      <c r="I27" s="48" t="str">
        <f>_xlfn.XLOOKUP(tblImpactScaled_Assessment[[#This Row],[ActionID]],Table24[ActionID],Table24[ActionType],"")</f>
        <v>adaptation</v>
      </c>
      <c r="J27" s="48" t="s">
        <v>963</v>
      </c>
      <c r="K27" s="48" t="s">
        <v>71</v>
      </c>
      <c r="L27" s="48" t="str" cm="1">
        <f t="array" ref="L27">IFERROR(_xlfn.TEXTJOIN(", ",TRUE,_xlfn.UNIQUE(_xlfn._xlws.FILTER(Table2[base_indicator_name],(Table2[sector_name]=tblImpactScaled_Assessment[[#This Row],[Sector]])*(Table2[risk_name]=tblImpactScaled_Assessment[[#This Row],[Risk]])*(Table2[risk_component_name]=tblImpactScaled_Assessment[[#This Row],[Level 3 Component]])))),"")</f>
        <v>Population density, Urban users exposed, Exposed rural users, Exposed industrial users, Mining Users Exposed, Thermoelectricity users exposed, Animal husbandry users exposed, Irrigation users exposed</v>
      </c>
      <c r="M27" s="49" t="s">
        <v>1147</v>
      </c>
      <c r="N27" s="49" t="s">
        <v>1162</v>
      </c>
      <c r="O27" s="49" t="s">
        <v>1148</v>
      </c>
      <c r="P27" s="49"/>
      <c r="Q27" s="49"/>
      <c r="R27" s="49" t="s">
        <v>1215</v>
      </c>
      <c r="S27" s="49" t="s">
        <v>1189</v>
      </c>
      <c r="T27" s="49" t="s">
        <v>1147</v>
      </c>
      <c r="U27" s="49"/>
      <c r="V27" s="50">
        <f>IF(tblImpactScaled_Assessment[[#This Row],[Maladaptation risk?]]="Yes",_xlfn.XLOOKUP("Maladaptation adjustment factor",$C$6:$C$19,$D$6:$D$19),IF(tblImpactScaled_Assessment[[#This Row],[Maladaptation risk?]]="No",_xlfn.XLOOKUP("No maladaptation adjustment factor",$C$6:$C$19,$D$6:$D$19),""))</f>
        <v>0.75</v>
      </c>
      <c r="W27" s="51">
        <f>IF(tblImpactScaled_Assessment[[#This Row],[Impacts Level 3?]]&lt;&gt;"Yes",_xlfn.XLOOKUP("No effectiveness",$C$6:$C$19,$D$6:$D$19),_xlfn.XLOOKUP(tblImpactScaled_Assessment[[#This Row],[Effectiveness class]],$C$6:$C$19,$D$6:$D$19,0))</f>
        <v>-0.5</v>
      </c>
      <c r="X27" s="50">
        <f>IF(tblImpactScaled_Assessment[[#This Row],[Impacts Level 3?]]&lt;&gt;"Yes",0,_xlfn.XLOOKUP(tblImpactScaled_Assessment[[#This Row],[Confidence level]]&amp;" confidence factor",$C$6:$C$19,$D$6:$D$19,0))</f>
        <v>0.75</v>
      </c>
      <c r="Y27" s="48" t="str">
        <f>_xlfn.XLOOKUP(tblImpactScaled_Assessment[[#This Row],[ActionID]],Table24[ActionID],Table24[TimelineForImplementation],"")</f>
        <v>5-10 years</v>
      </c>
      <c r="Z27" s="50">
        <f>_xlfn.XLOOKUP(IF(tblImpactScaled_Assessment[[#This Row],[Time horizon]]="&lt;5 years","Time factor (&lt; 5 years)",IF(tblImpactScaled_Assessment[[#This Row],[Time horizon]]="5-10 years","Time factor (5-10 years)","Time factor (&gt; 10 years)")),$C$6:$C$19,$D$6:$D$19,0)</f>
        <v>0.75</v>
      </c>
      <c r="AA27"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0.2109375</v>
      </c>
      <c r="AB27" s="48" t="str">
        <f>IF(tblImpactScaled_Assessment[[#This Row],[Maladaptation risk?]]="Yes","Maladaptation risk to review","No")</f>
        <v>Maladaptation risk to review</v>
      </c>
      <c r="AC27"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Maladaptation risk to review</v>
      </c>
    </row>
    <row r="28" spans="2:29" ht="315">
      <c r="B28" s="48" t="s">
        <v>2</v>
      </c>
      <c r="C28" s="48" t="s">
        <v>3</v>
      </c>
      <c r="D28" s="48" t="s">
        <v>543</v>
      </c>
      <c r="E28" s="48" t="s">
        <v>1192</v>
      </c>
      <c r="F28" s="48" t="str">
        <f>_xlfn.XLOOKUP(tblImpactScaled_Assessment[[#This Row],[ActionID]],Table24[ActionID],Table24[ActionName],"")</f>
        <v>Increase Water Capture and Storage</v>
      </c>
      <c r="G28" s="48" t="str">
        <f>_xlfn.XLOOKUP(tblImpactScaled_Assessment[[#This Row],[ActionID]],Table24[ActionID],Table24[Description],"")</f>
        <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v>
      </c>
      <c r="H28" s="48" t="str">
        <f>_xlfn.XLOOKUP(tblImpactScaled_Assessment[[#This Row],[ActionID]],Table24[ActionID],Table24[ActionSubcategory],"")</f>
        <v>Infrastructure Development</v>
      </c>
      <c r="I28" s="48" t="str">
        <f>_xlfn.XLOOKUP(tblImpactScaled_Assessment[[#This Row],[ActionID]],Table24[ActionID],Table24[ActionType],"")</f>
        <v>adaptation</v>
      </c>
      <c r="J28" s="48" t="s">
        <v>964</v>
      </c>
      <c r="K28" s="48" t="s">
        <v>85</v>
      </c>
      <c r="L28" s="48" t="str" cm="1">
        <f t="array" ref="L28">IFERROR(_xlfn.TEXTJOIN(", ",TRUE,_xlfn.UNIQUE(_xlfn._xlws.FILTER(Table2[base_indicator_name],(Table2[sector_name]=tblImpactScaled_Assessment[[#This Row],[Sector]])*(Table2[risk_name]=tblImpactScaled_Assessment[[#This Row],[Risk]])*(Table2[risk_component_name]=tblImpactScaled_Assessment[[#This Row],[Level 3 Component]])))),"")</f>
        <v>Water scarcity hazard</v>
      </c>
      <c r="M28" s="49" t="s">
        <v>1187</v>
      </c>
      <c r="N28" s="49" t="s">
        <v>1163</v>
      </c>
      <c r="O28" s="49" t="s">
        <v>1148</v>
      </c>
      <c r="P28" s="49"/>
      <c r="Q28" s="49"/>
      <c r="R28" s="49"/>
      <c r="S28" s="49"/>
      <c r="T28" s="49" t="s">
        <v>1147</v>
      </c>
      <c r="U28" s="49"/>
      <c r="V28" s="50">
        <f>IF(tblImpactScaled_Assessment[[#This Row],[Maladaptation risk?]]="Yes",_xlfn.XLOOKUP("Maladaptation adjustment factor",$C$6:$C$19,$D$6:$D$19),IF(tblImpactScaled_Assessment[[#This Row],[Maladaptation risk?]]="No",_xlfn.XLOOKUP("No maladaptation adjustment factor",$C$6:$C$19,$D$6:$D$19),""))</f>
        <v>0.75</v>
      </c>
      <c r="W28" s="51">
        <f>IF(tblImpactScaled_Assessment[[#This Row],[Impacts Level 3?]]&lt;&gt;"Yes",_xlfn.XLOOKUP("No effectiveness",$C$6:$C$19,$D$6:$D$19),_xlfn.XLOOKUP(tblImpactScaled_Assessment[[#This Row],[Effectiveness class]],$C$6:$C$19,$D$6:$D$19,0))</f>
        <v>0</v>
      </c>
      <c r="X28" s="50">
        <f>IF(tblImpactScaled_Assessment[[#This Row],[Impacts Level 3?]]&lt;&gt;"Yes",0,_xlfn.XLOOKUP(tblImpactScaled_Assessment[[#This Row],[Confidence level]]&amp;" confidence factor",$C$6:$C$19,$D$6:$D$19,0))</f>
        <v>0</v>
      </c>
      <c r="Y28" s="48" t="str">
        <f>_xlfn.XLOOKUP(tblImpactScaled_Assessment[[#This Row],[ActionID]],Table24[ActionID],Table24[TimelineForImplementation],"")</f>
        <v>5-10 years</v>
      </c>
      <c r="Z28" s="50">
        <f>_xlfn.XLOOKUP(IF(tblImpactScaled_Assessment[[#This Row],[Time horizon]]="&lt;5 years","Time factor (&lt; 5 years)",IF(tblImpactScaled_Assessment[[#This Row],[Time horizon]]="5-10 years","Time factor (5-10 years)","Time factor (&gt; 10 years)")),$C$6:$C$19,$D$6:$D$19,0)</f>
        <v>0.75</v>
      </c>
      <c r="AA28"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28" s="48" t="str">
        <f>IF(tblImpactScaled_Assessment[[#This Row],[Maladaptation risk?]]="Yes","Maladaptation risk to review","No")</f>
        <v>Maladaptation risk to review</v>
      </c>
      <c r="AC28"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Excluded</v>
      </c>
    </row>
    <row r="29" spans="2:29" ht="375">
      <c r="B29" s="48" t="s">
        <v>2</v>
      </c>
      <c r="C29" s="48" t="s">
        <v>3</v>
      </c>
      <c r="D29" s="48" t="s">
        <v>547</v>
      </c>
      <c r="E29" s="48" t="s">
        <v>1192</v>
      </c>
      <c r="F29" s="48" t="str">
        <f>_xlfn.XLOOKUP(tblImpactScaled_Assessment[[#This Row],[ActionID]],Table24[ActionID],Table24[ActionName],"")</f>
        <v>Improve Efficient water use/demand</v>
      </c>
      <c r="G29" s="48" t="str">
        <f>_xlfn.XLOOKUP(tblImpactScaled_Assessment[[#This Row],[ActionID]],Table24[ActionID],Table24[Description],"")</f>
        <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v>
      </c>
      <c r="H29" s="48" t="str">
        <f>_xlfn.XLOOKUP(tblImpactScaled_Assessment[[#This Row],[ActionID]],Table24[ActionID],Table24[ActionSubcategory],"")</f>
        <v>Infrastructure Development</v>
      </c>
      <c r="I29" s="48" t="str">
        <f>_xlfn.XLOOKUP(tblImpactScaled_Assessment[[#This Row],[ActionID]],Table24[ActionID],Table24[ActionType],"")</f>
        <v>adaptation</v>
      </c>
      <c r="J29" s="48" t="s">
        <v>959</v>
      </c>
      <c r="K29" s="48" t="s">
        <v>33</v>
      </c>
      <c r="L29" s="48" t="str" cm="1">
        <f t="array" ref="L29">IFERROR(_xlfn.TEXTJOIN(", ",TRUE,_xlfn.UNIQUE(_xlfn._xlws.FILTER(Table2[base_indicator_name],(Table2[sector_name]=tblImpactScaled_Assessment[[#This Row],[Sector]])*(Table2[risk_name]=tblImpactScaled_Assessment[[#This Row],[Risk]])*(Table2[risk_component_name]=tblImpactScaled_Assessment[[#This Row],[Level 3 Component]])))),"")</f>
        <v>Inefficiency in water production, Inefficiency in water distribution, Average per capita water consumption, Water balance for agriculture, Water balance for industry, Diseases due to inadequate sanitation, Water quality, Degraded and/or deforested areas, Areas with soils susceptible to erosion, Ecological flow for ecosystem uses, Dam and mining safety, Municipal basic sanitation plan, Level of activity in basin committees, Drought-related prevention actions, Alternatives to water supply, Investments in water resources, Investments in adaptation policies, Resilient cities program, Cisterns program: water for consumption, Nature reserve, Artificial reserve, Underground storage potential, Agricultural participation in GDP, Industrial participation in GDP, Income not affected by water prices, Income greater than two minimum wages</v>
      </c>
      <c r="M29" s="49" t="s">
        <v>1147</v>
      </c>
      <c r="N29" s="49" t="s">
        <v>1161</v>
      </c>
      <c r="O29" s="49" t="s">
        <v>1148</v>
      </c>
      <c r="P29" s="49"/>
      <c r="Q29" s="49"/>
      <c r="R29" s="49" t="s">
        <v>1216</v>
      </c>
      <c r="S29" s="49" t="s">
        <v>1189</v>
      </c>
      <c r="T29" s="49" t="s">
        <v>1148</v>
      </c>
      <c r="U29" s="49"/>
      <c r="V29" s="50">
        <f>IF(tblImpactScaled_Assessment[[#This Row],[Maladaptation risk?]]="Yes",_xlfn.XLOOKUP("Maladaptation adjustment factor",$C$6:$C$19,$D$6:$D$19),IF(tblImpactScaled_Assessment[[#This Row],[Maladaptation risk?]]="No",_xlfn.XLOOKUP("No maladaptation adjustment factor",$C$6:$C$19,$D$6:$D$19),""))</f>
        <v>1</v>
      </c>
      <c r="W29" s="51">
        <f>IF(tblImpactScaled_Assessment[[#This Row],[Impacts Level 3?]]&lt;&gt;"Yes",_xlfn.XLOOKUP("No effectiveness",$C$6:$C$19,$D$6:$D$19),_xlfn.XLOOKUP(tblImpactScaled_Assessment[[#This Row],[Effectiveness class]],$C$6:$C$19,$D$6:$D$19,0))</f>
        <v>-1</v>
      </c>
      <c r="X29" s="50">
        <f>IF(tblImpactScaled_Assessment[[#This Row],[Impacts Level 3?]]&lt;&gt;"Yes",0,_xlfn.XLOOKUP(tblImpactScaled_Assessment[[#This Row],[Confidence level]]&amp;" confidence factor",$C$6:$C$19,$D$6:$D$19,0))</f>
        <v>0.75</v>
      </c>
      <c r="Y29" s="48" t="str">
        <f>_xlfn.XLOOKUP(tblImpactScaled_Assessment[[#This Row],[ActionID]],Table24[ActionID],Table24[TimelineForImplementation],"")</f>
        <v>5-10 years</v>
      </c>
      <c r="Z29" s="50">
        <f>_xlfn.XLOOKUP(IF(tblImpactScaled_Assessment[[#This Row],[Time horizon]]="&lt;5 years","Time factor (&lt; 5 years)",IF(tblImpactScaled_Assessment[[#This Row],[Time horizon]]="5-10 years","Time factor (5-10 years)","Time factor (&gt; 10 years)")),$C$6:$C$19,$D$6:$D$19,0)</f>
        <v>0.75</v>
      </c>
      <c r="AA29"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0.5625</v>
      </c>
      <c r="AB29" s="48" t="str">
        <f>IF(tblImpactScaled_Assessment[[#This Row],[Maladaptation risk?]]="Yes","Maladaptation risk to review","No")</f>
        <v>No</v>
      </c>
      <c r="AC29"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Complete</v>
      </c>
    </row>
    <row r="30" spans="2:29" ht="375">
      <c r="B30" s="48" t="s">
        <v>2</v>
      </c>
      <c r="C30" s="48" t="s">
        <v>3</v>
      </c>
      <c r="D30" s="48" t="s">
        <v>547</v>
      </c>
      <c r="E30" s="48" t="s">
        <v>1192</v>
      </c>
      <c r="F30" s="48" t="str">
        <f>_xlfn.XLOOKUP(tblImpactScaled_Assessment[[#This Row],[ActionID]],Table24[ActionID],Table24[ActionName],"")</f>
        <v>Improve Efficient water use/demand</v>
      </c>
      <c r="G30" s="48" t="str">
        <f>_xlfn.XLOOKUP(tblImpactScaled_Assessment[[#This Row],[ActionID]],Table24[ActionID],Table24[Description],"")</f>
        <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v>
      </c>
      <c r="H30" s="48" t="str">
        <f>_xlfn.XLOOKUP(tblImpactScaled_Assessment[[#This Row],[ActionID]],Table24[ActionID],Table24[ActionSubcategory],"")</f>
        <v>Infrastructure Development</v>
      </c>
      <c r="I30" s="48" t="str">
        <f>_xlfn.XLOOKUP(tblImpactScaled_Assessment[[#This Row],[ActionID]],Table24[ActionID],Table24[ActionType],"")</f>
        <v>adaptation</v>
      </c>
      <c r="J30" s="48" t="s">
        <v>963</v>
      </c>
      <c r="K30" s="48" t="s">
        <v>71</v>
      </c>
      <c r="L30" s="48" t="str" cm="1">
        <f t="array" ref="L30">IFERROR(_xlfn.TEXTJOIN(", ",TRUE,_xlfn.UNIQUE(_xlfn._xlws.FILTER(Table2[base_indicator_name],(Table2[sector_name]=tblImpactScaled_Assessment[[#This Row],[Sector]])*(Table2[risk_name]=tblImpactScaled_Assessment[[#This Row],[Risk]])*(Table2[risk_component_name]=tblImpactScaled_Assessment[[#This Row],[Level 3 Component]])))),"")</f>
        <v>Population density, Urban users exposed, Exposed rural users, Exposed industrial users, Mining Users Exposed, Thermoelectricity users exposed, Animal husbandry users exposed, Irrigation users exposed</v>
      </c>
      <c r="M30" s="49" t="s">
        <v>1148</v>
      </c>
      <c r="N30" s="49" t="s">
        <v>1163</v>
      </c>
      <c r="O30" s="49" t="s">
        <v>1148</v>
      </c>
      <c r="P30" s="49"/>
      <c r="Q30" s="49"/>
      <c r="R30" s="49"/>
      <c r="S30" s="49"/>
      <c r="T30" s="49" t="s">
        <v>1148</v>
      </c>
      <c r="U30" s="49"/>
      <c r="V30" s="50">
        <f>IF(tblImpactScaled_Assessment[[#This Row],[Maladaptation risk?]]="Yes",_xlfn.XLOOKUP("Maladaptation adjustment factor",$C$6:$C$19,$D$6:$D$19),IF(tblImpactScaled_Assessment[[#This Row],[Maladaptation risk?]]="No",_xlfn.XLOOKUP("No maladaptation adjustment factor",$C$6:$C$19,$D$6:$D$19),""))</f>
        <v>1</v>
      </c>
      <c r="W30" s="51">
        <f>IF(tblImpactScaled_Assessment[[#This Row],[Impacts Level 3?]]&lt;&gt;"Yes",_xlfn.XLOOKUP("No effectiveness",$C$6:$C$19,$D$6:$D$19),_xlfn.XLOOKUP(tblImpactScaled_Assessment[[#This Row],[Effectiveness class]],$C$6:$C$19,$D$6:$D$19,0))</f>
        <v>0</v>
      </c>
      <c r="X30" s="50">
        <f>IF(tblImpactScaled_Assessment[[#This Row],[Impacts Level 3?]]&lt;&gt;"Yes",0,_xlfn.XLOOKUP(tblImpactScaled_Assessment[[#This Row],[Confidence level]]&amp;" confidence factor",$C$6:$C$19,$D$6:$D$19,0))</f>
        <v>0</v>
      </c>
      <c r="Y30" s="48" t="str">
        <f>_xlfn.XLOOKUP(tblImpactScaled_Assessment[[#This Row],[ActionID]],Table24[ActionID],Table24[TimelineForImplementation],"")</f>
        <v>5-10 years</v>
      </c>
      <c r="Z30" s="50">
        <f>_xlfn.XLOOKUP(IF(tblImpactScaled_Assessment[[#This Row],[Time horizon]]="&lt;5 years","Time factor (&lt; 5 years)",IF(tblImpactScaled_Assessment[[#This Row],[Time horizon]]="5-10 years","Time factor (5-10 years)","Time factor (&gt; 10 years)")),$C$6:$C$19,$D$6:$D$19,0)</f>
        <v>0.75</v>
      </c>
      <c r="AA30"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30" s="48" t="str">
        <f>IF(tblImpactScaled_Assessment[[#This Row],[Maladaptation risk?]]="Yes","Maladaptation risk to review","No")</f>
        <v>No</v>
      </c>
      <c r="AC30"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No impact</v>
      </c>
    </row>
    <row r="31" spans="2:29" ht="375">
      <c r="B31" s="48" t="s">
        <v>2</v>
      </c>
      <c r="C31" s="48" t="s">
        <v>3</v>
      </c>
      <c r="D31" s="48" t="s">
        <v>547</v>
      </c>
      <c r="E31" s="48" t="s">
        <v>1192</v>
      </c>
      <c r="F31" s="48" t="str">
        <f>_xlfn.XLOOKUP(tblImpactScaled_Assessment[[#This Row],[ActionID]],Table24[ActionID],Table24[ActionName],"")</f>
        <v>Improve Efficient water use/demand</v>
      </c>
      <c r="G31" s="48" t="str">
        <f>_xlfn.XLOOKUP(tblImpactScaled_Assessment[[#This Row],[ActionID]],Table24[ActionID],Table24[Description],"")</f>
        <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v>
      </c>
      <c r="H31" s="48" t="str">
        <f>_xlfn.XLOOKUP(tblImpactScaled_Assessment[[#This Row],[ActionID]],Table24[ActionID],Table24[ActionSubcategory],"")</f>
        <v>Infrastructure Development</v>
      </c>
      <c r="I31" s="48" t="str">
        <f>_xlfn.XLOOKUP(tblImpactScaled_Assessment[[#This Row],[ActionID]],Table24[ActionID],Table24[ActionType],"")</f>
        <v>adaptation</v>
      </c>
      <c r="J31" s="48" t="s">
        <v>964</v>
      </c>
      <c r="K31" s="48" t="s">
        <v>85</v>
      </c>
      <c r="L31" s="48" t="str" cm="1">
        <f t="array" ref="L31">IFERROR(_xlfn.TEXTJOIN(", ",TRUE,_xlfn.UNIQUE(_xlfn._xlws.FILTER(Table2[base_indicator_name],(Table2[sector_name]=tblImpactScaled_Assessment[[#This Row],[Sector]])*(Table2[risk_name]=tblImpactScaled_Assessment[[#This Row],[Risk]])*(Table2[risk_component_name]=tblImpactScaled_Assessment[[#This Row],[Level 3 Component]])))),"")</f>
        <v>Water scarcity hazard</v>
      </c>
      <c r="M31" s="49" t="s">
        <v>1187</v>
      </c>
      <c r="N31" s="49" t="s">
        <v>1163</v>
      </c>
      <c r="O31" s="49" t="s">
        <v>1148</v>
      </c>
      <c r="P31" s="49"/>
      <c r="Q31" s="49"/>
      <c r="R31" s="49"/>
      <c r="S31" s="49"/>
      <c r="T31" s="49" t="s">
        <v>1148</v>
      </c>
      <c r="U31" s="49"/>
      <c r="V31" s="50">
        <f>IF(tblImpactScaled_Assessment[[#This Row],[Maladaptation risk?]]="Yes",_xlfn.XLOOKUP("Maladaptation adjustment factor",$C$6:$C$19,$D$6:$D$19),IF(tblImpactScaled_Assessment[[#This Row],[Maladaptation risk?]]="No",_xlfn.XLOOKUP("No maladaptation adjustment factor",$C$6:$C$19,$D$6:$D$19),""))</f>
        <v>1</v>
      </c>
      <c r="W31" s="51">
        <f>IF(tblImpactScaled_Assessment[[#This Row],[Impacts Level 3?]]&lt;&gt;"Yes",_xlfn.XLOOKUP("No effectiveness",$C$6:$C$19,$D$6:$D$19),_xlfn.XLOOKUP(tblImpactScaled_Assessment[[#This Row],[Effectiveness class]],$C$6:$C$19,$D$6:$D$19,0))</f>
        <v>0</v>
      </c>
      <c r="X31" s="50">
        <f>IF(tblImpactScaled_Assessment[[#This Row],[Impacts Level 3?]]&lt;&gt;"Yes",0,_xlfn.XLOOKUP(tblImpactScaled_Assessment[[#This Row],[Confidence level]]&amp;" confidence factor",$C$6:$C$19,$D$6:$D$19,0))</f>
        <v>0</v>
      </c>
      <c r="Y31" s="48" t="str">
        <f>_xlfn.XLOOKUP(tblImpactScaled_Assessment[[#This Row],[ActionID]],Table24[ActionID],Table24[TimelineForImplementation],"")</f>
        <v>5-10 years</v>
      </c>
      <c r="Z31" s="50">
        <f>_xlfn.XLOOKUP(IF(tblImpactScaled_Assessment[[#This Row],[Time horizon]]="&lt;5 years","Time factor (&lt; 5 years)",IF(tblImpactScaled_Assessment[[#This Row],[Time horizon]]="5-10 years","Time factor (5-10 years)","Time factor (&gt; 10 years)")),$C$6:$C$19,$D$6:$D$19,0)</f>
        <v>0.75</v>
      </c>
      <c r="AA31"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31" s="48" t="str">
        <f>IF(tblImpactScaled_Assessment[[#This Row],[Maladaptation risk?]]="Yes","Maladaptation risk to review","No")</f>
        <v>No</v>
      </c>
      <c r="AC31"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Excluded</v>
      </c>
    </row>
    <row r="32" spans="2:29" ht="150">
      <c r="B32" s="48" t="s">
        <v>10</v>
      </c>
      <c r="C32" s="48" t="s">
        <v>11</v>
      </c>
      <c r="D32" s="48" t="s">
        <v>341</v>
      </c>
      <c r="E32" s="48" t="s">
        <v>1192</v>
      </c>
      <c r="F32" s="48" t="str">
        <f>_xlfn.XLOOKUP(tblImpactScaled_Assessment[[#This Row],[ActionID]],Table24[ActionID],Table24[ActionName],"")</f>
        <v>Provide public shading in heat hotspots</v>
      </c>
      <c r="G32" s="48" t="str">
        <f>_xlfn.XLOOKUP(tblImpactScaled_Assessment[[#This Row],[ActionID]],Table24[ActionID],Table24[Description],"")</f>
        <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v>
      </c>
      <c r="H32" s="48" t="str">
        <f>_xlfn.XLOOKUP(tblImpactScaled_Assessment[[#This Row],[ActionID]],Table24[ActionID],Table24[ActionSubcategory],"")</f>
        <v>Nature-Based Solutions</v>
      </c>
      <c r="I32" s="48" t="str">
        <f>_xlfn.XLOOKUP(tblImpactScaled_Assessment[[#This Row],[ActionID]],Table24[ActionID],Table24[ActionType],"")</f>
        <v>adaptation</v>
      </c>
      <c r="J32" s="48" t="s">
        <v>959</v>
      </c>
      <c r="K32" s="48" t="s">
        <v>33</v>
      </c>
      <c r="L32" s="48" t="str" cm="1">
        <f t="array" ref="L32">IFERROR(_xlfn.TEXTJOIN(", ",TRUE,_xlfn.UNIQUE(_xlfn._xlws.FILTER(Table2[base_indicator_name],(Table2[sector_name]=tblImpactScaled_Assessment[[#This Row],[Sector]])*(Table2[risk_name]=tblImpactScaled_Assessment[[#This Row],[Risk]])*(Table2[risk_component_name]=tblImpactScaled_Assessment[[#This Row],[Level 3 Component]])))),"")</f>
        <v>No access to adequate sanitation, HDI-M, Municipal tourism, Recent immigration, Ipa, falciparum malaria, Basic care coverage, Access to diagnosis and treatment</v>
      </c>
      <c r="M32" s="49" t="s">
        <v>1148</v>
      </c>
      <c r="N32" s="49" t="s">
        <v>1163</v>
      </c>
      <c r="O32" s="49" t="s">
        <v>1148</v>
      </c>
      <c r="P32" s="49"/>
      <c r="Q32" s="49"/>
      <c r="R32" s="49" t="s">
        <v>1235</v>
      </c>
      <c r="S32" s="49" t="s">
        <v>1189</v>
      </c>
      <c r="T32" s="49" t="s">
        <v>1148</v>
      </c>
      <c r="U32" s="49"/>
      <c r="V32" s="50">
        <f>IF(tblImpactScaled_Assessment[[#This Row],[Maladaptation risk?]]="Yes",_xlfn.XLOOKUP("Maladaptation adjustment factor",$C$6:$C$19,$D$6:$D$19),IF(tblImpactScaled_Assessment[[#This Row],[Maladaptation risk?]]="No",_xlfn.XLOOKUP("No maladaptation adjustment factor",$C$6:$C$19,$D$6:$D$19),""))</f>
        <v>1</v>
      </c>
      <c r="W32" s="51">
        <f>IF(tblImpactScaled_Assessment[[#This Row],[Impacts Level 3?]]&lt;&gt;"Yes",_xlfn.XLOOKUP("No effectiveness",$C$6:$C$19,$D$6:$D$19),_xlfn.XLOOKUP(tblImpactScaled_Assessment[[#This Row],[Effectiveness class]],$C$6:$C$19,$D$6:$D$19,0))</f>
        <v>0</v>
      </c>
      <c r="X32" s="50">
        <f>IF(tblImpactScaled_Assessment[[#This Row],[Impacts Level 3?]]&lt;&gt;"Yes",0,_xlfn.XLOOKUP(tblImpactScaled_Assessment[[#This Row],[Confidence level]]&amp;" confidence factor",$C$6:$C$19,$D$6:$D$19,0))</f>
        <v>0</v>
      </c>
      <c r="Y32" s="48" t="str">
        <f>_xlfn.XLOOKUP(tblImpactScaled_Assessment[[#This Row],[ActionID]],Table24[ActionID],Table24[TimelineForImplementation],"")</f>
        <v>&lt;5 years</v>
      </c>
      <c r="Z32" s="50">
        <f>_xlfn.XLOOKUP(IF(tblImpactScaled_Assessment[[#This Row],[Time horizon]]="&lt;5 years","Time factor (&lt; 5 years)",IF(tblImpactScaled_Assessment[[#This Row],[Time horizon]]="5-10 years","Time factor (5-10 years)","Time factor (&gt; 10 years)")),$C$6:$C$19,$D$6:$D$19,0)</f>
        <v>1</v>
      </c>
      <c r="AA32"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32" s="48" t="str">
        <f>IF(tblImpactScaled_Assessment[[#This Row],[Maladaptation risk?]]="Yes","Maladaptation risk to review","No")</f>
        <v>No</v>
      </c>
      <c r="AC32"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No impact</v>
      </c>
    </row>
    <row r="33" spans="2:29" ht="150">
      <c r="B33" s="48" t="s">
        <v>10</v>
      </c>
      <c r="C33" s="48" t="s">
        <v>11</v>
      </c>
      <c r="D33" s="48" t="s">
        <v>341</v>
      </c>
      <c r="E33" s="48" t="s">
        <v>1192</v>
      </c>
      <c r="F33" s="48" t="str">
        <f>_xlfn.XLOOKUP(tblImpactScaled_Assessment[[#This Row],[ActionID]],Table24[ActionID],Table24[ActionName],"")</f>
        <v>Provide public shading in heat hotspots</v>
      </c>
      <c r="G33" s="48" t="str">
        <f>_xlfn.XLOOKUP(tblImpactScaled_Assessment[[#This Row],[ActionID]],Table24[ActionID],Table24[Description],"")</f>
        <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v>
      </c>
      <c r="H33" s="48" t="str">
        <f>_xlfn.XLOOKUP(tblImpactScaled_Assessment[[#This Row],[ActionID]],Table24[ActionID],Table24[ActionSubcategory],"")</f>
        <v>Nature-Based Solutions</v>
      </c>
      <c r="I33" s="48" t="str">
        <f>_xlfn.XLOOKUP(tblImpactScaled_Assessment[[#This Row],[ActionID]],Table24[ActionID],Table24[ActionType],"")</f>
        <v>adaptation</v>
      </c>
      <c r="J33" s="48" t="s">
        <v>963</v>
      </c>
      <c r="K33" s="48" t="s">
        <v>71</v>
      </c>
      <c r="L33" s="48" t="str" cm="1">
        <f t="array" ref="L33">IFERROR(_xlfn.TEXTJOIN(", ",TRUE,_xlfn.UNIQUE(_xlfn._xlws.FILTER(Table2[base_indicator_name],(Table2[sector_name]=tblImpactScaled_Assessment[[#This Row],[Sector]])*(Table2[risk_name]=tblImpactScaled_Assessment[[#This Row],[Risk]])*(Table2[risk_component_name]=tblImpactScaled_Assessment[[#This Row],[Level 3 Component]])))),"")</f>
        <v>Highway density, Settlements, Mining, Deforestation, Rural population, Bodies of water</v>
      </c>
      <c r="M33" s="49" t="s">
        <v>1148</v>
      </c>
      <c r="N33" s="49" t="s">
        <v>1163</v>
      </c>
      <c r="O33" s="49" t="s">
        <v>1148</v>
      </c>
      <c r="P33" s="49"/>
      <c r="Q33" s="49"/>
      <c r="R33" s="49" t="s">
        <v>1236</v>
      </c>
      <c r="S33" s="49" t="s">
        <v>1189</v>
      </c>
      <c r="T33" s="49" t="s">
        <v>1148</v>
      </c>
      <c r="U33" s="49"/>
      <c r="V33" s="50">
        <f>IF(tblImpactScaled_Assessment[[#This Row],[Maladaptation risk?]]="Yes",_xlfn.XLOOKUP("Maladaptation adjustment factor",$C$6:$C$19,$D$6:$D$19),IF(tblImpactScaled_Assessment[[#This Row],[Maladaptation risk?]]="No",_xlfn.XLOOKUP("No maladaptation adjustment factor",$C$6:$C$19,$D$6:$D$19),""))</f>
        <v>1</v>
      </c>
      <c r="W33" s="51">
        <f>IF(tblImpactScaled_Assessment[[#This Row],[Impacts Level 3?]]&lt;&gt;"Yes",_xlfn.XLOOKUP("No effectiveness",$C$6:$C$19,$D$6:$D$19),_xlfn.XLOOKUP(tblImpactScaled_Assessment[[#This Row],[Effectiveness class]],$C$6:$C$19,$D$6:$D$19,0))</f>
        <v>0</v>
      </c>
      <c r="X33" s="50">
        <f>IF(tblImpactScaled_Assessment[[#This Row],[Impacts Level 3?]]&lt;&gt;"Yes",0,_xlfn.XLOOKUP(tblImpactScaled_Assessment[[#This Row],[Confidence level]]&amp;" confidence factor",$C$6:$C$19,$D$6:$D$19,0))</f>
        <v>0</v>
      </c>
      <c r="Y33" s="48" t="str">
        <f>_xlfn.XLOOKUP(tblImpactScaled_Assessment[[#This Row],[ActionID]],Table24[ActionID],Table24[TimelineForImplementation],"")</f>
        <v>&lt;5 years</v>
      </c>
      <c r="Z33" s="50">
        <f>_xlfn.XLOOKUP(IF(tblImpactScaled_Assessment[[#This Row],[Time horizon]]="&lt;5 years","Time factor (&lt; 5 years)",IF(tblImpactScaled_Assessment[[#This Row],[Time horizon]]="5-10 years","Time factor (5-10 years)","Time factor (&gt; 10 years)")),$C$6:$C$19,$D$6:$D$19,0)</f>
        <v>1</v>
      </c>
      <c r="AA33"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33" s="48" t="str">
        <f>IF(tblImpactScaled_Assessment[[#This Row],[Maladaptation risk?]]="Yes","Maladaptation risk to review","No")</f>
        <v>No</v>
      </c>
      <c r="AC33"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No impact</v>
      </c>
    </row>
    <row r="34" spans="2:29" ht="150">
      <c r="B34" s="48" t="s">
        <v>10</v>
      </c>
      <c r="C34" s="48" t="s">
        <v>11</v>
      </c>
      <c r="D34" s="48" t="s">
        <v>341</v>
      </c>
      <c r="E34" s="48" t="s">
        <v>1192</v>
      </c>
      <c r="F34" s="48" t="str">
        <f>_xlfn.XLOOKUP(tblImpactScaled_Assessment[[#This Row],[ActionID]],Table24[ActionID],Table24[ActionName],"")</f>
        <v>Provide public shading in heat hotspots</v>
      </c>
      <c r="G34" s="48" t="str">
        <f>_xlfn.XLOOKUP(tblImpactScaled_Assessment[[#This Row],[ActionID]],Table24[ActionID],Table24[Description],"")</f>
        <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v>
      </c>
      <c r="H34" s="48" t="str">
        <f>_xlfn.XLOOKUP(tblImpactScaled_Assessment[[#This Row],[ActionID]],Table24[ActionID],Table24[ActionSubcategory],"")</f>
        <v>Nature-Based Solutions</v>
      </c>
      <c r="I34" s="48" t="str">
        <f>_xlfn.XLOOKUP(tblImpactScaled_Assessment[[#This Row],[ActionID]],Table24[ActionID],Table24[ActionType],"")</f>
        <v>adaptation</v>
      </c>
      <c r="J34" s="48" t="s">
        <v>964</v>
      </c>
      <c r="K34" s="48" t="s">
        <v>85</v>
      </c>
      <c r="L34" s="48" t="str" cm="1">
        <f t="array" ref="L34">IFERROR(_xlfn.TEXTJOIN(", ",TRUE,_xlfn.UNIQUE(_xlfn._xlws.FILTER(Table2[base_indicator_name],(Table2[sector_name]=tblImpactScaled_Assessment[[#This Row],[Sector]])*(Table2[risk_name]=tblImpactScaled_Assessment[[#This Row],[Risk]])*(Table2[risk_component_name]=tblImpactScaled_Assessment[[#This Row],[Level 3 Component]])))),"")</f>
        <v>Maximum temperature, Precipitation intensity, Relative humidity</v>
      </c>
      <c r="M34" s="49" t="s">
        <v>1187</v>
      </c>
      <c r="N34" s="49" t="s">
        <v>1163</v>
      </c>
      <c r="O34" s="49" t="s">
        <v>1148</v>
      </c>
      <c r="P34" s="49"/>
      <c r="Q34" s="49"/>
      <c r="R34" s="49" t="s">
        <v>1188</v>
      </c>
      <c r="S34" s="49" t="s">
        <v>1189</v>
      </c>
      <c r="T34" s="49" t="s">
        <v>1148</v>
      </c>
      <c r="U34" s="49"/>
      <c r="V34" s="50">
        <f>IF(tblImpactScaled_Assessment[[#This Row],[Maladaptation risk?]]="Yes",_xlfn.XLOOKUP("Maladaptation adjustment factor",$C$6:$C$19,$D$6:$D$19),IF(tblImpactScaled_Assessment[[#This Row],[Maladaptation risk?]]="No",_xlfn.XLOOKUP("No maladaptation adjustment factor",$C$6:$C$19,$D$6:$D$19),""))</f>
        <v>1</v>
      </c>
      <c r="W34" s="51">
        <f>IF(tblImpactScaled_Assessment[[#This Row],[Impacts Level 3?]]&lt;&gt;"Yes",_xlfn.XLOOKUP("No effectiveness",$C$6:$C$19,$D$6:$D$19),_xlfn.XLOOKUP(tblImpactScaled_Assessment[[#This Row],[Effectiveness class]],$C$6:$C$19,$D$6:$D$19,0))</f>
        <v>0</v>
      </c>
      <c r="X34" s="50">
        <f>IF(tblImpactScaled_Assessment[[#This Row],[Impacts Level 3?]]&lt;&gt;"Yes",0,_xlfn.XLOOKUP(tblImpactScaled_Assessment[[#This Row],[Confidence level]]&amp;" confidence factor",$C$6:$C$19,$D$6:$D$19,0))</f>
        <v>0</v>
      </c>
      <c r="Y34" s="48" t="str">
        <f>_xlfn.XLOOKUP(tblImpactScaled_Assessment[[#This Row],[ActionID]],Table24[ActionID],Table24[TimelineForImplementation],"")</f>
        <v>&lt;5 years</v>
      </c>
      <c r="Z34" s="50">
        <f>_xlfn.XLOOKUP(IF(tblImpactScaled_Assessment[[#This Row],[Time horizon]]="&lt;5 years","Time factor (&lt; 5 years)",IF(tblImpactScaled_Assessment[[#This Row],[Time horizon]]="5-10 years","Time factor (5-10 years)","Time factor (&gt; 10 years)")),$C$6:$C$19,$D$6:$D$19,0)</f>
        <v>1</v>
      </c>
      <c r="AA34"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34" s="48" t="str">
        <f>IF(tblImpactScaled_Assessment[[#This Row],[Maladaptation risk?]]="Yes","Maladaptation risk to review","No")</f>
        <v>No</v>
      </c>
      <c r="AC34"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Excluded</v>
      </c>
    </row>
    <row r="35" spans="2:29" ht="150">
      <c r="B35" s="48" t="s">
        <v>10</v>
      </c>
      <c r="C35" s="48" t="s">
        <v>11</v>
      </c>
      <c r="D35" s="48" t="s">
        <v>369</v>
      </c>
      <c r="E35" s="48" t="s">
        <v>1192</v>
      </c>
      <c r="F35" s="48" t="str">
        <f>_xlfn.XLOOKUP(tblImpactScaled_Assessment[[#This Row],[ActionID]],Table24[ActionID],Table24[ActionName],"")</f>
        <v>Strengthen the healthcare system to respond effectively to extreme events</v>
      </c>
      <c r="G35" s="48" t="str">
        <f>_xlfn.XLOOKUP(tblImpactScaled_Assessment[[#This Row],[ActionID]],Table24[ActionID],Table24[Description],"")</f>
        <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v>
      </c>
      <c r="H35" s="48" t="str">
        <f>_xlfn.XLOOKUP(tblImpactScaled_Assessment[[#This Row],[ActionID]],Table24[ActionID],Table24[ActionSubcategory],"")</f>
        <v>Emergency Infrastructure</v>
      </c>
      <c r="I35" s="48" t="str">
        <f>_xlfn.XLOOKUP(tblImpactScaled_Assessment[[#This Row],[ActionID]],Table24[ActionID],Table24[ActionType],"")</f>
        <v>adaptation</v>
      </c>
      <c r="J35" s="48" t="s">
        <v>959</v>
      </c>
      <c r="K35" s="48" t="s">
        <v>33</v>
      </c>
      <c r="L35" s="48" t="str" cm="1">
        <f t="array" ref="L35">IFERROR(_xlfn.TEXTJOIN(", ",TRUE,_xlfn.UNIQUE(_xlfn._xlws.FILTER(Table2[base_indicator_name],(Table2[sector_name]=tblImpactScaled_Assessment[[#This Row],[Sector]])*(Table2[risk_name]=tblImpactScaled_Assessment[[#This Row],[Risk]])*(Table2[risk_component_name]=tblImpactScaled_Assessment[[#This Row],[Level 3 Component]])))),"")</f>
        <v>No access to adequate sanitation, HDI-M, Municipal tourism, Recent immigration, Ipa, falciparum malaria, Basic care coverage, Access to diagnosis and treatment</v>
      </c>
      <c r="M35" s="49" t="s">
        <v>1147</v>
      </c>
      <c r="N35" s="49" t="s">
        <v>1162</v>
      </c>
      <c r="O35" s="49" t="s">
        <v>1148</v>
      </c>
      <c r="P35" s="49"/>
      <c r="Q35" s="49"/>
      <c r="R35" s="49" t="s">
        <v>1237</v>
      </c>
      <c r="S35" s="49" t="s">
        <v>1189</v>
      </c>
      <c r="T35" s="49" t="s">
        <v>1148</v>
      </c>
      <c r="U35" s="49"/>
      <c r="V35" s="50">
        <f>IF(tblImpactScaled_Assessment[[#This Row],[Maladaptation risk?]]="Yes",_xlfn.XLOOKUP("Maladaptation adjustment factor",$C$6:$C$19,$D$6:$D$19),IF(tblImpactScaled_Assessment[[#This Row],[Maladaptation risk?]]="No",_xlfn.XLOOKUP("No maladaptation adjustment factor",$C$6:$C$19,$D$6:$D$19),""))</f>
        <v>1</v>
      </c>
      <c r="W35" s="51">
        <f>IF(tblImpactScaled_Assessment[[#This Row],[Impacts Level 3?]]&lt;&gt;"Yes",_xlfn.XLOOKUP("No effectiveness",$C$6:$C$19,$D$6:$D$19),_xlfn.XLOOKUP(tblImpactScaled_Assessment[[#This Row],[Effectiveness class]],$C$6:$C$19,$D$6:$D$19,0))</f>
        <v>-0.5</v>
      </c>
      <c r="X35" s="50">
        <f>IF(tblImpactScaled_Assessment[[#This Row],[Impacts Level 3?]]&lt;&gt;"Yes",0,_xlfn.XLOOKUP(tblImpactScaled_Assessment[[#This Row],[Confidence level]]&amp;" confidence factor",$C$6:$C$19,$D$6:$D$19,0))</f>
        <v>0.75</v>
      </c>
      <c r="Y35" s="48" t="str">
        <f>_xlfn.XLOOKUP(tblImpactScaled_Assessment[[#This Row],[ActionID]],Table24[ActionID],Table24[TimelineForImplementation],"")</f>
        <v>&gt;10 years</v>
      </c>
      <c r="Z35" s="50">
        <f>_xlfn.XLOOKUP(IF(tblImpactScaled_Assessment[[#This Row],[Time horizon]]="&lt;5 years","Time factor (&lt; 5 years)",IF(tblImpactScaled_Assessment[[#This Row],[Time horizon]]="5-10 years","Time factor (5-10 years)","Time factor (&gt; 10 years)")),$C$6:$C$19,$D$6:$D$19,0)</f>
        <v>0.5</v>
      </c>
      <c r="AA35"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0.1875</v>
      </c>
      <c r="AB35" s="48" t="str">
        <f>IF(tblImpactScaled_Assessment[[#This Row],[Maladaptation risk?]]="Yes","Maladaptation risk to review","No")</f>
        <v>No</v>
      </c>
      <c r="AC35"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Complete</v>
      </c>
    </row>
    <row r="36" spans="2:29" ht="150">
      <c r="B36" s="48" t="s">
        <v>10</v>
      </c>
      <c r="C36" s="48" t="s">
        <v>11</v>
      </c>
      <c r="D36" s="48" t="s">
        <v>369</v>
      </c>
      <c r="E36" s="48" t="s">
        <v>1192</v>
      </c>
      <c r="F36" s="48" t="str">
        <f>_xlfn.XLOOKUP(tblImpactScaled_Assessment[[#This Row],[ActionID]],Table24[ActionID],Table24[ActionName],"")</f>
        <v>Strengthen the healthcare system to respond effectively to extreme events</v>
      </c>
      <c r="G36" s="48" t="str">
        <f>_xlfn.XLOOKUP(tblImpactScaled_Assessment[[#This Row],[ActionID]],Table24[ActionID],Table24[Description],"")</f>
        <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v>
      </c>
      <c r="H36" s="48" t="str">
        <f>_xlfn.XLOOKUP(tblImpactScaled_Assessment[[#This Row],[ActionID]],Table24[ActionID],Table24[ActionSubcategory],"")</f>
        <v>Emergency Infrastructure</v>
      </c>
      <c r="I36" s="48" t="str">
        <f>_xlfn.XLOOKUP(tblImpactScaled_Assessment[[#This Row],[ActionID]],Table24[ActionID],Table24[ActionType],"")</f>
        <v>adaptation</v>
      </c>
      <c r="J36" s="48" t="s">
        <v>963</v>
      </c>
      <c r="K36" s="48" t="s">
        <v>71</v>
      </c>
      <c r="L36" s="48" t="str" cm="1">
        <f t="array" ref="L36">IFERROR(_xlfn.TEXTJOIN(", ",TRUE,_xlfn.UNIQUE(_xlfn._xlws.FILTER(Table2[base_indicator_name],(Table2[sector_name]=tblImpactScaled_Assessment[[#This Row],[Sector]])*(Table2[risk_name]=tblImpactScaled_Assessment[[#This Row],[Risk]])*(Table2[risk_component_name]=tblImpactScaled_Assessment[[#This Row],[Level 3 Component]])))),"")</f>
        <v>Highway density, Settlements, Mining, Deforestation, Rural population, Bodies of water</v>
      </c>
      <c r="M36" s="49" t="s">
        <v>1148</v>
      </c>
      <c r="N36" s="49" t="s">
        <v>1163</v>
      </c>
      <c r="O36" s="49" t="s">
        <v>1148</v>
      </c>
      <c r="P36" s="49"/>
      <c r="Q36" s="49"/>
      <c r="R36" s="49" t="s">
        <v>1238</v>
      </c>
      <c r="S36" s="49" t="s">
        <v>1189</v>
      </c>
      <c r="T36" s="49" t="s">
        <v>1148</v>
      </c>
      <c r="U36" s="49"/>
      <c r="V36" s="50">
        <f>IF(tblImpactScaled_Assessment[[#This Row],[Maladaptation risk?]]="Yes",_xlfn.XLOOKUP("Maladaptation adjustment factor",$C$6:$C$19,$D$6:$D$19),IF(tblImpactScaled_Assessment[[#This Row],[Maladaptation risk?]]="No",_xlfn.XLOOKUP("No maladaptation adjustment factor",$C$6:$C$19,$D$6:$D$19),""))</f>
        <v>1</v>
      </c>
      <c r="W36" s="51">
        <f>IF(tblImpactScaled_Assessment[[#This Row],[Impacts Level 3?]]&lt;&gt;"Yes",_xlfn.XLOOKUP("No effectiveness",$C$6:$C$19,$D$6:$D$19),_xlfn.XLOOKUP(tblImpactScaled_Assessment[[#This Row],[Effectiveness class]],$C$6:$C$19,$D$6:$D$19,0))</f>
        <v>0</v>
      </c>
      <c r="X36" s="50">
        <f>IF(tblImpactScaled_Assessment[[#This Row],[Impacts Level 3?]]&lt;&gt;"Yes",0,_xlfn.XLOOKUP(tblImpactScaled_Assessment[[#This Row],[Confidence level]]&amp;" confidence factor",$C$6:$C$19,$D$6:$D$19,0))</f>
        <v>0</v>
      </c>
      <c r="Y36" s="48" t="str">
        <f>_xlfn.XLOOKUP(tblImpactScaled_Assessment[[#This Row],[ActionID]],Table24[ActionID],Table24[TimelineForImplementation],"")</f>
        <v>&gt;10 years</v>
      </c>
      <c r="Z36" s="50">
        <f>_xlfn.XLOOKUP(IF(tblImpactScaled_Assessment[[#This Row],[Time horizon]]="&lt;5 years","Time factor (&lt; 5 years)",IF(tblImpactScaled_Assessment[[#This Row],[Time horizon]]="5-10 years","Time factor (5-10 years)","Time factor (&gt; 10 years)")),$C$6:$C$19,$D$6:$D$19,0)</f>
        <v>0.5</v>
      </c>
      <c r="AA36"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36" s="48" t="str">
        <f>IF(tblImpactScaled_Assessment[[#This Row],[Maladaptation risk?]]="Yes","Maladaptation risk to review","No")</f>
        <v>No</v>
      </c>
      <c r="AC36"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No impact</v>
      </c>
    </row>
    <row r="37" spans="2:29" ht="150">
      <c r="B37" s="48" t="s">
        <v>10</v>
      </c>
      <c r="C37" s="48" t="s">
        <v>11</v>
      </c>
      <c r="D37" s="48" t="s">
        <v>369</v>
      </c>
      <c r="E37" s="48" t="s">
        <v>1192</v>
      </c>
      <c r="F37" s="48" t="str">
        <f>_xlfn.XLOOKUP(tblImpactScaled_Assessment[[#This Row],[ActionID]],Table24[ActionID],Table24[ActionName],"")</f>
        <v>Strengthen the healthcare system to respond effectively to extreme events</v>
      </c>
      <c r="G37" s="48" t="str">
        <f>_xlfn.XLOOKUP(tblImpactScaled_Assessment[[#This Row],[ActionID]],Table24[ActionID],Table24[Description],"")</f>
        <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v>
      </c>
      <c r="H37" s="48" t="str">
        <f>_xlfn.XLOOKUP(tblImpactScaled_Assessment[[#This Row],[ActionID]],Table24[ActionID],Table24[ActionSubcategory],"")</f>
        <v>Emergency Infrastructure</v>
      </c>
      <c r="I37" s="48" t="str">
        <f>_xlfn.XLOOKUP(tblImpactScaled_Assessment[[#This Row],[ActionID]],Table24[ActionID],Table24[ActionType],"")</f>
        <v>adaptation</v>
      </c>
      <c r="J37" s="48" t="s">
        <v>964</v>
      </c>
      <c r="K37" s="48" t="s">
        <v>85</v>
      </c>
      <c r="L37" s="48" t="str" cm="1">
        <f t="array" ref="L37">IFERROR(_xlfn.TEXTJOIN(", ",TRUE,_xlfn.UNIQUE(_xlfn._xlws.FILTER(Table2[base_indicator_name],(Table2[sector_name]=tblImpactScaled_Assessment[[#This Row],[Sector]])*(Table2[risk_name]=tblImpactScaled_Assessment[[#This Row],[Risk]])*(Table2[risk_component_name]=tblImpactScaled_Assessment[[#This Row],[Level 3 Component]])))),"")</f>
        <v>Maximum temperature, Precipitation intensity, Relative humidity</v>
      </c>
      <c r="M37" s="49" t="s">
        <v>1187</v>
      </c>
      <c r="N37" s="49" t="s">
        <v>1163</v>
      </c>
      <c r="O37" s="49" t="s">
        <v>1148</v>
      </c>
      <c r="P37" s="49"/>
      <c r="Q37" s="49"/>
      <c r="R37" s="49" t="s">
        <v>1188</v>
      </c>
      <c r="S37" s="49" t="s">
        <v>1189</v>
      </c>
      <c r="T37" s="49" t="s">
        <v>1148</v>
      </c>
      <c r="U37" s="49"/>
      <c r="V37" s="50">
        <f>IF(tblImpactScaled_Assessment[[#This Row],[Maladaptation risk?]]="Yes",_xlfn.XLOOKUP("Maladaptation adjustment factor",$C$6:$C$19,$D$6:$D$19),IF(tblImpactScaled_Assessment[[#This Row],[Maladaptation risk?]]="No",_xlfn.XLOOKUP("No maladaptation adjustment factor",$C$6:$C$19,$D$6:$D$19),""))</f>
        <v>1</v>
      </c>
      <c r="W37" s="51">
        <f>IF(tblImpactScaled_Assessment[[#This Row],[Impacts Level 3?]]&lt;&gt;"Yes",_xlfn.XLOOKUP("No effectiveness",$C$6:$C$19,$D$6:$D$19),_xlfn.XLOOKUP(tblImpactScaled_Assessment[[#This Row],[Effectiveness class]],$C$6:$C$19,$D$6:$D$19,0))</f>
        <v>0</v>
      </c>
      <c r="X37" s="50">
        <f>IF(tblImpactScaled_Assessment[[#This Row],[Impacts Level 3?]]&lt;&gt;"Yes",0,_xlfn.XLOOKUP(tblImpactScaled_Assessment[[#This Row],[Confidence level]]&amp;" confidence factor",$C$6:$C$19,$D$6:$D$19,0))</f>
        <v>0</v>
      </c>
      <c r="Y37" s="48" t="str">
        <f>_xlfn.XLOOKUP(tblImpactScaled_Assessment[[#This Row],[ActionID]],Table24[ActionID],Table24[TimelineForImplementation],"")</f>
        <v>&gt;10 years</v>
      </c>
      <c r="Z37" s="50">
        <f>_xlfn.XLOOKUP(IF(tblImpactScaled_Assessment[[#This Row],[Time horizon]]="&lt;5 years","Time factor (&lt; 5 years)",IF(tblImpactScaled_Assessment[[#This Row],[Time horizon]]="5-10 years","Time factor (5-10 years)","Time factor (&gt; 10 years)")),$C$6:$C$19,$D$6:$D$19,0)</f>
        <v>0.5</v>
      </c>
      <c r="AA37"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37" s="48" t="str">
        <f>IF(tblImpactScaled_Assessment[[#This Row],[Maladaptation risk?]]="Yes","Maladaptation risk to review","No")</f>
        <v>No</v>
      </c>
      <c r="AC37"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Excluded</v>
      </c>
    </row>
    <row r="38" spans="2:29" ht="255">
      <c r="B38" s="48" t="s">
        <v>4</v>
      </c>
      <c r="C38" s="48" t="s">
        <v>5</v>
      </c>
      <c r="D38" s="48" t="s">
        <v>517</v>
      </c>
      <c r="E38" s="48" t="s">
        <v>1192</v>
      </c>
      <c r="F38" s="48" t="str">
        <f>_xlfn.XLOOKUP(tblImpactScaled_Assessment[[#This Row],[ActionID]],Table24[ActionID],Table24[ActionName],"")</f>
        <v>Support livelihood diversification for climate resilience</v>
      </c>
      <c r="G38" s="48" t="str">
        <f>_xlfn.XLOOKUP(tblImpactScaled_Assessment[[#This Row],[ActionID]],Table24[ActionID],Table24[Description],"")</f>
        <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v>
      </c>
      <c r="H38" s="48" t="str">
        <f>_xlfn.XLOOKUP(tblImpactScaled_Assessment[[#This Row],[ActionID]],Table24[ActionID],Table24[ActionSubcategory],"")</f>
        <v>Public Programs / Incentives</v>
      </c>
      <c r="I38" s="48" t="str">
        <f>_xlfn.XLOOKUP(tblImpactScaled_Assessment[[#This Row],[ActionID]],Table24[ActionID],Table24[ActionType],"")</f>
        <v>adaptation</v>
      </c>
      <c r="J38" s="48" t="s">
        <v>959</v>
      </c>
      <c r="K38" s="48" t="s">
        <v>33</v>
      </c>
      <c r="L38" s="48" t="str" cm="1">
        <f t="array" ref="L38">IFERROR(_xlfn.TEXTJOIN(", ",TRUE,_xlfn.UNIQUE(_xlfn._xlws.FILTER(Table2[base_indicator_name],(Table2[sector_name]=tblImpactScaled_Assessment[[#This Row],[Sector]])*(Table2[risk_name]=tblImpactScaled_Assessment[[#This Row],[Risk]])*(Table2[risk_component_name]=tblImpactScaled_Assessment[[#This Row],[Level 3 Component]])))),"")</f>
        <v>Susceptibility of agricultural productivity, Susceptibility of livestock productivity, Homogeneity of agricultural production, Irrigation susceptibility, Fire hotspots, Agriculture and water availability, Agricultural areas with low agricultural potential, Agricultural areas with soil susceptible to erosion, Water deficit, Vegetation cover losses, Investment in agrarian and environmental management policies, Harvest guarantee program, PRONAF coverage, cistern program, Proagro coverage plus, PSR coverage, Technical guidance, Associativism, Land ownership, Stability of agrarian conflicts, Storage capacity, Distance from warehouses, Diversity of revenues, Tractors in agricultural establishments, Potential for agricultural expansion in pasture areas</v>
      </c>
      <c r="M38" s="49" t="s">
        <v>1147</v>
      </c>
      <c r="N38" s="49" t="s">
        <v>1162</v>
      </c>
      <c r="O38" s="49" t="s">
        <v>1148</v>
      </c>
      <c r="P38" s="49"/>
      <c r="Q38" s="49"/>
      <c r="R38" s="49" t="s">
        <v>1239</v>
      </c>
      <c r="S38" s="49" t="s">
        <v>1189</v>
      </c>
      <c r="T38" s="49" t="s">
        <v>1148</v>
      </c>
      <c r="U38" s="49"/>
      <c r="V38" s="50">
        <f>IF(tblImpactScaled_Assessment[[#This Row],[Maladaptation risk?]]="Yes",_xlfn.XLOOKUP("Maladaptation adjustment factor",$C$6:$C$19,$D$6:$D$19),IF(tblImpactScaled_Assessment[[#This Row],[Maladaptation risk?]]="No",_xlfn.XLOOKUP("No maladaptation adjustment factor",$C$6:$C$19,$D$6:$D$19),""))</f>
        <v>1</v>
      </c>
      <c r="W38" s="51">
        <f>IF(tblImpactScaled_Assessment[[#This Row],[Impacts Level 3?]]&lt;&gt;"Yes",_xlfn.XLOOKUP("No effectiveness",$C$6:$C$19,$D$6:$D$19),_xlfn.XLOOKUP(tblImpactScaled_Assessment[[#This Row],[Effectiveness class]],$C$6:$C$19,$D$6:$D$19,0))</f>
        <v>-0.5</v>
      </c>
      <c r="X38" s="50">
        <f>IF(tblImpactScaled_Assessment[[#This Row],[Impacts Level 3?]]&lt;&gt;"Yes",0,_xlfn.XLOOKUP(tblImpactScaled_Assessment[[#This Row],[Confidence level]]&amp;" confidence factor",$C$6:$C$19,$D$6:$D$19,0))</f>
        <v>0.75</v>
      </c>
      <c r="Y38" s="48" t="str">
        <f>_xlfn.XLOOKUP(tblImpactScaled_Assessment[[#This Row],[ActionID]],Table24[ActionID],Table24[TimelineForImplementation],"")</f>
        <v>&lt;5 years</v>
      </c>
      <c r="Z38" s="50">
        <f>_xlfn.XLOOKUP(IF(tblImpactScaled_Assessment[[#This Row],[Time horizon]]="&lt;5 years","Time factor (&lt; 5 years)",IF(tblImpactScaled_Assessment[[#This Row],[Time horizon]]="5-10 years","Time factor (5-10 years)","Time factor (&gt; 10 years)")),$C$6:$C$19,$D$6:$D$19,0)</f>
        <v>1</v>
      </c>
      <c r="AA38"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0.375</v>
      </c>
      <c r="AB38" s="48" t="str">
        <f>IF(tblImpactScaled_Assessment[[#This Row],[Maladaptation risk?]]="Yes","Maladaptation risk to review","No")</f>
        <v>No</v>
      </c>
      <c r="AC38"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Complete</v>
      </c>
    </row>
    <row r="39" spans="2:29" ht="30" customHeight="1">
      <c r="B39" s="48" t="s">
        <v>4</v>
      </c>
      <c r="C39" s="48" t="s">
        <v>5</v>
      </c>
      <c r="D39" s="48" t="s">
        <v>517</v>
      </c>
      <c r="E39" s="48" t="s">
        <v>1192</v>
      </c>
      <c r="F39" s="48" t="str">
        <f>_xlfn.XLOOKUP(tblImpactScaled_Assessment[[#This Row],[ActionID]],Table24[ActionID],Table24[ActionName],"")</f>
        <v>Support livelihood diversification for climate resilience</v>
      </c>
      <c r="G39" s="48" t="str">
        <f>_xlfn.XLOOKUP(tblImpactScaled_Assessment[[#This Row],[ActionID]],Table24[ActionID],Table24[Description],"")</f>
        <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v>
      </c>
      <c r="H39" s="48" t="str">
        <f>_xlfn.XLOOKUP(tblImpactScaled_Assessment[[#This Row],[ActionID]],Table24[ActionID],Table24[ActionSubcategory],"")</f>
        <v>Public Programs / Incentives</v>
      </c>
      <c r="I39" s="48" t="str">
        <f>_xlfn.XLOOKUP(tblImpactScaled_Assessment[[#This Row],[ActionID]],Table24[ActionID],Table24[ActionType],"")</f>
        <v>adaptation</v>
      </c>
      <c r="J39" s="48" t="s">
        <v>963</v>
      </c>
      <c r="K39" s="48" t="s">
        <v>71</v>
      </c>
      <c r="L39" s="48" t="str" cm="1">
        <f t="array" ref="L39">IFERROR(_xlfn.TEXTJOIN(", ",TRUE,_xlfn.UNIQUE(_xlfn._xlws.FILTER(Table2[base_indicator_name],(Table2[sector_name]=tblImpactScaled_Assessment[[#This Row],[Sector]])*(Table2[risk_name]=tblImpactScaled_Assessment[[#This Row],[Risk]])*(Table2[risk_component_name]=tblImpactScaled_Assessment[[#This Row],[Level 3 Component]])))),"")</f>
        <v>Agriculture in the municipality’s economy, Area planted with agricultural crops, Area of ​​agricultural establishments with livestock, Establishments with family farming, Density of agricultural establishments</v>
      </c>
      <c r="M39" s="49" t="s">
        <v>1148</v>
      </c>
      <c r="N39" s="49" t="s">
        <v>1163</v>
      </c>
      <c r="O39" s="49" t="s">
        <v>1148</v>
      </c>
      <c r="P39" s="49"/>
      <c r="Q39" s="49"/>
      <c r="R39" s="49" t="s">
        <v>1240</v>
      </c>
      <c r="S39" s="49" t="s">
        <v>1189</v>
      </c>
      <c r="T39" s="49" t="s">
        <v>1148</v>
      </c>
      <c r="U39" s="49"/>
      <c r="V39" s="50">
        <f>IF(tblImpactScaled_Assessment[[#This Row],[Maladaptation risk?]]="Yes",_xlfn.XLOOKUP("Maladaptation adjustment factor",$C$6:$C$19,$D$6:$D$19),IF(tblImpactScaled_Assessment[[#This Row],[Maladaptation risk?]]="No",_xlfn.XLOOKUP("No maladaptation adjustment factor",$C$6:$C$19,$D$6:$D$19),""))</f>
        <v>1</v>
      </c>
      <c r="W39" s="51">
        <f>IF(tblImpactScaled_Assessment[[#This Row],[Impacts Level 3?]]&lt;&gt;"Yes",_xlfn.XLOOKUP("No effectiveness",$C$6:$C$19,$D$6:$D$19),_xlfn.XLOOKUP(tblImpactScaled_Assessment[[#This Row],[Effectiveness class]],$C$6:$C$19,$D$6:$D$19,0))</f>
        <v>0</v>
      </c>
      <c r="X39" s="50">
        <f>IF(tblImpactScaled_Assessment[[#This Row],[Impacts Level 3?]]&lt;&gt;"Yes",0,_xlfn.XLOOKUP(tblImpactScaled_Assessment[[#This Row],[Confidence level]]&amp;" confidence factor",$C$6:$C$19,$D$6:$D$19,0))</f>
        <v>0</v>
      </c>
      <c r="Y39" s="48" t="str">
        <f>_xlfn.XLOOKUP(tblImpactScaled_Assessment[[#This Row],[ActionID]],Table24[ActionID],Table24[TimelineForImplementation],"")</f>
        <v>&lt;5 years</v>
      </c>
      <c r="Z39" s="50">
        <f>_xlfn.XLOOKUP(IF(tblImpactScaled_Assessment[[#This Row],[Time horizon]]="&lt;5 years","Time factor (&lt; 5 years)",IF(tblImpactScaled_Assessment[[#This Row],[Time horizon]]="5-10 years","Time factor (5-10 years)","Time factor (&gt; 10 years)")),$C$6:$C$19,$D$6:$D$19,0)</f>
        <v>1</v>
      </c>
      <c r="AA39"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39" s="48" t="str">
        <f>IF(tblImpactScaled_Assessment[[#This Row],[Maladaptation risk?]]="Yes","Maladaptation risk to review","No")</f>
        <v>No</v>
      </c>
      <c r="AC39"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No impact</v>
      </c>
    </row>
    <row r="40" spans="2:29" ht="255">
      <c r="B40" s="48" t="s">
        <v>4</v>
      </c>
      <c r="C40" s="48" t="s">
        <v>5</v>
      </c>
      <c r="D40" s="48" t="s">
        <v>517</v>
      </c>
      <c r="E40" s="48" t="s">
        <v>1192</v>
      </c>
      <c r="F40" s="48" t="str">
        <f>_xlfn.XLOOKUP(tblImpactScaled_Assessment[[#This Row],[ActionID]],Table24[ActionID],Table24[ActionName],"")</f>
        <v>Support livelihood diversification for climate resilience</v>
      </c>
      <c r="G40" s="48" t="str">
        <f>_xlfn.XLOOKUP(tblImpactScaled_Assessment[[#This Row],[ActionID]],Table24[ActionID],Table24[Description],"")</f>
        <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v>
      </c>
      <c r="H40" s="48" t="str">
        <f>_xlfn.XLOOKUP(tblImpactScaled_Assessment[[#This Row],[ActionID]],Table24[ActionID],Table24[ActionSubcategory],"")</f>
        <v>Public Programs / Incentives</v>
      </c>
      <c r="I40" s="48" t="str">
        <f>_xlfn.XLOOKUP(tblImpactScaled_Assessment[[#This Row],[ActionID]],Table24[ActionID],Table24[ActionType],"")</f>
        <v>adaptation</v>
      </c>
      <c r="J40" s="48" t="s">
        <v>964</v>
      </c>
      <c r="K40" s="48" t="s">
        <v>85</v>
      </c>
      <c r="L40" s="48" t="str" cm="1">
        <f t="array" ref="L40">IFERROR(_xlfn.TEXTJOIN(", ",TRUE,_xlfn.UNIQUE(_xlfn._xlws.FILTER(Table2[base_indicator_name],(Table2[sector_name]=tblImpactScaled_Assessment[[#This Row],[Sector]])*(Table2[risk_name]=tblImpactScaled_Assessment[[#This Row],[Risk]])*(Table2[risk_component_name]=tblImpactScaled_Assessment[[#This Row],[Level 3 Component]])))),"")</f>
        <v>Consecutive dry days, Standardized precipitation-evapotranspiration index</v>
      </c>
      <c r="M40" s="49" t="s">
        <v>1187</v>
      </c>
      <c r="N40" s="49" t="s">
        <v>1163</v>
      </c>
      <c r="O40" s="49" t="s">
        <v>1148</v>
      </c>
      <c r="P40" s="49"/>
      <c r="Q40" s="49"/>
      <c r="R40" s="49" t="s">
        <v>1188</v>
      </c>
      <c r="S40" s="49" t="s">
        <v>1189</v>
      </c>
      <c r="T40" s="49" t="s">
        <v>1148</v>
      </c>
      <c r="U40" s="49"/>
      <c r="V40" s="50">
        <f>IF(tblImpactScaled_Assessment[[#This Row],[Maladaptation risk?]]="Yes",_xlfn.XLOOKUP("Maladaptation adjustment factor",$C$6:$C$19,$D$6:$D$19),IF(tblImpactScaled_Assessment[[#This Row],[Maladaptation risk?]]="No",_xlfn.XLOOKUP("No maladaptation adjustment factor",$C$6:$C$19,$D$6:$D$19),""))</f>
        <v>1</v>
      </c>
      <c r="W40" s="51">
        <f>IF(tblImpactScaled_Assessment[[#This Row],[Impacts Level 3?]]&lt;&gt;"Yes",_xlfn.XLOOKUP("No effectiveness",$C$6:$C$19,$D$6:$D$19),_xlfn.XLOOKUP(tblImpactScaled_Assessment[[#This Row],[Effectiveness class]],$C$6:$C$19,$D$6:$D$19,0))</f>
        <v>0</v>
      </c>
      <c r="X40" s="50">
        <f>IF(tblImpactScaled_Assessment[[#This Row],[Impacts Level 3?]]&lt;&gt;"Yes",0,_xlfn.XLOOKUP(tblImpactScaled_Assessment[[#This Row],[Confidence level]]&amp;" confidence factor",$C$6:$C$19,$D$6:$D$19,0))</f>
        <v>0</v>
      </c>
      <c r="Y40" s="48" t="str">
        <f>_xlfn.XLOOKUP(tblImpactScaled_Assessment[[#This Row],[ActionID]],Table24[ActionID],Table24[TimelineForImplementation],"")</f>
        <v>&lt;5 years</v>
      </c>
      <c r="Z40" s="50">
        <f>_xlfn.XLOOKUP(IF(tblImpactScaled_Assessment[[#This Row],[Time horizon]]="&lt;5 years","Time factor (&lt; 5 years)",IF(tblImpactScaled_Assessment[[#This Row],[Time horizon]]="5-10 years","Time factor (5-10 years)","Time factor (&gt; 10 years)")),$C$6:$C$19,$D$6:$D$19,0)</f>
        <v>1</v>
      </c>
      <c r="AA40"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40" s="48" t="str">
        <f>IF(tblImpactScaled_Assessment[[#This Row],[Maladaptation risk?]]="Yes","Maladaptation risk to review","No")</f>
        <v>No</v>
      </c>
      <c r="AC40"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Excluded</v>
      </c>
    </row>
    <row r="41" spans="2:29" ht="270">
      <c r="B41" s="48" t="s">
        <v>4</v>
      </c>
      <c r="C41" s="48" t="s">
        <v>5</v>
      </c>
      <c r="D41" s="48" t="s">
        <v>531</v>
      </c>
      <c r="E41" s="48" t="s">
        <v>1192</v>
      </c>
      <c r="F41" s="48" t="str">
        <f>_xlfn.XLOOKUP(tblImpactScaled_Assessment[[#This Row],[ActionID]],Table24[ActionID],Table24[ActionName],"")</f>
        <v>Strengthen climate resilience in farming and fisheries</v>
      </c>
      <c r="G41" s="48" t="str">
        <f>_xlfn.XLOOKUP(tblImpactScaled_Assessment[[#This Row],[ActionID]],Table24[ActionID],Table24[Description],"")</f>
        <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v>
      </c>
      <c r="H41" s="48" t="str">
        <f>_xlfn.XLOOKUP(tblImpactScaled_Assessment[[#This Row],[ActionID]],Table24[ActionID],Table24[ActionSubcategory],"")</f>
        <v>Public Programs / Incentives</v>
      </c>
      <c r="I41" s="48" t="str">
        <f>_xlfn.XLOOKUP(tblImpactScaled_Assessment[[#This Row],[ActionID]],Table24[ActionID],Table24[ActionType],"")</f>
        <v>adaptation</v>
      </c>
      <c r="J41" s="48" t="s">
        <v>959</v>
      </c>
      <c r="K41" s="48" t="s">
        <v>33</v>
      </c>
      <c r="L41" s="48" t="str" cm="1">
        <f t="array" ref="L41">IFERROR(_xlfn.TEXTJOIN(", ",TRUE,_xlfn.UNIQUE(_xlfn._xlws.FILTER(Table2[base_indicator_name],(Table2[sector_name]=tblImpactScaled_Assessment[[#This Row],[Sector]])*(Table2[risk_name]=tblImpactScaled_Assessment[[#This Row],[Risk]])*(Table2[risk_component_name]=tblImpactScaled_Assessment[[#This Row],[Level 3 Component]])))),"")</f>
        <v>Susceptibility of agricultural productivity, Susceptibility of livestock productivity, Homogeneity of agricultural production, Irrigation susceptibility, Fire hotspots, Agriculture and water availability, Agricultural areas with low agricultural potential, Agricultural areas with soil susceptible to erosion, Water deficit, Vegetation cover losses, Investment in agrarian and environmental management policies, Harvest guarantee program, PRONAF coverage, cistern program, Proagro coverage plus, PSR coverage, Technical guidance, Associativism, Land ownership, Stability of agrarian conflicts, Storage capacity, Distance from warehouses, Diversity of revenues, Tractors in agricultural establishments, Potential for agricultural expansion in pasture areas</v>
      </c>
      <c r="M41" s="49" t="s">
        <v>1147</v>
      </c>
      <c r="N41" s="49" t="s">
        <v>1161</v>
      </c>
      <c r="O41" s="49" t="s">
        <v>1148</v>
      </c>
      <c r="P41" s="49"/>
      <c r="Q41" s="49"/>
      <c r="R41" s="49" t="s">
        <v>1241</v>
      </c>
      <c r="S41" s="49" t="s">
        <v>1189</v>
      </c>
      <c r="T41" s="49" t="s">
        <v>1148</v>
      </c>
      <c r="U41" s="49"/>
      <c r="V41" s="50">
        <f>IF(tblImpactScaled_Assessment[[#This Row],[Maladaptation risk?]]="Yes",_xlfn.XLOOKUP("Maladaptation adjustment factor",$C$6:$C$19,$D$6:$D$19),IF(tblImpactScaled_Assessment[[#This Row],[Maladaptation risk?]]="No",_xlfn.XLOOKUP("No maladaptation adjustment factor",$C$6:$C$19,$D$6:$D$19),""))</f>
        <v>1</v>
      </c>
      <c r="W41" s="51">
        <f>IF(tblImpactScaled_Assessment[[#This Row],[Impacts Level 3?]]&lt;&gt;"Yes",_xlfn.XLOOKUP("No effectiveness",$C$6:$C$19,$D$6:$D$19),_xlfn.XLOOKUP(tblImpactScaled_Assessment[[#This Row],[Effectiveness class]],$C$6:$C$19,$D$6:$D$19,0))</f>
        <v>-1</v>
      </c>
      <c r="X41" s="50">
        <f>IF(tblImpactScaled_Assessment[[#This Row],[Impacts Level 3?]]&lt;&gt;"Yes",0,_xlfn.XLOOKUP(tblImpactScaled_Assessment[[#This Row],[Confidence level]]&amp;" confidence factor",$C$6:$C$19,$D$6:$D$19,0))</f>
        <v>0.75</v>
      </c>
      <c r="Y41" s="48" t="str">
        <f>_xlfn.XLOOKUP(tblImpactScaled_Assessment[[#This Row],[ActionID]],Table24[ActionID],Table24[TimelineForImplementation],"")</f>
        <v>5-10 years</v>
      </c>
      <c r="Z41" s="50">
        <f>_xlfn.XLOOKUP(IF(tblImpactScaled_Assessment[[#This Row],[Time horizon]]="&lt;5 years","Time factor (&lt; 5 years)",IF(tblImpactScaled_Assessment[[#This Row],[Time horizon]]="5-10 years","Time factor (5-10 years)","Time factor (&gt; 10 years)")),$C$6:$C$19,$D$6:$D$19,0)</f>
        <v>0.75</v>
      </c>
      <c r="AA41"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0.5625</v>
      </c>
      <c r="AB41" s="48" t="str">
        <f>IF(tblImpactScaled_Assessment[[#This Row],[Maladaptation risk?]]="Yes","Maladaptation risk to review","No")</f>
        <v>No</v>
      </c>
      <c r="AC41"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Complete</v>
      </c>
    </row>
    <row r="42" spans="2:29" ht="270">
      <c r="B42" s="48" t="s">
        <v>4</v>
      </c>
      <c r="C42" s="48" t="s">
        <v>5</v>
      </c>
      <c r="D42" s="48" t="s">
        <v>531</v>
      </c>
      <c r="E42" s="48" t="s">
        <v>1192</v>
      </c>
      <c r="F42" s="48" t="str">
        <f>_xlfn.XLOOKUP(tblImpactScaled_Assessment[[#This Row],[ActionID]],Table24[ActionID],Table24[ActionName],"")</f>
        <v>Strengthen climate resilience in farming and fisheries</v>
      </c>
      <c r="G42" s="48" t="str">
        <f>_xlfn.XLOOKUP(tblImpactScaled_Assessment[[#This Row],[ActionID]],Table24[ActionID],Table24[Description],"")</f>
        <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v>
      </c>
      <c r="H42" s="48" t="str">
        <f>_xlfn.XLOOKUP(tblImpactScaled_Assessment[[#This Row],[ActionID]],Table24[ActionID],Table24[ActionSubcategory],"")</f>
        <v>Public Programs / Incentives</v>
      </c>
      <c r="I42" s="48" t="str">
        <f>_xlfn.XLOOKUP(tblImpactScaled_Assessment[[#This Row],[ActionID]],Table24[ActionID],Table24[ActionType],"")</f>
        <v>adaptation</v>
      </c>
      <c r="J42" s="48" t="s">
        <v>963</v>
      </c>
      <c r="K42" s="48" t="s">
        <v>71</v>
      </c>
      <c r="L42" s="48" t="str" cm="1">
        <f t="array" ref="L42">IFERROR(_xlfn.TEXTJOIN(", ",TRUE,_xlfn.UNIQUE(_xlfn._xlws.FILTER(Table2[base_indicator_name],(Table2[sector_name]=tblImpactScaled_Assessment[[#This Row],[Sector]])*(Table2[risk_name]=tblImpactScaled_Assessment[[#This Row],[Risk]])*(Table2[risk_component_name]=tblImpactScaled_Assessment[[#This Row],[Level 3 Component]])))),"")</f>
        <v>Agriculture in the municipality’s economy, Area planted with agricultural crops, Area of ​​agricultural establishments with livestock, Establishments with family farming, Density of agricultural establishments</v>
      </c>
      <c r="M42" s="49" t="s">
        <v>1148</v>
      </c>
      <c r="N42" s="49" t="s">
        <v>1163</v>
      </c>
      <c r="O42" s="49" t="s">
        <v>1148</v>
      </c>
      <c r="P42" s="49"/>
      <c r="Q42" s="49"/>
      <c r="R42" s="49" t="s">
        <v>1242</v>
      </c>
      <c r="S42" s="49" t="s">
        <v>1189</v>
      </c>
      <c r="T42" s="49" t="s">
        <v>1148</v>
      </c>
      <c r="U42" s="49"/>
      <c r="V42" s="50">
        <f>IF(tblImpactScaled_Assessment[[#This Row],[Maladaptation risk?]]="Yes",_xlfn.XLOOKUP("Maladaptation adjustment factor",$C$6:$C$19,$D$6:$D$19),IF(tblImpactScaled_Assessment[[#This Row],[Maladaptation risk?]]="No",_xlfn.XLOOKUP("No maladaptation adjustment factor",$C$6:$C$19,$D$6:$D$19),""))</f>
        <v>1</v>
      </c>
      <c r="W42" s="51">
        <f>IF(tblImpactScaled_Assessment[[#This Row],[Impacts Level 3?]]&lt;&gt;"Yes",_xlfn.XLOOKUP("No effectiveness",$C$6:$C$19,$D$6:$D$19),_xlfn.XLOOKUP(tblImpactScaled_Assessment[[#This Row],[Effectiveness class]],$C$6:$C$19,$D$6:$D$19,0))</f>
        <v>0</v>
      </c>
      <c r="X42" s="50">
        <f>IF(tblImpactScaled_Assessment[[#This Row],[Impacts Level 3?]]&lt;&gt;"Yes",0,_xlfn.XLOOKUP(tblImpactScaled_Assessment[[#This Row],[Confidence level]]&amp;" confidence factor",$C$6:$C$19,$D$6:$D$19,0))</f>
        <v>0</v>
      </c>
      <c r="Y42" s="48" t="str">
        <f>_xlfn.XLOOKUP(tblImpactScaled_Assessment[[#This Row],[ActionID]],Table24[ActionID],Table24[TimelineForImplementation],"")</f>
        <v>5-10 years</v>
      </c>
      <c r="Z42" s="50">
        <f>_xlfn.XLOOKUP(IF(tblImpactScaled_Assessment[[#This Row],[Time horizon]]="&lt;5 years","Time factor (&lt; 5 years)",IF(tblImpactScaled_Assessment[[#This Row],[Time horizon]]="5-10 years","Time factor (5-10 years)","Time factor (&gt; 10 years)")),$C$6:$C$19,$D$6:$D$19,0)</f>
        <v>0.75</v>
      </c>
      <c r="AA42"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42" s="48" t="str">
        <f>IF(tblImpactScaled_Assessment[[#This Row],[Maladaptation risk?]]="Yes","Maladaptation risk to review","No")</f>
        <v>No</v>
      </c>
      <c r="AC42"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No impact</v>
      </c>
    </row>
    <row r="43" spans="2:29" ht="270">
      <c r="B43" s="48" t="s">
        <v>4</v>
      </c>
      <c r="C43" s="48" t="s">
        <v>5</v>
      </c>
      <c r="D43" s="48" t="s">
        <v>531</v>
      </c>
      <c r="E43" s="48" t="s">
        <v>1192</v>
      </c>
      <c r="F43" s="48" t="str">
        <f>_xlfn.XLOOKUP(tblImpactScaled_Assessment[[#This Row],[ActionID]],Table24[ActionID],Table24[ActionName],"")</f>
        <v>Strengthen climate resilience in farming and fisheries</v>
      </c>
      <c r="G43" s="48" t="str">
        <f>_xlfn.XLOOKUP(tblImpactScaled_Assessment[[#This Row],[ActionID]],Table24[ActionID],Table24[Description],"")</f>
        <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v>
      </c>
      <c r="H43" s="48" t="str">
        <f>_xlfn.XLOOKUP(tblImpactScaled_Assessment[[#This Row],[ActionID]],Table24[ActionID],Table24[ActionSubcategory],"")</f>
        <v>Public Programs / Incentives</v>
      </c>
      <c r="I43" s="48" t="str">
        <f>_xlfn.XLOOKUP(tblImpactScaled_Assessment[[#This Row],[ActionID]],Table24[ActionID],Table24[ActionType],"")</f>
        <v>adaptation</v>
      </c>
      <c r="J43" s="48" t="s">
        <v>964</v>
      </c>
      <c r="K43" s="48" t="s">
        <v>85</v>
      </c>
      <c r="L43" s="48" t="str" cm="1">
        <f t="array" ref="L43">IFERROR(_xlfn.TEXTJOIN(", ",TRUE,_xlfn.UNIQUE(_xlfn._xlws.FILTER(Table2[base_indicator_name],(Table2[sector_name]=tblImpactScaled_Assessment[[#This Row],[Sector]])*(Table2[risk_name]=tblImpactScaled_Assessment[[#This Row],[Risk]])*(Table2[risk_component_name]=tblImpactScaled_Assessment[[#This Row],[Level 3 Component]])))),"")</f>
        <v>Consecutive dry days, Standardized precipitation-evapotranspiration index</v>
      </c>
      <c r="M43" s="49" t="s">
        <v>1187</v>
      </c>
      <c r="N43" s="49" t="s">
        <v>1163</v>
      </c>
      <c r="O43" s="49" t="s">
        <v>1148</v>
      </c>
      <c r="P43" s="49"/>
      <c r="Q43" s="49"/>
      <c r="R43" s="49" t="s">
        <v>1188</v>
      </c>
      <c r="S43" s="49" t="s">
        <v>1189</v>
      </c>
      <c r="T43" s="49" t="s">
        <v>1148</v>
      </c>
      <c r="U43" s="49"/>
      <c r="V43" s="50">
        <f>IF(tblImpactScaled_Assessment[[#This Row],[Maladaptation risk?]]="Yes",_xlfn.XLOOKUP("Maladaptation adjustment factor",$C$6:$C$19,$D$6:$D$19),IF(tblImpactScaled_Assessment[[#This Row],[Maladaptation risk?]]="No",_xlfn.XLOOKUP("No maladaptation adjustment factor",$C$6:$C$19,$D$6:$D$19),""))</f>
        <v>1</v>
      </c>
      <c r="W43" s="51">
        <f>IF(tblImpactScaled_Assessment[[#This Row],[Impacts Level 3?]]&lt;&gt;"Yes",_xlfn.XLOOKUP("No effectiveness",$C$6:$C$19,$D$6:$D$19),_xlfn.XLOOKUP(tblImpactScaled_Assessment[[#This Row],[Effectiveness class]],$C$6:$C$19,$D$6:$D$19,0))</f>
        <v>0</v>
      </c>
      <c r="X43" s="50">
        <f>IF(tblImpactScaled_Assessment[[#This Row],[Impacts Level 3?]]&lt;&gt;"Yes",0,_xlfn.XLOOKUP(tblImpactScaled_Assessment[[#This Row],[Confidence level]]&amp;" confidence factor",$C$6:$C$19,$D$6:$D$19,0))</f>
        <v>0</v>
      </c>
      <c r="Y43" s="48" t="str">
        <f>_xlfn.XLOOKUP(tblImpactScaled_Assessment[[#This Row],[ActionID]],Table24[ActionID],Table24[TimelineForImplementation],"")</f>
        <v>5-10 years</v>
      </c>
      <c r="Z43" s="50">
        <f>_xlfn.XLOOKUP(IF(tblImpactScaled_Assessment[[#This Row],[Time horizon]]="&lt;5 years","Time factor (&lt; 5 years)",IF(tblImpactScaled_Assessment[[#This Row],[Time horizon]]="5-10 years","Time factor (5-10 years)","Time factor (&gt; 10 years)")),$C$6:$C$19,$D$6:$D$19,0)</f>
        <v>0.75</v>
      </c>
      <c r="AA43" s="52">
        <f>IF(OR(tblImpactScaled_Assessment[[#This Row],[Impacts Level 3?]]&lt;&gt;"Yes",tblImpactScaled_Assessment[[#This Row],[Level 3 Component]]="Hazard"),0,MIN(_xlfn.XLOOKUP("Maximum component score",$C$6:$C$19,$D$6:$D$19),ABS(tblImpactScaled_Assessment[[#This Row],[Expected Component Variation]])*tblImpactScaled_Assessment[[#This Row],[Confidence Factor]]*tblImpactScaled_Assessment[[#This Row],[Time Factor]]*tblImpactScaled_Assessment[[#This Row],[Maladaptation Factor]]))</f>
        <v>0</v>
      </c>
      <c r="AB43" s="48" t="str">
        <f>IF(tblImpactScaled_Assessment[[#This Row],[Maladaptation risk?]]="Yes","Maladaptation risk to review","No")</f>
        <v>No</v>
      </c>
      <c r="AC43" s="48" t="str">
        <f>IF(tblImpactScaled_Assessment[[#This Row],[Level 3 Component]]="Hazard","Excluded",IF(tblImpactScaled_Assessment[[#This Row],[Maladaptation risk?]]="Yes","Maladaptation risk to review",IF(tblImpactScaled_Assessment[[#This Row],[Impacts Level 3?]]="","To review",IF(tblImpactScaled_Assessment[[#This Row],[Impacts Level 3?]]="No","No impact",IF(AND(tblImpactScaled_Assessment[[#This Row],[Impacts Level 3?]]="Yes",tblImpactScaled_Assessment[[#This Row],[Technical justification]]=""),"To review","Complete")))))</f>
        <v>Excluded</v>
      </c>
    </row>
  </sheetData>
  <mergeCells count="6">
    <mergeCell ref="B2:AB2"/>
    <mergeCell ref="B21:K21"/>
    <mergeCell ref="L21:U21"/>
    <mergeCell ref="V21:AB21"/>
    <mergeCell ref="B4:F4"/>
    <mergeCell ref="H4:S4"/>
  </mergeCells>
  <dataValidations count="4">
    <dataValidation type="list" allowBlank="1" showInputMessage="1" showErrorMessage="1" sqref="O23:O43 T23:T43" xr:uid="{C0187662-3077-48F4-9171-9D68B9E21BEA}">
      <formula1>"Yes,No"</formula1>
    </dataValidation>
    <dataValidation type="list" allowBlank="1" showInputMessage="1" showErrorMessage="1" sqref="N23:N43" xr:uid="{BC6EB49A-4E36-475D-A7F6-9A39384D0F61}">
      <formula1>"High effectiveness,Medium effectiveness,Low effectiveness,No effectiveness"</formula1>
    </dataValidation>
    <dataValidation type="list" allowBlank="1" showInputMessage="1" showErrorMessage="1" sqref="S23:S43" xr:uid="{AA91F6BF-34AF-4EF7-B071-3D6151F212BE}">
      <formula1>"High,Medium,Low"</formula1>
    </dataValidation>
    <dataValidation type="list" allowBlank="1" showInputMessage="1" showErrorMessage="1" sqref="M23:M43" xr:uid="{0091369B-8113-4536-8134-5375B9F392D3}">
      <formula1>"Yes,No,Not assessed"</formula1>
    </dataValidation>
  </dataValidation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A505-9B48-498E-B7E5-243AFC7AB97C}">
  <dimension ref="A1:O670"/>
  <sheetViews>
    <sheetView showGridLines="0" topLeftCell="A52" zoomScale="25" zoomScaleNormal="25" workbookViewId="0">
      <selection activeCell="R225" sqref="R225"/>
    </sheetView>
  </sheetViews>
  <sheetFormatPr baseColWidth="10" defaultRowHeight="15"/>
  <cols>
    <col min="1" max="1" width="7" customWidth="1"/>
    <col min="2" max="2" width="15" customWidth="1"/>
    <col min="3" max="3" width="41.69921875" customWidth="1"/>
    <col min="4" max="4" width="41" customWidth="1"/>
    <col min="5" max="5" width="27.5" customWidth="1"/>
    <col min="6" max="6" width="17.5" customWidth="1"/>
    <col min="7" max="7" width="27.5" customWidth="1"/>
    <col min="8" max="8" width="25.3984375" customWidth="1"/>
    <col min="9" max="9" width="33.8984375" customWidth="1"/>
    <col min="10" max="10" width="14.296875" customWidth="1"/>
    <col min="11" max="11" width="20.796875" customWidth="1"/>
    <col min="12" max="12" width="19.19921875" customWidth="1"/>
    <col min="13" max="13" width="14.296875" customWidth="1"/>
    <col min="14" max="14" width="15.8984375" customWidth="1"/>
    <col min="15" max="15" width="14.09765625" customWidth="1"/>
  </cols>
  <sheetData>
    <row r="1" spans="2:15" ht="26.4">
      <c r="B1" s="110" t="s">
        <v>1276</v>
      </c>
      <c r="C1" s="111"/>
      <c r="D1" s="111"/>
      <c r="E1" s="111"/>
      <c r="F1" s="111"/>
      <c r="G1" s="111"/>
      <c r="H1" s="111"/>
      <c r="I1" s="111"/>
      <c r="J1" s="111"/>
      <c r="K1" s="111"/>
      <c r="L1" s="111"/>
      <c r="M1" s="111"/>
      <c r="N1" s="111"/>
      <c r="O1" s="111"/>
    </row>
    <row r="2" spans="2:15">
      <c r="B2" s="112" t="s">
        <v>1252</v>
      </c>
      <c r="C2" s="112"/>
      <c r="D2" s="112"/>
      <c r="E2" s="112"/>
      <c r="F2" s="112"/>
      <c r="G2" s="112"/>
      <c r="H2" s="112"/>
      <c r="I2" s="112"/>
      <c r="J2" s="112"/>
      <c r="K2" s="112"/>
      <c r="L2" s="112"/>
      <c r="M2" s="112"/>
      <c r="N2" s="112"/>
      <c r="O2" s="112"/>
    </row>
    <row r="4" spans="2:15" ht="17.399999999999999">
      <c r="B4" s="109" t="s">
        <v>1253</v>
      </c>
      <c r="C4" s="109"/>
      <c r="D4" s="109"/>
      <c r="E4" s="109"/>
      <c r="F4" s="109"/>
      <c r="G4" s="109"/>
      <c r="H4" s="109"/>
      <c r="I4" s="109"/>
      <c r="J4" s="109"/>
      <c r="K4" s="109"/>
      <c r="L4" s="109"/>
      <c r="M4" s="109"/>
      <c r="N4" s="109"/>
      <c r="O4" s="109"/>
    </row>
    <row r="5" spans="2:15">
      <c r="B5" t="s">
        <v>1149</v>
      </c>
      <c r="C5" t="s">
        <v>1150</v>
      </c>
    </row>
    <row r="6" spans="2:15">
      <c r="B6" t="s">
        <v>1161</v>
      </c>
      <c r="C6" s="30">
        <v>-1</v>
      </c>
    </row>
    <row r="7" spans="2:15">
      <c r="B7" t="s">
        <v>1162</v>
      </c>
      <c r="C7" s="30">
        <v>-0.5</v>
      </c>
    </row>
    <row r="8" spans="2:15">
      <c r="B8" t="s">
        <v>1201</v>
      </c>
      <c r="C8" s="30">
        <v>-0.25</v>
      </c>
    </row>
    <row r="9" spans="2:15">
      <c r="B9" t="s">
        <v>1163</v>
      </c>
      <c r="C9" s="30">
        <v>0</v>
      </c>
    </row>
    <row r="11" spans="2:15" ht="17.399999999999999">
      <c r="B11" s="108" t="s">
        <v>1275</v>
      </c>
      <c r="C11" s="109"/>
      <c r="D11" s="109"/>
      <c r="E11" s="109"/>
      <c r="F11" s="109"/>
      <c r="G11" s="109"/>
      <c r="H11" s="109"/>
      <c r="I11" s="109"/>
      <c r="J11" s="109"/>
      <c r="K11" s="109"/>
      <c r="L11" s="109"/>
      <c r="M11" s="109"/>
      <c r="N11" s="109"/>
      <c r="O11" s="109"/>
    </row>
    <row r="12" spans="2:15">
      <c r="B12" s="5" t="s">
        <v>310</v>
      </c>
      <c r="C12" s="5" t="s">
        <v>311</v>
      </c>
      <c r="D12" s="72" t="s">
        <v>1462</v>
      </c>
      <c r="E12" s="72" t="s">
        <v>1463</v>
      </c>
      <c r="F12" s="72" t="s">
        <v>1464</v>
      </c>
      <c r="G12" s="72" t="s">
        <v>10</v>
      </c>
      <c r="H12" s="72" t="s">
        <v>1465</v>
      </c>
      <c r="I12" s="5" t="s">
        <v>18</v>
      </c>
    </row>
    <row r="13" spans="2:15">
      <c r="B13" t="s">
        <v>320</v>
      </c>
      <c r="C13" t="s">
        <v>321</v>
      </c>
      <c r="D13"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13"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13"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13"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13"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13"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14" spans="2:15">
      <c r="B14" t="s">
        <v>329</v>
      </c>
      <c r="C14" t="s">
        <v>330</v>
      </c>
      <c r="D14"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14"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14"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14"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14"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14"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15" spans="2:15">
      <c r="B15" t="s">
        <v>335</v>
      </c>
      <c r="C15" t="s">
        <v>336</v>
      </c>
      <c r="D15"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15"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15"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15"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15"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15"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16" spans="2:15">
      <c r="B16" t="s">
        <v>341</v>
      </c>
      <c r="C16" t="s">
        <v>342</v>
      </c>
      <c r="D16"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16"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16"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16"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16"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16"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17" spans="2:9">
      <c r="B17" t="s">
        <v>346</v>
      </c>
      <c r="C17" t="s">
        <v>347</v>
      </c>
      <c r="D17"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17"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17"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17"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17"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17"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18" spans="2:9">
      <c r="B18" t="s">
        <v>349</v>
      </c>
      <c r="C18" t="s">
        <v>350</v>
      </c>
      <c r="D18"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Yes</v>
      </c>
      <c r="E18"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18"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18"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18"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18"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19" spans="2:9">
      <c r="B19" t="s">
        <v>355</v>
      </c>
      <c r="C19" t="s">
        <v>356</v>
      </c>
      <c r="D19"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Yes</v>
      </c>
      <c r="E19"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19"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19"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19"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19"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Yes</v>
      </c>
    </row>
    <row r="20" spans="2:9">
      <c r="B20" t="s">
        <v>360</v>
      </c>
      <c r="C20" t="s">
        <v>361</v>
      </c>
      <c r="D20"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Yes</v>
      </c>
      <c r="E20"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20"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20"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20"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20"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21" spans="2:9">
      <c r="B21" t="s">
        <v>364</v>
      </c>
      <c r="C21" t="s">
        <v>365</v>
      </c>
      <c r="D21"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21"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21"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21"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21"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21"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22" spans="2:9">
      <c r="B22" t="s">
        <v>369</v>
      </c>
      <c r="C22" t="s">
        <v>370</v>
      </c>
      <c r="D22"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22"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22"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22"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Yes</v>
      </c>
      <c r="H22"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22"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23" spans="2:9">
      <c r="B23" t="s">
        <v>375</v>
      </c>
      <c r="C23" t="s">
        <v>376</v>
      </c>
      <c r="D23"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23"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23"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23"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23"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23"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24" spans="2:9">
      <c r="B24" t="s">
        <v>379</v>
      </c>
      <c r="C24" t="s">
        <v>380</v>
      </c>
      <c r="D24"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24"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24"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24"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24"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24"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25" spans="2:9">
      <c r="B25" t="s">
        <v>384</v>
      </c>
      <c r="C25" t="s">
        <v>385</v>
      </c>
      <c r="D25"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25"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25"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25"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25"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25"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26" spans="2:9">
      <c r="B26" t="s">
        <v>388</v>
      </c>
      <c r="C26" t="s">
        <v>389</v>
      </c>
      <c r="D26"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26"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26"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26"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26"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26"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Yes</v>
      </c>
    </row>
    <row r="27" spans="2:9">
      <c r="B27" t="s">
        <v>393</v>
      </c>
      <c r="C27" t="s">
        <v>394</v>
      </c>
      <c r="D27"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27"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Yes</v>
      </c>
      <c r="F27"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27"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27"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27"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Yes</v>
      </c>
    </row>
    <row r="28" spans="2:9">
      <c r="B28" t="s">
        <v>398</v>
      </c>
      <c r="C28" t="s">
        <v>399</v>
      </c>
      <c r="D28"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28"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28"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28"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28"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28"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29" spans="2:9">
      <c r="B29" t="s">
        <v>404</v>
      </c>
      <c r="C29" t="s">
        <v>405</v>
      </c>
      <c r="D29"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29"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29"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29"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29"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29"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30" spans="2:9">
      <c r="B30" t="s">
        <v>408</v>
      </c>
      <c r="C30" t="s">
        <v>409</v>
      </c>
      <c r="D30"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30"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30"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30"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30"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30"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31" spans="2:9">
      <c r="B31" t="s">
        <v>412</v>
      </c>
      <c r="C31" t="s">
        <v>413</v>
      </c>
      <c r="D31"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31"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31"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31"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Yes</v>
      </c>
      <c r="H31"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31"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32" spans="2:9">
      <c r="B32" t="s">
        <v>417</v>
      </c>
      <c r="C32" t="s">
        <v>418</v>
      </c>
      <c r="D32"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32"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32"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32"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32"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32"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33" spans="2:9">
      <c r="B33" t="s">
        <v>423</v>
      </c>
      <c r="C33" t="s">
        <v>424</v>
      </c>
      <c r="D33"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33"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33"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33"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33"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33"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34" spans="2:9">
      <c r="B34" t="s">
        <v>427</v>
      </c>
      <c r="C34" t="s">
        <v>428</v>
      </c>
      <c r="D34"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34"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34"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34"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34"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34"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35" spans="2:9">
      <c r="B35" t="s">
        <v>432</v>
      </c>
      <c r="C35" t="s">
        <v>433</v>
      </c>
      <c r="D35"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35"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35"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35"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35"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35"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36" spans="2:9">
      <c r="B36" t="s">
        <v>436</v>
      </c>
      <c r="C36" t="s">
        <v>437</v>
      </c>
      <c r="D36"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36"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36"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36"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36"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36"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37" spans="2:9">
      <c r="B37" t="s">
        <v>440</v>
      </c>
      <c r="C37" t="s">
        <v>441</v>
      </c>
      <c r="D37"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37"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37"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37"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37"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37"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Yes</v>
      </c>
    </row>
    <row r="38" spans="2:9">
      <c r="B38" t="s">
        <v>444</v>
      </c>
      <c r="C38" t="s">
        <v>445</v>
      </c>
      <c r="D38"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38"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38"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38"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Yes</v>
      </c>
      <c r="H38"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38"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Yes</v>
      </c>
    </row>
    <row r="39" spans="2:9">
      <c r="B39" t="s">
        <v>449</v>
      </c>
      <c r="C39" t="s">
        <v>450</v>
      </c>
      <c r="D39"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39"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39"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39"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39"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39"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Yes</v>
      </c>
    </row>
    <row r="40" spans="2:9">
      <c r="B40" t="s">
        <v>453</v>
      </c>
      <c r="C40" t="s">
        <v>454</v>
      </c>
      <c r="D40"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40"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40"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40"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40"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40"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41" spans="2:9">
      <c r="B41" t="s">
        <v>457</v>
      </c>
      <c r="C41" t="s">
        <v>458</v>
      </c>
      <c r="D41"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41"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41"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41"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41"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41"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42" spans="2:9">
      <c r="B42" t="s">
        <v>461</v>
      </c>
      <c r="C42" t="s">
        <v>462</v>
      </c>
      <c r="D42"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42"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42"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42"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42"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42"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43" spans="2:9">
      <c r="B43" t="s">
        <v>466</v>
      </c>
      <c r="C43" t="s">
        <v>467</v>
      </c>
      <c r="D43"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43"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43"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43"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43"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43"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44" spans="2:9">
      <c r="B44" t="s">
        <v>471</v>
      </c>
      <c r="C44" t="s">
        <v>472</v>
      </c>
      <c r="D44"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44"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44"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44"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44"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44"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45" spans="2:9">
      <c r="B45" t="s">
        <v>475</v>
      </c>
      <c r="C45" t="s">
        <v>476</v>
      </c>
      <c r="D45"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45"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45"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45"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45"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45"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46" spans="2:9">
      <c r="B46" t="s">
        <v>480</v>
      </c>
      <c r="C46" t="s">
        <v>481</v>
      </c>
      <c r="D46"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46"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46"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46"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Yes</v>
      </c>
      <c r="H46"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46"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47" spans="2:9">
      <c r="B47" t="s">
        <v>485</v>
      </c>
      <c r="C47" t="s">
        <v>486</v>
      </c>
      <c r="D47"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47"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47"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47"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47"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47"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Yes</v>
      </c>
    </row>
    <row r="48" spans="2:9">
      <c r="B48" t="s">
        <v>490</v>
      </c>
      <c r="C48" t="s">
        <v>491</v>
      </c>
      <c r="D48"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Yes</v>
      </c>
      <c r="E48"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48"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48"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48"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48"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Yes</v>
      </c>
    </row>
    <row r="49" spans="2:9">
      <c r="B49" t="s">
        <v>495</v>
      </c>
      <c r="C49" t="s">
        <v>496</v>
      </c>
      <c r="D49"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Yes</v>
      </c>
      <c r="E49"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49"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49"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49"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49"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Yes</v>
      </c>
    </row>
    <row r="50" spans="2:9">
      <c r="B50" t="s">
        <v>500</v>
      </c>
      <c r="C50" t="s">
        <v>501</v>
      </c>
      <c r="D50"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50"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50"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Yes</v>
      </c>
      <c r="G50"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50"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50"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51" spans="2:9">
      <c r="B51" t="s">
        <v>505</v>
      </c>
      <c r="C51" t="s">
        <v>506</v>
      </c>
      <c r="D51"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51"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51"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51"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51"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51"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52" spans="2:9">
      <c r="B52" t="s">
        <v>509</v>
      </c>
      <c r="C52" t="s">
        <v>510</v>
      </c>
      <c r="D52"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52"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52"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52"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Yes</v>
      </c>
      <c r="H52"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52"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53" spans="2:9">
      <c r="B53" t="s">
        <v>513</v>
      </c>
      <c r="C53" t="s">
        <v>514</v>
      </c>
      <c r="D53"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53"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Yes</v>
      </c>
      <c r="F53"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53"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53"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53"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54" spans="2:9">
      <c r="B54" t="s">
        <v>517</v>
      </c>
      <c r="C54" t="s">
        <v>518</v>
      </c>
      <c r="D54"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54"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Yes</v>
      </c>
      <c r="F54"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54"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54"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54"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55" spans="2:9">
      <c r="B55" t="s">
        <v>522</v>
      </c>
      <c r="C55" t="s">
        <v>523</v>
      </c>
      <c r="D55"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55"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Yes</v>
      </c>
      <c r="F55"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55"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55"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55"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56" spans="2:9">
      <c r="B56" t="s">
        <v>527</v>
      </c>
      <c r="C56" t="s">
        <v>528</v>
      </c>
      <c r="D56"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56"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56"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56"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Yes</v>
      </c>
      <c r="H56"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56"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57" spans="2:9">
      <c r="B57" t="s">
        <v>531</v>
      </c>
      <c r="C57" t="s">
        <v>532</v>
      </c>
      <c r="D57"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Yes</v>
      </c>
      <c r="E57"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Yes</v>
      </c>
      <c r="F57"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57"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57"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57"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Yes</v>
      </c>
    </row>
    <row r="58" spans="2:9">
      <c r="B58" t="s">
        <v>535</v>
      </c>
      <c r="C58" t="s">
        <v>536</v>
      </c>
      <c r="D58"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58"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Yes</v>
      </c>
      <c r="F58"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58"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58"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58"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59" spans="2:9">
      <c r="B59" t="s">
        <v>539</v>
      </c>
      <c r="C59" t="s">
        <v>540</v>
      </c>
      <c r="D59"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59"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Yes</v>
      </c>
      <c r="F59"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59"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59"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59"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60" spans="2:9">
      <c r="B60" t="s">
        <v>543</v>
      </c>
      <c r="C60" t="s">
        <v>544</v>
      </c>
      <c r="D60"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Yes</v>
      </c>
      <c r="E60"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Yes</v>
      </c>
      <c r="F60"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Yes</v>
      </c>
      <c r="G60"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60"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60"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61" spans="2:9">
      <c r="B61" t="s">
        <v>547</v>
      </c>
      <c r="C61" t="s">
        <v>548</v>
      </c>
      <c r="D61"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Yes</v>
      </c>
      <c r="E61"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Yes</v>
      </c>
      <c r="F61"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61"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61"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61"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62" spans="2:9">
      <c r="B62" t="s">
        <v>552</v>
      </c>
      <c r="C62" t="s">
        <v>553</v>
      </c>
      <c r="D62"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Yes</v>
      </c>
      <c r="E62"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62"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62"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62"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62"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63" spans="2:9">
      <c r="B63" t="s">
        <v>556</v>
      </c>
      <c r="C63" t="s">
        <v>557</v>
      </c>
      <c r="D63"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63"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63"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63"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63"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63"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64" spans="2:9">
      <c r="B64" t="s">
        <v>561</v>
      </c>
      <c r="C64" t="s">
        <v>562</v>
      </c>
      <c r="D64"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64"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64"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64"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
      </c>
      <c r="H64"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
      </c>
      <c r="I64"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65" spans="2:15">
      <c r="B65" t="s">
        <v>564</v>
      </c>
      <c r="C65" t="s">
        <v>565</v>
      </c>
      <c r="D65" s="30" t="str">
        <f>IF(OR(_xlfn.XLOOKUP(tblSectorAssessmentSummary1011[[#This Row],[ActionID]],tblSectorAssessmentSummary10[ActionID],tblSectorAssessmentSummary10[Water Resources - Vulnerability],0)&lt;&gt;0,_xlfn.XLOOKUP(tblSectorAssessmentSummary1011[[#This Row],[ActionID]],tblSectorAssessmentSummary10[ActionID],tblSectorAssessmentSummary10[Water Resources - Exposure],0)&lt;&gt;0),"Yes","")</f>
        <v/>
      </c>
      <c r="E65" s="30" t="str">
        <f>IF(OR(_xlfn.XLOOKUP(tblSectorAssessmentSummary1011[[#This Row],[ActionID]],tblSectorAssessmentSummary10[ActionID],tblSectorAssessmentSummary10[Food Security - Vulnerability],0)&lt;&gt;0,_xlfn.XLOOKUP(tblSectorAssessmentSummary1011[[#This Row],[ActionID]],tblSectorAssessmentSummary10[ActionID],tblSectorAssessmentSummary10[Food Security - Exposure],0)&lt;&gt;0),"Yes","")</f>
        <v/>
      </c>
      <c r="F65" s="30" t="str">
        <f>IF(OR(_xlfn.XLOOKUP(tblSectorAssessmentSummary1011[[#This Row],[ActionID]],tblSectorAssessmentSummary10[ActionID],tblSectorAssessmentSummary10[Energy Security - Vulnerability],0)&lt;&gt;0,_xlfn.XLOOKUP(tblSectorAssessmentSummary1011[[#This Row],[ActionID]],tblSectorAssessmentSummary10[ActionID],tblSectorAssessmentSummary10[Energy Security - Exposure],0)&lt;&gt;0),"Yes","")</f>
        <v/>
      </c>
      <c r="G65" s="30" t="str">
        <f>IF(OR(_xlfn.XLOOKUP(tblSectorAssessmentSummary1011[[#This Row],[ActionID]],tblSectorAssessmentSummary10[ActionID],tblSectorAssessmentSummary10[Health - Vulnerability],0)&lt;&gt;0,_xlfn.XLOOKUP(tblSectorAssessmentSummary1011[[#This Row],[ActionID]],tblSectorAssessmentSummary10[ActionID],tblSectorAssessmentSummary10[Health - Exposure],0)&lt;&gt;0),"Yes","")</f>
        <v>Yes</v>
      </c>
      <c r="H65" s="30" t="str">
        <f>IF(OR(_xlfn.XLOOKUP(tblSectorAssessmentSummary1011[[#This Row],[ActionID]],tblSectorAssessmentSummary10[ActionID],tblSectorAssessmentSummary10[Geohydrological Disasters - Vulnerability],0)&lt;&gt;0,_xlfn.XLOOKUP(tblSectorAssessmentSummary1011[[#This Row],[ActionID]],tblSectorAssessmentSummary10[ActionID],tblSectorAssessmentSummary10[Geohydrological Disasters - Exposure],0)&lt;&gt;0),"Yes","")</f>
        <v>Yes</v>
      </c>
      <c r="I65" s="30" t="str">
        <f>IF(OR(_xlfn.XLOOKUP(tblSectorAssessmentSummary1011[[#This Row],[ActionID]],tblSectorAssessmentSummary10[ActionID],tblSectorAssessmentSummary10[Biodiversity - Vulnerability],0)&lt;&gt;0,_xlfn.XLOOKUP(tblSectorAssessmentSummary1011[[#This Row],[ActionID]],tblSectorAssessmentSummary10[ActionID],tblSectorAssessmentSummary10[Biodiversity - Exposure],0)&lt;&gt;0),"Yes","")</f>
        <v/>
      </c>
    </row>
    <row r="68" spans="2:15" ht="17.399999999999999">
      <c r="B68" s="108" t="s">
        <v>1275</v>
      </c>
      <c r="C68" s="109"/>
      <c r="D68" s="109"/>
      <c r="E68" s="109"/>
      <c r="F68" s="109"/>
      <c r="G68" s="109"/>
      <c r="H68" s="109"/>
      <c r="I68" s="109"/>
      <c r="J68" s="109"/>
      <c r="K68" s="109"/>
      <c r="L68" s="109"/>
      <c r="M68" s="109"/>
      <c r="N68" s="109"/>
      <c r="O68" s="109"/>
    </row>
    <row r="69" spans="2:15" ht="45">
      <c r="B69" s="5" t="s">
        <v>310</v>
      </c>
      <c r="C69" s="5" t="s">
        <v>311</v>
      </c>
      <c r="D69" s="5" t="s">
        <v>1254</v>
      </c>
      <c r="E69" s="5" t="s">
        <v>1255</v>
      </c>
      <c r="F69" s="5" t="s">
        <v>1256</v>
      </c>
      <c r="G69" s="5" t="s">
        <v>1257</v>
      </c>
      <c r="H69" s="5" t="s">
        <v>1258</v>
      </c>
      <c r="I69" s="5" t="s">
        <v>1259</v>
      </c>
      <c r="J69" s="5" t="s">
        <v>1260</v>
      </c>
      <c r="K69" s="5" t="s">
        <v>1261</v>
      </c>
      <c r="L69" s="5" t="s">
        <v>1262</v>
      </c>
      <c r="M69" s="5" t="s">
        <v>1263</v>
      </c>
      <c r="N69" s="5" t="s">
        <v>1264</v>
      </c>
      <c r="O69" s="5" t="s">
        <v>1265</v>
      </c>
    </row>
    <row r="70" spans="2:15">
      <c r="B70" t="s">
        <v>320</v>
      </c>
      <c r="C70" t="s">
        <v>321</v>
      </c>
      <c r="D70" s="73">
        <f>IFERROR(_xlfn.XLOOKUP(_xlfn.XLOOKUP(tblSectorAssessmentSummary10[[#This Row],[ActionID]],$B$161:$B$213,$E$161:$E$213,""),tblEffectivenessParameters8[Parameter],tblEffectivenessParameters8[Default value],""),"")</f>
        <v>0</v>
      </c>
      <c r="E70" s="73">
        <f>IFERROR(_xlfn.XLOOKUP(_xlfn.XLOOKUP(tblSectorAssessmentSummary10[[#This Row],[ActionID]],$B$161:$B$213,$G$161:$G$213,""),tblEffectivenessParameters8[Parameter],tblEffectivenessParameters8[Default value],""),"")</f>
        <v>0</v>
      </c>
      <c r="F70" s="73">
        <f>IFERROR(_xlfn.XLOOKUP(_xlfn.XLOOKUP(tblSectorAssessmentSummary10[[#This Row],[ActionID]],$B$252:$B$304,$E$252:$E$304,""),tblEffectivenessParameters8[Parameter],tblEffectivenessParameters8[Default value],""),"")</f>
        <v>0</v>
      </c>
      <c r="G70" s="73">
        <f>IFERROR(_xlfn.XLOOKUP(_xlfn.XLOOKUP(tblSectorAssessmentSummary10[[#This Row],[ActionID]],$B$252:$B$304,$G$252:$G$304,""),tblEffectivenessParameters8[Parameter],tblEffectivenessParameters8[Default value],""),"")</f>
        <v>0</v>
      </c>
      <c r="H70" s="73">
        <f>IFERROR(_xlfn.XLOOKUP(_xlfn.XLOOKUP(tblSectorAssessmentSummary10[[#This Row],[ActionID]],$B$343:$B$395,$E$343:$E$395,""),tblEffectivenessParameters8[Parameter],tblEffectivenessParameters8[Default value],""),"")</f>
        <v>0</v>
      </c>
      <c r="I70" s="73">
        <f>IFERROR(_xlfn.XLOOKUP(_xlfn.XLOOKUP(tblSectorAssessmentSummary10[[#This Row],[ActionID]],$B$343:$B$395,$G$343:$G$395,""),tblEffectivenessParameters8[Parameter],tblEffectivenessParameters8[Default value],""),"")</f>
        <v>0</v>
      </c>
      <c r="J70" s="73">
        <f>IFERROR(_xlfn.XLOOKUP(_xlfn.XLOOKUP(tblSectorAssessmentSummary10[[#This Row],[ActionID]],$B$434:$B$486,$E$434:$E$486,""),tblEffectivenessParameters8[Parameter],tblEffectivenessParameters8[Default value],""),"")</f>
        <v>0</v>
      </c>
      <c r="K70" s="73">
        <f>IFERROR(_xlfn.XLOOKUP(_xlfn.XLOOKUP(tblSectorAssessmentSummary10[[#This Row],[ActionID]],$B$434:$B$486,$G$434:$G$486,""),tblEffectivenessParameters8[Parameter],tblEffectivenessParameters8[Default value],""),"")</f>
        <v>0</v>
      </c>
      <c r="L70" s="73">
        <f>IFERROR(_xlfn.XLOOKUP(_xlfn.XLOOKUP(tblSectorAssessmentSummary10[[#This Row],[ActionID]],$B$525:$B$577,$E$525:$E$577,""),tblEffectivenessParameters8[Parameter],tblEffectivenessParameters8[Default value],""),"")</f>
        <v>-0.5</v>
      </c>
      <c r="M70" s="73">
        <f>IFERROR(_xlfn.XLOOKUP(_xlfn.XLOOKUP(tblSectorAssessmentSummary10[[#This Row],[ActionID]],$B$525:$B$577,$G$525:$G$577,""),tblEffectivenessParameters8[Parameter],tblEffectivenessParameters8[Default value],""),"")</f>
        <v>-0.5</v>
      </c>
      <c r="N70" s="73">
        <f>IFERROR(_xlfn.XLOOKUP(_xlfn.XLOOKUP(tblSectorAssessmentSummary10[[#This Row],[ActionID]],$B$616:$B$668,$E$616:$E$668,""),tblEffectivenessParameters8[Parameter],tblEffectivenessParameters8[Default value],""),"")</f>
        <v>0</v>
      </c>
      <c r="O70" s="73">
        <f>IFERROR(_xlfn.XLOOKUP(_xlfn.XLOOKUP(tblSectorAssessmentSummary10[[#This Row],[ActionID]],$B$616:$B$668,$G$616:$G$668,""),tblEffectivenessParameters8[Parameter],tblEffectivenessParameters8[Default value],""),"")</f>
        <v>0</v>
      </c>
    </row>
    <row r="71" spans="2:15">
      <c r="B71" t="s">
        <v>329</v>
      </c>
      <c r="C71" t="s">
        <v>330</v>
      </c>
      <c r="D71" s="73">
        <f>IFERROR(_xlfn.XLOOKUP(_xlfn.XLOOKUP(tblSectorAssessmentSummary10[[#This Row],[ActionID]],$B$161:$B$213,$E$161:$E$213,""),tblEffectivenessParameters8[Parameter],tblEffectivenessParameters8[Default value],""),"")</f>
        <v>0</v>
      </c>
      <c r="E71" s="73">
        <f>IFERROR(_xlfn.XLOOKUP(_xlfn.XLOOKUP(tblSectorAssessmentSummary10[[#This Row],[ActionID]],$B$161:$B$213,$G$161:$G$213,""),tblEffectivenessParameters8[Parameter],tblEffectivenessParameters8[Default value],""),"")</f>
        <v>0</v>
      </c>
      <c r="F71" s="73">
        <f>IFERROR(_xlfn.XLOOKUP(_xlfn.XLOOKUP(tblSectorAssessmentSummary10[[#This Row],[ActionID]],$B$252:$B$304,$E$252:$E$304,""),tblEffectivenessParameters8[Parameter],tblEffectivenessParameters8[Default value],""),"")</f>
        <v>0</v>
      </c>
      <c r="G71" s="73">
        <f>IFERROR(_xlfn.XLOOKUP(_xlfn.XLOOKUP(tblSectorAssessmentSummary10[[#This Row],[ActionID]],$B$252:$B$304,$G$252:$G$304,""),tblEffectivenessParameters8[Parameter],tblEffectivenessParameters8[Default value],""),"")</f>
        <v>0</v>
      </c>
      <c r="H71" s="73">
        <f>IFERROR(_xlfn.XLOOKUP(_xlfn.XLOOKUP(tblSectorAssessmentSummary10[[#This Row],[ActionID]],$B$343:$B$395,$E$343:$E$395,""),tblEffectivenessParameters8[Parameter],tblEffectivenessParameters8[Default value],""),"")</f>
        <v>0</v>
      </c>
      <c r="I71" s="73">
        <f>IFERROR(_xlfn.XLOOKUP(_xlfn.XLOOKUP(tblSectorAssessmentSummary10[[#This Row],[ActionID]],$B$343:$B$395,$G$343:$G$395,""),tblEffectivenessParameters8[Parameter],tblEffectivenessParameters8[Default value],""),"")</f>
        <v>0</v>
      </c>
      <c r="J71" s="73">
        <f>IFERROR(_xlfn.XLOOKUP(_xlfn.XLOOKUP(tblSectorAssessmentSummary10[[#This Row],[ActionID]],$B$434:$B$486,$E$434:$E$486,""),tblEffectivenessParameters8[Parameter],tblEffectivenessParameters8[Default value],""),"")</f>
        <v>0</v>
      </c>
      <c r="K71" s="73">
        <f>IFERROR(_xlfn.XLOOKUP(_xlfn.XLOOKUP(tblSectorAssessmentSummary10[[#This Row],[ActionID]],$B$434:$B$486,$G$434:$G$486,""),tblEffectivenessParameters8[Parameter],tblEffectivenessParameters8[Default value],""),"")</f>
        <v>0</v>
      </c>
      <c r="L71" s="73">
        <f>IFERROR(_xlfn.XLOOKUP(_xlfn.XLOOKUP(tblSectorAssessmentSummary10[[#This Row],[ActionID]],$B$525:$B$577,$E$525:$E$577,""),tblEffectivenessParameters8[Parameter],tblEffectivenessParameters8[Default value],""),"")</f>
        <v>-1</v>
      </c>
      <c r="M71" s="73">
        <f>IFERROR(_xlfn.XLOOKUP(_xlfn.XLOOKUP(tblSectorAssessmentSummary10[[#This Row],[ActionID]],$B$525:$B$577,$G$525:$G$577,""),tblEffectivenessParameters8[Parameter],tblEffectivenessParameters8[Default value],""),"")</f>
        <v>-0.5</v>
      </c>
      <c r="N71" s="73">
        <f>IFERROR(_xlfn.XLOOKUP(_xlfn.XLOOKUP(tblSectorAssessmentSummary10[[#This Row],[ActionID]],$B$616:$B$668,$E$616:$E$668,""),tblEffectivenessParameters8[Parameter],tblEffectivenessParameters8[Default value],""),"")</f>
        <v>0</v>
      </c>
      <c r="O71" s="73">
        <f>IFERROR(_xlfn.XLOOKUP(_xlfn.XLOOKUP(tblSectorAssessmentSummary10[[#This Row],[ActionID]],$B$616:$B$668,$G$616:$G$668,""),tblEffectivenessParameters8[Parameter],tblEffectivenessParameters8[Default value],""),"")</f>
        <v>0</v>
      </c>
    </row>
    <row r="72" spans="2:15">
      <c r="B72" t="s">
        <v>335</v>
      </c>
      <c r="C72" t="s">
        <v>336</v>
      </c>
      <c r="D72" s="73">
        <f>IFERROR(_xlfn.XLOOKUP(_xlfn.XLOOKUP(tblSectorAssessmentSummary10[[#This Row],[ActionID]],$B$161:$B$213,$E$161:$E$213,""),tblEffectivenessParameters8[Parameter],tblEffectivenessParameters8[Default value],""),"")</f>
        <v>0</v>
      </c>
      <c r="E72" s="73">
        <f>IFERROR(_xlfn.XLOOKUP(_xlfn.XLOOKUP(tblSectorAssessmentSummary10[[#This Row],[ActionID]],$B$161:$B$213,$G$161:$G$213,""),tblEffectivenessParameters8[Parameter],tblEffectivenessParameters8[Default value],""),"")</f>
        <v>0</v>
      </c>
      <c r="F72" s="73">
        <f>IFERROR(_xlfn.XLOOKUP(_xlfn.XLOOKUP(tblSectorAssessmentSummary10[[#This Row],[ActionID]],$B$252:$B$304,$E$252:$E$304,""),tblEffectivenessParameters8[Parameter],tblEffectivenessParameters8[Default value],""),"")</f>
        <v>0</v>
      </c>
      <c r="G72" s="73">
        <f>IFERROR(_xlfn.XLOOKUP(_xlfn.XLOOKUP(tblSectorAssessmentSummary10[[#This Row],[ActionID]],$B$252:$B$304,$G$252:$G$304,""),tblEffectivenessParameters8[Parameter],tblEffectivenessParameters8[Default value],""),"")</f>
        <v>0</v>
      </c>
      <c r="H72" s="73">
        <f>IFERROR(_xlfn.XLOOKUP(_xlfn.XLOOKUP(tblSectorAssessmentSummary10[[#This Row],[ActionID]],$B$343:$B$395,$E$343:$E$395,""),tblEffectivenessParameters8[Parameter],tblEffectivenessParameters8[Default value],""),"")</f>
        <v>0</v>
      </c>
      <c r="I72" s="73">
        <f>IFERROR(_xlfn.XLOOKUP(_xlfn.XLOOKUP(tblSectorAssessmentSummary10[[#This Row],[ActionID]],$B$343:$B$395,$G$343:$G$395,""),tblEffectivenessParameters8[Parameter],tblEffectivenessParameters8[Default value],""),"")</f>
        <v>0</v>
      </c>
      <c r="J72" s="73">
        <f>IFERROR(_xlfn.XLOOKUP(_xlfn.XLOOKUP(tblSectorAssessmentSummary10[[#This Row],[ActionID]],$B$434:$B$486,$E$434:$E$486,""),tblEffectivenessParameters8[Parameter],tblEffectivenessParameters8[Default value],""),"")</f>
        <v>0</v>
      </c>
      <c r="K72" s="73">
        <f>IFERROR(_xlfn.XLOOKUP(_xlfn.XLOOKUP(tblSectorAssessmentSummary10[[#This Row],[ActionID]],$B$434:$B$486,$G$434:$G$486,""),tblEffectivenessParameters8[Parameter],tblEffectivenessParameters8[Default value],""),"")</f>
        <v>0</v>
      </c>
      <c r="L72" s="73">
        <f>IFERROR(_xlfn.XLOOKUP(_xlfn.XLOOKUP(tblSectorAssessmentSummary10[[#This Row],[ActionID]],$B$525:$B$577,$E$525:$E$577,""),tblEffectivenessParameters8[Parameter],tblEffectivenessParameters8[Default value],""),"")</f>
        <v>0</v>
      </c>
      <c r="M72" s="73">
        <f>IFERROR(_xlfn.XLOOKUP(_xlfn.XLOOKUP(tblSectorAssessmentSummary10[[#This Row],[ActionID]],$B$525:$B$577,$G$525:$G$577,""),tblEffectivenessParameters8[Parameter],tblEffectivenessParameters8[Default value],""),"")</f>
        <v>0</v>
      </c>
      <c r="N72" s="73">
        <f>IFERROR(_xlfn.XLOOKUP(_xlfn.XLOOKUP(tblSectorAssessmentSummary10[[#This Row],[ActionID]],$B$616:$B$668,$E$616:$E$668,""),tblEffectivenessParameters8[Parameter],tblEffectivenessParameters8[Default value],""),"")</f>
        <v>0</v>
      </c>
      <c r="O72" s="73">
        <f>IFERROR(_xlfn.XLOOKUP(_xlfn.XLOOKUP(tblSectorAssessmentSummary10[[#This Row],[ActionID]],$B$616:$B$668,$G$616:$G$668,""),tblEffectivenessParameters8[Parameter],tblEffectivenessParameters8[Default value],""),"")</f>
        <v>0</v>
      </c>
    </row>
    <row r="73" spans="2:15">
      <c r="B73" t="s">
        <v>341</v>
      </c>
      <c r="C73" t="s">
        <v>342</v>
      </c>
      <c r="D73" s="73">
        <f>IFERROR(_xlfn.XLOOKUP(_xlfn.XLOOKUP(tblSectorAssessmentSummary10[[#This Row],[ActionID]],$B$161:$B$213,$E$161:$E$213,""),tblEffectivenessParameters8[Parameter],tblEffectivenessParameters8[Default value],""),"")</f>
        <v>0</v>
      </c>
      <c r="E73" s="73">
        <f>IFERROR(_xlfn.XLOOKUP(_xlfn.XLOOKUP(tblSectorAssessmentSummary10[[#This Row],[ActionID]],$B$161:$B$213,$G$161:$G$213,""),tblEffectivenessParameters8[Parameter],tblEffectivenessParameters8[Default value],""),"")</f>
        <v>0</v>
      </c>
      <c r="F73" s="73">
        <f>IFERROR(_xlfn.XLOOKUP(_xlfn.XLOOKUP(tblSectorAssessmentSummary10[[#This Row],[ActionID]],$B$252:$B$304,$E$252:$E$304,""),tblEffectivenessParameters8[Parameter],tblEffectivenessParameters8[Default value],""),"")</f>
        <v>0</v>
      </c>
      <c r="G73" s="73">
        <f>IFERROR(_xlfn.XLOOKUP(_xlfn.XLOOKUP(tblSectorAssessmentSummary10[[#This Row],[ActionID]],$B$252:$B$304,$G$252:$G$304,""),tblEffectivenessParameters8[Parameter],tblEffectivenessParameters8[Default value],""),"")</f>
        <v>0</v>
      </c>
      <c r="H73" s="73">
        <f>IFERROR(_xlfn.XLOOKUP(_xlfn.XLOOKUP(tblSectorAssessmentSummary10[[#This Row],[ActionID]],$B$343:$B$395,$E$343:$E$395,""),tblEffectivenessParameters8[Parameter],tblEffectivenessParameters8[Default value],""),"")</f>
        <v>0</v>
      </c>
      <c r="I73" s="73">
        <f>IFERROR(_xlfn.XLOOKUP(_xlfn.XLOOKUP(tblSectorAssessmentSummary10[[#This Row],[ActionID]],$B$343:$B$395,$G$343:$G$395,""),tblEffectivenessParameters8[Parameter],tblEffectivenessParameters8[Default value],""),"")</f>
        <v>0</v>
      </c>
      <c r="J73" s="73">
        <f>IFERROR(_xlfn.XLOOKUP(_xlfn.XLOOKUP(tblSectorAssessmentSummary10[[#This Row],[ActionID]],$B$434:$B$486,$E$434:$E$486,""),tblEffectivenessParameters8[Parameter],tblEffectivenessParameters8[Default value],""),"")</f>
        <v>0</v>
      </c>
      <c r="K73" s="73">
        <f>IFERROR(_xlfn.XLOOKUP(_xlfn.XLOOKUP(tblSectorAssessmentSummary10[[#This Row],[ActionID]],$B$434:$B$486,$G$434:$G$486,""),tblEffectivenessParameters8[Parameter],tblEffectivenessParameters8[Default value],""),"")</f>
        <v>0</v>
      </c>
      <c r="L73" s="73">
        <f>IFERROR(_xlfn.XLOOKUP(_xlfn.XLOOKUP(tblSectorAssessmentSummary10[[#This Row],[ActionID]],$B$525:$B$577,$E$525:$E$577,""),tblEffectivenessParameters8[Parameter],tblEffectivenessParameters8[Default value],""),"")</f>
        <v>0</v>
      </c>
      <c r="M73" s="73">
        <f>IFERROR(_xlfn.XLOOKUP(_xlfn.XLOOKUP(tblSectorAssessmentSummary10[[#This Row],[ActionID]],$B$525:$B$577,$G$525:$G$577,""),tblEffectivenessParameters8[Parameter],tblEffectivenessParameters8[Default value],""),"")</f>
        <v>0</v>
      </c>
      <c r="N73" s="73">
        <f>IFERROR(_xlfn.XLOOKUP(_xlfn.XLOOKUP(tblSectorAssessmentSummary10[[#This Row],[ActionID]],$B$616:$B$668,$E$616:$E$668,""),tblEffectivenessParameters8[Parameter],tblEffectivenessParameters8[Default value],""),"")</f>
        <v>0</v>
      </c>
      <c r="O73" s="73">
        <f>IFERROR(_xlfn.XLOOKUP(_xlfn.XLOOKUP(tblSectorAssessmentSummary10[[#This Row],[ActionID]],$B$616:$B$668,$G$616:$G$668,""),tblEffectivenessParameters8[Parameter],tblEffectivenessParameters8[Default value],""),"")</f>
        <v>0</v>
      </c>
    </row>
    <row r="74" spans="2:15">
      <c r="B74" t="s">
        <v>346</v>
      </c>
      <c r="C74" t="s">
        <v>347</v>
      </c>
      <c r="D74" s="73">
        <f>IFERROR(_xlfn.XLOOKUP(_xlfn.XLOOKUP(tblSectorAssessmentSummary10[[#This Row],[ActionID]],$B$161:$B$213,$E$161:$E$213,""),tblEffectivenessParameters8[Parameter],tblEffectivenessParameters8[Default value],""),"")</f>
        <v>0</v>
      </c>
      <c r="E74" s="73">
        <f>IFERROR(_xlfn.XLOOKUP(_xlfn.XLOOKUP(tblSectorAssessmentSummary10[[#This Row],[ActionID]],$B$161:$B$213,$G$161:$G$213,""),tblEffectivenessParameters8[Parameter],tblEffectivenessParameters8[Default value],""),"")</f>
        <v>0</v>
      </c>
      <c r="F74" s="73">
        <f>IFERROR(_xlfn.XLOOKUP(_xlfn.XLOOKUP(tblSectorAssessmentSummary10[[#This Row],[ActionID]],$B$252:$B$304,$E$252:$E$304,""),tblEffectivenessParameters8[Parameter],tblEffectivenessParameters8[Default value],""),"")</f>
        <v>0</v>
      </c>
      <c r="G74" s="73">
        <f>IFERROR(_xlfn.XLOOKUP(_xlfn.XLOOKUP(tblSectorAssessmentSummary10[[#This Row],[ActionID]],$B$252:$B$304,$G$252:$G$304,""),tblEffectivenessParameters8[Parameter],tblEffectivenessParameters8[Default value],""),"")</f>
        <v>0</v>
      </c>
      <c r="H74" s="73">
        <f>IFERROR(_xlfn.XLOOKUP(_xlfn.XLOOKUP(tblSectorAssessmentSummary10[[#This Row],[ActionID]],$B$343:$B$395,$E$343:$E$395,""),tblEffectivenessParameters8[Parameter],tblEffectivenessParameters8[Default value],""),"")</f>
        <v>0</v>
      </c>
      <c r="I74" s="73">
        <f>IFERROR(_xlfn.XLOOKUP(_xlfn.XLOOKUP(tblSectorAssessmentSummary10[[#This Row],[ActionID]],$B$343:$B$395,$G$343:$G$395,""),tblEffectivenessParameters8[Parameter],tblEffectivenessParameters8[Default value],""),"")</f>
        <v>0</v>
      </c>
      <c r="J74" s="73">
        <f>IFERROR(_xlfn.XLOOKUP(_xlfn.XLOOKUP(tblSectorAssessmentSummary10[[#This Row],[ActionID]],$B$434:$B$486,$E$434:$E$486,""),tblEffectivenessParameters8[Parameter],tblEffectivenessParameters8[Default value],""),"")</f>
        <v>0</v>
      </c>
      <c r="K74" s="73">
        <f>IFERROR(_xlfn.XLOOKUP(_xlfn.XLOOKUP(tblSectorAssessmentSummary10[[#This Row],[ActionID]],$B$434:$B$486,$G$434:$G$486,""),tblEffectivenessParameters8[Parameter],tblEffectivenessParameters8[Default value],""),"")</f>
        <v>0</v>
      </c>
      <c r="L74" s="73">
        <f>IFERROR(_xlfn.XLOOKUP(_xlfn.XLOOKUP(tblSectorAssessmentSummary10[[#This Row],[ActionID]],$B$525:$B$577,$E$525:$E$577,""),tblEffectivenessParameters8[Parameter],tblEffectivenessParameters8[Default value],""),"")</f>
        <v>0</v>
      </c>
      <c r="M74" s="73">
        <f>IFERROR(_xlfn.XLOOKUP(_xlfn.XLOOKUP(tblSectorAssessmentSummary10[[#This Row],[ActionID]],$B$525:$B$577,$G$525:$G$577,""),tblEffectivenessParameters8[Parameter],tblEffectivenessParameters8[Default value],""),"")</f>
        <v>0</v>
      </c>
      <c r="N74" s="73">
        <f>IFERROR(_xlfn.XLOOKUP(_xlfn.XLOOKUP(tblSectorAssessmentSummary10[[#This Row],[ActionID]],$B$616:$B$668,$E$616:$E$668,""),tblEffectivenessParameters8[Parameter],tblEffectivenessParameters8[Default value],""),"")</f>
        <v>0</v>
      </c>
      <c r="O74" s="73">
        <f>IFERROR(_xlfn.XLOOKUP(_xlfn.XLOOKUP(tblSectorAssessmentSummary10[[#This Row],[ActionID]],$B$616:$B$668,$G$616:$G$668,""),tblEffectivenessParameters8[Parameter],tblEffectivenessParameters8[Default value],""),"")</f>
        <v>0</v>
      </c>
    </row>
    <row r="75" spans="2:15">
      <c r="B75" t="s">
        <v>349</v>
      </c>
      <c r="C75" t="s">
        <v>350</v>
      </c>
      <c r="D75" s="73">
        <f>IFERROR(_xlfn.XLOOKUP(_xlfn.XLOOKUP(tblSectorAssessmentSummary10[[#This Row],[ActionID]],$B$161:$B$213,$E$161:$E$213,""),tblEffectivenessParameters8[Parameter],tblEffectivenessParameters8[Default value],""),"")</f>
        <v>-1</v>
      </c>
      <c r="E75" s="73">
        <f>IFERROR(_xlfn.XLOOKUP(_xlfn.XLOOKUP(tblSectorAssessmentSummary10[[#This Row],[ActionID]],$B$161:$B$213,$G$161:$G$213,""),tblEffectivenessParameters8[Parameter],tblEffectivenessParameters8[Default value],""),"")</f>
        <v>-1</v>
      </c>
      <c r="F75" s="73">
        <f>IFERROR(_xlfn.XLOOKUP(_xlfn.XLOOKUP(tblSectorAssessmentSummary10[[#This Row],[ActionID]],$B$252:$B$304,$E$252:$E$304,""),tblEffectivenessParameters8[Parameter],tblEffectivenessParameters8[Default value],""),"")</f>
        <v>0</v>
      </c>
      <c r="G75" s="73">
        <f>IFERROR(_xlfn.XLOOKUP(_xlfn.XLOOKUP(tblSectorAssessmentSummary10[[#This Row],[ActionID]],$B$252:$B$304,$G$252:$G$304,""),tblEffectivenessParameters8[Parameter],tblEffectivenessParameters8[Default value],""),"")</f>
        <v>0</v>
      </c>
      <c r="H75" s="73">
        <f>IFERROR(_xlfn.XLOOKUP(_xlfn.XLOOKUP(tblSectorAssessmentSummary10[[#This Row],[ActionID]],$B$343:$B$395,$E$343:$E$395,""),tblEffectivenessParameters8[Parameter],tblEffectivenessParameters8[Default value],""),"")</f>
        <v>0</v>
      </c>
      <c r="I75" s="73">
        <f>IFERROR(_xlfn.XLOOKUP(_xlfn.XLOOKUP(tblSectorAssessmentSummary10[[#This Row],[ActionID]],$B$343:$B$395,$G$343:$G$395,""),tblEffectivenessParameters8[Parameter],tblEffectivenessParameters8[Default value],""),"")</f>
        <v>0</v>
      </c>
      <c r="J75" s="73">
        <f>IFERROR(_xlfn.XLOOKUP(_xlfn.XLOOKUP(tblSectorAssessmentSummary10[[#This Row],[ActionID]],$B$434:$B$486,$E$434:$E$486,""),tblEffectivenessParameters8[Parameter],tblEffectivenessParameters8[Default value],""),"")</f>
        <v>0</v>
      </c>
      <c r="K75" s="73">
        <f>IFERROR(_xlfn.XLOOKUP(_xlfn.XLOOKUP(tblSectorAssessmentSummary10[[#This Row],[ActionID]],$B$434:$B$486,$G$434:$G$486,""),tblEffectivenessParameters8[Parameter],tblEffectivenessParameters8[Default value],""),"")</f>
        <v>0</v>
      </c>
      <c r="L75" s="73">
        <f>IFERROR(_xlfn.XLOOKUP(_xlfn.XLOOKUP(tblSectorAssessmentSummary10[[#This Row],[ActionID]],$B$525:$B$577,$E$525:$E$577,""),tblEffectivenessParameters8[Parameter],tblEffectivenessParameters8[Default value],""),"")</f>
        <v>0</v>
      </c>
      <c r="M75" s="73">
        <f>IFERROR(_xlfn.XLOOKUP(_xlfn.XLOOKUP(tblSectorAssessmentSummary10[[#This Row],[ActionID]],$B$525:$B$577,$G$525:$G$577,""),tblEffectivenessParameters8[Parameter],tblEffectivenessParameters8[Default value],""),"")</f>
        <v>0</v>
      </c>
      <c r="N75" s="73">
        <f>IFERROR(_xlfn.XLOOKUP(_xlfn.XLOOKUP(tblSectorAssessmentSummary10[[#This Row],[ActionID]],$B$616:$B$668,$E$616:$E$668,""),tblEffectivenessParameters8[Parameter],tblEffectivenessParameters8[Default value],""),"")</f>
        <v>0</v>
      </c>
      <c r="O75" s="73">
        <f>IFERROR(_xlfn.XLOOKUP(_xlfn.XLOOKUP(tblSectorAssessmentSummary10[[#This Row],[ActionID]],$B$616:$B$668,$G$616:$G$668,""),tblEffectivenessParameters8[Parameter],tblEffectivenessParameters8[Default value],""),"")</f>
        <v>0</v>
      </c>
    </row>
    <row r="76" spans="2:15">
      <c r="B76" t="s">
        <v>355</v>
      </c>
      <c r="C76" t="s">
        <v>356</v>
      </c>
      <c r="D76" s="73">
        <f>IFERROR(_xlfn.XLOOKUP(_xlfn.XLOOKUP(tblSectorAssessmentSummary10[[#This Row],[ActionID]],$B$161:$B$213,$E$161:$E$213,""),tblEffectivenessParameters8[Parameter],tblEffectivenessParameters8[Default value],""),"")</f>
        <v>-1</v>
      </c>
      <c r="E76" s="73">
        <f>IFERROR(_xlfn.XLOOKUP(_xlfn.XLOOKUP(tblSectorAssessmentSummary10[[#This Row],[ActionID]],$B$161:$B$213,$G$161:$G$213,""),tblEffectivenessParameters8[Parameter],tblEffectivenessParameters8[Default value],""),"")</f>
        <v>0</v>
      </c>
      <c r="F76" s="73">
        <f>IFERROR(_xlfn.XLOOKUP(_xlfn.XLOOKUP(tblSectorAssessmentSummary10[[#This Row],[ActionID]],$B$252:$B$304,$E$252:$E$304,""),tblEffectivenessParameters8[Parameter],tblEffectivenessParameters8[Default value],""),"")</f>
        <v>0</v>
      </c>
      <c r="G76" s="73">
        <f>IFERROR(_xlfn.XLOOKUP(_xlfn.XLOOKUP(tblSectorAssessmentSummary10[[#This Row],[ActionID]],$B$252:$B$304,$G$252:$G$304,""),tblEffectivenessParameters8[Parameter],tblEffectivenessParameters8[Default value],""),"")</f>
        <v>0</v>
      </c>
      <c r="H76" s="73">
        <f>IFERROR(_xlfn.XLOOKUP(_xlfn.XLOOKUP(tblSectorAssessmentSummary10[[#This Row],[ActionID]],$B$343:$B$395,$E$343:$E$395,""),tblEffectivenessParameters8[Parameter],tblEffectivenessParameters8[Default value],""),"")</f>
        <v>0</v>
      </c>
      <c r="I76" s="73">
        <f>IFERROR(_xlfn.XLOOKUP(_xlfn.XLOOKUP(tblSectorAssessmentSummary10[[#This Row],[ActionID]],$B$343:$B$395,$G$343:$G$395,""),tblEffectivenessParameters8[Parameter],tblEffectivenessParameters8[Default value],""),"")</f>
        <v>0</v>
      </c>
      <c r="J76" s="73">
        <f>IFERROR(_xlfn.XLOOKUP(_xlfn.XLOOKUP(tblSectorAssessmentSummary10[[#This Row],[ActionID]],$B$434:$B$486,$E$434:$E$486,""),tblEffectivenessParameters8[Parameter],tblEffectivenessParameters8[Default value],""),"")</f>
        <v>0</v>
      </c>
      <c r="K76" s="73">
        <f>IFERROR(_xlfn.XLOOKUP(_xlfn.XLOOKUP(tblSectorAssessmentSummary10[[#This Row],[ActionID]],$B$434:$B$486,$G$434:$G$486,""),tblEffectivenessParameters8[Parameter],tblEffectivenessParameters8[Default value],""),"")</f>
        <v>0</v>
      </c>
      <c r="L76" s="73">
        <f>IFERROR(_xlfn.XLOOKUP(_xlfn.XLOOKUP(tblSectorAssessmentSummary10[[#This Row],[ActionID]],$B$525:$B$577,$E$525:$E$577,""),tblEffectivenessParameters8[Parameter],tblEffectivenessParameters8[Default value],""),"")</f>
        <v>0</v>
      </c>
      <c r="M76" s="73">
        <f>IFERROR(_xlfn.XLOOKUP(_xlfn.XLOOKUP(tblSectorAssessmentSummary10[[#This Row],[ActionID]],$B$525:$B$577,$G$525:$G$577,""),tblEffectivenessParameters8[Parameter],tblEffectivenessParameters8[Default value],""),"")</f>
        <v>0</v>
      </c>
      <c r="N76" s="73">
        <f>IFERROR(_xlfn.XLOOKUP(_xlfn.XLOOKUP(tblSectorAssessmentSummary10[[#This Row],[ActionID]],$B$616:$B$668,$E$616:$E$668,""),tblEffectivenessParameters8[Parameter],tblEffectivenessParameters8[Default value],""),"")</f>
        <v>-1</v>
      </c>
      <c r="O76" s="73">
        <f>IFERROR(_xlfn.XLOOKUP(_xlfn.XLOOKUP(tblSectorAssessmentSummary10[[#This Row],[ActionID]],$B$616:$B$668,$G$616:$G$668,""),tblEffectivenessParameters8[Parameter],tblEffectivenessParameters8[Default value],""),"")</f>
        <v>-0.5</v>
      </c>
    </row>
    <row r="77" spans="2:15">
      <c r="B77" t="s">
        <v>360</v>
      </c>
      <c r="C77" t="s">
        <v>361</v>
      </c>
      <c r="D77" s="73">
        <f>IFERROR(_xlfn.XLOOKUP(_xlfn.XLOOKUP(tblSectorAssessmentSummary10[[#This Row],[ActionID]],$B$161:$B$213,$E$161:$E$213,""),tblEffectivenessParameters8[Parameter],tblEffectivenessParameters8[Default value],""),"")</f>
        <v>-1</v>
      </c>
      <c r="E77" s="73">
        <f>IFERROR(_xlfn.XLOOKUP(_xlfn.XLOOKUP(tblSectorAssessmentSummary10[[#This Row],[ActionID]],$B$161:$B$213,$G$161:$G$213,""),tblEffectivenessParameters8[Parameter],tblEffectivenessParameters8[Default value],""),"")</f>
        <v>-0.5</v>
      </c>
      <c r="F77" s="73">
        <f>IFERROR(_xlfn.XLOOKUP(_xlfn.XLOOKUP(tblSectorAssessmentSummary10[[#This Row],[ActionID]],$B$252:$B$304,$E$252:$E$304,""),tblEffectivenessParameters8[Parameter],tblEffectivenessParameters8[Default value],""),"")</f>
        <v>0</v>
      </c>
      <c r="G77" s="73">
        <f>IFERROR(_xlfn.XLOOKUP(_xlfn.XLOOKUP(tblSectorAssessmentSummary10[[#This Row],[ActionID]],$B$252:$B$304,$G$252:$G$304,""),tblEffectivenessParameters8[Parameter],tblEffectivenessParameters8[Default value],""),"")</f>
        <v>0</v>
      </c>
      <c r="H77" s="73">
        <f>IFERROR(_xlfn.XLOOKUP(_xlfn.XLOOKUP(tblSectorAssessmentSummary10[[#This Row],[ActionID]],$B$343:$B$395,$E$343:$E$395,""),tblEffectivenessParameters8[Parameter],tblEffectivenessParameters8[Default value],""),"")</f>
        <v>0</v>
      </c>
      <c r="I77" s="73">
        <f>IFERROR(_xlfn.XLOOKUP(_xlfn.XLOOKUP(tblSectorAssessmentSummary10[[#This Row],[ActionID]],$B$343:$B$395,$G$343:$G$395,""),tblEffectivenessParameters8[Parameter],tblEffectivenessParameters8[Default value],""),"")</f>
        <v>0</v>
      </c>
      <c r="J77" s="73">
        <f>IFERROR(_xlfn.XLOOKUP(_xlfn.XLOOKUP(tblSectorAssessmentSummary10[[#This Row],[ActionID]],$B$434:$B$486,$E$434:$E$486,""),tblEffectivenessParameters8[Parameter],tblEffectivenessParameters8[Default value],""),"")</f>
        <v>0</v>
      </c>
      <c r="K77" s="73">
        <f>IFERROR(_xlfn.XLOOKUP(_xlfn.XLOOKUP(tblSectorAssessmentSummary10[[#This Row],[ActionID]],$B$434:$B$486,$G$434:$G$486,""),tblEffectivenessParameters8[Parameter],tblEffectivenessParameters8[Default value],""),"")</f>
        <v>0</v>
      </c>
      <c r="L77" s="73">
        <f>IFERROR(_xlfn.XLOOKUP(_xlfn.XLOOKUP(tblSectorAssessmentSummary10[[#This Row],[ActionID]],$B$525:$B$577,$E$525:$E$577,""),tblEffectivenessParameters8[Parameter],tblEffectivenessParameters8[Default value],""),"")</f>
        <v>0</v>
      </c>
      <c r="M77" s="73">
        <f>IFERROR(_xlfn.XLOOKUP(_xlfn.XLOOKUP(tblSectorAssessmentSummary10[[#This Row],[ActionID]],$B$525:$B$577,$G$525:$G$577,""),tblEffectivenessParameters8[Parameter],tblEffectivenessParameters8[Default value],""),"")</f>
        <v>0</v>
      </c>
      <c r="N77" s="73">
        <f>IFERROR(_xlfn.XLOOKUP(_xlfn.XLOOKUP(tblSectorAssessmentSummary10[[#This Row],[ActionID]],$B$616:$B$668,$E$616:$E$668,""),tblEffectivenessParameters8[Parameter],tblEffectivenessParameters8[Default value],""),"")</f>
        <v>0</v>
      </c>
      <c r="O77" s="73">
        <f>IFERROR(_xlfn.XLOOKUP(_xlfn.XLOOKUP(tblSectorAssessmentSummary10[[#This Row],[ActionID]],$B$616:$B$668,$G$616:$G$668,""),tblEffectivenessParameters8[Parameter],tblEffectivenessParameters8[Default value],""),"")</f>
        <v>0</v>
      </c>
    </row>
    <row r="78" spans="2:15">
      <c r="B78" t="s">
        <v>364</v>
      </c>
      <c r="C78" t="s">
        <v>365</v>
      </c>
      <c r="D78" s="73">
        <f>IFERROR(_xlfn.XLOOKUP(_xlfn.XLOOKUP(tblSectorAssessmentSummary10[[#This Row],[ActionID]],$B$161:$B$213,$E$161:$E$213,""),tblEffectivenessParameters8[Parameter],tblEffectivenessParameters8[Default value],""),"")</f>
        <v>0</v>
      </c>
      <c r="E78" s="73">
        <f>IFERROR(_xlfn.XLOOKUP(_xlfn.XLOOKUP(tblSectorAssessmentSummary10[[#This Row],[ActionID]],$B$161:$B$213,$G$161:$G$213,""),tblEffectivenessParameters8[Parameter],tblEffectivenessParameters8[Default value],""),"")</f>
        <v>0</v>
      </c>
      <c r="F78" s="73">
        <f>IFERROR(_xlfn.XLOOKUP(_xlfn.XLOOKUP(tblSectorAssessmentSummary10[[#This Row],[ActionID]],$B$252:$B$304,$E$252:$E$304,""),tblEffectivenessParameters8[Parameter],tblEffectivenessParameters8[Default value],""),"")</f>
        <v>0</v>
      </c>
      <c r="G78" s="73">
        <f>IFERROR(_xlfn.XLOOKUP(_xlfn.XLOOKUP(tblSectorAssessmentSummary10[[#This Row],[ActionID]],$B$252:$B$304,$G$252:$G$304,""),tblEffectivenessParameters8[Parameter],tblEffectivenessParameters8[Default value],""),"")</f>
        <v>0</v>
      </c>
      <c r="H78" s="73">
        <f>IFERROR(_xlfn.XLOOKUP(_xlfn.XLOOKUP(tblSectorAssessmentSummary10[[#This Row],[ActionID]],$B$343:$B$395,$E$343:$E$395,""),tblEffectivenessParameters8[Parameter],tblEffectivenessParameters8[Default value],""),"")</f>
        <v>0</v>
      </c>
      <c r="I78" s="73">
        <f>IFERROR(_xlfn.XLOOKUP(_xlfn.XLOOKUP(tblSectorAssessmentSummary10[[#This Row],[ActionID]],$B$343:$B$395,$G$343:$G$395,""),tblEffectivenessParameters8[Parameter],tblEffectivenessParameters8[Default value],""),"")</f>
        <v>0</v>
      </c>
      <c r="J78" s="73">
        <f>IFERROR(_xlfn.XLOOKUP(_xlfn.XLOOKUP(tblSectorAssessmentSummary10[[#This Row],[ActionID]],$B$434:$B$486,$E$434:$E$486,""),tblEffectivenessParameters8[Parameter],tblEffectivenessParameters8[Default value],""),"")</f>
        <v>0</v>
      </c>
      <c r="K78" s="73">
        <f>IFERROR(_xlfn.XLOOKUP(_xlfn.XLOOKUP(tblSectorAssessmentSummary10[[#This Row],[ActionID]],$B$434:$B$486,$G$434:$G$486,""),tblEffectivenessParameters8[Parameter],tblEffectivenessParameters8[Default value],""),"")</f>
        <v>0</v>
      </c>
      <c r="L78" s="73">
        <f>IFERROR(_xlfn.XLOOKUP(_xlfn.XLOOKUP(tblSectorAssessmentSummary10[[#This Row],[ActionID]],$B$525:$B$577,$E$525:$E$577,""),tblEffectivenessParameters8[Parameter],tblEffectivenessParameters8[Default value],""),"")</f>
        <v>0</v>
      </c>
      <c r="M78" s="73">
        <f>IFERROR(_xlfn.XLOOKUP(_xlfn.XLOOKUP(tblSectorAssessmentSummary10[[#This Row],[ActionID]],$B$525:$B$577,$G$525:$G$577,""),tblEffectivenessParameters8[Parameter],tblEffectivenessParameters8[Default value],""),"")</f>
        <v>0</v>
      </c>
      <c r="N78" s="73">
        <f>IFERROR(_xlfn.XLOOKUP(_xlfn.XLOOKUP(tblSectorAssessmentSummary10[[#This Row],[ActionID]],$B$616:$B$668,$E$616:$E$668,""),tblEffectivenessParameters8[Parameter],tblEffectivenessParameters8[Default value],""),"")</f>
        <v>0</v>
      </c>
      <c r="O78" s="73">
        <f>IFERROR(_xlfn.XLOOKUP(_xlfn.XLOOKUP(tblSectorAssessmentSummary10[[#This Row],[ActionID]],$B$616:$B$668,$G$616:$G$668,""),tblEffectivenessParameters8[Parameter],tblEffectivenessParameters8[Default value],""),"")</f>
        <v>0</v>
      </c>
    </row>
    <row r="79" spans="2:15">
      <c r="B79" t="s">
        <v>369</v>
      </c>
      <c r="C79" t="s">
        <v>370</v>
      </c>
      <c r="D79" s="73">
        <f>IFERROR(_xlfn.XLOOKUP(_xlfn.XLOOKUP(tblSectorAssessmentSummary10[[#This Row],[ActionID]],$B$161:$B$213,$E$161:$E$213,""),tblEffectivenessParameters8[Parameter],tblEffectivenessParameters8[Default value],""),"")</f>
        <v>0</v>
      </c>
      <c r="E79" s="73">
        <f>IFERROR(_xlfn.XLOOKUP(_xlfn.XLOOKUP(tblSectorAssessmentSummary10[[#This Row],[ActionID]],$B$161:$B$213,$G$161:$G$213,""),tblEffectivenessParameters8[Parameter],tblEffectivenessParameters8[Default value],""),"")</f>
        <v>0</v>
      </c>
      <c r="F79" s="73">
        <f>IFERROR(_xlfn.XLOOKUP(_xlfn.XLOOKUP(tblSectorAssessmentSummary10[[#This Row],[ActionID]],$B$252:$B$304,$E$252:$E$304,""),tblEffectivenessParameters8[Parameter],tblEffectivenessParameters8[Default value],""),"")</f>
        <v>0</v>
      </c>
      <c r="G79" s="73">
        <f>IFERROR(_xlfn.XLOOKUP(_xlfn.XLOOKUP(tblSectorAssessmentSummary10[[#This Row],[ActionID]],$B$252:$B$304,$G$252:$G$304,""),tblEffectivenessParameters8[Parameter],tblEffectivenessParameters8[Default value],""),"")</f>
        <v>0</v>
      </c>
      <c r="H79" s="73">
        <f>IFERROR(_xlfn.XLOOKUP(_xlfn.XLOOKUP(tblSectorAssessmentSummary10[[#This Row],[ActionID]],$B$343:$B$395,$E$343:$E$395,""),tblEffectivenessParameters8[Parameter],tblEffectivenessParameters8[Default value],""),"")</f>
        <v>0</v>
      </c>
      <c r="I79" s="73">
        <f>IFERROR(_xlfn.XLOOKUP(_xlfn.XLOOKUP(tblSectorAssessmentSummary10[[#This Row],[ActionID]],$B$343:$B$395,$G$343:$G$395,""),tblEffectivenessParameters8[Parameter],tblEffectivenessParameters8[Default value],""),"")</f>
        <v>0</v>
      </c>
      <c r="J79" s="73">
        <f>IFERROR(_xlfn.XLOOKUP(_xlfn.XLOOKUP(tblSectorAssessmentSummary10[[#This Row],[ActionID]],$B$434:$B$486,$E$434:$E$486,""),tblEffectivenessParameters8[Parameter],tblEffectivenessParameters8[Default value],""),"")</f>
        <v>-1</v>
      </c>
      <c r="K79" s="73">
        <f>IFERROR(_xlfn.XLOOKUP(_xlfn.XLOOKUP(tblSectorAssessmentSummary10[[#This Row],[ActionID]],$B$434:$B$486,$G$434:$G$486,""),tblEffectivenessParameters8[Parameter],tblEffectivenessParameters8[Default value],""),"")</f>
        <v>0</v>
      </c>
      <c r="L79" s="73">
        <f>IFERROR(_xlfn.XLOOKUP(_xlfn.XLOOKUP(tblSectorAssessmentSummary10[[#This Row],[ActionID]],$B$525:$B$577,$E$525:$E$577,""),tblEffectivenessParameters8[Parameter],tblEffectivenessParameters8[Default value],""),"")</f>
        <v>0</v>
      </c>
      <c r="M79" s="73">
        <f>IFERROR(_xlfn.XLOOKUP(_xlfn.XLOOKUP(tblSectorAssessmentSummary10[[#This Row],[ActionID]],$B$525:$B$577,$G$525:$G$577,""),tblEffectivenessParameters8[Parameter],tblEffectivenessParameters8[Default value],""),"")</f>
        <v>0</v>
      </c>
      <c r="N79" s="73">
        <f>IFERROR(_xlfn.XLOOKUP(_xlfn.XLOOKUP(tblSectorAssessmentSummary10[[#This Row],[ActionID]],$B$616:$B$668,$E$616:$E$668,""),tblEffectivenessParameters8[Parameter],tblEffectivenessParameters8[Default value],""),"")</f>
        <v>0</v>
      </c>
      <c r="O79" s="73">
        <f>IFERROR(_xlfn.XLOOKUP(_xlfn.XLOOKUP(tblSectorAssessmentSummary10[[#This Row],[ActionID]],$B$616:$B$668,$G$616:$G$668,""),tblEffectivenessParameters8[Parameter],tblEffectivenessParameters8[Default value],""),"")</f>
        <v>0</v>
      </c>
    </row>
    <row r="80" spans="2:15">
      <c r="B80" t="s">
        <v>375</v>
      </c>
      <c r="C80" t="s">
        <v>376</v>
      </c>
      <c r="D80" s="73">
        <f>IFERROR(_xlfn.XLOOKUP(_xlfn.XLOOKUP(tblSectorAssessmentSummary10[[#This Row],[ActionID]],$B$161:$B$213,$E$161:$E$213,""),tblEffectivenessParameters8[Parameter],tblEffectivenessParameters8[Default value],""),"")</f>
        <v>0</v>
      </c>
      <c r="E80" s="73">
        <f>IFERROR(_xlfn.XLOOKUP(_xlfn.XLOOKUP(tblSectorAssessmentSummary10[[#This Row],[ActionID]],$B$161:$B$213,$G$161:$G$213,""),tblEffectivenessParameters8[Parameter],tblEffectivenessParameters8[Default value],""),"")</f>
        <v>0</v>
      </c>
      <c r="F80" s="73">
        <f>IFERROR(_xlfn.XLOOKUP(_xlfn.XLOOKUP(tblSectorAssessmentSummary10[[#This Row],[ActionID]],$B$252:$B$304,$E$252:$E$304,""),tblEffectivenessParameters8[Parameter],tblEffectivenessParameters8[Default value],""),"")</f>
        <v>0</v>
      </c>
      <c r="G80" s="73">
        <f>IFERROR(_xlfn.XLOOKUP(_xlfn.XLOOKUP(tblSectorAssessmentSummary10[[#This Row],[ActionID]],$B$252:$B$304,$G$252:$G$304,""),tblEffectivenessParameters8[Parameter],tblEffectivenessParameters8[Default value],""),"")</f>
        <v>0</v>
      </c>
      <c r="H80" s="73">
        <f>IFERROR(_xlfn.XLOOKUP(_xlfn.XLOOKUP(tblSectorAssessmentSummary10[[#This Row],[ActionID]],$B$343:$B$395,$E$343:$E$395,""),tblEffectivenessParameters8[Parameter],tblEffectivenessParameters8[Default value],""),"")</f>
        <v>0</v>
      </c>
      <c r="I80" s="73">
        <f>IFERROR(_xlfn.XLOOKUP(_xlfn.XLOOKUP(tblSectorAssessmentSummary10[[#This Row],[ActionID]],$B$343:$B$395,$G$343:$G$395,""),tblEffectivenessParameters8[Parameter],tblEffectivenessParameters8[Default value],""),"")</f>
        <v>0</v>
      </c>
      <c r="J80" s="73">
        <f>IFERROR(_xlfn.XLOOKUP(_xlfn.XLOOKUP(tblSectorAssessmentSummary10[[#This Row],[ActionID]],$B$434:$B$486,$E$434:$E$486,""),tblEffectivenessParameters8[Parameter],tblEffectivenessParameters8[Default value],""),"")</f>
        <v>0</v>
      </c>
      <c r="K80" s="73">
        <f>IFERROR(_xlfn.XLOOKUP(_xlfn.XLOOKUP(tblSectorAssessmentSummary10[[#This Row],[ActionID]],$B$434:$B$486,$G$434:$G$486,""),tblEffectivenessParameters8[Parameter],tblEffectivenessParameters8[Default value],""),"")</f>
        <v>0</v>
      </c>
      <c r="L80" s="73">
        <f>IFERROR(_xlfn.XLOOKUP(_xlfn.XLOOKUP(tblSectorAssessmentSummary10[[#This Row],[ActionID]],$B$525:$B$577,$E$525:$E$577,""),tblEffectivenessParameters8[Parameter],tblEffectivenessParameters8[Default value],""),"")</f>
        <v>-1</v>
      </c>
      <c r="M80" s="73">
        <f>IFERROR(_xlfn.XLOOKUP(_xlfn.XLOOKUP(tblSectorAssessmentSummary10[[#This Row],[ActionID]],$B$525:$B$577,$G$525:$G$577,""),tblEffectivenessParameters8[Parameter],tblEffectivenessParameters8[Default value],""),"")</f>
        <v>-0.5</v>
      </c>
      <c r="N80" s="73">
        <f>IFERROR(_xlfn.XLOOKUP(_xlfn.XLOOKUP(tblSectorAssessmentSummary10[[#This Row],[ActionID]],$B$616:$B$668,$E$616:$E$668,""),tblEffectivenessParameters8[Parameter],tblEffectivenessParameters8[Default value],""),"")</f>
        <v>0</v>
      </c>
      <c r="O80" s="73">
        <f>IFERROR(_xlfn.XLOOKUP(_xlfn.XLOOKUP(tblSectorAssessmentSummary10[[#This Row],[ActionID]],$B$616:$B$668,$G$616:$G$668,""),tblEffectivenessParameters8[Parameter],tblEffectivenessParameters8[Default value],""),"")</f>
        <v>0</v>
      </c>
    </row>
    <row r="81" spans="2:15">
      <c r="B81" t="s">
        <v>379</v>
      </c>
      <c r="C81" t="s">
        <v>380</v>
      </c>
      <c r="D81" s="73">
        <f>IFERROR(_xlfn.XLOOKUP(_xlfn.XLOOKUP(tblSectorAssessmentSummary10[[#This Row],[ActionID]],$B$161:$B$213,$E$161:$E$213,""),tblEffectivenessParameters8[Parameter],tblEffectivenessParameters8[Default value],""),"")</f>
        <v>0</v>
      </c>
      <c r="E81" s="73">
        <f>IFERROR(_xlfn.XLOOKUP(_xlfn.XLOOKUP(tblSectorAssessmentSummary10[[#This Row],[ActionID]],$B$161:$B$213,$G$161:$G$213,""),tblEffectivenessParameters8[Parameter],tblEffectivenessParameters8[Default value],""),"")</f>
        <v>0</v>
      </c>
      <c r="F81" s="73">
        <f>IFERROR(_xlfn.XLOOKUP(_xlfn.XLOOKUP(tblSectorAssessmentSummary10[[#This Row],[ActionID]],$B$252:$B$304,$E$252:$E$304,""),tblEffectivenessParameters8[Parameter],tblEffectivenessParameters8[Default value],""),"")</f>
        <v>0</v>
      </c>
      <c r="G81" s="73">
        <f>IFERROR(_xlfn.XLOOKUP(_xlfn.XLOOKUP(tblSectorAssessmentSummary10[[#This Row],[ActionID]],$B$252:$B$304,$G$252:$G$304,""),tblEffectivenessParameters8[Parameter],tblEffectivenessParameters8[Default value],""),"")</f>
        <v>0</v>
      </c>
      <c r="H81" s="73">
        <f>IFERROR(_xlfn.XLOOKUP(_xlfn.XLOOKUP(tblSectorAssessmentSummary10[[#This Row],[ActionID]],$B$343:$B$395,$E$343:$E$395,""),tblEffectivenessParameters8[Parameter],tblEffectivenessParameters8[Default value],""),"")</f>
        <v>0</v>
      </c>
      <c r="I81" s="73">
        <f>IFERROR(_xlfn.XLOOKUP(_xlfn.XLOOKUP(tblSectorAssessmentSummary10[[#This Row],[ActionID]],$B$343:$B$395,$G$343:$G$395,""),tblEffectivenessParameters8[Parameter],tblEffectivenessParameters8[Default value],""),"")</f>
        <v>0</v>
      </c>
      <c r="J81" s="73">
        <f>IFERROR(_xlfn.XLOOKUP(_xlfn.XLOOKUP(tblSectorAssessmentSummary10[[#This Row],[ActionID]],$B$434:$B$486,$E$434:$E$486,""),tblEffectivenessParameters8[Parameter],tblEffectivenessParameters8[Default value],""),"")</f>
        <v>0</v>
      </c>
      <c r="K81" s="73">
        <f>IFERROR(_xlfn.XLOOKUP(_xlfn.XLOOKUP(tblSectorAssessmentSummary10[[#This Row],[ActionID]],$B$434:$B$486,$G$434:$G$486,""),tblEffectivenessParameters8[Parameter],tblEffectivenessParameters8[Default value],""),"")</f>
        <v>0</v>
      </c>
      <c r="L81" s="73">
        <f>IFERROR(_xlfn.XLOOKUP(_xlfn.XLOOKUP(tblSectorAssessmentSummary10[[#This Row],[ActionID]],$B$525:$B$577,$E$525:$E$577,""),tblEffectivenessParameters8[Parameter],tblEffectivenessParameters8[Default value],""),"")</f>
        <v>0</v>
      </c>
      <c r="M81" s="73">
        <f>IFERROR(_xlfn.XLOOKUP(_xlfn.XLOOKUP(tblSectorAssessmentSummary10[[#This Row],[ActionID]],$B$525:$B$577,$G$525:$G$577,""),tblEffectivenessParameters8[Parameter],tblEffectivenessParameters8[Default value],""),"")</f>
        <v>0</v>
      </c>
      <c r="N81" s="73">
        <f>IFERROR(_xlfn.XLOOKUP(_xlfn.XLOOKUP(tblSectorAssessmentSummary10[[#This Row],[ActionID]],$B$616:$B$668,$E$616:$E$668,""),tblEffectivenessParameters8[Parameter],tblEffectivenessParameters8[Default value],""),"")</f>
        <v>0</v>
      </c>
      <c r="O81" s="73">
        <f>IFERROR(_xlfn.XLOOKUP(_xlfn.XLOOKUP(tblSectorAssessmentSummary10[[#This Row],[ActionID]],$B$616:$B$668,$G$616:$G$668,""),tblEffectivenessParameters8[Parameter],tblEffectivenessParameters8[Default value],""),"")</f>
        <v>0</v>
      </c>
    </row>
    <row r="82" spans="2:15">
      <c r="B82" t="s">
        <v>384</v>
      </c>
      <c r="C82" t="s">
        <v>385</v>
      </c>
      <c r="D82" s="73">
        <f>IFERROR(_xlfn.XLOOKUP(_xlfn.XLOOKUP(tblSectorAssessmentSummary10[[#This Row],[ActionID]],$B$161:$B$213,$E$161:$E$213,""),tblEffectivenessParameters8[Parameter],tblEffectivenessParameters8[Default value],""),"")</f>
        <v>0</v>
      </c>
      <c r="E82" s="73">
        <f>IFERROR(_xlfn.XLOOKUP(_xlfn.XLOOKUP(tblSectorAssessmentSummary10[[#This Row],[ActionID]],$B$161:$B$213,$G$161:$G$213,""),tblEffectivenessParameters8[Parameter],tblEffectivenessParameters8[Default value],""),"")</f>
        <v>0</v>
      </c>
      <c r="F82" s="73">
        <f>IFERROR(_xlfn.XLOOKUP(_xlfn.XLOOKUP(tblSectorAssessmentSummary10[[#This Row],[ActionID]],$B$252:$B$304,$E$252:$E$304,""),tblEffectivenessParameters8[Parameter],tblEffectivenessParameters8[Default value],""),"")</f>
        <v>0</v>
      </c>
      <c r="G82" s="73">
        <f>IFERROR(_xlfn.XLOOKUP(_xlfn.XLOOKUP(tblSectorAssessmentSummary10[[#This Row],[ActionID]],$B$252:$B$304,$G$252:$G$304,""),tblEffectivenessParameters8[Parameter],tblEffectivenessParameters8[Default value],""),"")</f>
        <v>0</v>
      </c>
      <c r="H82" s="73">
        <f>IFERROR(_xlfn.XLOOKUP(_xlfn.XLOOKUP(tblSectorAssessmentSummary10[[#This Row],[ActionID]],$B$343:$B$395,$E$343:$E$395,""),tblEffectivenessParameters8[Parameter],tblEffectivenessParameters8[Default value],""),"")</f>
        <v>0</v>
      </c>
      <c r="I82" s="73">
        <f>IFERROR(_xlfn.XLOOKUP(_xlfn.XLOOKUP(tblSectorAssessmentSummary10[[#This Row],[ActionID]],$B$343:$B$395,$G$343:$G$395,""),tblEffectivenessParameters8[Parameter],tblEffectivenessParameters8[Default value],""),"")</f>
        <v>0</v>
      </c>
      <c r="J82" s="73">
        <f>IFERROR(_xlfn.XLOOKUP(_xlfn.XLOOKUP(tblSectorAssessmentSummary10[[#This Row],[ActionID]],$B$434:$B$486,$E$434:$E$486,""),tblEffectivenessParameters8[Parameter],tblEffectivenessParameters8[Default value],""),"")</f>
        <v>0</v>
      </c>
      <c r="K82" s="73">
        <f>IFERROR(_xlfn.XLOOKUP(_xlfn.XLOOKUP(tblSectorAssessmentSummary10[[#This Row],[ActionID]],$B$434:$B$486,$G$434:$G$486,""),tblEffectivenessParameters8[Parameter],tblEffectivenessParameters8[Default value],""),"")</f>
        <v>0</v>
      </c>
      <c r="L82" s="73">
        <f>IFERROR(_xlfn.XLOOKUP(_xlfn.XLOOKUP(tblSectorAssessmentSummary10[[#This Row],[ActionID]],$B$525:$B$577,$E$525:$E$577,""),tblEffectivenessParameters8[Parameter],tblEffectivenessParameters8[Default value],""),"")</f>
        <v>0</v>
      </c>
      <c r="M82" s="73">
        <f>IFERROR(_xlfn.XLOOKUP(_xlfn.XLOOKUP(tblSectorAssessmentSummary10[[#This Row],[ActionID]],$B$525:$B$577,$G$525:$G$577,""),tblEffectivenessParameters8[Parameter],tblEffectivenessParameters8[Default value],""),"")</f>
        <v>0</v>
      </c>
      <c r="N82" s="73">
        <f>IFERROR(_xlfn.XLOOKUP(_xlfn.XLOOKUP(tblSectorAssessmentSummary10[[#This Row],[ActionID]],$B$616:$B$668,$E$616:$E$668,""),tblEffectivenessParameters8[Parameter],tblEffectivenessParameters8[Default value],""),"")</f>
        <v>0</v>
      </c>
      <c r="O82" s="73">
        <f>IFERROR(_xlfn.XLOOKUP(_xlfn.XLOOKUP(tblSectorAssessmentSummary10[[#This Row],[ActionID]],$B$616:$B$668,$G$616:$G$668,""),tblEffectivenessParameters8[Parameter],tblEffectivenessParameters8[Default value],""),"")</f>
        <v>0</v>
      </c>
    </row>
    <row r="83" spans="2:15">
      <c r="B83" t="s">
        <v>388</v>
      </c>
      <c r="C83" t="s">
        <v>389</v>
      </c>
      <c r="D83" s="73">
        <f>IFERROR(_xlfn.XLOOKUP(_xlfn.XLOOKUP(tblSectorAssessmentSummary10[[#This Row],[ActionID]],$B$161:$B$213,$E$161:$E$213,""),tblEffectivenessParameters8[Parameter],tblEffectivenessParameters8[Default value],""),"")</f>
        <v>0</v>
      </c>
      <c r="E83" s="73">
        <f>IFERROR(_xlfn.XLOOKUP(_xlfn.XLOOKUP(tblSectorAssessmentSummary10[[#This Row],[ActionID]],$B$161:$B$213,$G$161:$G$213,""),tblEffectivenessParameters8[Parameter],tblEffectivenessParameters8[Default value],""),"")</f>
        <v>0</v>
      </c>
      <c r="F83" s="73">
        <f>IFERROR(_xlfn.XLOOKUP(_xlfn.XLOOKUP(tblSectorAssessmentSummary10[[#This Row],[ActionID]],$B$252:$B$304,$E$252:$E$304,""),tblEffectivenessParameters8[Parameter],tblEffectivenessParameters8[Default value],""),"")</f>
        <v>0</v>
      </c>
      <c r="G83" s="73">
        <f>IFERROR(_xlfn.XLOOKUP(_xlfn.XLOOKUP(tblSectorAssessmentSummary10[[#This Row],[ActionID]],$B$252:$B$304,$G$252:$G$304,""),tblEffectivenessParameters8[Parameter],tblEffectivenessParameters8[Default value],""),"")</f>
        <v>0</v>
      </c>
      <c r="H83" s="73">
        <f>IFERROR(_xlfn.XLOOKUP(_xlfn.XLOOKUP(tblSectorAssessmentSummary10[[#This Row],[ActionID]],$B$343:$B$395,$E$343:$E$395,""),tblEffectivenessParameters8[Parameter],tblEffectivenessParameters8[Default value],""),"")</f>
        <v>0</v>
      </c>
      <c r="I83" s="73">
        <f>IFERROR(_xlfn.XLOOKUP(_xlfn.XLOOKUP(tblSectorAssessmentSummary10[[#This Row],[ActionID]],$B$343:$B$395,$G$343:$G$395,""),tblEffectivenessParameters8[Parameter],tblEffectivenessParameters8[Default value],""),"")</f>
        <v>0</v>
      </c>
      <c r="J83" s="73">
        <f>IFERROR(_xlfn.XLOOKUP(_xlfn.XLOOKUP(tblSectorAssessmentSummary10[[#This Row],[ActionID]],$B$434:$B$486,$E$434:$E$486,""),tblEffectivenessParameters8[Parameter],tblEffectivenessParameters8[Default value],""),"")</f>
        <v>0</v>
      </c>
      <c r="K83" s="73">
        <f>IFERROR(_xlfn.XLOOKUP(_xlfn.XLOOKUP(tblSectorAssessmentSummary10[[#This Row],[ActionID]],$B$434:$B$486,$G$434:$G$486,""),tblEffectivenessParameters8[Parameter],tblEffectivenessParameters8[Default value],""),"")</f>
        <v>0</v>
      </c>
      <c r="L83" s="73">
        <f>IFERROR(_xlfn.XLOOKUP(_xlfn.XLOOKUP(tblSectorAssessmentSummary10[[#This Row],[ActionID]],$B$525:$B$577,$E$525:$E$577,""),tblEffectivenessParameters8[Parameter],tblEffectivenessParameters8[Default value],""),"")</f>
        <v>0</v>
      </c>
      <c r="M83" s="73">
        <f>IFERROR(_xlfn.XLOOKUP(_xlfn.XLOOKUP(tblSectorAssessmentSummary10[[#This Row],[ActionID]],$B$525:$B$577,$G$525:$G$577,""),tblEffectivenessParameters8[Parameter],tblEffectivenessParameters8[Default value],""),"")</f>
        <v>0</v>
      </c>
      <c r="N83" s="73">
        <f>IFERROR(_xlfn.XLOOKUP(_xlfn.XLOOKUP(tblSectorAssessmentSummary10[[#This Row],[ActionID]],$B$616:$B$668,$E$616:$E$668,""),tblEffectivenessParameters8[Parameter],tblEffectivenessParameters8[Default value],""),"")</f>
        <v>-1</v>
      </c>
      <c r="O83" s="73">
        <f>IFERROR(_xlfn.XLOOKUP(_xlfn.XLOOKUP(tblSectorAssessmentSummary10[[#This Row],[ActionID]],$B$616:$B$668,$G$616:$G$668,""),tblEffectivenessParameters8[Parameter],tblEffectivenessParameters8[Default value],""),"")</f>
        <v>-1</v>
      </c>
    </row>
    <row r="84" spans="2:15">
      <c r="B84" t="s">
        <v>393</v>
      </c>
      <c r="C84" t="s">
        <v>394</v>
      </c>
      <c r="D84" s="73">
        <f>IFERROR(_xlfn.XLOOKUP(_xlfn.XLOOKUP(tblSectorAssessmentSummary10[[#This Row],[ActionID]],$B$161:$B$213,$E$161:$E$213,""),tblEffectivenessParameters8[Parameter],tblEffectivenessParameters8[Default value],""),"")</f>
        <v>0</v>
      </c>
      <c r="E84" s="73">
        <f>IFERROR(_xlfn.XLOOKUP(_xlfn.XLOOKUP(tblSectorAssessmentSummary10[[#This Row],[ActionID]],$B$161:$B$213,$G$161:$G$213,""),tblEffectivenessParameters8[Parameter],tblEffectivenessParameters8[Default value],""),"")</f>
        <v>0</v>
      </c>
      <c r="F84" s="73">
        <f>IFERROR(_xlfn.XLOOKUP(_xlfn.XLOOKUP(tblSectorAssessmentSummary10[[#This Row],[ActionID]],$B$252:$B$304,$E$252:$E$304,""),tblEffectivenessParameters8[Parameter],tblEffectivenessParameters8[Default value],""),"")</f>
        <v>-0.5</v>
      </c>
      <c r="G84" s="73">
        <f>IFERROR(_xlfn.XLOOKUP(_xlfn.XLOOKUP(tblSectorAssessmentSummary10[[#This Row],[ActionID]],$B$252:$B$304,$G$252:$G$304,""),tblEffectivenessParameters8[Parameter],tblEffectivenessParameters8[Default value],""),"")</f>
        <v>0</v>
      </c>
      <c r="H84" s="73">
        <f>IFERROR(_xlfn.XLOOKUP(_xlfn.XLOOKUP(tblSectorAssessmentSummary10[[#This Row],[ActionID]],$B$343:$B$395,$E$343:$E$395,""),tblEffectivenessParameters8[Parameter],tblEffectivenessParameters8[Default value],""),"")</f>
        <v>0</v>
      </c>
      <c r="I84" s="73">
        <f>IFERROR(_xlfn.XLOOKUP(_xlfn.XLOOKUP(tblSectorAssessmentSummary10[[#This Row],[ActionID]],$B$343:$B$395,$G$343:$G$395,""),tblEffectivenessParameters8[Parameter],tblEffectivenessParameters8[Default value],""),"")</f>
        <v>0</v>
      </c>
      <c r="J84" s="73">
        <f>IFERROR(_xlfn.XLOOKUP(_xlfn.XLOOKUP(tblSectorAssessmentSummary10[[#This Row],[ActionID]],$B$434:$B$486,$E$434:$E$486,""),tblEffectivenessParameters8[Parameter],tblEffectivenessParameters8[Default value],""),"")</f>
        <v>0</v>
      </c>
      <c r="K84" s="73">
        <f>IFERROR(_xlfn.XLOOKUP(_xlfn.XLOOKUP(tblSectorAssessmentSummary10[[#This Row],[ActionID]],$B$434:$B$486,$G$434:$G$486,""),tblEffectivenessParameters8[Parameter],tblEffectivenessParameters8[Default value],""),"")</f>
        <v>0</v>
      </c>
      <c r="L84" s="73">
        <f>IFERROR(_xlfn.XLOOKUP(_xlfn.XLOOKUP(tblSectorAssessmentSummary10[[#This Row],[ActionID]],$B$525:$B$577,$E$525:$E$577,""),tblEffectivenessParameters8[Parameter],tblEffectivenessParameters8[Default value],""),"")</f>
        <v>0</v>
      </c>
      <c r="M84" s="73">
        <f>IFERROR(_xlfn.XLOOKUP(_xlfn.XLOOKUP(tblSectorAssessmentSummary10[[#This Row],[ActionID]],$B$525:$B$577,$G$525:$G$577,""),tblEffectivenessParameters8[Parameter],tblEffectivenessParameters8[Default value],""),"")</f>
        <v>0</v>
      </c>
      <c r="N84" s="73">
        <f>IFERROR(_xlfn.XLOOKUP(_xlfn.XLOOKUP(tblSectorAssessmentSummary10[[#This Row],[ActionID]],$B$616:$B$668,$E$616:$E$668,""),tblEffectivenessParameters8[Parameter],tblEffectivenessParameters8[Default value],""),"")</f>
        <v>-0.5</v>
      </c>
      <c r="O84" s="73">
        <f>IFERROR(_xlfn.XLOOKUP(_xlfn.XLOOKUP(tblSectorAssessmentSummary10[[#This Row],[ActionID]],$B$616:$B$668,$G$616:$G$668,""),tblEffectivenessParameters8[Parameter],tblEffectivenessParameters8[Default value],""),"")</f>
        <v>-0.5</v>
      </c>
    </row>
    <row r="85" spans="2:15">
      <c r="B85" t="s">
        <v>398</v>
      </c>
      <c r="C85" t="s">
        <v>399</v>
      </c>
      <c r="D85" s="73">
        <f>IFERROR(_xlfn.XLOOKUP(_xlfn.XLOOKUP(tblSectorAssessmentSummary10[[#This Row],[ActionID]],$B$161:$B$213,$E$161:$E$213,""),tblEffectivenessParameters8[Parameter],tblEffectivenessParameters8[Default value],""),"")</f>
        <v>0</v>
      </c>
      <c r="E85" s="73">
        <f>IFERROR(_xlfn.XLOOKUP(_xlfn.XLOOKUP(tblSectorAssessmentSummary10[[#This Row],[ActionID]],$B$161:$B$213,$G$161:$G$213,""),tblEffectivenessParameters8[Parameter],tblEffectivenessParameters8[Default value],""),"")</f>
        <v>0</v>
      </c>
      <c r="F85" s="73">
        <f>IFERROR(_xlfn.XLOOKUP(_xlfn.XLOOKUP(tblSectorAssessmentSummary10[[#This Row],[ActionID]],$B$252:$B$304,$E$252:$E$304,""),tblEffectivenessParameters8[Parameter],tblEffectivenessParameters8[Default value],""),"")</f>
        <v>0</v>
      </c>
      <c r="G85" s="73">
        <f>IFERROR(_xlfn.XLOOKUP(_xlfn.XLOOKUP(tblSectorAssessmentSummary10[[#This Row],[ActionID]],$B$252:$B$304,$G$252:$G$304,""),tblEffectivenessParameters8[Parameter],tblEffectivenessParameters8[Default value],""),"")</f>
        <v>0</v>
      </c>
      <c r="H85" s="73">
        <f>IFERROR(_xlfn.XLOOKUP(_xlfn.XLOOKUP(tblSectorAssessmentSummary10[[#This Row],[ActionID]],$B$343:$B$395,$E$343:$E$395,""),tblEffectivenessParameters8[Parameter],tblEffectivenessParameters8[Default value],""),"")</f>
        <v>0</v>
      </c>
      <c r="I85" s="73">
        <f>IFERROR(_xlfn.XLOOKUP(_xlfn.XLOOKUP(tblSectorAssessmentSummary10[[#This Row],[ActionID]],$B$343:$B$395,$G$343:$G$395,""),tblEffectivenessParameters8[Parameter],tblEffectivenessParameters8[Default value],""),"")</f>
        <v>0</v>
      </c>
      <c r="J85" s="73">
        <f>IFERROR(_xlfn.XLOOKUP(_xlfn.XLOOKUP(tblSectorAssessmentSummary10[[#This Row],[ActionID]],$B$434:$B$486,$E$434:$E$486,""),tblEffectivenessParameters8[Parameter],tblEffectivenessParameters8[Default value],""),"")</f>
        <v>0</v>
      </c>
      <c r="K85" s="73">
        <f>IFERROR(_xlfn.XLOOKUP(_xlfn.XLOOKUP(tblSectorAssessmentSummary10[[#This Row],[ActionID]],$B$434:$B$486,$G$434:$G$486,""),tblEffectivenessParameters8[Parameter],tblEffectivenessParameters8[Default value],""),"")</f>
        <v>0</v>
      </c>
      <c r="L85" s="73">
        <f>IFERROR(_xlfn.XLOOKUP(_xlfn.XLOOKUP(tblSectorAssessmentSummary10[[#This Row],[ActionID]],$B$525:$B$577,$E$525:$E$577,""),tblEffectivenessParameters8[Parameter],tblEffectivenessParameters8[Default value],""),"")</f>
        <v>0</v>
      </c>
      <c r="M85" s="73">
        <f>IFERROR(_xlfn.XLOOKUP(_xlfn.XLOOKUP(tblSectorAssessmentSummary10[[#This Row],[ActionID]],$B$525:$B$577,$G$525:$G$577,""),tblEffectivenessParameters8[Parameter],tblEffectivenessParameters8[Default value],""),"")</f>
        <v>0</v>
      </c>
      <c r="N85" s="73">
        <f>IFERROR(_xlfn.XLOOKUP(_xlfn.XLOOKUP(tblSectorAssessmentSummary10[[#This Row],[ActionID]],$B$616:$B$668,$E$616:$E$668,""),tblEffectivenessParameters8[Parameter],tblEffectivenessParameters8[Default value],""),"")</f>
        <v>0</v>
      </c>
      <c r="O85" s="73">
        <f>IFERROR(_xlfn.XLOOKUP(_xlfn.XLOOKUP(tblSectorAssessmentSummary10[[#This Row],[ActionID]],$B$616:$B$668,$G$616:$G$668,""),tblEffectivenessParameters8[Parameter],tblEffectivenessParameters8[Default value],""),"")</f>
        <v>0</v>
      </c>
    </row>
    <row r="86" spans="2:15">
      <c r="B86" t="s">
        <v>404</v>
      </c>
      <c r="C86" t="s">
        <v>405</v>
      </c>
      <c r="D86" s="73">
        <f>IFERROR(_xlfn.XLOOKUP(_xlfn.XLOOKUP(tblSectorAssessmentSummary10[[#This Row],[ActionID]],$B$161:$B$213,$E$161:$E$213,""),tblEffectivenessParameters8[Parameter],tblEffectivenessParameters8[Default value],""),"")</f>
        <v>0</v>
      </c>
      <c r="E86" s="73">
        <f>IFERROR(_xlfn.XLOOKUP(_xlfn.XLOOKUP(tblSectorAssessmentSummary10[[#This Row],[ActionID]],$B$161:$B$213,$G$161:$G$213,""),tblEffectivenessParameters8[Parameter],tblEffectivenessParameters8[Default value],""),"")</f>
        <v>0</v>
      </c>
      <c r="F86" s="73">
        <f>IFERROR(_xlfn.XLOOKUP(_xlfn.XLOOKUP(tblSectorAssessmentSummary10[[#This Row],[ActionID]],$B$252:$B$304,$E$252:$E$304,""),tblEffectivenessParameters8[Parameter],tblEffectivenessParameters8[Default value],""),"")</f>
        <v>0</v>
      </c>
      <c r="G86" s="73">
        <f>IFERROR(_xlfn.XLOOKUP(_xlfn.XLOOKUP(tblSectorAssessmentSummary10[[#This Row],[ActionID]],$B$252:$B$304,$G$252:$G$304,""),tblEffectivenessParameters8[Parameter],tblEffectivenessParameters8[Default value],""),"")</f>
        <v>0</v>
      </c>
      <c r="H86" s="73">
        <f>IFERROR(_xlfn.XLOOKUP(_xlfn.XLOOKUP(tblSectorAssessmentSummary10[[#This Row],[ActionID]],$B$343:$B$395,$E$343:$E$395,""),tblEffectivenessParameters8[Parameter],tblEffectivenessParameters8[Default value],""),"")</f>
        <v>0</v>
      </c>
      <c r="I86" s="73">
        <f>IFERROR(_xlfn.XLOOKUP(_xlfn.XLOOKUP(tblSectorAssessmentSummary10[[#This Row],[ActionID]],$B$343:$B$395,$G$343:$G$395,""),tblEffectivenessParameters8[Parameter],tblEffectivenessParameters8[Default value],""),"")</f>
        <v>0</v>
      </c>
      <c r="J86" s="73">
        <f>IFERROR(_xlfn.XLOOKUP(_xlfn.XLOOKUP(tblSectorAssessmentSummary10[[#This Row],[ActionID]],$B$434:$B$486,$E$434:$E$486,""),tblEffectivenessParameters8[Parameter],tblEffectivenessParameters8[Default value],""),"")</f>
        <v>0</v>
      </c>
      <c r="K86" s="73">
        <f>IFERROR(_xlfn.XLOOKUP(_xlfn.XLOOKUP(tblSectorAssessmentSummary10[[#This Row],[ActionID]],$B$434:$B$486,$G$434:$G$486,""),tblEffectivenessParameters8[Parameter],tblEffectivenessParameters8[Default value],""),"")</f>
        <v>0</v>
      </c>
      <c r="L86" s="73">
        <f>IFERROR(_xlfn.XLOOKUP(_xlfn.XLOOKUP(tblSectorAssessmentSummary10[[#This Row],[ActionID]],$B$525:$B$577,$E$525:$E$577,""),tblEffectivenessParameters8[Parameter],tblEffectivenessParameters8[Default value],""),"")</f>
        <v>0</v>
      </c>
      <c r="M86" s="73">
        <f>IFERROR(_xlfn.XLOOKUP(_xlfn.XLOOKUP(tblSectorAssessmentSummary10[[#This Row],[ActionID]],$B$525:$B$577,$G$525:$G$577,""),tblEffectivenessParameters8[Parameter],tblEffectivenessParameters8[Default value],""),"")</f>
        <v>0</v>
      </c>
      <c r="N86" s="73">
        <f>IFERROR(_xlfn.XLOOKUP(_xlfn.XLOOKUP(tblSectorAssessmentSummary10[[#This Row],[ActionID]],$B$616:$B$668,$E$616:$E$668,""),tblEffectivenessParameters8[Parameter],tblEffectivenessParameters8[Default value],""),"")</f>
        <v>0</v>
      </c>
      <c r="O86" s="73">
        <f>IFERROR(_xlfn.XLOOKUP(_xlfn.XLOOKUP(tblSectorAssessmentSummary10[[#This Row],[ActionID]],$B$616:$B$668,$G$616:$G$668,""),tblEffectivenessParameters8[Parameter],tblEffectivenessParameters8[Default value],""),"")</f>
        <v>0</v>
      </c>
    </row>
    <row r="87" spans="2:15">
      <c r="B87" t="s">
        <v>408</v>
      </c>
      <c r="C87" t="s">
        <v>409</v>
      </c>
      <c r="D87" s="73">
        <f>IFERROR(_xlfn.XLOOKUP(_xlfn.XLOOKUP(tblSectorAssessmentSummary10[[#This Row],[ActionID]],$B$161:$B$213,$E$161:$E$213,""),tblEffectivenessParameters8[Parameter],tblEffectivenessParameters8[Default value],""),"")</f>
        <v>0</v>
      </c>
      <c r="E87" s="73">
        <f>IFERROR(_xlfn.XLOOKUP(_xlfn.XLOOKUP(tblSectorAssessmentSummary10[[#This Row],[ActionID]],$B$161:$B$213,$G$161:$G$213,""),tblEffectivenessParameters8[Parameter],tblEffectivenessParameters8[Default value],""),"")</f>
        <v>0</v>
      </c>
      <c r="F87" s="73">
        <f>IFERROR(_xlfn.XLOOKUP(_xlfn.XLOOKUP(tblSectorAssessmentSummary10[[#This Row],[ActionID]],$B$252:$B$304,$E$252:$E$304,""),tblEffectivenessParameters8[Parameter],tblEffectivenessParameters8[Default value],""),"")</f>
        <v>0</v>
      </c>
      <c r="G87" s="73">
        <f>IFERROR(_xlfn.XLOOKUP(_xlfn.XLOOKUP(tblSectorAssessmentSummary10[[#This Row],[ActionID]],$B$252:$B$304,$G$252:$G$304,""),tblEffectivenessParameters8[Parameter],tblEffectivenessParameters8[Default value],""),"")</f>
        <v>0</v>
      </c>
      <c r="H87" s="73">
        <f>IFERROR(_xlfn.XLOOKUP(_xlfn.XLOOKUP(tblSectorAssessmentSummary10[[#This Row],[ActionID]],$B$343:$B$395,$E$343:$E$395,""),tblEffectivenessParameters8[Parameter],tblEffectivenessParameters8[Default value],""),"")</f>
        <v>0</v>
      </c>
      <c r="I87" s="73">
        <f>IFERROR(_xlfn.XLOOKUP(_xlfn.XLOOKUP(tblSectorAssessmentSummary10[[#This Row],[ActionID]],$B$343:$B$395,$G$343:$G$395,""),tblEffectivenessParameters8[Parameter],tblEffectivenessParameters8[Default value],""),"")</f>
        <v>0</v>
      </c>
      <c r="J87" s="73">
        <f>IFERROR(_xlfn.XLOOKUP(_xlfn.XLOOKUP(tblSectorAssessmentSummary10[[#This Row],[ActionID]],$B$434:$B$486,$E$434:$E$486,""),tblEffectivenessParameters8[Parameter],tblEffectivenessParameters8[Default value],""),"")</f>
        <v>0</v>
      </c>
      <c r="K87" s="73">
        <f>IFERROR(_xlfn.XLOOKUP(_xlfn.XLOOKUP(tblSectorAssessmentSummary10[[#This Row],[ActionID]],$B$434:$B$486,$G$434:$G$486,""),tblEffectivenessParameters8[Parameter],tblEffectivenessParameters8[Default value],""),"")</f>
        <v>0</v>
      </c>
      <c r="L87" s="73">
        <f>IFERROR(_xlfn.XLOOKUP(_xlfn.XLOOKUP(tblSectorAssessmentSummary10[[#This Row],[ActionID]],$B$525:$B$577,$E$525:$E$577,""),tblEffectivenessParameters8[Parameter],tblEffectivenessParameters8[Default value],""),"")</f>
        <v>0</v>
      </c>
      <c r="M87" s="73">
        <f>IFERROR(_xlfn.XLOOKUP(_xlfn.XLOOKUP(tblSectorAssessmentSummary10[[#This Row],[ActionID]],$B$525:$B$577,$G$525:$G$577,""),tblEffectivenessParameters8[Parameter],tblEffectivenessParameters8[Default value],""),"")</f>
        <v>0</v>
      </c>
      <c r="N87" s="73">
        <f>IFERROR(_xlfn.XLOOKUP(_xlfn.XLOOKUP(tblSectorAssessmentSummary10[[#This Row],[ActionID]],$B$616:$B$668,$E$616:$E$668,""),tblEffectivenessParameters8[Parameter],tblEffectivenessParameters8[Default value],""),"")</f>
        <v>0</v>
      </c>
      <c r="O87" s="73">
        <f>IFERROR(_xlfn.XLOOKUP(_xlfn.XLOOKUP(tblSectorAssessmentSummary10[[#This Row],[ActionID]],$B$616:$B$668,$G$616:$G$668,""),tblEffectivenessParameters8[Parameter],tblEffectivenessParameters8[Default value],""),"")</f>
        <v>0</v>
      </c>
    </row>
    <row r="88" spans="2:15">
      <c r="B88" t="s">
        <v>412</v>
      </c>
      <c r="C88" t="s">
        <v>413</v>
      </c>
      <c r="D88" s="73">
        <f>IFERROR(_xlfn.XLOOKUP(_xlfn.XLOOKUP(tblSectorAssessmentSummary10[[#This Row],[ActionID]],$B$161:$B$213,$E$161:$E$213,""),tblEffectivenessParameters8[Parameter],tblEffectivenessParameters8[Default value],""),"")</f>
        <v>0</v>
      </c>
      <c r="E88" s="73">
        <f>IFERROR(_xlfn.XLOOKUP(_xlfn.XLOOKUP(tblSectorAssessmentSummary10[[#This Row],[ActionID]],$B$161:$B$213,$G$161:$G$213,""),tblEffectivenessParameters8[Parameter],tblEffectivenessParameters8[Default value],""),"")</f>
        <v>0</v>
      </c>
      <c r="F88" s="73">
        <f>IFERROR(_xlfn.XLOOKUP(_xlfn.XLOOKUP(tblSectorAssessmentSummary10[[#This Row],[ActionID]],$B$252:$B$304,$E$252:$E$304,""),tblEffectivenessParameters8[Parameter],tblEffectivenessParameters8[Default value],""),"")</f>
        <v>0</v>
      </c>
      <c r="G88" s="73">
        <f>IFERROR(_xlfn.XLOOKUP(_xlfn.XLOOKUP(tblSectorAssessmentSummary10[[#This Row],[ActionID]],$B$252:$B$304,$G$252:$G$304,""),tblEffectivenessParameters8[Parameter],tblEffectivenessParameters8[Default value],""),"")</f>
        <v>0</v>
      </c>
      <c r="H88" s="73">
        <f>IFERROR(_xlfn.XLOOKUP(_xlfn.XLOOKUP(tblSectorAssessmentSummary10[[#This Row],[ActionID]],$B$343:$B$395,$E$343:$E$395,""),tblEffectivenessParameters8[Parameter],tblEffectivenessParameters8[Default value],""),"")</f>
        <v>0</v>
      </c>
      <c r="I88" s="73">
        <f>IFERROR(_xlfn.XLOOKUP(_xlfn.XLOOKUP(tblSectorAssessmentSummary10[[#This Row],[ActionID]],$B$343:$B$395,$G$343:$G$395,""),tblEffectivenessParameters8[Parameter],tblEffectivenessParameters8[Default value],""),"")</f>
        <v>0</v>
      </c>
      <c r="J88" s="73">
        <f>IFERROR(_xlfn.XLOOKUP(_xlfn.XLOOKUP(tblSectorAssessmentSummary10[[#This Row],[ActionID]],$B$434:$B$486,$E$434:$E$486,""),tblEffectivenessParameters8[Parameter],tblEffectivenessParameters8[Default value],""),"")</f>
        <v>0</v>
      </c>
      <c r="K88" s="73">
        <f>IFERROR(_xlfn.XLOOKUP(_xlfn.XLOOKUP(tblSectorAssessmentSummary10[[#This Row],[ActionID]],$B$434:$B$486,$G$434:$G$486,""),tblEffectivenessParameters8[Parameter],tblEffectivenessParameters8[Default value],""),"")</f>
        <v>-1</v>
      </c>
      <c r="L88" s="73">
        <f>IFERROR(_xlfn.XLOOKUP(_xlfn.XLOOKUP(tblSectorAssessmentSummary10[[#This Row],[ActionID]],$B$525:$B$577,$E$525:$E$577,""),tblEffectivenessParameters8[Parameter],tblEffectivenessParameters8[Default value],""),"")</f>
        <v>-1</v>
      </c>
      <c r="M88" s="73">
        <f>IFERROR(_xlfn.XLOOKUP(_xlfn.XLOOKUP(tblSectorAssessmentSummary10[[#This Row],[ActionID]],$B$525:$B$577,$G$525:$G$577,""),tblEffectivenessParameters8[Parameter],tblEffectivenessParameters8[Default value],""),"")</f>
        <v>-1</v>
      </c>
      <c r="N88" s="73">
        <f>IFERROR(_xlfn.XLOOKUP(_xlfn.XLOOKUP(tblSectorAssessmentSummary10[[#This Row],[ActionID]],$B$616:$B$668,$E$616:$E$668,""),tblEffectivenessParameters8[Parameter],tblEffectivenessParameters8[Default value],""),"")</f>
        <v>0</v>
      </c>
      <c r="O88" s="73">
        <f>IFERROR(_xlfn.XLOOKUP(_xlfn.XLOOKUP(tblSectorAssessmentSummary10[[#This Row],[ActionID]],$B$616:$B$668,$G$616:$G$668,""),tblEffectivenessParameters8[Parameter],tblEffectivenessParameters8[Default value],""),"")</f>
        <v>0</v>
      </c>
    </row>
    <row r="89" spans="2:15">
      <c r="B89" t="s">
        <v>417</v>
      </c>
      <c r="C89" t="s">
        <v>418</v>
      </c>
      <c r="D89" s="73">
        <f>IFERROR(_xlfn.XLOOKUP(_xlfn.XLOOKUP(tblSectorAssessmentSummary10[[#This Row],[ActionID]],$B$161:$B$213,$E$161:$E$213,""),tblEffectivenessParameters8[Parameter],tblEffectivenessParameters8[Default value],""),"")</f>
        <v>0</v>
      </c>
      <c r="E89" s="73">
        <f>IFERROR(_xlfn.XLOOKUP(_xlfn.XLOOKUP(tblSectorAssessmentSummary10[[#This Row],[ActionID]],$B$161:$B$213,$G$161:$G$213,""),tblEffectivenessParameters8[Parameter],tblEffectivenessParameters8[Default value],""),"")</f>
        <v>0</v>
      </c>
      <c r="F89" s="73">
        <f>IFERROR(_xlfn.XLOOKUP(_xlfn.XLOOKUP(tblSectorAssessmentSummary10[[#This Row],[ActionID]],$B$252:$B$304,$E$252:$E$304,""),tblEffectivenessParameters8[Parameter],tblEffectivenessParameters8[Default value],""),"")</f>
        <v>0</v>
      </c>
      <c r="G89" s="73">
        <f>IFERROR(_xlfn.XLOOKUP(_xlfn.XLOOKUP(tblSectorAssessmentSummary10[[#This Row],[ActionID]],$B$252:$B$304,$G$252:$G$304,""),tblEffectivenessParameters8[Parameter],tblEffectivenessParameters8[Default value],""),"")</f>
        <v>0</v>
      </c>
      <c r="H89" s="73">
        <f>IFERROR(_xlfn.XLOOKUP(_xlfn.XLOOKUP(tblSectorAssessmentSummary10[[#This Row],[ActionID]],$B$343:$B$395,$E$343:$E$395,""),tblEffectivenessParameters8[Parameter],tblEffectivenessParameters8[Default value],""),"")</f>
        <v>0</v>
      </c>
      <c r="I89" s="73">
        <f>IFERROR(_xlfn.XLOOKUP(_xlfn.XLOOKUP(tblSectorAssessmentSummary10[[#This Row],[ActionID]],$B$343:$B$395,$G$343:$G$395,""),tblEffectivenessParameters8[Parameter],tblEffectivenessParameters8[Default value],""),"")</f>
        <v>0</v>
      </c>
      <c r="J89" s="73">
        <f>IFERROR(_xlfn.XLOOKUP(_xlfn.XLOOKUP(tblSectorAssessmentSummary10[[#This Row],[ActionID]],$B$434:$B$486,$E$434:$E$486,""),tblEffectivenessParameters8[Parameter],tblEffectivenessParameters8[Default value],""),"")</f>
        <v>0</v>
      </c>
      <c r="K89" s="73">
        <f>IFERROR(_xlfn.XLOOKUP(_xlfn.XLOOKUP(tblSectorAssessmentSummary10[[#This Row],[ActionID]],$B$434:$B$486,$G$434:$G$486,""),tblEffectivenessParameters8[Parameter],tblEffectivenessParameters8[Default value],""),"")</f>
        <v>0</v>
      </c>
      <c r="L89" s="73">
        <f>IFERROR(_xlfn.XLOOKUP(_xlfn.XLOOKUP(tblSectorAssessmentSummary10[[#This Row],[ActionID]],$B$525:$B$577,$E$525:$E$577,""),tblEffectivenessParameters8[Parameter],tblEffectivenessParameters8[Default value],""),"")</f>
        <v>0</v>
      </c>
      <c r="M89" s="73">
        <f>IFERROR(_xlfn.XLOOKUP(_xlfn.XLOOKUP(tblSectorAssessmentSummary10[[#This Row],[ActionID]],$B$525:$B$577,$G$525:$G$577,""),tblEffectivenessParameters8[Parameter],tblEffectivenessParameters8[Default value],""),"")</f>
        <v>0</v>
      </c>
      <c r="N89" s="73">
        <f>IFERROR(_xlfn.XLOOKUP(_xlfn.XLOOKUP(tblSectorAssessmentSummary10[[#This Row],[ActionID]],$B$616:$B$668,$E$616:$E$668,""),tblEffectivenessParameters8[Parameter],tblEffectivenessParameters8[Default value],""),"")</f>
        <v>0</v>
      </c>
      <c r="O89" s="73">
        <f>IFERROR(_xlfn.XLOOKUP(_xlfn.XLOOKUP(tblSectorAssessmentSummary10[[#This Row],[ActionID]],$B$616:$B$668,$G$616:$G$668,""),tblEffectivenessParameters8[Parameter],tblEffectivenessParameters8[Default value],""),"")</f>
        <v>0</v>
      </c>
    </row>
    <row r="90" spans="2:15">
      <c r="B90" t="s">
        <v>423</v>
      </c>
      <c r="C90" t="s">
        <v>424</v>
      </c>
      <c r="D90" s="73">
        <f>IFERROR(_xlfn.XLOOKUP(_xlfn.XLOOKUP(tblSectorAssessmentSummary10[[#This Row],[ActionID]],$B$161:$B$213,$E$161:$E$213,""),tblEffectivenessParameters8[Parameter],tblEffectivenessParameters8[Default value],""),"")</f>
        <v>0</v>
      </c>
      <c r="E90" s="73">
        <f>IFERROR(_xlfn.XLOOKUP(_xlfn.XLOOKUP(tblSectorAssessmentSummary10[[#This Row],[ActionID]],$B$161:$B$213,$G$161:$G$213,""),tblEffectivenessParameters8[Parameter],tblEffectivenessParameters8[Default value],""),"")</f>
        <v>0</v>
      </c>
      <c r="F90" s="73">
        <f>IFERROR(_xlfn.XLOOKUP(_xlfn.XLOOKUP(tblSectorAssessmentSummary10[[#This Row],[ActionID]],$B$252:$B$304,$E$252:$E$304,""),tblEffectivenessParameters8[Parameter],tblEffectivenessParameters8[Default value],""),"")</f>
        <v>0</v>
      </c>
      <c r="G90" s="73">
        <f>IFERROR(_xlfn.XLOOKUP(_xlfn.XLOOKUP(tblSectorAssessmentSummary10[[#This Row],[ActionID]],$B$252:$B$304,$G$252:$G$304,""),tblEffectivenessParameters8[Parameter],tblEffectivenessParameters8[Default value],""),"")</f>
        <v>0</v>
      </c>
      <c r="H90" s="73">
        <f>IFERROR(_xlfn.XLOOKUP(_xlfn.XLOOKUP(tblSectorAssessmentSummary10[[#This Row],[ActionID]],$B$343:$B$395,$E$343:$E$395,""),tblEffectivenessParameters8[Parameter],tblEffectivenessParameters8[Default value],""),"")</f>
        <v>0</v>
      </c>
      <c r="I90" s="73">
        <f>IFERROR(_xlfn.XLOOKUP(_xlfn.XLOOKUP(tblSectorAssessmentSummary10[[#This Row],[ActionID]],$B$343:$B$395,$G$343:$G$395,""),tblEffectivenessParameters8[Parameter],tblEffectivenessParameters8[Default value],""),"")</f>
        <v>0</v>
      </c>
      <c r="J90" s="73">
        <f>IFERROR(_xlfn.XLOOKUP(_xlfn.XLOOKUP(tblSectorAssessmentSummary10[[#This Row],[ActionID]],$B$434:$B$486,$E$434:$E$486,""),tblEffectivenessParameters8[Parameter],tblEffectivenessParameters8[Default value],""),"")</f>
        <v>0</v>
      </c>
      <c r="K90" s="73">
        <f>IFERROR(_xlfn.XLOOKUP(_xlfn.XLOOKUP(tblSectorAssessmentSummary10[[#This Row],[ActionID]],$B$434:$B$486,$G$434:$G$486,""),tblEffectivenessParameters8[Parameter],tblEffectivenessParameters8[Default value],""),"")</f>
        <v>0</v>
      </c>
      <c r="L90" s="73">
        <f>IFERROR(_xlfn.XLOOKUP(_xlfn.XLOOKUP(tblSectorAssessmentSummary10[[#This Row],[ActionID]],$B$525:$B$577,$E$525:$E$577,""),tblEffectivenessParameters8[Parameter],tblEffectivenessParameters8[Default value],""),"")</f>
        <v>0</v>
      </c>
      <c r="M90" s="73">
        <f>IFERROR(_xlfn.XLOOKUP(_xlfn.XLOOKUP(tblSectorAssessmentSummary10[[#This Row],[ActionID]],$B$525:$B$577,$G$525:$G$577,""),tblEffectivenessParameters8[Parameter],tblEffectivenessParameters8[Default value],""),"")</f>
        <v>0</v>
      </c>
      <c r="N90" s="73">
        <f>IFERROR(_xlfn.XLOOKUP(_xlfn.XLOOKUP(tblSectorAssessmentSummary10[[#This Row],[ActionID]],$B$616:$B$668,$E$616:$E$668,""),tblEffectivenessParameters8[Parameter],tblEffectivenessParameters8[Default value],""),"")</f>
        <v>0</v>
      </c>
      <c r="O90" s="73">
        <f>IFERROR(_xlfn.XLOOKUP(_xlfn.XLOOKUP(tblSectorAssessmentSummary10[[#This Row],[ActionID]],$B$616:$B$668,$G$616:$G$668,""),tblEffectivenessParameters8[Parameter],tblEffectivenessParameters8[Default value],""),"")</f>
        <v>0</v>
      </c>
    </row>
    <row r="91" spans="2:15">
      <c r="B91" t="s">
        <v>427</v>
      </c>
      <c r="C91" t="s">
        <v>428</v>
      </c>
      <c r="D91" s="73">
        <f>IFERROR(_xlfn.XLOOKUP(_xlfn.XLOOKUP(tblSectorAssessmentSummary10[[#This Row],[ActionID]],$B$161:$B$213,$E$161:$E$213,""),tblEffectivenessParameters8[Parameter],tblEffectivenessParameters8[Default value],""),"")</f>
        <v>0</v>
      </c>
      <c r="E91" s="73">
        <f>IFERROR(_xlfn.XLOOKUP(_xlfn.XLOOKUP(tblSectorAssessmentSummary10[[#This Row],[ActionID]],$B$161:$B$213,$G$161:$G$213,""),tblEffectivenessParameters8[Parameter],tblEffectivenessParameters8[Default value],""),"")</f>
        <v>0</v>
      </c>
      <c r="F91" s="73">
        <f>IFERROR(_xlfn.XLOOKUP(_xlfn.XLOOKUP(tblSectorAssessmentSummary10[[#This Row],[ActionID]],$B$252:$B$304,$E$252:$E$304,""),tblEffectivenessParameters8[Parameter],tblEffectivenessParameters8[Default value],""),"")</f>
        <v>0</v>
      </c>
      <c r="G91" s="73">
        <f>IFERROR(_xlfn.XLOOKUP(_xlfn.XLOOKUP(tblSectorAssessmentSummary10[[#This Row],[ActionID]],$B$252:$B$304,$G$252:$G$304,""),tblEffectivenessParameters8[Parameter],tblEffectivenessParameters8[Default value],""),"")</f>
        <v>0</v>
      </c>
      <c r="H91" s="73">
        <f>IFERROR(_xlfn.XLOOKUP(_xlfn.XLOOKUP(tblSectorAssessmentSummary10[[#This Row],[ActionID]],$B$343:$B$395,$E$343:$E$395,""),tblEffectivenessParameters8[Parameter],tblEffectivenessParameters8[Default value],""),"")</f>
        <v>0</v>
      </c>
      <c r="I91" s="73">
        <f>IFERROR(_xlfn.XLOOKUP(_xlfn.XLOOKUP(tblSectorAssessmentSummary10[[#This Row],[ActionID]],$B$343:$B$395,$G$343:$G$395,""),tblEffectivenessParameters8[Parameter],tblEffectivenessParameters8[Default value],""),"")</f>
        <v>0</v>
      </c>
      <c r="J91" s="73">
        <f>IFERROR(_xlfn.XLOOKUP(_xlfn.XLOOKUP(tblSectorAssessmentSummary10[[#This Row],[ActionID]],$B$434:$B$486,$E$434:$E$486,""),tblEffectivenessParameters8[Parameter],tblEffectivenessParameters8[Default value],""),"")</f>
        <v>0</v>
      </c>
      <c r="K91" s="73">
        <f>IFERROR(_xlfn.XLOOKUP(_xlfn.XLOOKUP(tblSectorAssessmentSummary10[[#This Row],[ActionID]],$B$434:$B$486,$G$434:$G$486,""),tblEffectivenessParameters8[Parameter],tblEffectivenessParameters8[Default value],""),"")</f>
        <v>0</v>
      </c>
      <c r="L91" s="73">
        <f>IFERROR(_xlfn.XLOOKUP(_xlfn.XLOOKUP(tblSectorAssessmentSummary10[[#This Row],[ActionID]],$B$525:$B$577,$E$525:$E$577,""),tblEffectivenessParameters8[Parameter],tblEffectivenessParameters8[Default value],""),"")</f>
        <v>-1</v>
      </c>
      <c r="M91" s="73">
        <f>IFERROR(_xlfn.XLOOKUP(_xlfn.XLOOKUP(tblSectorAssessmentSummary10[[#This Row],[ActionID]],$B$525:$B$577,$G$525:$G$577,""),tblEffectivenessParameters8[Parameter],tblEffectivenessParameters8[Default value],""),"")</f>
        <v>0</v>
      </c>
      <c r="N91" s="73">
        <f>IFERROR(_xlfn.XLOOKUP(_xlfn.XLOOKUP(tblSectorAssessmentSummary10[[#This Row],[ActionID]],$B$616:$B$668,$E$616:$E$668,""),tblEffectivenessParameters8[Parameter],tblEffectivenessParameters8[Default value],""),"")</f>
        <v>0</v>
      </c>
      <c r="O91" s="73">
        <f>IFERROR(_xlfn.XLOOKUP(_xlfn.XLOOKUP(tblSectorAssessmentSummary10[[#This Row],[ActionID]],$B$616:$B$668,$G$616:$G$668,""),tblEffectivenessParameters8[Parameter],tblEffectivenessParameters8[Default value],""),"")</f>
        <v>0</v>
      </c>
    </row>
    <row r="92" spans="2:15">
      <c r="B92" t="s">
        <v>432</v>
      </c>
      <c r="C92" t="s">
        <v>433</v>
      </c>
      <c r="D92" s="73">
        <f>IFERROR(_xlfn.XLOOKUP(_xlfn.XLOOKUP(tblSectorAssessmentSummary10[[#This Row],[ActionID]],$B$161:$B$213,$E$161:$E$213,""),tblEffectivenessParameters8[Parameter],tblEffectivenessParameters8[Default value],""),"")</f>
        <v>0</v>
      </c>
      <c r="E92" s="73">
        <f>IFERROR(_xlfn.XLOOKUP(_xlfn.XLOOKUP(tblSectorAssessmentSummary10[[#This Row],[ActionID]],$B$161:$B$213,$G$161:$G$213,""),tblEffectivenessParameters8[Parameter],tblEffectivenessParameters8[Default value],""),"")</f>
        <v>0</v>
      </c>
      <c r="F92" s="73">
        <f>IFERROR(_xlfn.XLOOKUP(_xlfn.XLOOKUP(tblSectorAssessmentSummary10[[#This Row],[ActionID]],$B$252:$B$304,$E$252:$E$304,""),tblEffectivenessParameters8[Parameter],tblEffectivenessParameters8[Default value],""),"")</f>
        <v>0</v>
      </c>
      <c r="G92" s="73">
        <f>IFERROR(_xlfn.XLOOKUP(_xlfn.XLOOKUP(tblSectorAssessmentSummary10[[#This Row],[ActionID]],$B$252:$B$304,$G$252:$G$304,""),tblEffectivenessParameters8[Parameter],tblEffectivenessParameters8[Default value],""),"")</f>
        <v>0</v>
      </c>
      <c r="H92" s="73">
        <f>IFERROR(_xlfn.XLOOKUP(_xlfn.XLOOKUP(tblSectorAssessmentSummary10[[#This Row],[ActionID]],$B$343:$B$395,$E$343:$E$395,""),tblEffectivenessParameters8[Parameter],tblEffectivenessParameters8[Default value],""),"")</f>
        <v>0</v>
      </c>
      <c r="I92" s="73">
        <f>IFERROR(_xlfn.XLOOKUP(_xlfn.XLOOKUP(tblSectorAssessmentSummary10[[#This Row],[ActionID]],$B$343:$B$395,$G$343:$G$395,""),tblEffectivenessParameters8[Parameter],tblEffectivenessParameters8[Default value],""),"")</f>
        <v>0</v>
      </c>
      <c r="J92" s="73">
        <f>IFERROR(_xlfn.XLOOKUP(_xlfn.XLOOKUP(tblSectorAssessmentSummary10[[#This Row],[ActionID]],$B$434:$B$486,$E$434:$E$486,""),tblEffectivenessParameters8[Parameter],tblEffectivenessParameters8[Default value],""),"")</f>
        <v>0</v>
      </c>
      <c r="K92" s="73">
        <f>IFERROR(_xlfn.XLOOKUP(_xlfn.XLOOKUP(tblSectorAssessmentSummary10[[#This Row],[ActionID]],$B$434:$B$486,$G$434:$G$486,""),tblEffectivenessParameters8[Parameter],tblEffectivenessParameters8[Default value],""),"")</f>
        <v>0</v>
      </c>
      <c r="L92" s="73">
        <f>IFERROR(_xlfn.XLOOKUP(_xlfn.XLOOKUP(tblSectorAssessmentSummary10[[#This Row],[ActionID]],$B$525:$B$577,$E$525:$E$577,""),tblEffectivenessParameters8[Parameter],tblEffectivenessParameters8[Default value],""),"")</f>
        <v>0</v>
      </c>
      <c r="M92" s="73">
        <f>IFERROR(_xlfn.XLOOKUP(_xlfn.XLOOKUP(tblSectorAssessmentSummary10[[#This Row],[ActionID]],$B$525:$B$577,$G$525:$G$577,""),tblEffectivenessParameters8[Parameter],tblEffectivenessParameters8[Default value],""),"")</f>
        <v>0</v>
      </c>
      <c r="N92" s="73">
        <f>IFERROR(_xlfn.XLOOKUP(_xlfn.XLOOKUP(tblSectorAssessmentSummary10[[#This Row],[ActionID]],$B$616:$B$668,$E$616:$E$668,""),tblEffectivenessParameters8[Parameter],tblEffectivenessParameters8[Default value],""),"")</f>
        <v>0</v>
      </c>
      <c r="O92" s="73">
        <f>IFERROR(_xlfn.XLOOKUP(_xlfn.XLOOKUP(tblSectorAssessmentSummary10[[#This Row],[ActionID]],$B$616:$B$668,$G$616:$G$668,""),tblEffectivenessParameters8[Parameter],tblEffectivenessParameters8[Default value],""),"")</f>
        <v>0</v>
      </c>
    </row>
    <row r="93" spans="2:15">
      <c r="B93" t="s">
        <v>436</v>
      </c>
      <c r="C93" t="s">
        <v>437</v>
      </c>
      <c r="D93" s="73">
        <f>IFERROR(_xlfn.XLOOKUP(_xlfn.XLOOKUP(tblSectorAssessmentSummary10[[#This Row],[ActionID]],$B$161:$B$213,$E$161:$E$213,""),tblEffectivenessParameters8[Parameter],tblEffectivenessParameters8[Default value],""),"")</f>
        <v>0</v>
      </c>
      <c r="E93" s="73">
        <f>IFERROR(_xlfn.XLOOKUP(_xlfn.XLOOKUP(tblSectorAssessmentSummary10[[#This Row],[ActionID]],$B$161:$B$213,$G$161:$G$213,""),tblEffectivenessParameters8[Parameter],tblEffectivenessParameters8[Default value],""),"")</f>
        <v>0</v>
      </c>
      <c r="F93" s="73">
        <f>IFERROR(_xlfn.XLOOKUP(_xlfn.XLOOKUP(tblSectorAssessmentSummary10[[#This Row],[ActionID]],$B$252:$B$304,$E$252:$E$304,""),tblEffectivenessParameters8[Parameter],tblEffectivenessParameters8[Default value],""),"")</f>
        <v>0</v>
      </c>
      <c r="G93" s="73">
        <f>IFERROR(_xlfn.XLOOKUP(_xlfn.XLOOKUP(tblSectorAssessmentSummary10[[#This Row],[ActionID]],$B$252:$B$304,$G$252:$G$304,""),tblEffectivenessParameters8[Parameter],tblEffectivenessParameters8[Default value],""),"")</f>
        <v>0</v>
      </c>
      <c r="H93" s="73">
        <f>IFERROR(_xlfn.XLOOKUP(_xlfn.XLOOKUP(tblSectorAssessmentSummary10[[#This Row],[ActionID]],$B$343:$B$395,$E$343:$E$395,""),tblEffectivenessParameters8[Parameter],tblEffectivenessParameters8[Default value],""),"")</f>
        <v>0</v>
      </c>
      <c r="I93" s="73">
        <f>IFERROR(_xlfn.XLOOKUP(_xlfn.XLOOKUP(tblSectorAssessmentSummary10[[#This Row],[ActionID]],$B$343:$B$395,$G$343:$G$395,""),tblEffectivenessParameters8[Parameter],tblEffectivenessParameters8[Default value],""),"")</f>
        <v>0</v>
      </c>
      <c r="J93" s="73">
        <f>IFERROR(_xlfn.XLOOKUP(_xlfn.XLOOKUP(tblSectorAssessmentSummary10[[#This Row],[ActionID]],$B$434:$B$486,$E$434:$E$486,""),tblEffectivenessParameters8[Parameter],tblEffectivenessParameters8[Default value],""),"")</f>
        <v>0</v>
      </c>
      <c r="K93" s="73">
        <f>IFERROR(_xlfn.XLOOKUP(_xlfn.XLOOKUP(tblSectorAssessmentSummary10[[#This Row],[ActionID]],$B$434:$B$486,$G$434:$G$486,""),tblEffectivenessParameters8[Parameter],tblEffectivenessParameters8[Default value],""),"")</f>
        <v>0</v>
      </c>
      <c r="L93" s="73">
        <f>IFERROR(_xlfn.XLOOKUP(_xlfn.XLOOKUP(tblSectorAssessmentSummary10[[#This Row],[ActionID]],$B$525:$B$577,$E$525:$E$577,""),tblEffectivenessParameters8[Parameter],tblEffectivenessParameters8[Default value],""),"")</f>
        <v>0</v>
      </c>
      <c r="M93" s="73">
        <f>IFERROR(_xlfn.XLOOKUP(_xlfn.XLOOKUP(tblSectorAssessmentSummary10[[#This Row],[ActionID]],$B$525:$B$577,$G$525:$G$577,""),tblEffectivenessParameters8[Parameter],tblEffectivenessParameters8[Default value],""),"")</f>
        <v>0</v>
      </c>
      <c r="N93" s="73">
        <f>IFERROR(_xlfn.XLOOKUP(_xlfn.XLOOKUP(tblSectorAssessmentSummary10[[#This Row],[ActionID]],$B$616:$B$668,$E$616:$E$668,""),tblEffectivenessParameters8[Parameter],tblEffectivenessParameters8[Default value],""),"")</f>
        <v>0</v>
      </c>
      <c r="O93" s="73">
        <f>IFERROR(_xlfn.XLOOKUP(_xlfn.XLOOKUP(tblSectorAssessmentSummary10[[#This Row],[ActionID]],$B$616:$B$668,$G$616:$G$668,""),tblEffectivenessParameters8[Parameter],tblEffectivenessParameters8[Default value],""),"")</f>
        <v>0</v>
      </c>
    </row>
    <row r="94" spans="2:15">
      <c r="B94" t="s">
        <v>440</v>
      </c>
      <c r="C94" t="s">
        <v>441</v>
      </c>
      <c r="D94" s="73">
        <f>IFERROR(_xlfn.XLOOKUP(_xlfn.XLOOKUP(tblSectorAssessmentSummary10[[#This Row],[ActionID]],$B$161:$B$213,$E$161:$E$213,""),tblEffectivenessParameters8[Parameter],tblEffectivenessParameters8[Default value],""),"")</f>
        <v>0</v>
      </c>
      <c r="E94" s="73">
        <f>IFERROR(_xlfn.XLOOKUP(_xlfn.XLOOKUP(tblSectorAssessmentSummary10[[#This Row],[ActionID]],$B$161:$B$213,$G$161:$G$213,""),tblEffectivenessParameters8[Parameter],tblEffectivenessParameters8[Default value],""),"")</f>
        <v>0</v>
      </c>
      <c r="F94" s="73">
        <f>IFERROR(_xlfn.XLOOKUP(_xlfn.XLOOKUP(tblSectorAssessmentSummary10[[#This Row],[ActionID]],$B$252:$B$304,$E$252:$E$304,""),tblEffectivenessParameters8[Parameter],tblEffectivenessParameters8[Default value],""),"")</f>
        <v>0</v>
      </c>
      <c r="G94" s="73">
        <f>IFERROR(_xlfn.XLOOKUP(_xlfn.XLOOKUP(tblSectorAssessmentSummary10[[#This Row],[ActionID]],$B$252:$B$304,$G$252:$G$304,""),tblEffectivenessParameters8[Parameter],tblEffectivenessParameters8[Default value],""),"")</f>
        <v>0</v>
      </c>
      <c r="H94" s="73">
        <f>IFERROR(_xlfn.XLOOKUP(_xlfn.XLOOKUP(tblSectorAssessmentSummary10[[#This Row],[ActionID]],$B$343:$B$395,$E$343:$E$395,""),tblEffectivenessParameters8[Parameter],tblEffectivenessParameters8[Default value],""),"")</f>
        <v>0</v>
      </c>
      <c r="I94" s="73">
        <f>IFERROR(_xlfn.XLOOKUP(_xlfn.XLOOKUP(tblSectorAssessmentSummary10[[#This Row],[ActionID]],$B$343:$B$395,$G$343:$G$395,""),tblEffectivenessParameters8[Parameter],tblEffectivenessParameters8[Default value],""),"")</f>
        <v>0</v>
      </c>
      <c r="J94" s="73">
        <f>IFERROR(_xlfn.XLOOKUP(_xlfn.XLOOKUP(tblSectorAssessmentSummary10[[#This Row],[ActionID]],$B$434:$B$486,$E$434:$E$486,""),tblEffectivenessParameters8[Parameter],tblEffectivenessParameters8[Default value],""),"")</f>
        <v>0</v>
      </c>
      <c r="K94" s="73">
        <f>IFERROR(_xlfn.XLOOKUP(_xlfn.XLOOKUP(tblSectorAssessmentSummary10[[#This Row],[ActionID]],$B$434:$B$486,$G$434:$G$486,""),tblEffectivenessParameters8[Parameter],tblEffectivenessParameters8[Default value],""),"")</f>
        <v>0</v>
      </c>
      <c r="L94" s="73">
        <f>IFERROR(_xlfn.XLOOKUP(_xlfn.XLOOKUP(tblSectorAssessmentSummary10[[#This Row],[ActionID]],$B$525:$B$577,$E$525:$E$577,""),tblEffectivenessParameters8[Parameter],tblEffectivenessParameters8[Default value],""),"")</f>
        <v>-0.5</v>
      </c>
      <c r="M94" s="73">
        <f>IFERROR(_xlfn.XLOOKUP(_xlfn.XLOOKUP(tblSectorAssessmentSummary10[[#This Row],[ActionID]],$B$525:$B$577,$G$525:$G$577,""),tblEffectivenessParameters8[Parameter],tblEffectivenessParameters8[Default value],""),"")</f>
        <v>-0.5</v>
      </c>
      <c r="N94" s="73">
        <f>IFERROR(_xlfn.XLOOKUP(_xlfn.XLOOKUP(tblSectorAssessmentSummary10[[#This Row],[ActionID]],$B$616:$B$668,$E$616:$E$668,""),tblEffectivenessParameters8[Parameter],tblEffectivenessParameters8[Default value],""),"")</f>
        <v>-0.5</v>
      </c>
      <c r="O94" s="73">
        <f>IFERROR(_xlfn.XLOOKUP(_xlfn.XLOOKUP(tblSectorAssessmentSummary10[[#This Row],[ActionID]],$B$616:$B$668,$G$616:$G$668,""),tblEffectivenessParameters8[Parameter],tblEffectivenessParameters8[Default value],""),"")</f>
        <v>-0.5</v>
      </c>
    </row>
    <row r="95" spans="2:15">
      <c r="B95" t="s">
        <v>444</v>
      </c>
      <c r="C95" t="s">
        <v>445</v>
      </c>
      <c r="D95" s="73">
        <f>IFERROR(_xlfn.XLOOKUP(_xlfn.XLOOKUP(tblSectorAssessmentSummary10[[#This Row],[ActionID]],$B$161:$B$213,$E$161:$E$213,""),tblEffectivenessParameters8[Parameter],tblEffectivenessParameters8[Default value],""),"")</f>
        <v>0</v>
      </c>
      <c r="E95" s="73">
        <f>IFERROR(_xlfn.XLOOKUP(_xlfn.XLOOKUP(tblSectorAssessmentSummary10[[#This Row],[ActionID]],$B$161:$B$213,$G$161:$G$213,""),tblEffectivenessParameters8[Parameter],tblEffectivenessParameters8[Default value],""),"")</f>
        <v>0</v>
      </c>
      <c r="F95" s="73">
        <f>IFERROR(_xlfn.XLOOKUP(_xlfn.XLOOKUP(tblSectorAssessmentSummary10[[#This Row],[ActionID]],$B$252:$B$304,$E$252:$E$304,""),tblEffectivenessParameters8[Parameter],tblEffectivenessParameters8[Default value],""),"")</f>
        <v>0</v>
      </c>
      <c r="G95" s="73">
        <f>IFERROR(_xlfn.XLOOKUP(_xlfn.XLOOKUP(tblSectorAssessmentSummary10[[#This Row],[ActionID]],$B$252:$B$304,$G$252:$G$304,""),tblEffectivenessParameters8[Parameter],tblEffectivenessParameters8[Default value],""),"")</f>
        <v>0</v>
      </c>
      <c r="H95" s="73">
        <f>IFERROR(_xlfn.XLOOKUP(_xlfn.XLOOKUP(tblSectorAssessmentSummary10[[#This Row],[ActionID]],$B$343:$B$395,$E$343:$E$395,""),tblEffectivenessParameters8[Parameter],tblEffectivenessParameters8[Default value],""),"")</f>
        <v>0</v>
      </c>
      <c r="I95" s="73">
        <f>IFERROR(_xlfn.XLOOKUP(_xlfn.XLOOKUP(tblSectorAssessmentSummary10[[#This Row],[ActionID]],$B$343:$B$395,$G$343:$G$395,""),tblEffectivenessParameters8[Parameter],tblEffectivenessParameters8[Default value],""),"")</f>
        <v>0</v>
      </c>
      <c r="J95" s="73">
        <f>IFERROR(_xlfn.XLOOKUP(_xlfn.XLOOKUP(tblSectorAssessmentSummary10[[#This Row],[ActionID]],$B$434:$B$486,$E$434:$E$486,""),tblEffectivenessParameters8[Parameter],tblEffectivenessParameters8[Default value],""),"")</f>
        <v>0</v>
      </c>
      <c r="K95" s="73">
        <f>IFERROR(_xlfn.XLOOKUP(_xlfn.XLOOKUP(tblSectorAssessmentSummary10[[#This Row],[ActionID]],$B$434:$B$486,$G$434:$G$486,""),tblEffectivenessParameters8[Parameter],tblEffectivenessParameters8[Default value],""),"")</f>
        <v>-1</v>
      </c>
      <c r="L95" s="73">
        <f>IFERROR(_xlfn.XLOOKUP(_xlfn.XLOOKUP(tblSectorAssessmentSummary10[[#This Row],[ActionID]],$B$525:$B$577,$E$525:$E$577,""),tblEffectivenessParameters8[Parameter],tblEffectivenessParameters8[Default value],""),"")</f>
        <v>-1</v>
      </c>
      <c r="M95" s="73">
        <f>IFERROR(_xlfn.XLOOKUP(_xlfn.XLOOKUP(tblSectorAssessmentSummary10[[#This Row],[ActionID]],$B$525:$B$577,$G$525:$G$577,""),tblEffectivenessParameters8[Parameter],tblEffectivenessParameters8[Default value],""),"")</f>
        <v>-1</v>
      </c>
      <c r="N95" s="73">
        <f>IFERROR(_xlfn.XLOOKUP(_xlfn.XLOOKUP(tblSectorAssessmentSummary10[[#This Row],[ActionID]],$B$616:$B$668,$E$616:$E$668,""),tblEffectivenessParameters8[Parameter],tblEffectivenessParameters8[Default value],""),"")</f>
        <v>-0.5</v>
      </c>
      <c r="O95" s="73">
        <f>IFERROR(_xlfn.XLOOKUP(_xlfn.XLOOKUP(tblSectorAssessmentSummary10[[#This Row],[ActionID]],$B$616:$B$668,$G$616:$G$668,""),tblEffectivenessParameters8[Parameter],tblEffectivenessParameters8[Default value],""),"")</f>
        <v>-0.5</v>
      </c>
    </row>
    <row r="96" spans="2:15">
      <c r="B96" t="s">
        <v>449</v>
      </c>
      <c r="C96" t="s">
        <v>450</v>
      </c>
      <c r="D96" s="73">
        <f>IFERROR(_xlfn.XLOOKUP(_xlfn.XLOOKUP(tblSectorAssessmentSummary10[[#This Row],[ActionID]],$B$161:$B$213,$E$161:$E$213,""),tblEffectivenessParameters8[Parameter],tblEffectivenessParameters8[Default value],""),"")</f>
        <v>0</v>
      </c>
      <c r="E96" s="73">
        <f>IFERROR(_xlfn.XLOOKUP(_xlfn.XLOOKUP(tblSectorAssessmentSummary10[[#This Row],[ActionID]],$B$161:$B$213,$G$161:$G$213,""),tblEffectivenessParameters8[Parameter],tblEffectivenessParameters8[Default value],""),"")</f>
        <v>0</v>
      </c>
      <c r="F96" s="73">
        <f>IFERROR(_xlfn.XLOOKUP(_xlfn.XLOOKUP(tblSectorAssessmentSummary10[[#This Row],[ActionID]],$B$252:$B$304,$E$252:$E$304,""),tblEffectivenessParameters8[Parameter],tblEffectivenessParameters8[Default value],""),"")</f>
        <v>0</v>
      </c>
      <c r="G96" s="73">
        <f>IFERROR(_xlfn.XLOOKUP(_xlfn.XLOOKUP(tblSectorAssessmentSummary10[[#This Row],[ActionID]],$B$252:$B$304,$G$252:$G$304,""),tblEffectivenessParameters8[Parameter],tblEffectivenessParameters8[Default value],""),"")</f>
        <v>0</v>
      </c>
      <c r="H96" s="73">
        <f>IFERROR(_xlfn.XLOOKUP(_xlfn.XLOOKUP(tblSectorAssessmentSummary10[[#This Row],[ActionID]],$B$343:$B$395,$E$343:$E$395,""),tblEffectivenessParameters8[Parameter],tblEffectivenessParameters8[Default value],""),"")</f>
        <v>0</v>
      </c>
      <c r="I96" s="73">
        <f>IFERROR(_xlfn.XLOOKUP(_xlfn.XLOOKUP(tblSectorAssessmentSummary10[[#This Row],[ActionID]],$B$343:$B$395,$G$343:$G$395,""),tblEffectivenessParameters8[Parameter],tblEffectivenessParameters8[Default value],""),"")</f>
        <v>0</v>
      </c>
      <c r="J96" s="73">
        <f>IFERROR(_xlfn.XLOOKUP(_xlfn.XLOOKUP(tblSectorAssessmentSummary10[[#This Row],[ActionID]],$B$434:$B$486,$E$434:$E$486,""),tblEffectivenessParameters8[Parameter],tblEffectivenessParameters8[Default value],""),"")</f>
        <v>0</v>
      </c>
      <c r="K96" s="73">
        <f>IFERROR(_xlfn.XLOOKUP(_xlfn.XLOOKUP(tblSectorAssessmentSummary10[[#This Row],[ActionID]],$B$434:$B$486,$G$434:$G$486,""),tblEffectivenessParameters8[Parameter],tblEffectivenessParameters8[Default value],""),"")</f>
        <v>0</v>
      </c>
      <c r="L96" s="73">
        <f>IFERROR(_xlfn.XLOOKUP(_xlfn.XLOOKUP(tblSectorAssessmentSummary10[[#This Row],[ActionID]],$B$525:$B$577,$E$525:$E$577,""),tblEffectivenessParameters8[Parameter],tblEffectivenessParameters8[Default value],""),"")</f>
        <v>0</v>
      </c>
      <c r="M96" s="73">
        <f>IFERROR(_xlfn.XLOOKUP(_xlfn.XLOOKUP(tblSectorAssessmentSummary10[[#This Row],[ActionID]],$B$525:$B$577,$G$525:$G$577,""),tblEffectivenessParameters8[Parameter],tblEffectivenessParameters8[Default value],""),"")</f>
        <v>0</v>
      </c>
      <c r="N96" s="73">
        <f>IFERROR(_xlfn.XLOOKUP(_xlfn.XLOOKUP(tblSectorAssessmentSummary10[[#This Row],[ActionID]],$B$616:$B$668,$E$616:$E$668,""),tblEffectivenessParameters8[Parameter],tblEffectivenessParameters8[Default value],""),"")</f>
        <v>-0.5</v>
      </c>
      <c r="O96" s="73">
        <f>IFERROR(_xlfn.XLOOKUP(_xlfn.XLOOKUP(tblSectorAssessmentSummary10[[#This Row],[ActionID]],$B$616:$B$668,$G$616:$G$668,""),tblEffectivenessParameters8[Parameter],tblEffectivenessParameters8[Default value],""),"")</f>
        <v>-1</v>
      </c>
    </row>
    <row r="97" spans="2:15">
      <c r="B97" t="s">
        <v>453</v>
      </c>
      <c r="C97" t="s">
        <v>454</v>
      </c>
      <c r="D97" s="73">
        <f>IFERROR(_xlfn.XLOOKUP(_xlfn.XLOOKUP(tblSectorAssessmentSummary10[[#This Row],[ActionID]],$B$161:$B$213,$E$161:$E$213,""),tblEffectivenessParameters8[Parameter],tblEffectivenessParameters8[Default value],""),"")</f>
        <v>0</v>
      </c>
      <c r="E97" s="73">
        <f>IFERROR(_xlfn.XLOOKUP(_xlfn.XLOOKUP(tblSectorAssessmentSummary10[[#This Row],[ActionID]],$B$161:$B$213,$G$161:$G$213,""),tblEffectivenessParameters8[Parameter],tblEffectivenessParameters8[Default value],""),"")</f>
        <v>0</v>
      </c>
      <c r="F97" s="73">
        <f>IFERROR(_xlfn.XLOOKUP(_xlfn.XLOOKUP(tblSectorAssessmentSummary10[[#This Row],[ActionID]],$B$252:$B$304,$E$252:$E$304,""),tblEffectivenessParameters8[Parameter],tblEffectivenessParameters8[Default value],""),"")</f>
        <v>0</v>
      </c>
      <c r="G97" s="73">
        <f>IFERROR(_xlfn.XLOOKUP(_xlfn.XLOOKUP(tblSectorAssessmentSummary10[[#This Row],[ActionID]],$B$252:$B$304,$G$252:$G$304,""),tblEffectivenessParameters8[Parameter],tblEffectivenessParameters8[Default value],""),"")</f>
        <v>0</v>
      </c>
      <c r="H97" s="73">
        <f>IFERROR(_xlfn.XLOOKUP(_xlfn.XLOOKUP(tblSectorAssessmentSummary10[[#This Row],[ActionID]],$B$343:$B$395,$E$343:$E$395,""),tblEffectivenessParameters8[Parameter],tblEffectivenessParameters8[Default value],""),"")</f>
        <v>0</v>
      </c>
      <c r="I97" s="73">
        <f>IFERROR(_xlfn.XLOOKUP(_xlfn.XLOOKUP(tblSectorAssessmentSummary10[[#This Row],[ActionID]],$B$343:$B$395,$G$343:$G$395,""),tblEffectivenessParameters8[Parameter],tblEffectivenessParameters8[Default value],""),"")</f>
        <v>0</v>
      </c>
      <c r="J97" s="73">
        <f>IFERROR(_xlfn.XLOOKUP(_xlfn.XLOOKUP(tblSectorAssessmentSummary10[[#This Row],[ActionID]],$B$434:$B$486,$E$434:$E$486,""),tblEffectivenessParameters8[Parameter],tblEffectivenessParameters8[Default value],""),"")</f>
        <v>0</v>
      </c>
      <c r="K97" s="73">
        <f>IFERROR(_xlfn.XLOOKUP(_xlfn.XLOOKUP(tblSectorAssessmentSummary10[[#This Row],[ActionID]],$B$434:$B$486,$G$434:$G$486,""),tblEffectivenessParameters8[Parameter],tblEffectivenessParameters8[Default value],""),"")</f>
        <v>0</v>
      </c>
      <c r="L97" s="73">
        <f>IFERROR(_xlfn.XLOOKUP(_xlfn.XLOOKUP(tblSectorAssessmentSummary10[[#This Row],[ActionID]],$B$525:$B$577,$E$525:$E$577,""),tblEffectivenessParameters8[Parameter],tblEffectivenessParameters8[Default value],""),"")</f>
        <v>0</v>
      </c>
      <c r="M97" s="73">
        <f>IFERROR(_xlfn.XLOOKUP(_xlfn.XLOOKUP(tblSectorAssessmentSummary10[[#This Row],[ActionID]],$B$525:$B$577,$G$525:$G$577,""),tblEffectivenessParameters8[Parameter],tblEffectivenessParameters8[Default value],""),"")</f>
        <v>0</v>
      </c>
      <c r="N97" s="73">
        <f>IFERROR(_xlfn.XLOOKUP(_xlfn.XLOOKUP(tblSectorAssessmentSummary10[[#This Row],[ActionID]],$B$616:$B$668,$E$616:$E$668,""),tblEffectivenessParameters8[Parameter],tblEffectivenessParameters8[Default value],""),"")</f>
        <v>0</v>
      </c>
      <c r="O97" s="73">
        <f>IFERROR(_xlfn.XLOOKUP(_xlfn.XLOOKUP(tblSectorAssessmentSummary10[[#This Row],[ActionID]],$B$616:$B$668,$G$616:$G$668,""),tblEffectivenessParameters8[Parameter],tblEffectivenessParameters8[Default value],""),"")</f>
        <v>0</v>
      </c>
    </row>
    <row r="98" spans="2:15">
      <c r="B98" t="s">
        <v>457</v>
      </c>
      <c r="C98" t="s">
        <v>458</v>
      </c>
      <c r="D98" s="73">
        <f>IFERROR(_xlfn.XLOOKUP(_xlfn.XLOOKUP(tblSectorAssessmentSummary10[[#This Row],[ActionID]],$B$161:$B$213,$E$161:$E$213,""),tblEffectivenessParameters8[Parameter],tblEffectivenessParameters8[Default value],""),"")</f>
        <v>0</v>
      </c>
      <c r="E98" s="73">
        <f>IFERROR(_xlfn.XLOOKUP(_xlfn.XLOOKUP(tblSectorAssessmentSummary10[[#This Row],[ActionID]],$B$161:$B$213,$G$161:$G$213,""),tblEffectivenessParameters8[Parameter],tblEffectivenessParameters8[Default value],""),"")</f>
        <v>0</v>
      </c>
      <c r="F98" s="73">
        <f>IFERROR(_xlfn.XLOOKUP(_xlfn.XLOOKUP(tblSectorAssessmentSummary10[[#This Row],[ActionID]],$B$252:$B$304,$E$252:$E$304,""),tblEffectivenessParameters8[Parameter],tblEffectivenessParameters8[Default value],""),"")</f>
        <v>0</v>
      </c>
      <c r="G98" s="73">
        <f>IFERROR(_xlfn.XLOOKUP(_xlfn.XLOOKUP(tblSectorAssessmentSummary10[[#This Row],[ActionID]],$B$252:$B$304,$G$252:$G$304,""),tblEffectivenessParameters8[Parameter],tblEffectivenessParameters8[Default value],""),"")</f>
        <v>0</v>
      </c>
      <c r="H98" s="73">
        <f>IFERROR(_xlfn.XLOOKUP(_xlfn.XLOOKUP(tblSectorAssessmentSummary10[[#This Row],[ActionID]],$B$343:$B$395,$E$343:$E$395,""),tblEffectivenessParameters8[Parameter],tblEffectivenessParameters8[Default value],""),"")</f>
        <v>0</v>
      </c>
      <c r="I98" s="73">
        <f>IFERROR(_xlfn.XLOOKUP(_xlfn.XLOOKUP(tblSectorAssessmentSummary10[[#This Row],[ActionID]],$B$343:$B$395,$G$343:$G$395,""),tblEffectivenessParameters8[Parameter],tblEffectivenessParameters8[Default value],""),"")</f>
        <v>0</v>
      </c>
      <c r="J98" s="73">
        <f>IFERROR(_xlfn.XLOOKUP(_xlfn.XLOOKUP(tblSectorAssessmentSummary10[[#This Row],[ActionID]],$B$434:$B$486,$E$434:$E$486,""),tblEffectivenessParameters8[Parameter],tblEffectivenessParameters8[Default value],""),"")</f>
        <v>0</v>
      </c>
      <c r="K98" s="73">
        <f>IFERROR(_xlfn.XLOOKUP(_xlfn.XLOOKUP(tblSectorAssessmentSummary10[[#This Row],[ActionID]],$B$434:$B$486,$G$434:$G$486,""),tblEffectivenessParameters8[Parameter],tblEffectivenessParameters8[Default value],""),"")</f>
        <v>0</v>
      </c>
      <c r="L98" s="73">
        <f>IFERROR(_xlfn.XLOOKUP(_xlfn.XLOOKUP(tblSectorAssessmentSummary10[[#This Row],[ActionID]],$B$525:$B$577,$E$525:$E$577,""),tblEffectivenessParameters8[Parameter],tblEffectivenessParameters8[Default value],""),"")</f>
        <v>-1</v>
      </c>
      <c r="M98" s="73">
        <f>IFERROR(_xlfn.XLOOKUP(_xlfn.XLOOKUP(tblSectorAssessmentSummary10[[#This Row],[ActionID]],$B$525:$B$577,$G$525:$G$577,""),tblEffectivenessParameters8[Parameter],tblEffectivenessParameters8[Default value],""),"")</f>
        <v>-0.5</v>
      </c>
      <c r="N98" s="73">
        <f>IFERROR(_xlfn.XLOOKUP(_xlfn.XLOOKUP(tblSectorAssessmentSummary10[[#This Row],[ActionID]],$B$616:$B$668,$E$616:$E$668,""),tblEffectivenessParameters8[Parameter],tblEffectivenessParameters8[Default value],""),"")</f>
        <v>0</v>
      </c>
      <c r="O98" s="73">
        <f>IFERROR(_xlfn.XLOOKUP(_xlfn.XLOOKUP(tblSectorAssessmentSummary10[[#This Row],[ActionID]],$B$616:$B$668,$G$616:$G$668,""),tblEffectivenessParameters8[Parameter],tblEffectivenessParameters8[Default value],""),"")</f>
        <v>0</v>
      </c>
    </row>
    <row r="99" spans="2:15">
      <c r="B99" t="s">
        <v>461</v>
      </c>
      <c r="C99" t="s">
        <v>462</v>
      </c>
      <c r="D99" s="73">
        <f>IFERROR(_xlfn.XLOOKUP(_xlfn.XLOOKUP(tblSectorAssessmentSummary10[[#This Row],[ActionID]],$B$161:$B$213,$E$161:$E$213,""),tblEffectivenessParameters8[Parameter],tblEffectivenessParameters8[Default value],""),"")</f>
        <v>0</v>
      </c>
      <c r="E99" s="73">
        <f>IFERROR(_xlfn.XLOOKUP(_xlfn.XLOOKUP(tblSectorAssessmentSummary10[[#This Row],[ActionID]],$B$161:$B$213,$G$161:$G$213,""),tblEffectivenessParameters8[Parameter],tblEffectivenessParameters8[Default value],""),"")</f>
        <v>0</v>
      </c>
      <c r="F99" s="73">
        <f>IFERROR(_xlfn.XLOOKUP(_xlfn.XLOOKUP(tblSectorAssessmentSummary10[[#This Row],[ActionID]],$B$252:$B$304,$E$252:$E$304,""),tblEffectivenessParameters8[Parameter],tblEffectivenessParameters8[Default value],""),"")</f>
        <v>0</v>
      </c>
      <c r="G99" s="73">
        <f>IFERROR(_xlfn.XLOOKUP(_xlfn.XLOOKUP(tblSectorAssessmentSummary10[[#This Row],[ActionID]],$B$252:$B$304,$G$252:$G$304,""),tblEffectivenessParameters8[Parameter],tblEffectivenessParameters8[Default value],""),"")</f>
        <v>0</v>
      </c>
      <c r="H99" s="73">
        <f>IFERROR(_xlfn.XLOOKUP(_xlfn.XLOOKUP(tblSectorAssessmentSummary10[[#This Row],[ActionID]],$B$343:$B$395,$E$343:$E$395,""),tblEffectivenessParameters8[Parameter],tblEffectivenessParameters8[Default value],""),"")</f>
        <v>0</v>
      </c>
      <c r="I99" s="73">
        <f>IFERROR(_xlfn.XLOOKUP(_xlfn.XLOOKUP(tblSectorAssessmentSummary10[[#This Row],[ActionID]],$B$343:$B$395,$G$343:$G$395,""),tblEffectivenessParameters8[Parameter],tblEffectivenessParameters8[Default value],""),"")</f>
        <v>0</v>
      </c>
      <c r="J99" s="73">
        <f>IFERROR(_xlfn.XLOOKUP(_xlfn.XLOOKUP(tblSectorAssessmentSummary10[[#This Row],[ActionID]],$B$434:$B$486,$E$434:$E$486,""),tblEffectivenessParameters8[Parameter],tblEffectivenessParameters8[Default value],""),"")</f>
        <v>0</v>
      </c>
      <c r="K99" s="73">
        <f>IFERROR(_xlfn.XLOOKUP(_xlfn.XLOOKUP(tblSectorAssessmentSummary10[[#This Row],[ActionID]],$B$434:$B$486,$G$434:$G$486,""),tblEffectivenessParameters8[Parameter],tblEffectivenessParameters8[Default value],""),"")</f>
        <v>0</v>
      </c>
      <c r="L99" s="73">
        <f>IFERROR(_xlfn.XLOOKUP(_xlfn.XLOOKUP(tblSectorAssessmentSummary10[[#This Row],[ActionID]],$B$525:$B$577,$E$525:$E$577,""),tblEffectivenessParameters8[Parameter],tblEffectivenessParameters8[Default value],""),"")</f>
        <v>0</v>
      </c>
      <c r="M99" s="73">
        <f>IFERROR(_xlfn.XLOOKUP(_xlfn.XLOOKUP(tblSectorAssessmentSummary10[[#This Row],[ActionID]],$B$525:$B$577,$G$525:$G$577,""),tblEffectivenessParameters8[Parameter],tblEffectivenessParameters8[Default value],""),"")</f>
        <v>0</v>
      </c>
      <c r="N99" s="73">
        <f>IFERROR(_xlfn.XLOOKUP(_xlfn.XLOOKUP(tblSectorAssessmentSummary10[[#This Row],[ActionID]],$B$616:$B$668,$E$616:$E$668,""),tblEffectivenessParameters8[Parameter],tblEffectivenessParameters8[Default value],""),"")</f>
        <v>0</v>
      </c>
      <c r="O99" s="73">
        <f>IFERROR(_xlfn.XLOOKUP(_xlfn.XLOOKUP(tblSectorAssessmentSummary10[[#This Row],[ActionID]],$B$616:$B$668,$G$616:$G$668,""),tblEffectivenessParameters8[Parameter],tblEffectivenessParameters8[Default value],""),"")</f>
        <v>0</v>
      </c>
    </row>
    <row r="100" spans="2:15">
      <c r="B100" t="s">
        <v>466</v>
      </c>
      <c r="C100" t="s">
        <v>467</v>
      </c>
      <c r="D100" s="73">
        <f>IFERROR(_xlfn.XLOOKUP(_xlfn.XLOOKUP(tblSectorAssessmentSummary10[[#This Row],[ActionID]],$B$161:$B$213,$E$161:$E$213,""),tblEffectivenessParameters8[Parameter],tblEffectivenessParameters8[Default value],""),"")</f>
        <v>0</v>
      </c>
      <c r="E100" s="73">
        <f>IFERROR(_xlfn.XLOOKUP(_xlfn.XLOOKUP(tblSectorAssessmentSummary10[[#This Row],[ActionID]],$B$161:$B$213,$G$161:$G$213,""),tblEffectivenessParameters8[Parameter],tblEffectivenessParameters8[Default value],""),"")</f>
        <v>0</v>
      </c>
      <c r="F100" s="73">
        <f>IFERROR(_xlfn.XLOOKUP(_xlfn.XLOOKUP(tblSectorAssessmentSummary10[[#This Row],[ActionID]],$B$252:$B$304,$E$252:$E$304,""),tblEffectivenessParameters8[Parameter],tblEffectivenessParameters8[Default value],""),"")</f>
        <v>0</v>
      </c>
      <c r="G100" s="73">
        <f>IFERROR(_xlfn.XLOOKUP(_xlfn.XLOOKUP(tblSectorAssessmentSummary10[[#This Row],[ActionID]],$B$252:$B$304,$G$252:$G$304,""),tblEffectivenessParameters8[Parameter],tblEffectivenessParameters8[Default value],""),"")</f>
        <v>0</v>
      </c>
      <c r="H100" s="73">
        <f>IFERROR(_xlfn.XLOOKUP(_xlfn.XLOOKUP(tblSectorAssessmentSummary10[[#This Row],[ActionID]],$B$343:$B$395,$E$343:$E$395,""),tblEffectivenessParameters8[Parameter],tblEffectivenessParameters8[Default value],""),"")</f>
        <v>0</v>
      </c>
      <c r="I100" s="73">
        <f>IFERROR(_xlfn.XLOOKUP(_xlfn.XLOOKUP(tblSectorAssessmentSummary10[[#This Row],[ActionID]],$B$343:$B$395,$G$343:$G$395,""),tblEffectivenessParameters8[Parameter],tblEffectivenessParameters8[Default value],""),"")</f>
        <v>0</v>
      </c>
      <c r="J100" s="73">
        <f>IFERROR(_xlfn.XLOOKUP(_xlfn.XLOOKUP(tblSectorAssessmentSummary10[[#This Row],[ActionID]],$B$434:$B$486,$E$434:$E$486,""),tblEffectivenessParameters8[Parameter],tblEffectivenessParameters8[Default value],""),"")</f>
        <v>0</v>
      </c>
      <c r="K100" s="73">
        <f>IFERROR(_xlfn.XLOOKUP(_xlfn.XLOOKUP(tblSectorAssessmentSummary10[[#This Row],[ActionID]],$B$434:$B$486,$G$434:$G$486,""),tblEffectivenessParameters8[Parameter],tblEffectivenessParameters8[Default value],""),"")</f>
        <v>0</v>
      </c>
      <c r="L100" s="73">
        <f>IFERROR(_xlfn.XLOOKUP(_xlfn.XLOOKUP(tblSectorAssessmentSummary10[[#This Row],[ActionID]],$B$525:$B$577,$E$525:$E$577,""),tblEffectivenessParameters8[Parameter],tblEffectivenessParameters8[Default value],""),"")</f>
        <v>0</v>
      </c>
      <c r="M100" s="73">
        <f>IFERROR(_xlfn.XLOOKUP(_xlfn.XLOOKUP(tblSectorAssessmentSummary10[[#This Row],[ActionID]],$B$525:$B$577,$G$525:$G$577,""),tblEffectivenessParameters8[Parameter],tblEffectivenessParameters8[Default value],""),"")</f>
        <v>0</v>
      </c>
      <c r="N100" s="73">
        <f>IFERROR(_xlfn.XLOOKUP(_xlfn.XLOOKUP(tblSectorAssessmentSummary10[[#This Row],[ActionID]],$B$616:$B$668,$E$616:$E$668,""),tblEffectivenessParameters8[Parameter],tblEffectivenessParameters8[Default value],""),"")</f>
        <v>0</v>
      </c>
      <c r="O100" s="73">
        <f>IFERROR(_xlfn.XLOOKUP(_xlfn.XLOOKUP(tblSectorAssessmentSummary10[[#This Row],[ActionID]],$B$616:$B$668,$G$616:$G$668,""),tblEffectivenessParameters8[Parameter],tblEffectivenessParameters8[Default value],""),"")</f>
        <v>0</v>
      </c>
    </row>
    <row r="101" spans="2:15">
      <c r="B101" t="s">
        <v>471</v>
      </c>
      <c r="C101" t="s">
        <v>472</v>
      </c>
      <c r="D101" s="73">
        <f>IFERROR(_xlfn.XLOOKUP(_xlfn.XLOOKUP(tblSectorAssessmentSummary10[[#This Row],[ActionID]],$B$161:$B$213,$E$161:$E$213,""),tblEffectivenessParameters8[Parameter],tblEffectivenessParameters8[Default value],""),"")</f>
        <v>0</v>
      </c>
      <c r="E101" s="73">
        <f>IFERROR(_xlfn.XLOOKUP(_xlfn.XLOOKUP(tblSectorAssessmentSummary10[[#This Row],[ActionID]],$B$161:$B$213,$G$161:$G$213,""),tblEffectivenessParameters8[Parameter],tblEffectivenessParameters8[Default value],""),"")</f>
        <v>0</v>
      </c>
      <c r="F101" s="73">
        <f>IFERROR(_xlfn.XLOOKUP(_xlfn.XLOOKUP(tblSectorAssessmentSummary10[[#This Row],[ActionID]],$B$252:$B$304,$E$252:$E$304,""),tblEffectivenessParameters8[Parameter],tblEffectivenessParameters8[Default value],""),"")</f>
        <v>0</v>
      </c>
      <c r="G101" s="73">
        <f>IFERROR(_xlfn.XLOOKUP(_xlfn.XLOOKUP(tblSectorAssessmentSummary10[[#This Row],[ActionID]],$B$252:$B$304,$G$252:$G$304,""),tblEffectivenessParameters8[Parameter],tblEffectivenessParameters8[Default value],""),"")</f>
        <v>0</v>
      </c>
      <c r="H101" s="73">
        <f>IFERROR(_xlfn.XLOOKUP(_xlfn.XLOOKUP(tblSectorAssessmentSummary10[[#This Row],[ActionID]],$B$343:$B$395,$E$343:$E$395,""),tblEffectivenessParameters8[Parameter],tblEffectivenessParameters8[Default value],""),"")</f>
        <v>0</v>
      </c>
      <c r="I101" s="73">
        <f>IFERROR(_xlfn.XLOOKUP(_xlfn.XLOOKUP(tblSectorAssessmentSummary10[[#This Row],[ActionID]],$B$343:$B$395,$G$343:$G$395,""),tblEffectivenessParameters8[Parameter],tblEffectivenessParameters8[Default value],""),"")</f>
        <v>0</v>
      </c>
      <c r="J101" s="73">
        <f>IFERROR(_xlfn.XLOOKUP(_xlfn.XLOOKUP(tblSectorAssessmentSummary10[[#This Row],[ActionID]],$B$434:$B$486,$E$434:$E$486,""),tblEffectivenessParameters8[Parameter],tblEffectivenessParameters8[Default value],""),"")</f>
        <v>0</v>
      </c>
      <c r="K101" s="73">
        <f>IFERROR(_xlfn.XLOOKUP(_xlfn.XLOOKUP(tblSectorAssessmentSummary10[[#This Row],[ActionID]],$B$434:$B$486,$G$434:$G$486,""),tblEffectivenessParameters8[Parameter],tblEffectivenessParameters8[Default value],""),"")</f>
        <v>0</v>
      </c>
      <c r="L101" s="73">
        <f>IFERROR(_xlfn.XLOOKUP(_xlfn.XLOOKUP(tblSectorAssessmentSummary10[[#This Row],[ActionID]],$B$525:$B$577,$E$525:$E$577,""),tblEffectivenessParameters8[Parameter],tblEffectivenessParameters8[Default value],""),"")</f>
        <v>0</v>
      </c>
      <c r="M101" s="73">
        <f>IFERROR(_xlfn.XLOOKUP(_xlfn.XLOOKUP(tblSectorAssessmentSummary10[[#This Row],[ActionID]],$B$525:$B$577,$G$525:$G$577,""),tblEffectivenessParameters8[Parameter],tblEffectivenessParameters8[Default value],""),"")</f>
        <v>0</v>
      </c>
      <c r="N101" s="73">
        <f>IFERROR(_xlfn.XLOOKUP(_xlfn.XLOOKUP(tblSectorAssessmentSummary10[[#This Row],[ActionID]],$B$616:$B$668,$E$616:$E$668,""),tblEffectivenessParameters8[Parameter],tblEffectivenessParameters8[Default value],""),"")</f>
        <v>0</v>
      </c>
      <c r="O101" s="73">
        <f>IFERROR(_xlfn.XLOOKUP(_xlfn.XLOOKUP(tblSectorAssessmentSummary10[[#This Row],[ActionID]],$B$616:$B$668,$G$616:$G$668,""),tblEffectivenessParameters8[Parameter],tblEffectivenessParameters8[Default value],""),"")</f>
        <v>0</v>
      </c>
    </row>
    <row r="102" spans="2:15">
      <c r="B102" t="s">
        <v>475</v>
      </c>
      <c r="C102" t="s">
        <v>476</v>
      </c>
      <c r="D102" s="73">
        <f>IFERROR(_xlfn.XLOOKUP(_xlfn.XLOOKUP(tblSectorAssessmentSummary10[[#This Row],[ActionID]],$B$161:$B$213,$E$161:$E$213,""),tblEffectivenessParameters8[Parameter],tblEffectivenessParameters8[Default value],""),"")</f>
        <v>0</v>
      </c>
      <c r="E102" s="73">
        <f>IFERROR(_xlfn.XLOOKUP(_xlfn.XLOOKUP(tblSectorAssessmentSummary10[[#This Row],[ActionID]],$B$161:$B$213,$G$161:$G$213,""),tblEffectivenessParameters8[Parameter],tblEffectivenessParameters8[Default value],""),"")</f>
        <v>0</v>
      </c>
      <c r="F102" s="73">
        <f>IFERROR(_xlfn.XLOOKUP(_xlfn.XLOOKUP(tblSectorAssessmentSummary10[[#This Row],[ActionID]],$B$252:$B$304,$E$252:$E$304,""),tblEffectivenessParameters8[Parameter],tblEffectivenessParameters8[Default value],""),"")</f>
        <v>0</v>
      </c>
      <c r="G102" s="73">
        <f>IFERROR(_xlfn.XLOOKUP(_xlfn.XLOOKUP(tblSectorAssessmentSummary10[[#This Row],[ActionID]],$B$252:$B$304,$G$252:$G$304,""),tblEffectivenessParameters8[Parameter],tblEffectivenessParameters8[Default value],""),"")</f>
        <v>0</v>
      </c>
      <c r="H102" s="73">
        <f>IFERROR(_xlfn.XLOOKUP(_xlfn.XLOOKUP(tblSectorAssessmentSummary10[[#This Row],[ActionID]],$B$343:$B$395,$E$343:$E$395,""),tblEffectivenessParameters8[Parameter],tblEffectivenessParameters8[Default value],""),"")</f>
        <v>0</v>
      </c>
      <c r="I102" s="73">
        <f>IFERROR(_xlfn.XLOOKUP(_xlfn.XLOOKUP(tblSectorAssessmentSummary10[[#This Row],[ActionID]],$B$343:$B$395,$G$343:$G$395,""),tblEffectivenessParameters8[Parameter],tblEffectivenessParameters8[Default value],""),"")</f>
        <v>0</v>
      </c>
      <c r="J102" s="73">
        <f>IFERROR(_xlfn.XLOOKUP(_xlfn.XLOOKUP(tblSectorAssessmentSummary10[[#This Row],[ActionID]],$B$434:$B$486,$E$434:$E$486,""),tblEffectivenessParameters8[Parameter],tblEffectivenessParameters8[Default value],""),"")</f>
        <v>0</v>
      </c>
      <c r="K102" s="73">
        <f>IFERROR(_xlfn.XLOOKUP(_xlfn.XLOOKUP(tblSectorAssessmentSummary10[[#This Row],[ActionID]],$B$434:$B$486,$G$434:$G$486,""),tblEffectivenessParameters8[Parameter],tblEffectivenessParameters8[Default value],""),"")</f>
        <v>0</v>
      </c>
      <c r="L102" s="73">
        <f>IFERROR(_xlfn.XLOOKUP(_xlfn.XLOOKUP(tblSectorAssessmentSummary10[[#This Row],[ActionID]],$B$525:$B$577,$E$525:$E$577,""),tblEffectivenessParameters8[Parameter],tblEffectivenessParameters8[Default value],""),"")</f>
        <v>0</v>
      </c>
      <c r="M102" s="73">
        <f>IFERROR(_xlfn.XLOOKUP(_xlfn.XLOOKUP(tblSectorAssessmentSummary10[[#This Row],[ActionID]],$B$525:$B$577,$G$525:$G$577,""),tblEffectivenessParameters8[Parameter],tblEffectivenessParameters8[Default value],""),"")</f>
        <v>0</v>
      </c>
      <c r="N102" s="73">
        <f>IFERROR(_xlfn.XLOOKUP(_xlfn.XLOOKUP(tblSectorAssessmentSummary10[[#This Row],[ActionID]],$B$616:$B$668,$E$616:$E$668,""),tblEffectivenessParameters8[Parameter],tblEffectivenessParameters8[Default value],""),"")</f>
        <v>0</v>
      </c>
      <c r="O102" s="73">
        <f>IFERROR(_xlfn.XLOOKUP(_xlfn.XLOOKUP(tblSectorAssessmentSummary10[[#This Row],[ActionID]],$B$616:$B$668,$G$616:$G$668,""),tblEffectivenessParameters8[Parameter],tblEffectivenessParameters8[Default value],""),"")</f>
        <v>0</v>
      </c>
    </row>
    <row r="103" spans="2:15">
      <c r="B103" t="s">
        <v>480</v>
      </c>
      <c r="C103" t="s">
        <v>481</v>
      </c>
      <c r="D103" s="73">
        <f>IFERROR(_xlfn.XLOOKUP(_xlfn.XLOOKUP(tblSectorAssessmentSummary10[[#This Row],[ActionID]],$B$161:$B$213,$E$161:$E$213,""),tblEffectivenessParameters8[Parameter],tblEffectivenessParameters8[Default value],""),"")</f>
        <v>0</v>
      </c>
      <c r="E103" s="73">
        <f>IFERROR(_xlfn.XLOOKUP(_xlfn.XLOOKUP(tblSectorAssessmentSummary10[[#This Row],[ActionID]],$B$161:$B$213,$G$161:$G$213,""),tblEffectivenessParameters8[Parameter],tblEffectivenessParameters8[Default value],""),"")</f>
        <v>0</v>
      </c>
      <c r="F103" s="73">
        <f>IFERROR(_xlfn.XLOOKUP(_xlfn.XLOOKUP(tblSectorAssessmentSummary10[[#This Row],[ActionID]],$B$252:$B$304,$E$252:$E$304,""),tblEffectivenessParameters8[Parameter],tblEffectivenessParameters8[Default value],""),"")</f>
        <v>0</v>
      </c>
      <c r="G103" s="73">
        <f>IFERROR(_xlfn.XLOOKUP(_xlfn.XLOOKUP(tblSectorAssessmentSummary10[[#This Row],[ActionID]],$B$252:$B$304,$G$252:$G$304,""),tblEffectivenessParameters8[Parameter],tblEffectivenessParameters8[Default value],""),"")</f>
        <v>0</v>
      </c>
      <c r="H103" s="73">
        <f>IFERROR(_xlfn.XLOOKUP(_xlfn.XLOOKUP(tblSectorAssessmentSummary10[[#This Row],[ActionID]],$B$343:$B$395,$E$343:$E$395,""),tblEffectivenessParameters8[Parameter],tblEffectivenessParameters8[Default value],""),"")</f>
        <v>0</v>
      </c>
      <c r="I103" s="73">
        <f>IFERROR(_xlfn.XLOOKUP(_xlfn.XLOOKUP(tblSectorAssessmentSummary10[[#This Row],[ActionID]],$B$343:$B$395,$G$343:$G$395,""),tblEffectivenessParameters8[Parameter],tblEffectivenessParameters8[Default value],""),"")</f>
        <v>0</v>
      </c>
      <c r="J103" s="73">
        <f>IFERROR(_xlfn.XLOOKUP(_xlfn.XLOOKUP(tblSectorAssessmentSummary10[[#This Row],[ActionID]],$B$434:$B$486,$E$434:$E$486,""),tblEffectivenessParameters8[Parameter],tblEffectivenessParameters8[Default value],""),"")</f>
        <v>0</v>
      </c>
      <c r="K103" s="73">
        <f>IFERROR(_xlfn.XLOOKUP(_xlfn.XLOOKUP(tblSectorAssessmentSummary10[[#This Row],[ActionID]],$B$434:$B$486,$G$434:$G$486,""),tblEffectivenessParameters8[Parameter],tblEffectivenessParameters8[Default value],""),"")</f>
        <v>-1</v>
      </c>
      <c r="L103" s="73">
        <f>IFERROR(_xlfn.XLOOKUP(_xlfn.XLOOKUP(tblSectorAssessmentSummary10[[#This Row],[ActionID]],$B$525:$B$577,$E$525:$E$577,""),tblEffectivenessParameters8[Parameter],tblEffectivenessParameters8[Default value],""),"")</f>
        <v>-1</v>
      </c>
      <c r="M103" s="73">
        <f>IFERROR(_xlfn.XLOOKUP(_xlfn.XLOOKUP(tblSectorAssessmentSummary10[[#This Row],[ActionID]],$B$525:$B$577,$G$525:$G$577,""),tblEffectivenessParameters8[Parameter],tblEffectivenessParameters8[Default value],""),"")</f>
        <v>-1</v>
      </c>
      <c r="N103" s="73">
        <f>IFERROR(_xlfn.XLOOKUP(_xlfn.XLOOKUP(tblSectorAssessmentSummary10[[#This Row],[ActionID]],$B$616:$B$668,$E$616:$E$668,""),tblEffectivenessParameters8[Parameter],tblEffectivenessParameters8[Default value],""),"")</f>
        <v>0</v>
      </c>
      <c r="O103" s="73">
        <f>IFERROR(_xlfn.XLOOKUP(_xlfn.XLOOKUP(tblSectorAssessmentSummary10[[#This Row],[ActionID]],$B$616:$B$668,$G$616:$G$668,""),tblEffectivenessParameters8[Parameter],tblEffectivenessParameters8[Default value],""),"")</f>
        <v>0</v>
      </c>
    </row>
    <row r="104" spans="2:15">
      <c r="B104" t="s">
        <v>485</v>
      </c>
      <c r="C104" t="s">
        <v>486</v>
      </c>
      <c r="D104" s="73">
        <f>IFERROR(_xlfn.XLOOKUP(_xlfn.XLOOKUP(tblSectorAssessmentSummary10[[#This Row],[ActionID]],$B$161:$B$213,$E$161:$E$213,""),tblEffectivenessParameters8[Parameter],tblEffectivenessParameters8[Default value],""),"")</f>
        <v>0</v>
      </c>
      <c r="E104" s="73">
        <f>IFERROR(_xlfn.XLOOKUP(_xlfn.XLOOKUP(tblSectorAssessmentSummary10[[#This Row],[ActionID]],$B$161:$B$213,$G$161:$G$213,""),tblEffectivenessParameters8[Parameter],tblEffectivenessParameters8[Default value],""),"")</f>
        <v>0</v>
      </c>
      <c r="F104" s="73">
        <f>IFERROR(_xlfn.XLOOKUP(_xlfn.XLOOKUP(tblSectorAssessmentSummary10[[#This Row],[ActionID]],$B$252:$B$304,$E$252:$E$304,""),tblEffectivenessParameters8[Parameter],tblEffectivenessParameters8[Default value],""),"")</f>
        <v>0</v>
      </c>
      <c r="G104" s="73">
        <f>IFERROR(_xlfn.XLOOKUP(_xlfn.XLOOKUP(tblSectorAssessmentSummary10[[#This Row],[ActionID]],$B$252:$B$304,$G$252:$G$304,""),tblEffectivenessParameters8[Parameter],tblEffectivenessParameters8[Default value],""),"")</f>
        <v>0</v>
      </c>
      <c r="H104" s="73">
        <f>IFERROR(_xlfn.XLOOKUP(_xlfn.XLOOKUP(tblSectorAssessmentSummary10[[#This Row],[ActionID]],$B$343:$B$395,$E$343:$E$395,""),tblEffectivenessParameters8[Parameter],tblEffectivenessParameters8[Default value],""),"")</f>
        <v>0</v>
      </c>
      <c r="I104" s="73">
        <f>IFERROR(_xlfn.XLOOKUP(_xlfn.XLOOKUP(tblSectorAssessmentSummary10[[#This Row],[ActionID]],$B$343:$B$395,$G$343:$G$395,""),tblEffectivenessParameters8[Parameter],tblEffectivenessParameters8[Default value],""),"")</f>
        <v>0</v>
      </c>
      <c r="J104" s="73">
        <f>IFERROR(_xlfn.XLOOKUP(_xlfn.XLOOKUP(tblSectorAssessmentSummary10[[#This Row],[ActionID]],$B$434:$B$486,$E$434:$E$486,""),tblEffectivenessParameters8[Parameter],tblEffectivenessParameters8[Default value],""),"")</f>
        <v>0</v>
      </c>
      <c r="K104" s="73">
        <f>IFERROR(_xlfn.XLOOKUP(_xlfn.XLOOKUP(tblSectorAssessmentSummary10[[#This Row],[ActionID]],$B$434:$B$486,$G$434:$G$486,""),tblEffectivenessParameters8[Parameter],tblEffectivenessParameters8[Default value],""),"")</f>
        <v>0</v>
      </c>
      <c r="L104" s="73">
        <f>IFERROR(_xlfn.XLOOKUP(_xlfn.XLOOKUP(tblSectorAssessmentSummary10[[#This Row],[ActionID]],$B$525:$B$577,$E$525:$E$577,""),tblEffectivenessParameters8[Parameter],tblEffectivenessParameters8[Default value],""),"")</f>
        <v>0</v>
      </c>
      <c r="M104" s="73">
        <f>IFERROR(_xlfn.XLOOKUP(_xlfn.XLOOKUP(tblSectorAssessmentSummary10[[#This Row],[ActionID]],$B$525:$B$577,$G$525:$G$577,""),tblEffectivenessParameters8[Parameter],tblEffectivenessParameters8[Default value],""),"")</f>
        <v>0</v>
      </c>
      <c r="N104" s="73">
        <f>IFERROR(_xlfn.XLOOKUP(_xlfn.XLOOKUP(tblSectorAssessmentSummary10[[#This Row],[ActionID]],$B$616:$B$668,$E$616:$E$668,""),tblEffectivenessParameters8[Parameter],tblEffectivenessParameters8[Default value],""),"")</f>
        <v>-1</v>
      </c>
      <c r="O104" s="73">
        <f>IFERROR(_xlfn.XLOOKUP(_xlfn.XLOOKUP(tblSectorAssessmentSummary10[[#This Row],[ActionID]],$B$616:$B$668,$G$616:$G$668,""),tblEffectivenessParameters8[Parameter],tblEffectivenessParameters8[Default value],""),"")</f>
        <v>-1</v>
      </c>
    </row>
    <row r="105" spans="2:15">
      <c r="B105" t="s">
        <v>490</v>
      </c>
      <c r="C105" t="s">
        <v>491</v>
      </c>
      <c r="D105" s="73">
        <f>IFERROR(_xlfn.XLOOKUP(_xlfn.XLOOKUP(tblSectorAssessmentSummary10[[#This Row],[ActionID]],$B$161:$B$213,$E$161:$E$213,""),tblEffectivenessParameters8[Parameter],tblEffectivenessParameters8[Default value],""),"")</f>
        <v>-0.5</v>
      </c>
      <c r="E105" s="73">
        <f>IFERROR(_xlfn.XLOOKUP(_xlfn.XLOOKUP(tblSectorAssessmentSummary10[[#This Row],[ActionID]],$B$161:$B$213,$G$161:$G$213,""),tblEffectivenessParameters8[Parameter],tblEffectivenessParameters8[Default value],""),"")</f>
        <v>0</v>
      </c>
      <c r="F105" s="73">
        <f>IFERROR(_xlfn.XLOOKUP(_xlfn.XLOOKUP(tblSectorAssessmentSummary10[[#This Row],[ActionID]],$B$252:$B$304,$E$252:$E$304,""),tblEffectivenessParameters8[Parameter],tblEffectivenessParameters8[Default value],""),"")</f>
        <v>0</v>
      </c>
      <c r="G105" s="73">
        <f>IFERROR(_xlfn.XLOOKUP(_xlfn.XLOOKUP(tblSectorAssessmentSummary10[[#This Row],[ActionID]],$B$252:$B$304,$G$252:$G$304,""),tblEffectivenessParameters8[Parameter],tblEffectivenessParameters8[Default value],""),"")</f>
        <v>0</v>
      </c>
      <c r="H105" s="73">
        <f>IFERROR(_xlfn.XLOOKUP(_xlfn.XLOOKUP(tblSectorAssessmentSummary10[[#This Row],[ActionID]],$B$343:$B$395,$E$343:$E$395,""),tblEffectivenessParameters8[Parameter],tblEffectivenessParameters8[Default value],""),"")</f>
        <v>0</v>
      </c>
      <c r="I105" s="73">
        <f>IFERROR(_xlfn.XLOOKUP(_xlfn.XLOOKUP(tblSectorAssessmentSummary10[[#This Row],[ActionID]],$B$343:$B$395,$G$343:$G$395,""),tblEffectivenessParameters8[Parameter],tblEffectivenessParameters8[Default value],""),"")</f>
        <v>0</v>
      </c>
      <c r="J105" s="73">
        <f>IFERROR(_xlfn.XLOOKUP(_xlfn.XLOOKUP(tblSectorAssessmentSummary10[[#This Row],[ActionID]],$B$434:$B$486,$E$434:$E$486,""),tblEffectivenessParameters8[Parameter],tblEffectivenessParameters8[Default value],""),"")</f>
        <v>0</v>
      </c>
      <c r="K105" s="73">
        <f>IFERROR(_xlfn.XLOOKUP(_xlfn.XLOOKUP(tblSectorAssessmentSummary10[[#This Row],[ActionID]],$B$434:$B$486,$G$434:$G$486,""),tblEffectivenessParameters8[Parameter],tblEffectivenessParameters8[Default value],""),"")</f>
        <v>0</v>
      </c>
      <c r="L105" s="73">
        <f>IFERROR(_xlfn.XLOOKUP(_xlfn.XLOOKUP(tblSectorAssessmentSummary10[[#This Row],[ActionID]],$B$525:$B$577,$E$525:$E$577,""),tblEffectivenessParameters8[Parameter],tblEffectivenessParameters8[Default value],""),"")</f>
        <v>0</v>
      </c>
      <c r="M105" s="73">
        <f>IFERROR(_xlfn.XLOOKUP(_xlfn.XLOOKUP(tblSectorAssessmentSummary10[[#This Row],[ActionID]],$B$525:$B$577,$G$525:$G$577,""),tblEffectivenessParameters8[Parameter],tblEffectivenessParameters8[Default value],""),"")</f>
        <v>0</v>
      </c>
      <c r="N105" s="73">
        <f>IFERROR(_xlfn.XLOOKUP(_xlfn.XLOOKUP(tblSectorAssessmentSummary10[[#This Row],[ActionID]],$B$616:$B$668,$E$616:$E$668,""),tblEffectivenessParameters8[Parameter],tblEffectivenessParameters8[Default value],""),"")</f>
        <v>-1</v>
      </c>
      <c r="O105" s="73">
        <f>IFERROR(_xlfn.XLOOKUP(_xlfn.XLOOKUP(tblSectorAssessmentSummary10[[#This Row],[ActionID]],$B$616:$B$668,$G$616:$G$668,""),tblEffectivenessParameters8[Parameter],tblEffectivenessParameters8[Default value],""),"")</f>
        <v>-0.5</v>
      </c>
    </row>
    <row r="106" spans="2:15">
      <c r="B106" t="s">
        <v>495</v>
      </c>
      <c r="C106" t="s">
        <v>496</v>
      </c>
      <c r="D106" s="73">
        <f>IFERROR(_xlfn.XLOOKUP(_xlfn.XLOOKUP(tblSectorAssessmentSummary10[[#This Row],[ActionID]],$B$161:$B$213,$E$161:$E$213,""),tblEffectivenessParameters8[Parameter],tblEffectivenessParameters8[Default value],""),"")</f>
        <v>-0.5</v>
      </c>
      <c r="E106" s="73">
        <f>IFERROR(_xlfn.XLOOKUP(_xlfn.XLOOKUP(tblSectorAssessmentSummary10[[#This Row],[ActionID]],$B$161:$B$213,$G$161:$G$213,""),tblEffectivenessParameters8[Parameter],tblEffectivenessParameters8[Default value],""),"")</f>
        <v>0</v>
      </c>
      <c r="F106" s="73">
        <f>IFERROR(_xlfn.XLOOKUP(_xlfn.XLOOKUP(tblSectorAssessmentSummary10[[#This Row],[ActionID]],$B$252:$B$304,$E$252:$E$304,""),tblEffectivenessParameters8[Parameter],tblEffectivenessParameters8[Default value],""),"")</f>
        <v>0</v>
      </c>
      <c r="G106" s="73">
        <f>IFERROR(_xlfn.XLOOKUP(_xlfn.XLOOKUP(tblSectorAssessmentSummary10[[#This Row],[ActionID]],$B$252:$B$304,$G$252:$G$304,""),tblEffectivenessParameters8[Parameter],tblEffectivenessParameters8[Default value],""),"")</f>
        <v>0</v>
      </c>
      <c r="H106" s="73">
        <f>IFERROR(_xlfn.XLOOKUP(_xlfn.XLOOKUP(tblSectorAssessmentSummary10[[#This Row],[ActionID]],$B$343:$B$395,$E$343:$E$395,""),tblEffectivenessParameters8[Parameter],tblEffectivenessParameters8[Default value],""),"")</f>
        <v>0</v>
      </c>
      <c r="I106" s="73">
        <f>IFERROR(_xlfn.XLOOKUP(_xlfn.XLOOKUP(tblSectorAssessmentSummary10[[#This Row],[ActionID]],$B$343:$B$395,$G$343:$G$395,""),tblEffectivenessParameters8[Parameter],tblEffectivenessParameters8[Default value],""),"")</f>
        <v>0</v>
      </c>
      <c r="J106" s="73">
        <f>IFERROR(_xlfn.XLOOKUP(_xlfn.XLOOKUP(tblSectorAssessmentSummary10[[#This Row],[ActionID]],$B$434:$B$486,$E$434:$E$486,""),tblEffectivenessParameters8[Parameter],tblEffectivenessParameters8[Default value],""),"")</f>
        <v>0</v>
      </c>
      <c r="K106" s="73">
        <f>IFERROR(_xlfn.XLOOKUP(_xlfn.XLOOKUP(tblSectorAssessmentSummary10[[#This Row],[ActionID]],$B$434:$B$486,$G$434:$G$486,""),tblEffectivenessParameters8[Parameter],tblEffectivenessParameters8[Default value],""),"")</f>
        <v>0</v>
      </c>
      <c r="L106" s="73">
        <f>IFERROR(_xlfn.XLOOKUP(_xlfn.XLOOKUP(tblSectorAssessmentSummary10[[#This Row],[ActionID]],$B$525:$B$577,$E$525:$E$577,""),tblEffectivenessParameters8[Parameter],tblEffectivenessParameters8[Default value],""),"")</f>
        <v>-0.5</v>
      </c>
      <c r="M106" s="73">
        <f>IFERROR(_xlfn.XLOOKUP(_xlfn.XLOOKUP(tblSectorAssessmentSummary10[[#This Row],[ActionID]],$B$525:$B$577,$G$525:$G$577,""),tblEffectivenessParameters8[Parameter],tblEffectivenessParameters8[Default value],""),"")</f>
        <v>-0.5</v>
      </c>
      <c r="N106" s="73">
        <f>IFERROR(_xlfn.XLOOKUP(_xlfn.XLOOKUP(tblSectorAssessmentSummary10[[#This Row],[ActionID]],$B$616:$B$668,$E$616:$E$668,""),tblEffectivenessParameters8[Parameter],tblEffectivenessParameters8[Default value],""),"")</f>
        <v>-1</v>
      </c>
      <c r="O106" s="73">
        <f>IFERROR(_xlfn.XLOOKUP(_xlfn.XLOOKUP(tblSectorAssessmentSummary10[[#This Row],[ActionID]],$B$616:$B$668,$G$616:$G$668,""),tblEffectivenessParameters8[Parameter],tblEffectivenessParameters8[Default value],""),"")</f>
        <v>-1</v>
      </c>
    </row>
    <row r="107" spans="2:15">
      <c r="B107" t="s">
        <v>500</v>
      </c>
      <c r="C107" t="s">
        <v>501</v>
      </c>
      <c r="D107" s="73">
        <f>IFERROR(_xlfn.XLOOKUP(_xlfn.XLOOKUP(tblSectorAssessmentSummary10[[#This Row],[ActionID]],$B$161:$B$213,$E$161:$E$213,""),tblEffectivenessParameters8[Parameter],tblEffectivenessParameters8[Default value],""),"")</f>
        <v>0</v>
      </c>
      <c r="E107" s="73">
        <f>IFERROR(_xlfn.XLOOKUP(_xlfn.XLOOKUP(tblSectorAssessmentSummary10[[#This Row],[ActionID]],$B$161:$B$213,$G$161:$G$213,""),tblEffectivenessParameters8[Parameter],tblEffectivenessParameters8[Default value],""),"")</f>
        <v>0</v>
      </c>
      <c r="F107" s="73">
        <f>IFERROR(_xlfn.XLOOKUP(_xlfn.XLOOKUP(tblSectorAssessmentSummary10[[#This Row],[ActionID]],$B$252:$B$304,$E$252:$E$304,""),tblEffectivenessParameters8[Parameter],tblEffectivenessParameters8[Default value],""),"")</f>
        <v>0</v>
      </c>
      <c r="G107" s="73">
        <f>IFERROR(_xlfn.XLOOKUP(_xlfn.XLOOKUP(tblSectorAssessmentSummary10[[#This Row],[ActionID]],$B$252:$B$304,$G$252:$G$304,""),tblEffectivenessParameters8[Parameter],tblEffectivenessParameters8[Default value],""),"")</f>
        <v>0</v>
      </c>
      <c r="H107" s="73">
        <f>IFERROR(_xlfn.XLOOKUP(_xlfn.XLOOKUP(tblSectorAssessmentSummary10[[#This Row],[ActionID]],$B$343:$B$395,$E$343:$E$395,""),tblEffectivenessParameters8[Parameter],tblEffectivenessParameters8[Default value],""),"")</f>
        <v>-0.5</v>
      </c>
      <c r="I107" s="73">
        <f>IFERROR(_xlfn.XLOOKUP(_xlfn.XLOOKUP(tblSectorAssessmentSummary10[[#This Row],[ActionID]],$B$343:$B$395,$G$343:$G$395,""),tblEffectivenessParameters8[Parameter],tblEffectivenessParameters8[Default value],""),"")</f>
        <v>0</v>
      </c>
      <c r="J107" s="73">
        <f>IFERROR(_xlfn.XLOOKUP(_xlfn.XLOOKUP(tblSectorAssessmentSummary10[[#This Row],[ActionID]],$B$434:$B$486,$E$434:$E$486,""),tblEffectivenessParameters8[Parameter],tblEffectivenessParameters8[Default value],""),"")</f>
        <v>0</v>
      </c>
      <c r="K107" s="73">
        <f>IFERROR(_xlfn.XLOOKUP(_xlfn.XLOOKUP(tblSectorAssessmentSummary10[[#This Row],[ActionID]],$B$434:$B$486,$G$434:$G$486,""),tblEffectivenessParameters8[Parameter],tblEffectivenessParameters8[Default value],""),"")</f>
        <v>0</v>
      </c>
      <c r="L107" s="73">
        <f>IFERROR(_xlfn.XLOOKUP(_xlfn.XLOOKUP(tblSectorAssessmentSummary10[[#This Row],[ActionID]],$B$525:$B$577,$E$525:$E$577,""),tblEffectivenessParameters8[Parameter],tblEffectivenessParameters8[Default value],""),"")</f>
        <v>-0.5</v>
      </c>
      <c r="M107" s="73">
        <f>IFERROR(_xlfn.XLOOKUP(_xlfn.XLOOKUP(tblSectorAssessmentSummary10[[#This Row],[ActionID]],$B$525:$B$577,$G$525:$G$577,""),tblEffectivenessParameters8[Parameter],tblEffectivenessParameters8[Default value],""),"")</f>
        <v>-0.5</v>
      </c>
      <c r="N107" s="73">
        <f>IFERROR(_xlfn.XLOOKUP(_xlfn.XLOOKUP(tblSectorAssessmentSummary10[[#This Row],[ActionID]],$B$616:$B$668,$E$616:$E$668,""),tblEffectivenessParameters8[Parameter],tblEffectivenessParameters8[Default value],""),"")</f>
        <v>0</v>
      </c>
      <c r="O107" s="73">
        <f>IFERROR(_xlfn.XLOOKUP(_xlfn.XLOOKUP(tblSectorAssessmentSummary10[[#This Row],[ActionID]],$B$616:$B$668,$G$616:$G$668,""),tblEffectivenessParameters8[Parameter],tblEffectivenessParameters8[Default value],""),"")</f>
        <v>0</v>
      </c>
    </row>
    <row r="108" spans="2:15">
      <c r="B108" t="s">
        <v>505</v>
      </c>
      <c r="C108" t="s">
        <v>506</v>
      </c>
      <c r="D108" s="73">
        <f>IFERROR(_xlfn.XLOOKUP(_xlfn.XLOOKUP(tblSectorAssessmentSummary10[[#This Row],[ActionID]],$B$161:$B$213,$E$161:$E$213,""),tblEffectivenessParameters8[Parameter],tblEffectivenessParameters8[Default value],""),"")</f>
        <v>0</v>
      </c>
      <c r="E108" s="73">
        <f>IFERROR(_xlfn.XLOOKUP(_xlfn.XLOOKUP(tblSectorAssessmentSummary10[[#This Row],[ActionID]],$B$161:$B$213,$G$161:$G$213,""),tblEffectivenessParameters8[Parameter],tblEffectivenessParameters8[Default value],""),"")</f>
        <v>0</v>
      </c>
      <c r="F108" s="73">
        <f>IFERROR(_xlfn.XLOOKUP(_xlfn.XLOOKUP(tblSectorAssessmentSummary10[[#This Row],[ActionID]],$B$252:$B$304,$E$252:$E$304,""),tblEffectivenessParameters8[Parameter],tblEffectivenessParameters8[Default value],""),"")</f>
        <v>0</v>
      </c>
      <c r="G108" s="73">
        <f>IFERROR(_xlfn.XLOOKUP(_xlfn.XLOOKUP(tblSectorAssessmentSummary10[[#This Row],[ActionID]],$B$252:$B$304,$G$252:$G$304,""),tblEffectivenessParameters8[Parameter],tblEffectivenessParameters8[Default value],""),"")</f>
        <v>0</v>
      </c>
      <c r="H108" s="73">
        <f>IFERROR(_xlfn.XLOOKUP(_xlfn.XLOOKUP(tblSectorAssessmentSummary10[[#This Row],[ActionID]],$B$343:$B$395,$E$343:$E$395,""),tblEffectivenessParameters8[Parameter],tblEffectivenessParameters8[Default value],""),"")</f>
        <v>0</v>
      </c>
      <c r="I108" s="73">
        <f>IFERROR(_xlfn.XLOOKUP(_xlfn.XLOOKUP(tblSectorAssessmentSummary10[[#This Row],[ActionID]],$B$343:$B$395,$G$343:$G$395,""),tblEffectivenessParameters8[Parameter],tblEffectivenessParameters8[Default value],""),"")</f>
        <v>0</v>
      </c>
      <c r="J108" s="73">
        <f>IFERROR(_xlfn.XLOOKUP(_xlfn.XLOOKUP(tblSectorAssessmentSummary10[[#This Row],[ActionID]],$B$434:$B$486,$E$434:$E$486,""),tblEffectivenessParameters8[Parameter],tblEffectivenessParameters8[Default value],""),"")</f>
        <v>0</v>
      </c>
      <c r="K108" s="73">
        <f>IFERROR(_xlfn.XLOOKUP(_xlfn.XLOOKUP(tblSectorAssessmentSummary10[[#This Row],[ActionID]],$B$434:$B$486,$G$434:$G$486,""),tblEffectivenessParameters8[Parameter],tblEffectivenessParameters8[Default value],""),"")</f>
        <v>0</v>
      </c>
      <c r="L108" s="73">
        <f>IFERROR(_xlfn.XLOOKUP(_xlfn.XLOOKUP(tblSectorAssessmentSummary10[[#This Row],[ActionID]],$B$525:$B$577,$E$525:$E$577,""),tblEffectivenessParameters8[Parameter],tblEffectivenessParameters8[Default value],""),"")</f>
        <v>-1</v>
      </c>
      <c r="M108" s="73">
        <f>IFERROR(_xlfn.XLOOKUP(_xlfn.XLOOKUP(tblSectorAssessmentSummary10[[#This Row],[ActionID]],$B$525:$B$577,$G$525:$G$577,""),tblEffectivenessParameters8[Parameter],tblEffectivenessParameters8[Default value],""),"")</f>
        <v>-1</v>
      </c>
      <c r="N108" s="73">
        <f>IFERROR(_xlfn.XLOOKUP(_xlfn.XLOOKUP(tblSectorAssessmentSummary10[[#This Row],[ActionID]],$B$616:$B$668,$E$616:$E$668,""),tblEffectivenessParameters8[Parameter],tblEffectivenessParameters8[Default value],""),"")</f>
        <v>0</v>
      </c>
      <c r="O108" s="73">
        <f>IFERROR(_xlfn.XLOOKUP(_xlfn.XLOOKUP(tblSectorAssessmentSummary10[[#This Row],[ActionID]],$B$616:$B$668,$G$616:$G$668,""),tblEffectivenessParameters8[Parameter],tblEffectivenessParameters8[Default value],""),"")</f>
        <v>0</v>
      </c>
    </row>
    <row r="109" spans="2:15">
      <c r="B109" t="s">
        <v>509</v>
      </c>
      <c r="C109" t="s">
        <v>510</v>
      </c>
      <c r="D109" s="73">
        <f>IFERROR(_xlfn.XLOOKUP(_xlfn.XLOOKUP(tblSectorAssessmentSummary10[[#This Row],[ActionID]],$B$161:$B$213,$E$161:$E$213,""),tblEffectivenessParameters8[Parameter],tblEffectivenessParameters8[Default value],""),"")</f>
        <v>0</v>
      </c>
      <c r="E109" s="73">
        <f>IFERROR(_xlfn.XLOOKUP(_xlfn.XLOOKUP(tblSectorAssessmentSummary10[[#This Row],[ActionID]],$B$161:$B$213,$G$161:$G$213,""),tblEffectivenessParameters8[Parameter],tblEffectivenessParameters8[Default value],""),"")</f>
        <v>0</v>
      </c>
      <c r="F109" s="73">
        <f>IFERROR(_xlfn.XLOOKUP(_xlfn.XLOOKUP(tblSectorAssessmentSummary10[[#This Row],[ActionID]],$B$252:$B$304,$E$252:$E$304,""),tblEffectivenessParameters8[Parameter],tblEffectivenessParameters8[Default value],""),"")</f>
        <v>0</v>
      </c>
      <c r="G109" s="73">
        <f>IFERROR(_xlfn.XLOOKUP(_xlfn.XLOOKUP(tblSectorAssessmentSummary10[[#This Row],[ActionID]],$B$252:$B$304,$G$252:$G$304,""),tblEffectivenessParameters8[Parameter],tblEffectivenessParameters8[Default value],""),"")</f>
        <v>0</v>
      </c>
      <c r="H109" s="73">
        <f>IFERROR(_xlfn.XLOOKUP(_xlfn.XLOOKUP(tblSectorAssessmentSummary10[[#This Row],[ActionID]],$B$343:$B$395,$E$343:$E$395,""),tblEffectivenessParameters8[Parameter],tblEffectivenessParameters8[Default value],""),"")</f>
        <v>0</v>
      </c>
      <c r="I109" s="73">
        <f>IFERROR(_xlfn.XLOOKUP(_xlfn.XLOOKUP(tblSectorAssessmentSummary10[[#This Row],[ActionID]],$B$343:$B$395,$G$343:$G$395,""),tblEffectivenessParameters8[Parameter],tblEffectivenessParameters8[Default value],""),"")</f>
        <v>0</v>
      </c>
      <c r="J109" s="73">
        <f>IFERROR(_xlfn.XLOOKUP(_xlfn.XLOOKUP(tblSectorAssessmentSummary10[[#This Row],[ActionID]],$B$434:$B$486,$E$434:$E$486,""),tblEffectivenessParameters8[Parameter],tblEffectivenessParameters8[Default value],""),"")</f>
        <v>0</v>
      </c>
      <c r="K109" s="73">
        <f>IFERROR(_xlfn.XLOOKUP(_xlfn.XLOOKUP(tblSectorAssessmentSummary10[[#This Row],[ActionID]],$B$434:$B$486,$G$434:$G$486,""),tblEffectivenessParameters8[Parameter],tblEffectivenessParameters8[Default value],""),"")</f>
        <v>-1</v>
      </c>
      <c r="L109" s="73">
        <f>IFERROR(_xlfn.XLOOKUP(_xlfn.XLOOKUP(tblSectorAssessmentSummary10[[#This Row],[ActionID]],$B$525:$B$577,$E$525:$E$577,""),tblEffectivenessParameters8[Parameter],tblEffectivenessParameters8[Default value],""),"")</f>
        <v>-1</v>
      </c>
      <c r="M109" s="73">
        <f>IFERROR(_xlfn.XLOOKUP(_xlfn.XLOOKUP(tblSectorAssessmentSummary10[[#This Row],[ActionID]],$B$525:$B$577,$G$525:$G$577,""),tblEffectivenessParameters8[Parameter],tblEffectivenessParameters8[Default value],""),"")</f>
        <v>-1</v>
      </c>
      <c r="N109" s="73">
        <f>IFERROR(_xlfn.XLOOKUP(_xlfn.XLOOKUP(tblSectorAssessmentSummary10[[#This Row],[ActionID]],$B$616:$B$668,$E$616:$E$668,""),tblEffectivenessParameters8[Parameter],tblEffectivenessParameters8[Default value],""),"")</f>
        <v>0</v>
      </c>
      <c r="O109" s="73">
        <f>IFERROR(_xlfn.XLOOKUP(_xlfn.XLOOKUP(tblSectorAssessmentSummary10[[#This Row],[ActionID]],$B$616:$B$668,$G$616:$G$668,""),tblEffectivenessParameters8[Parameter],tblEffectivenessParameters8[Default value],""),"")</f>
        <v>0</v>
      </c>
    </row>
    <row r="110" spans="2:15">
      <c r="B110" t="s">
        <v>513</v>
      </c>
      <c r="C110" t="s">
        <v>514</v>
      </c>
      <c r="D110" s="73">
        <f>IFERROR(_xlfn.XLOOKUP(_xlfn.XLOOKUP(tblSectorAssessmentSummary10[[#This Row],[ActionID]],$B$161:$B$213,$E$161:$E$213,""),tblEffectivenessParameters8[Parameter],tblEffectivenessParameters8[Default value],""),"")</f>
        <v>0</v>
      </c>
      <c r="E110" s="73">
        <f>IFERROR(_xlfn.XLOOKUP(_xlfn.XLOOKUP(tblSectorAssessmentSummary10[[#This Row],[ActionID]],$B$161:$B$213,$G$161:$G$213,""),tblEffectivenessParameters8[Parameter],tblEffectivenessParameters8[Default value],""),"")</f>
        <v>0</v>
      </c>
      <c r="F110" s="73">
        <f>IFERROR(_xlfn.XLOOKUP(_xlfn.XLOOKUP(tblSectorAssessmentSummary10[[#This Row],[ActionID]],$B$252:$B$304,$E$252:$E$304,""),tblEffectivenessParameters8[Parameter],tblEffectivenessParameters8[Default value],""),"")</f>
        <v>-1</v>
      </c>
      <c r="G110" s="73">
        <f>IFERROR(_xlfn.XLOOKUP(_xlfn.XLOOKUP(tblSectorAssessmentSummary10[[#This Row],[ActionID]],$B$252:$B$304,$G$252:$G$304,""),tblEffectivenessParameters8[Parameter],tblEffectivenessParameters8[Default value],""),"")</f>
        <v>0</v>
      </c>
      <c r="H110" s="73">
        <f>IFERROR(_xlfn.XLOOKUP(_xlfn.XLOOKUP(tblSectorAssessmentSummary10[[#This Row],[ActionID]],$B$343:$B$395,$E$343:$E$395,""),tblEffectivenessParameters8[Parameter],tblEffectivenessParameters8[Default value],""),"")</f>
        <v>0</v>
      </c>
      <c r="I110" s="73">
        <f>IFERROR(_xlfn.XLOOKUP(_xlfn.XLOOKUP(tblSectorAssessmentSummary10[[#This Row],[ActionID]],$B$343:$B$395,$G$343:$G$395,""),tblEffectivenessParameters8[Parameter],tblEffectivenessParameters8[Default value],""),"")</f>
        <v>0</v>
      </c>
      <c r="J110" s="73">
        <f>IFERROR(_xlfn.XLOOKUP(_xlfn.XLOOKUP(tblSectorAssessmentSummary10[[#This Row],[ActionID]],$B$434:$B$486,$E$434:$E$486,""),tblEffectivenessParameters8[Parameter],tblEffectivenessParameters8[Default value],""),"")</f>
        <v>0</v>
      </c>
      <c r="K110" s="73">
        <f>IFERROR(_xlfn.XLOOKUP(_xlfn.XLOOKUP(tblSectorAssessmentSummary10[[#This Row],[ActionID]],$B$434:$B$486,$G$434:$G$486,""),tblEffectivenessParameters8[Parameter],tblEffectivenessParameters8[Default value],""),"")</f>
        <v>0</v>
      </c>
      <c r="L110" s="73">
        <f>IFERROR(_xlfn.XLOOKUP(_xlfn.XLOOKUP(tblSectorAssessmentSummary10[[#This Row],[ActionID]],$B$525:$B$577,$E$525:$E$577,""),tblEffectivenessParameters8[Parameter],tblEffectivenessParameters8[Default value],""),"")</f>
        <v>0</v>
      </c>
      <c r="M110" s="73">
        <f>IFERROR(_xlfn.XLOOKUP(_xlfn.XLOOKUP(tblSectorAssessmentSummary10[[#This Row],[ActionID]],$B$525:$B$577,$G$525:$G$577,""),tblEffectivenessParameters8[Parameter],tblEffectivenessParameters8[Default value],""),"")</f>
        <v>0</v>
      </c>
      <c r="N110" s="73">
        <f>IFERROR(_xlfn.XLOOKUP(_xlfn.XLOOKUP(tblSectorAssessmentSummary10[[#This Row],[ActionID]],$B$616:$B$668,$E$616:$E$668,""),tblEffectivenessParameters8[Parameter],tblEffectivenessParameters8[Default value],""),"")</f>
        <v>0</v>
      </c>
      <c r="O110" s="73">
        <f>IFERROR(_xlfn.XLOOKUP(_xlfn.XLOOKUP(tblSectorAssessmentSummary10[[#This Row],[ActionID]],$B$616:$B$668,$G$616:$G$668,""),tblEffectivenessParameters8[Parameter],tblEffectivenessParameters8[Default value],""),"")</f>
        <v>0</v>
      </c>
    </row>
    <row r="111" spans="2:15">
      <c r="B111" t="s">
        <v>517</v>
      </c>
      <c r="C111" t="s">
        <v>518</v>
      </c>
      <c r="D111" s="73">
        <f>IFERROR(_xlfn.XLOOKUP(_xlfn.XLOOKUP(tblSectorAssessmentSummary10[[#This Row],[ActionID]],$B$161:$B$213,$E$161:$E$213,""),tblEffectivenessParameters8[Parameter],tblEffectivenessParameters8[Default value],""),"")</f>
        <v>0</v>
      </c>
      <c r="E111" s="73">
        <f>IFERROR(_xlfn.XLOOKUP(_xlfn.XLOOKUP(tblSectorAssessmentSummary10[[#This Row],[ActionID]],$B$161:$B$213,$G$161:$G$213,""),tblEffectivenessParameters8[Parameter],tblEffectivenessParameters8[Default value],""),"")</f>
        <v>0</v>
      </c>
      <c r="F111" s="73">
        <f>IFERROR(_xlfn.XLOOKUP(_xlfn.XLOOKUP(tblSectorAssessmentSummary10[[#This Row],[ActionID]],$B$252:$B$304,$E$252:$E$304,""),tblEffectivenessParameters8[Parameter],tblEffectivenessParameters8[Default value],""),"")</f>
        <v>-1</v>
      </c>
      <c r="G111" s="73">
        <f>IFERROR(_xlfn.XLOOKUP(_xlfn.XLOOKUP(tblSectorAssessmentSummary10[[#This Row],[ActionID]],$B$252:$B$304,$G$252:$G$304,""),tblEffectivenessParameters8[Parameter],tblEffectivenessParameters8[Default value],""),"")</f>
        <v>0</v>
      </c>
      <c r="H111" s="73">
        <f>IFERROR(_xlfn.XLOOKUP(_xlfn.XLOOKUP(tblSectorAssessmentSummary10[[#This Row],[ActionID]],$B$343:$B$395,$E$343:$E$395,""),tblEffectivenessParameters8[Parameter],tblEffectivenessParameters8[Default value],""),"")</f>
        <v>0</v>
      </c>
      <c r="I111" s="73">
        <f>IFERROR(_xlfn.XLOOKUP(_xlfn.XLOOKUP(tblSectorAssessmentSummary10[[#This Row],[ActionID]],$B$343:$B$395,$G$343:$G$395,""),tblEffectivenessParameters8[Parameter],tblEffectivenessParameters8[Default value],""),"")</f>
        <v>0</v>
      </c>
      <c r="J111" s="73">
        <f>IFERROR(_xlfn.XLOOKUP(_xlfn.XLOOKUP(tblSectorAssessmentSummary10[[#This Row],[ActionID]],$B$434:$B$486,$E$434:$E$486,""),tblEffectivenessParameters8[Parameter],tblEffectivenessParameters8[Default value],""),"")</f>
        <v>0</v>
      </c>
      <c r="K111" s="73">
        <f>IFERROR(_xlfn.XLOOKUP(_xlfn.XLOOKUP(tblSectorAssessmentSummary10[[#This Row],[ActionID]],$B$434:$B$486,$G$434:$G$486,""),tblEffectivenessParameters8[Parameter],tblEffectivenessParameters8[Default value],""),"")</f>
        <v>0</v>
      </c>
      <c r="L111" s="73">
        <f>IFERROR(_xlfn.XLOOKUP(_xlfn.XLOOKUP(tblSectorAssessmentSummary10[[#This Row],[ActionID]],$B$525:$B$577,$E$525:$E$577,""),tblEffectivenessParameters8[Parameter],tblEffectivenessParameters8[Default value],""),"")</f>
        <v>0</v>
      </c>
      <c r="M111" s="73">
        <f>IFERROR(_xlfn.XLOOKUP(_xlfn.XLOOKUP(tblSectorAssessmentSummary10[[#This Row],[ActionID]],$B$525:$B$577,$G$525:$G$577,""),tblEffectivenessParameters8[Parameter],tblEffectivenessParameters8[Default value],""),"")</f>
        <v>0</v>
      </c>
      <c r="N111" s="73">
        <f>IFERROR(_xlfn.XLOOKUP(_xlfn.XLOOKUP(tblSectorAssessmentSummary10[[#This Row],[ActionID]],$B$616:$B$668,$E$616:$E$668,""),tblEffectivenessParameters8[Parameter],tblEffectivenessParameters8[Default value],""),"")</f>
        <v>0</v>
      </c>
      <c r="O111" s="73">
        <f>IFERROR(_xlfn.XLOOKUP(_xlfn.XLOOKUP(tblSectorAssessmentSummary10[[#This Row],[ActionID]],$B$616:$B$668,$G$616:$G$668,""),tblEffectivenessParameters8[Parameter],tblEffectivenessParameters8[Default value],""),"")</f>
        <v>0</v>
      </c>
    </row>
    <row r="112" spans="2:15">
      <c r="B112" t="s">
        <v>522</v>
      </c>
      <c r="C112" t="s">
        <v>523</v>
      </c>
      <c r="D112" s="73">
        <f>IFERROR(_xlfn.XLOOKUP(_xlfn.XLOOKUP(tblSectorAssessmentSummary10[[#This Row],[ActionID]],$B$161:$B$213,$E$161:$E$213,""),tblEffectivenessParameters8[Parameter],tblEffectivenessParameters8[Default value],""),"")</f>
        <v>0</v>
      </c>
      <c r="E112" s="73">
        <f>IFERROR(_xlfn.XLOOKUP(_xlfn.XLOOKUP(tblSectorAssessmentSummary10[[#This Row],[ActionID]],$B$161:$B$213,$G$161:$G$213,""),tblEffectivenessParameters8[Parameter],tblEffectivenessParameters8[Default value],""),"")</f>
        <v>0</v>
      </c>
      <c r="F112" s="73">
        <f>IFERROR(_xlfn.XLOOKUP(_xlfn.XLOOKUP(tblSectorAssessmentSummary10[[#This Row],[ActionID]],$B$252:$B$304,$E$252:$E$304,""),tblEffectivenessParameters8[Parameter],tblEffectivenessParameters8[Default value],""),"")</f>
        <v>-1</v>
      </c>
      <c r="G112" s="73">
        <f>IFERROR(_xlfn.XLOOKUP(_xlfn.XLOOKUP(tblSectorAssessmentSummary10[[#This Row],[ActionID]],$B$252:$B$304,$G$252:$G$304,""),tblEffectivenessParameters8[Parameter],tblEffectivenessParameters8[Default value],""),"")</f>
        <v>0</v>
      </c>
      <c r="H112" s="73">
        <f>IFERROR(_xlfn.XLOOKUP(_xlfn.XLOOKUP(tblSectorAssessmentSummary10[[#This Row],[ActionID]],$B$343:$B$395,$E$343:$E$395,""),tblEffectivenessParameters8[Parameter],tblEffectivenessParameters8[Default value],""),"")</f>
        <v>0</v>
      </c>
      <c r="I112" s="73">
        <f>IFERROR(_xlfn.XLOOKUP(_xlfn.XLOOKUP(tblSectorAssessmentSummary10[[#This Row],[ActionID]],$B$343:$B$395,$G$343:$G$395,""),tblEffectivenessParameters8[Parameter],tblEffectivenessParameters8[Default value],""),"")</f>
        <v>0</v>
      </c>
      <c r="J112" s="73">
        <f>IFERROR(_xlfn.XLOOKUP(_xlfn.XLOOKUP(tblSectorAssessmentSummary10[[#This Row],[ActionID]],$B$434:$B$486,$E$434:$E$486,""),tblEffectivenessParameters8[Parameter],tblEffectivenessParameters8[Default value],""),"")</f>
        <v>0</v>
      </c>
      <c r="K112" s="73">
        <f>IFERROR(_xlfn.XLOOKUP(_xlfn.XLOOKUP(tblSectorAssessmentSummary10[[#This Row],[ActionID]],$B$434:$B$486,$G$434:$G$486,""),tblEffectivenessParameters8[Parameter],tblEffectivenessParameters8[Default value],""),"")</f>
        <v>0</v>
      </c>
      <c r="L112" s="73">
        <f>IFERROR(_xlfn.XLOOKUP(_xlfn.XLOOKUP(tblSectorAssessmentSummary10[[#This Row],[ActionID]],$B$525:$B$577,$E$525:$E$577,""),tblEffectivenessParameters8[Parameter],tblEffectivenessParameters8[Default value],""),"")</f>
        <v>0</v>
      </c>
      <c r="M112" s="73">
        <f>IFERROR(_xlfn.XLOOKUP(_xlfn.XLOOKUP(tblSectorAssessmentSummary10[[#This Row],[ActionID]],$B$525:$B$577,$G$525:$G$577,""),tblEffectivenessParameters8[Parameter],tblEffectivenessParameters8[Default value],""),"")</f>
        <v>0</v>
      </c>
      <c r="N112" s="73">
        <f>IFERROR(_xlfn.XLOOKUP(_xlfn.XLOOKUP(tblSectorAssessmentSummary10[[#This Row],[ActionID]],$B$616:$B$668,$E$616:$E$668,""),tblEffectivenessParameters8[Parameter],tblEffectivenessParameters8[Default value],""),"")</f>
        <v>0</v>
      </c>
      <c r="O112" s="73">
        <f>IFERROR(_xlfn.XLOOKUP(_xlfn.XLOOKUP(tblSectorAssessmentSummary10[[#This Row],[ActionID]],$B$616:$B$668,$G$616:$G$668,""),tblEffectivenessParameters8[Parameter],tblEffectivenessParameters8[Default value],""),"")</f>
        <v>0</v>
      </c>
    </row>
    <row r="113" spans="2:15">
      <c r="B113" t="s">
        <v>527</v>
      </c>
      <c r="C113" t="s">
        <v>528</v>
      </c>
      <c r="D113" s="73">
        <f>IFERROR(_xlfn.XLOOKUP(_xlfn.XLOOKUP(tblSectorAssessmentSummary10[[#This Row],[ActionID]],$B$161:$B$213,$E$161:$E$213,""),tblEffectivenessParameters8[Parameter],tblEffectivenessParameters8[Default value],""),"")</f>
        <v>0</v>
      </c>
      <c r="E113" s="73">
        <f>IFERROR(_xlfn.XLOOKUP(_xlfn.XLOOKUP(tblSectorAssessmentSummary10[[#This Row],[ActionID]],$B$161:$B$213,$G$161:$G$213,""),tblEffectivenessParameters8[Parameter],tblEffectivenessParameters8[Default value],""),"")</f>
        <v>0</v>
      </c>
      <c r="F113" s="73">
        <f>IFERROR(_xlfn.XLOOKUP(_xlfn.XLOOKUP(tblSectorAssessmentSummary10[[#This Row],[ActionID]],$B$252:$B$304,$E$252:$E$304,""),tblEffectivenessParameters8[Parameter],tblEffectivenessParameters8[Default value],""),"")</f>
        <v>0</v>
      </c>
      <c r="G113" s="73">
        <f>IFERROR(_xlfn.XLOOKUP(_xlfn.XLOOKUP(tblSectorAssessmentSummary10[[#This Row],[ActionID]],$B$252:$B$304,$G$252:$G$304,""),tblEffectivenessParameters8[Parameter],tblEffectivenessParameters8[Default value],""),"")</f>
        <v>0</v>
      </c>
      <c r="H113" s="73">
        <f>IFERROR(_xlfn.XLOOKUP(_xlfn.XLOOKUP(tblSectorAssessmentSummary10[[#This Row],[ActionID]],$B$343:$B$395,$E$343:$E$395,""),tblEffectivenessParameters8[Parameter],tblEffectivenessParameters8[Default value],""),"")</f>
        <v>0</v>
      </c>
      <c r="I113" s="73">
        <f>IFERROR(_xlfn.XLOOKUP(_xlfn.XLOOKUP(tblSectorAssessmentSummary10[[#This Row],[ActionID]],$B$343:$B$395,$G$343:$G$395,""),tblEffectivenessParameters8[Parameter],tblEffectivenessParameters8[Default value],""),"")</f>
        <v>0</v>
      </c>
      <c r="J113" s="73">
        <f>IFERROR(_xlfn.XLOOKUP(_xlfn.XLOOKUP(tblSectorAssessmentSummary10[[#This Row],[ActionID]],$B$434:$B$486,$E$434:$E$486,""),tblEffectivenessParameters8[Parameter],tblEffectivenessParameters8[Default value],""),"")</f>
        <v>-1</v>
      </c>
      <c r="K113" s="73">
        <f>IFERROR(_xlfn.XLOOKUP(_xlfn.XLOOKUP(tblSectorAssessmentSummary10[[#This Row],[ActionID]],$B$434:$B$486,$G$434:$G$486,""),tblEffectivenessParameters8[Parameter],tblEffectivenessParameters8[Default value],""),"")</f>
        <v>0</v>
      </c>
      <c r="L113" s="73">
        <f>IFERROR(_xlfn.XLOOKUP(_xlfn.XLOOKUP(tblSectorAssessmentSummary10[[#This Row],[ActionID]],$B$525:$B$577,$E$525:$E$577,""),tblEffectivenessParameters8[Parameter],tblEffectivenessParameters8[Default value],""),"")</f>
        <v>0</v>
      </c>
      <c r="M113" s="73">
        <f>IFERROR(_xlfn.XLOOKUP(_xlfn.XLOOKUP(tblSectorAssessmentSummary10[[#This Row],[ActionID]],$B$525:$B$577,$G$525:$G$577,""),tblEffectivenessParameters8[Parameter],tblEffectivenessParameters8[Default value],""),"")</f>
        <v>0</v>
      </c>
      <c r="N113" s="73">
        <f>IFERROR(_xlfn.XLOOKUP(_xlfn.XLOOKUP(tblSectorAssessmentSummary10[[#This Row],[ActionID]],$B$616:$B$668,$E$616:$E$668,""),tblEffectivenessParameters8[Parameter],tblEffectivenessParameters8[Default value],""),"")</f>
        <v>0</v>
      </c>
      <c r="O113" s="73">
        <f>IFERROR(_xlfn.XLOOKUP(_xlfn.XLOOKUP(tblSectorAssessmentSummary10[[#This Row],[ActionID]],$B$616:$B$668,$G$616:$G$668,""),tblEffectivenessParameters8[Parameter],tblEffectivenessParameters8[Default value],""),"")</f>
        <v>0</v>
      </c>
    </row>
    <row r="114" spans="2:15">
      <c r="B114" t="s">
        <v>531</v>
      </c>
      <c r="C114" t="s">
        <v>532</v>
      </c>
      <c r="D114" s="73">
        <f>IFERROR(_xlfn.XLOOKUP(_xlfn.XLOOKUP(tblSectorAssessmentSummary10[[#This Row],[ActionID]],$B$161:$B$213,$E$161:$E$213,""),tblEffectivenessParameters8[Parameter],tblEffectivenessParameters8[Default value],""),"")</f>
        <v>-0.5</v>
      </c>
      <c r="E114" s="73">
        <f>IFERROR(_xlfn.XLOOKUP(_xlfn.XLOOKUP(tblSectorAssessmentSummary10[[#This Row],[ActionID]],$B$161:$B$213,$G$161:$G$213,""),tblEffectivenessParameters8[Parameter],tblEffectivenessParameters8[Default value],""),"")</f>
        <v>0</v>
      </c>
      <c r="F114" s="73">
        <f>IFERROR(_xlfn.XLOOKUP(_xlfn.XLOOKUP(tblSectorAssessmentSummary10[[#This Row],[ActionID]],$B$252:$B$304,$E$252:$E$304,""),tblEffectivenessParameters8[Parameter],tblEffectivenessParameters8[Default value],""),"")</f>
        <v>-1</v>
      </c>
      <c r="G114" s="73">
        <f>IFERROR(_xlfn.XLOOKUP(_xlfn.XLOOKUP(tblSectorAssessmentSummary10[[#This Row],[ActionID]],$B$252:$B$304,$G$252:$G$304,""),tblEffectivenessParameters8[Parameter],tblEffectivenessParameters8[Default value],""),"")</f>
        <v>0</v>
      </c>
      <c r="H114" s="73">
        <f>IFERROR(_xlfn.XLOOKUP(_xlfn.XLOOKUP(tblSectorAssessmentSummary10[[#This Row],[ActionID]],$B$343:$B$395,$E$343:$E$395,""),tblEffectivenessParameters8[Parameter],tblEffectivenessParameters8[Default value],""),"")</f>
        <v>0</v>
      </c>
      <c r="I114" s="73">
        <f>IFERROR(_xlfn.XLOOKUP(_xlfn.XLOOKUP(tblSectorAssessmentSummary10[[#This Row],[ActionID]],$B$343:$B$395,$G$343:$G$395,""),tblEffectivenessParameters8[Parameter],tblEffectivenessParameters8[Default value],""),"")</f>
        <v>0</v>
      </c>
      <c r="J114" s="73">
        <f>IFERROR(_xlfn.XLOOKUP(_xlfn.XLOOKUP(tblSectorAssessmentSummary10[[#This Row],[ActionID]],$B$434:$B$486,$E$434:$E$486,""),tblEffectivenessParameters8[Parameter],tblEffectivenessParameters8[Default value],""),"")</f>
        <v>0</v>
      </c>
      <c r="K114" s="73">
        <f>IFERROR(_xlfn.XLOOKUP(_xlfn.XLOOKUP(tblSectorAssessmentSummary10[[#This Row],[ActionID]],$B$434:$B$486,$G$434:$G$486,""),tblEffectivenessParameters8[Parameter],tblEffectivenessParameters8[Default value],""),"")</f>
        <v>0</v>
      </c>
      <c r="L114" s="73">
        <f>IFERROR(_xlfn.XLOOKUP(_xlfn.XLOOKUP(tblSectorAssessmentSummary10[[#This Row],[ActionID]],$B$525:$B$577,$E$525:$E$577,""),tblEffectivenessParameters8[Parameter],tblEffectivenessParameters8[Default value],""),"")</f>
        <v>0</v>
      </c>
      <c r="M114" s="73">
        <f>IFERROR(_xlfn.XLOOKUP(_xlfn.XLOOKUP(tblSectorAssessmentSummary10[[#This Row],[ActionID]],$B$525:$B$577,$G$525:$G$577,""),tblEffectivenessParameters8[Parameter],tblEffectivenessParameters8[Default value],""),"")</f>
        <v>0</v>
      </c>
      <c r="N114" s="73">
        <f>IFERROR(_xlfn.XLOOKUP(_xlfn.XLOOKUP(tblSectorAssessmentSummary10[[#This Row],[ActionID]],$B$616:$B$668,$E$616:$E$668,""),tblEffectivenessParameters8[Parameter],tblEffectivenessParameters8[Default value],""),"")</f>
        <v>-0.5</v>
      </c>
      <c r="O114" s="73">
        <f>IFERROR(_xlfn.XLOOKUP(_xlfn.XLOOKUP(tblSectorAssessmentSummary10[[#This Row],[ActionID]],$B$616:$B$668,$G$616:$G$668,""),tblEffectivenessParameters8[Parameter],tblEffectivenessParameters8[Default value],""),"")</f>
        <v>0</v>
      </c>
    </row>
    <row r="115" spans="2:15">
      <c r="B115" t="s">
        <v>535</v>
      </c>
      <c r="C115" t="s">
        <v>536</v>
      </c>
      <c r="D115" s="73">
        <f>IFERROR(_xlfn.XLOOKUP(_xlfn.XLOOKUP(tblSectorAssessmentSummary10[[#This Row],[ActionID]],$B$161:$B$213,$E$161:$E$213,""),tblEffectivenessParameters8[Parameter],tblEffectivenessParameters8[Default value],""),"")</f>
        <v>0</v>
      </c>
      <c r="E115" s="73">
        <f>IFERROR(_xlfn.XLOOKUP(_xlfn.XLOOKUP(tblSectorAssessmentSummary10[[#This Row],[ActionID]],$B$161:$B$213,$G$161:$G$213,""),tblEffectivenessParameters8[Parameter],tblEffectivenessParameters8[Default value],""),"")</f>
        <v>0</v>
      </c>
      <c r="F115" s="73">
        <f>IFERROR(_xlfn.XLOOKUP(_xlfn.XLOOKUP(tblSectorAssessmentSummary10[[#This Row],[ActionID]],$B$252:$B$304,$E$252:$E$304,""),tblEffectivenessParameters8[Parameter],tblEffectivenessParameters8[Default value],""),"")</f>
        <v>-1</v>
      </c>
      <c r="G115" s="73">
        <f>IFERROR(_xlfn.XLOOKUP(_xlfn.XLOOKUP(tblSectorAssessmentSummary10[[#This Row],[ActionID]],$B$252:$B$304,$G$252:$G$304,""),tblEffectivenessParameters8[Parameter],tblEffectivenessParameters8[Default value],""),"")</f>
        <v>0</v>
      </c>
      <c r="H115" s="73">
        <f>IFERROR(_xlfn.XLOOKUP(_xlfn.XLOOKUP(tblSectorAssessmentSummary10[[#This Row],[ActionID]],$B$343:$B$395,$E$343:$E$395,""),tblEffectivenessParameters8[Parameter],tblEffectivenessParameters8[Default value],""),"")</f>
        <v>0</v>
      </c>
      <c r="I115" s="73">
        <f>IFERROR(_xlfn.XLOOKUP(_xlfn.XLOOKUP(tblSectorAssessmentSummary10[[#This Row],[ActionID]],$B$343:$B$395,$G$343:$G$395,""),tblEffectivenessParameters8[Parameter],tblEffectivenessParameters8[Default value],""),"")</f>
        <v>0</v>
      </c>
      <c r="J115" s="73">
        <f>IFERROR(_xlfn.XLOOKUP(_xlfn.XLOOKUP(tblSectorAssessmentSummary10[[#This Row],[ActionID]],$B$434:$B$486,$E$434:$E$486,""),tblEffectivenessParameters8[Parameter],tblEffectivenessParameters8[Default value],""),"")</f>
        <v>0</v>
      </c>
      <c r="K115" s="73">
        <f>IFERROR(_xlfn.XLOOKUP(_xlfn.XLOOKUP(tblSectorAssessmentSummary10[[#This Row],[ActionID]],$B$434:$B$486,$G$434:$G$486,""),tblEffectivenessParameters8[Parameter],tblEffectivenessParameters8[Default value],""),"")</f>
        <v>0</v>
      </c>
      <c r="L115" s="73">
        <f>IFERROR(_xlfn.XLOOKUP(_xlfn.XLOOKUP(tblSectorAssessmentSummary10[[#This Row],[ActionID]],$B$525:$B$577,$E$525:$E$577,""),tblEffectivenessParameters8[Parameter],tblEffectivenessParameters8[Default value],""),"")</f>
        <v>0</v>
      </c>
      <c r="M115" s="73">
        <f>IFERROR(_xlfn.XLOOKUP(_xlfn.XLOOKUP(tblSectorAssessmentSummary10[[#This Row],[ActionID]],$B$525:$B$577,$G$525:$G$577,""),tblEffectivenessParameters8[Parameter],tblEffectivenessParameters8[Default value],""),"")</f>
        <v>0</v>
      </c>
      <c r="N115" s="73">
        <f>IFERROR(_xlfn.XLOOKUP(_xlfn.XLOOKUP(tblSectorAssessmentSummary10[[#This Row],[ActionID]],$B$616:$B$668,$E$616:$E$668,""),tblEffectivenessParameters8[Parameter],tblEffectivenessParameters8[Default value],""),"")</f>
        <v>0</v>
      </c>
      <c r="O115" s="73">
        <f>IFERROR(_xlfn.XLOOKUP(_xlfn.XLOOKUP(tblSectorAssessmentSummary10[[#This Row],[ActionID]],$B$616:$B$668,$G$616:$G$668,""),tblEffectivenessParameters8[Parameter],tblEffectivenessParameters8[Default value],""),"")</f>
        <v>0</v>
      </c>
    </row>
    <row r="116" spans="2:15">
      <c r="B116" t="s">
        <v>539</v>
      </c>
      <c r="C116" t="s">
        <v>540</v>
      </c>
      <c r="D116" s="73">
        <f>IFERROR(_xlfn.XLOOKUP(_xlfn.XLOOKUP(tblSectorAssessmentSummary10[[#This Row],[ActionID]],$B$161:$B$213,$E$161:$E$213,""),tblEffectivenessParameters8[Parameter],tblEffectivenessParameters8[Default value],""),"")</f>
        <v>0</v>
      </c>
      <c r="E116" s="73">
        <f>IFERROR(_xlfn.XLOOKUP(_xlfn.XLOOKUP(tblSectorAssessmentSummary10[[#This Row],[ActionID]],$B$161:$B$213,$G$161:$G$213,""),tblEffectivenessParameters8[Parameter],tblEffectivenessParameters8[Default value],""),"")</f>
        <v>0</v>
      </c>
      <c r="F116" s="73">
        <f>IFERROR(_xlfn.XLOOKUP(_xlfn.XLOOKUP(tblSectorAssessmentSummary10[[#This Row],[ActionID]],$B$252:$B$304,$E$252:$E$304,""),tblEffectivenessParameters8[Parameter],tblEffectivenessParameters8[Default value],""),"")</f>
        <v>-1</v>
      </c>
      <c r="G116" s="73">
        <f>IFERROR(_xlfn.XLOOKUP(_xlfn.XLOOKUP(tblSectorAssessmentSummary10[[#This Row],[ActionID]],$B$252:$B$304,$G$252:$G$304,""),tblEffectivenessParameters8[Parameter],tblEffectivenessParameters8[Default value],""),"")</f>
        <v>0</v>
      </c>
      <c r="H116" s="73">
        <f>IFERROR(_xlfn.XLOOKUP(_xlfn.XLOOKUP(tblSectorAssessmentSummary10[[#This Row],[ActionID]],$B$343:$B$395,$E$343:$E$395,""),tblEffectivenessParameters8[Parameter],tblEffectivenessParameters8[Default value],""),"")</f>
        <v>0</v>
      </c>
      <c r="I116" s="73">
        <f>IFERROR(_xlfn.XLOOKUP(_xlfn.XLOOKUP(tblSectorAssessmentSummary10[[#This Row],[ActionID]],$B$343:$B$395,$G$343:$G$395,""),tblEffectivenessParameters8[Parameter],tblEffectivenessParameters8[Default value],""),"")</f>
        <v>0</v>
      </c>
      <c r="J116" s="73">
        <f>IFERROR(_xlfn.XLOOKUP(_xlfn.XLOOKUP(tblSectorAssessmentSummary10[[#This Row],[ActionID]],$B$434:$B$486,$E$434:$E$486,""),tblEffectivenessParameters8[Parameter],tblEffectivenessParameters8[Default value],""),"")</f>
        <v>0</v>
      </c>
      <c r="K116" s="73">
        <f>IFERROR(_xlfn.XLOOKUP(_xlfn.XLOOKUP(tblSectorAssessmentSummary10[[#This Row],[ActionID]],$B$434:$B$486,$G$434:$G$486,""),tblEffectivenessParameters8[Parameter],tblEffectivenessParameters8[Default value],""),"")</f>
        <v>0</v>
      </c>
      <c r="L116" s="73">
        <f>IFERROR(_xlfn.XLOOKUP(_xlfn.XLOOKUP(tblSectorAssessmentSummary10[[#This Row],[ActionID]],$B$525:$B$577,$E$525:$E$577,""),tblEffectivenessParameters8[Parameter],tblEffectivenessParameters8[Default value],""),"")</f>
        <v>0</v>
      </c>
      <c r="M116" s="73">
        <f>IFERROR(_xlfn.XLOOKUP(_xlfn.XLOOKUP(tblSectorAssessmentSummary10[[#This Row],[ActionID]],$B$525:$B$577,$G$525:$G$577,""),tblEffectivenessParameters8[Parameter],tblEffectivenessParameters8[Default value],""),"")</f>
        <v>0</v>
      </c>
      <c r="N116" s="73">
        <f>IFERROR(_xlfn.XLOOKUP(_xlfn.XLOOKUP(tblSectorAssessmentSummary10[[#This Row],[ActionID]],$B$616:$B$668,$E$616:$E$668,""),tblEffectivenessParameters8[Parameter],tblEffectivenessParameters8[Default value],""),"")</f>
        <v>0</v>
      </c>
      <c r="O116" s="73">
        <f>IFERROR(_xlfn.XLOOKUP(_xlfn.XLOOKUP(tblSectorAssessmentSummary10[[#This Row],[ActionID]],$B$616:$B$668,$G$616:$G$668,""),tblEffectivenessParameters8[Parameter],tblEffectivenessParameters8[Default value],""),"")</f>
        <v>0</v>
      </c>
    </row>
    <row r="117" spans="2:15">
      <c r="B117" t="s">
        <v>543</v>
      </c>
      <c r="C117" t="s">
        <v>544</v>
      </c>
      <c r="D117" s="73">
        <f>IFERROR(_xlfn.XLOOKUP(_xlfn.XLOOKUP(tblSectorAssessmentSummary10[[#This Row],[ActionID]],$B$161:$B$213,$E$161:$E$213,""),tblEffectivenessParameters8[Parameter],tblEffectivenessParameters8[Default value],""),"")</f>
        <v>-1</v>
      </c>
      <c r="E117" s="73">
        <f>IFERROR(_xlfn.XLOOKUP(_xlfn.XLOOKUP(tblSectorAssessmentSummary10[[#This Row],[ActionID]],$B$161:$B$213,$G$161:$G$213,""),tblEffectivenessParameters8[Parameter],tblEffectivenessParameters8[Default value],""),"")</f>
        <v>-1</v>
      </c>
      <c r="F117" s="73">
        <f>IFERROR(_xlfn.XLOOKUP(_xlfn.XLOOKUP(tblSectorAssessmentSummary10[[#This Row],[ActionID]],$B$252:$B$304,$E$252:$E$304,""),tblEffectivenessParameters8[Parameter],tblEffectivenessParameters8[Default value],""),"")</f>
        <v>-0.5</v>
      </c>
      <c r="G117" s="73">
        <f>IFERROR(_xlfn.XLOOKUP(_xlfn.XLOOKUP(tblSectorAssessmentSummary10[[#This Row],[ActionID]],$B$252:$B$304,$G$252:$G$304,""),tblEffectivenessParameters8[Parameter],tblEffectivenessParameters8[Default value],""),"")</f>
        <v>0</v>
      </c>
      <c r="H117" s="73">
        <f>IFERROR(_xlfn.XLOOKUP(_xlfn.XLOOKUP(tblSectorAssessmentSummary10[[#This Row],[ActionID]],$B$343:$B$395,$E$343:$E$395,""),tblEffectivenessParameters8[Parameter],tblEffectivenessParameters8[Default value],""),"")</f>
        <v>-0.5</v>
      </c>
      <c r="I117" s="73">
        <f>IFERROR(_xlfn.XLOOKUP(_xlfn.XLOOKUP(tblSectorAssessmentSummary10[[#This Row],[ActionID]],$B$343:$B$395,$G$343:$G$395,""),tblEffectivenessParameters8[Parameter],tblEffectivenessParameters8[Default value],""),"")</f>
        <v>0</v>
      </c>
      <c r="J117" s="73">
        <f>IFERROR(_xlfn.XLOOKUP(_xlfn.XLOOKUP(tblSectorAssessmentSummary10[[#This Row],[ActionID]],$B$434:$B$486,$E$434:$E$486,""),tblEffectivenessParameters8[Parameter],tblEffectivenessParameters8[Default value],""),"")</f>
        <v>0</v>
      </c>
      <c r="K117" s="73">
        <f>IFERROR(_xlfn.XLOOKUP(_xlfn.XLOOKUP(tblSectorAssessmentSummary10[[#This Row],[ActionID]],$B$434:$B$486,$G$434:$G$486,""),tblEffectivenessParameters8[Parameter],tblEffectivenessParameters8[Default value],""),"")</f>
        <v>0</v>
      </c>
      <c r="L117" s="73">
        <f>IFERROR(_xlfn.XLOOKUP(_xlfn.XLOOKUP(tblSectorAssessmentSummary10[[#This Row],[ActionID]],$B$525:$B$577,$E$525:$E$577,""),tblEffectivenessParameters8[Parameter],tblEffectivenessParameters8[Default value],""),"")</f>
        <v>0</v>
      </c>
      <c r="M117" s="73">
        <f>IFERROR(_xlfn.XLOOKUP(_xlfn.XLOOKUP(tblSectorAssessmentSummary10[[#This Row],[ActionID]],$B$525:$B$577,$G$525:$G$577,""),tblEffectivenessParameters8[Parameter],tblEffectivenessParameters8[Default value],""),"")</f>
        <v>0</v>
      </c>
      <c r="N117" s="73">
        <f>IFERROR(_xlfn.XLOOKUP(_xlfn.XLOOKUP(tblSectorAssessmentSummary10[[#This Row],[ActionID]],$B$616:$B$668,$E$616:$E$668,""),tblEffectivenessParameters8[Parameter],tblEffectivenessParameters8[Default value],""),"")</f>
        <v>0</v>
      </c>
      <c r="O117" s="73">
        <f>IFERROR(_xlfn.XLOOKUP(_xlfn.XLOOKUP(tblSectorAssessmentSummary10[[#This Row],[ActionID]],$B$616:$B$668,$G$616:$G$668,""),tblEffectivenessParameters8[Parameter],tblEffectivenessParameters8[Default value],""),"")</f>
        <v>0</v>
      </c>
    </row>
    <row r="118" spans="2:15">
      <c r="B118" t="s">
        <v>547</v>
      </c>
      <c r="C118" t="s">
        <v>548</v>
      </c>
      <c r="D118" s="73">
        <f>IFERROR(_xlfn.XLOOKUP(_xlfn.XLOOKUP(tblSectorAssessmentSummary10[[#This Row],[ActionID]],$B$161:$B$213,$E$161:$E$213,""),tblEffectivenessParameters8[Parameter],tblEffectivenessParameters8[Default value],""),"")</f>
        <v>-1</v>
      </c>
      <c r="E118" s="73">
        <f>IFERROR(_xlfn.XLOOKUP(_xlfn.XLOOKUP(tblSectorAssessmentSummary10[[#This Row],[ActionID]],$B$161:$B$213,$G$161:$G$213,""),tblEffectivenessParameters8[Parameter],tblEffectivenessParameters8[Default value],""),"")</f>
        <v>-1</v>
      </c>
      <c r="F118" s="73">
        <f>IFERROR(_xlfn.XLOOKUP(_xlfn.XLOOKUP(tblSectorAssessmentSummary10[[#This Row],[ActionID]],$B$252:$B$304,$E$252:$E$304,""),tblEffectivenessParameters8[Parameter],tblEffectivenessParameters8[Default value],""),"")</f>
        <v>-1</v>
      </c>
      <c r="G118" s="73">
        <f>IFERROR(_xlfn.XLOOKUP(_xlfn.XLOOKUP(tblSectorAssessmentSummary10[[#This Row],[ActionID]],$B$252:$B$304,$G$252:$G$304,""),tblEffectivenessParameters8[Parameter],tblEffectivenessParameters8[Default value],""),"")</f>
        <v>0</v>
      </c>
      <c r="H118" s="73">
        <f>IFERROR(_xlfn.XLOOKUP(_xlfn.XLOOKUP(tblSectorAssessmentSummary10[[#This Row],[ActionID]],$B$343:$B$395,$E$343:$E$395,""),tblEffectivenessParameters8[Parameter],tblEffectivenessParameters8[Default value],""),"")</f>
        <v>0</v>
      </c>
      <c r="I118" s="73">
        <f>IFERROR(_xlfn.XLOOKUP(_xlfn.XLOOKUP(tblSectorAssessmentSummary10[[#This Row],[ActionID]],$B$343:$B$395,$G$343:$G$395,""),tblEffectivenessParameters8[Parameter],tblEffectivenessParameters8[Default value],""),"")</f>
        <v>0</v>
      </c>
      <c r="J118" s="73">
        <f>IFERROR(_xlfn.XLOOKUP(_xlfn.XLOOKUP(tblSectorAssessmentSummary10[[#This Row],[ActionID]],$B$434:$B$486,$E$434:$E$486,""),tblEffectivenessParameters8[Parameter],tblEffectivenessParameters8[Default value],""),"")</f>
        <v>0</v>
      </c>
      <c r="K118" s="73">
        <f>IFERROR(_xlfn.XLOOKUP(_xlfn.XLOOKUP(tblSectorAssessmentSummary10[[#This Row],[ActionID]],$B$434:$B$486,$G$434:$G$486,""),tblEffectivenessParameters8[Parameter],tblEffectivenessParameters8[Default value],""),"")</f>
        <v>0</v>
      </c>
      <c r="L118" s="73">
        <f>IFERROR(_xlfn.XLOOKUP(_xlfn.XLOOKUP(tblSectorAssessmentSummary10[[#This Row],[ActionID]],$B$525:$B$577,$E$525:$E$577,""),tblEffectivenessParameters8[Parameter],tblEffectivenessParameters8[Default value],""),"")</f>
        <v>0</v>
      </c>
      <c r="M118" s="73">
        <f>IFERROR(_xlfn.XLOOKUP(_xlfn.XLOOKUP(tblSectorAssessmentSummary10[[#This Row],[ActionID]],$B$525:$B$577,$G$525:$G$577,""),tblEffectivenessParameters8[Parameter],tblEffectivenessParameters8[Default value],""),"")</f>
        <v>0</v>
      </c>
      <c r="N118" s="73">
        <f>IFERROR(_xlfn.XLOOKUP(_xlfn.XLOOKUP(tblSectorAssessmentSummary10[[#This Row],[ActionID]],$B$616:$B$668,$E$616:$E$668,""),tblEffectivenessParameters8[Parameter],tblEffectivenessParameters8[Default value],""),"")</f>
        <v>0</v>
      </c>
      <c r="O118" s="73">
        <f>IFERROR(_xlfn.XLOOKUP(_xlfn.XLOOKUP(tblSectorAssessmentSummary10[[#This Row],[ActionID]],$B$616:$B$668,$G$616:$G$668,""),tblEffectivenessParameters8[Parameter],tblEffectivenessParameters8[Default value],""),"")</f>
        <v>0</v>
      </c>
    </row>
    <row r="119" spans="2:15">
      <c r="B119" t="s">
        <v>552</v>
      </c>
      <c r="C119" t="s">
        <v>553</v>
      </c>
      <c r="D119" s="73">
        <f>IFERROR(_xlfn.XLOOKUP(_xlfn.XLOOKUP(tblSectorAssessmentSummary10[[#This Row],[ActionID]],$B$161:$B$213,$E$161:$E$213,""),tblEffectivenessParameters8[Parameter],tblEffectivenessParameters8[Default value],""),"")</f>
        <v>-1</v>
      </c>
      <c r="E119" s="73">
        <f>IFERROR(_xlfn.XLOOKUP(_xlfn.XLOOKUP(tblSectorAssessmentSummary10[[#This Row],[ActionID]],$B$161:$B$213,$G$161:$G$213,""),tblEffectivenessParameters8[Parameter],tblEffectivenessParameters8[Default value],""),"")</f>
        <v>-1</v>
      </c>
      <c r="F119" s="73">
        <f>IFERROR(_xlfn.XLOOKUP(_xlfn.XLOOKUP(tblSectorAssessmentSummary10[[#This Row],[ActionID]],$B$252:$B$304,$E$252:$E$304,""),tblEffectivenessParameters8[Parameter],tblEffectivenessParameters8[Default value],""),"")</f>
        <v>0</v>
      </c>
      <c r="G119" s="73">
        <f>IFERROR(_xlfn.XLOOKUP(_xlfn.XLOOKUP(tblSectorAssessmentSummary10[[#This Row],[ActionID]],$B$252:$B$304,$G$252:$G$304,""),tblEffectivenessParameters8[Parameter],tblEffectivenessParameters8[Default value],""),"")</f>
        <v>0</v>
      </c>
      <c r="H119" s="73">
        <f>IFERROR(_xlfn.XLOOKUP(_xlfn.XLOOKUP(tblSectorAssessmentSummary10[[#This Row],[ActionID]],$B$343:$B$395,$E$343:$E$395,""),tblEffectivenessParameters8[Parameter],tblEffectivenessParameters8[Default value],""),"")</f>
        <v>0</v>
      </c>
      <c r="I119" s="73">
        <f>IFERROR(_xlfn.XLOOKUP(_xlfn.XLOOKUP(tblSectorAssessmentSummary10[[#This Row],[ActionID]],$B$343:$B$395,$G$343:$G$395,""),tblEffectivenessParameters8[Parameter],tblEffectivenessParameters8[Default value],""),"")</f>
        <v>0</v>
      </c>
      <c r="J119" s="73">
        <f>IFERROR(_xlfn.XLOOKUP(_xlfn.XLOOKUP(tblSectorAssessmentSummary10[[#This Row],[ActionID]],$B$434:$B$486,$E$434:$E$486,""),tblEffectivenessParameters8[Parameter],tblEffectivenessParameters8[Default value],""),"")</f>
        <v>0</v>
      </c>
      <c r="K119" s="73">
        <f>IFERROR(_xlfn.XLOOKUP(_xlfn.XLOOKUP(tblSectorAssessmentSummary10[[#This Row],[ActionID]],$B$434:$B$486,$G$434:$G$486,""),tblEffectivenessParameters8[Parameter],tblEffectivenessParameters8[Default value],""),"")</f>
        <v>0</v>
      </c>
      <c r="L119" s="73">
        <f>IFERROR(_xlfn.XLOOKUP(_xlfn.XLOOKUP(tblSectorAssessmentSummary10[[#This Row],[ActionID]],$B$525:$B$577,$E$525:$E$577,""),tblEffectivenessParameters8[Parameter],tblEffectivenessParameters8[Default value],""),"")</f>
        <v>0</v>
      </c>
      <c r="M119" s="73">
        <f>IFERROR(_xlfn.XLOOKUP(_xlfn.XLOOKUP(tblSectorAssessmentSummary10[[#This Row],[ActionID]],$B$525:$B$577,$G$525:$G$577,""),tblEffectivenessParameters8[Parameter],tblEffectivenessParameters8[Default value],""),"")</f>
        <v>0</v>
      </c>
      <c r="N119" s="73">
        <f>IFERROR(_xlfn.XLOOKUP(_xlfn.XLOOKUP(tblSectorAssessmentSummary10[[#This Row],[ActionID]],$B$616:$B$668,$E$616:$E$668,""),tblEffectivenessParameters8[Parameter],tblEffectivenessParameters8[Default value],""),"")</f>
        <v>0</v>
      </c>
      <c r="O119" s="73">
        <f>IFERROR(_xlfn.XLOOKUP(_xlfn.XLOOKUP(tblSectorAssessmentSummary10[[#This Row],[ActionID]],$B$616:$B$668,$G$616:$G$668,""),tblEffectivenessParameters8[Parameter],tblEffectivenessParameters8[Default value],""),"")</f>
        <v>0</v>
      </c>
    </row>
    <row r="120" spans="2:15">
      <c r="B120" t="s">
        <v>556</v>
      </c>
      <c r="C120" t="s">
        <v>557</v>
      </c>
      <c r="D120" s="73">
        <f>IFERROR(_xlfn.XLOOKUP(_xlfn.XLOOKUP(tblSectorAssessmentSummary10[[#This Row],[ActionID]],$B$161:$B$213,$E$161:$E$213,""),tblEffectivenessParameters8[Parameter],tblEffectivenessParameters8[Default value],""),"")</f>
        <v>0</v>
      </c>
      <c r="E120" s="73">
        <f>IFERROR(_xlfn.XLOOKUP(_xlfn.XLOOKUP(tblSectorAssessmentSummary10[[#This Row],[ActionID]],$B$161:$B$213,$G$161:$G$213,""),tblEffectivenessParameters8[Parameter],tblEffectivenessParameters8[Default value],""),"")</f>
        <v>0</v>
      </c>
      <c r="F120" s="73">
        <f>IFERROR(_xlfn.XLOOKUP(_xlfn.XLOOKUP(tblSectorAssessmentSummary10[[#This Row],[ActionID]],$B$252:$B$304,$E$252:$E$304,""),tblEffectivenessParameters8[Parameter],tblEffectivenessParameters8[Default value],""),"")</f>
        <v>0</v>
      </c>
      <c r="G120" s="73">
        <f>IFERROR(_xlfn.XLOOKUP(_xlfn.XLOOKUP(tblSectorAssessmentSummary10[[#This Row],[ActionID]],$B$252:$B$304,$G$252:$G$304,""),tblEffectivenessParameters8[Parameter],tblEffectivenessParameters8[Default value],""),"")</f>
        <v>0</v>
      </c>
      <c r="H120" s="73">
        <f>IFERROR(_xlfn.XLOOKUP(_xlfn.XLOOKUP(tblSectorAssessmentSummary10[[#This Row],[ActionID]],$B$343:$B$395,$E$343:$E$395,""),tblEffectivenessParameters8[Parameter],tblEffectivenessParameters8[Default value],""),"")</f>
        <v>0</v>
      </c>
      <c r="I120" s="73">
        <f>IFERROR(_xlfn.XLOOKUP(_xlfn.XLOOKUP(tblSectorAssessmentSummary10[[#This Row],[ActionID]],$B$343:$B$395,$G$343:$G$395,""),tblEffectivenessParameters8[Parameter],tblEffectivenessParameters8[Default value],""),"")</f>
        <v>0</v>
      </c>
      <c r="J120" s="73">
        <f>IFERROR(_xlfn.XLOOKUP(_xlfn.XLOOKUP(tblSectorAssessmentSummary10[[#This Row],[ActionID]],$B$434:$B$486,$E$434:$E$486,""),tblEffectivenessParameters8[Parameter],tblEffectivenessParameters8[Default value],""),"")</f>
        <v>0</v>
      </c>
      <c r="K120" s="73">
        <f>IFERROR(_xlfn.XLOOKUP(_xlfn.XLOOKUP(tblSectorAssessmentSummary10[[#This Row],[ActionID]],$B$434:$B$486,$G$434:$G$486,""),tblEffectivenessParameters8[Parameter],tblEffectivenessParameters8[Default value],""),"")</f>
        <v>0</v>
      </c>
      <c r="L120" s="73">
        <f>IFERROR(_xlfn.XLOOKUP(_xlfn.XLOOKUP(tblSectorAssessmentSummary10[[#This Row],[ActionID]],$B$525:$B$577,$E$525:$E$577,""),tblEffectivenessParameters8[Parameter],tblEffectivenessParameters8[Default value],""),"")</f>
        <v>0</v>
      </c>
      <c r="M120" s="73">
        <f>IFERROR(_xlfn.XLOOKUP(_xlfn.XLOOKUP(tblSectorAssessmentSummary10[[#This Row],[ActionID]],$B$525:$B$577,$G$525:$G$577,""),tblEffectivenessParameters8[Parameter],tblEffectivenessParameters8[Default value],""),"")</f>
        <v>0</v>
      </c>
      <c r="N120" s="73">
        <f>IFERROR(_xlfn.XLOOKUP(_xlfn.XLOOKUP(tblSectorAssessmentSummary10[[#This Row],[ActionID]],$B$616:$B$668,$E$616:$E$668,""),tblEffectivenessParameters8[Parameter],tblEffectivenessParameters8[Default value],""),"")</f>
        <v>0</v>
      </c>
      <c r="O120" s="73">
        <f>IFERROR(_xlfn.XLOOKUP(_xlfn.XLOOKUP(tblSectorAssessmentSummary10[[#This Row],[ActionID]],$B$616:$B$668,$G$616:$G$668,""),tblEffectivenessParameters8[Parameter],tblEffectivenessParameters8[Default value],""),"")</f>
        <v>0</v>
      </c>
    </row>
    <row r="121" spans="2:15">
      <c r="B121" t="s">
        <v>561</v>
      </c>
      <c r="C121" t="s">
        <v>562</v>
      </c>
      <c r="D121" s="73">
        <f>IFERROR(_xlfn.XLOOKUP(_xlfn.XLOOKUP(tblSectorAssessmentSummary10[[#This Row],[ActionID]],$B$161:$B$213,$E$161:$E$213,""),tblEffectivenessParameters8[Parameter],tblEffectivenessParameters8[Default value],""),"")</f>
        <v>0</v>
      </c>
      <c r="E121" s="73">
        <f>IFERROR(_xlfn.XLOOKUP(_xlfn.XLOOKUP(tblSectorAssessmentSummary10[[#This Row],[ActionID]],$B$161:$B$213,$G$161:$G$213,""),tblEffectivenessParameters8[Parameter],tblEffectivenessParameters8[Default value],""),"")</f>
        <v>0</v>
      </c>
      <c r="F121" s="73">
        <f>IFERROR(_xlfn.XLOOKUP(_xlfn.XLOOKUP(tblSectorAssessmentSummary10[[#This Row],[ActionID]],$B$252:$B$304,$E$252:$E$304,""),tblEffectivenessParameters8[Parameter],tblEffectivenessParameters8[Default value],""),"")</f>
        <v>0</v>
      </c>
      <c r="G121" s="73">
        <f>IFERROR(_xlfn.XLOOKUP(_xlfn.XLOOKUP(tblSectorAssessmentSummary10[[#This Row],[ActionID]],$B$252:$B$304,$G$252:$G$304,""),tblEffectivenessParameters8[Parameter],tblEffectivenessParameters8[Default value],""),"")</f>
        <v>0</v>
      </c>
      <c r="H121" s="73">
        <f>IFERROR(_xlfn.XLOOKUP(_xlfn.XLOOKUP(tblSectorAssessmentSummary10[[#This Row],[ActionID]],$B$343:$B$395,$E$343:$E$395,""),tblEffectivenessParameters8[Parameter],tblEffectivenessParameters8[Default value],""),"")</f>
        <v>0</v>
      </c>
      <c r="I121" s="73">
        <f>IFERROR(_xlfn.XLOOKUP(_xlfn.XLOOKUP(tblSectorAssessmentSummary10[[#This Row],[ActionID]],$B$343:$B$395,$G$343:$G$395,""),tblEffectivenessParameters8[Parameter],tblEffectivenessParameters8[Default value],""),"")</f>
        <v>0</v>
      </c>
      <c r="J121" s="73">
        <f>IFERROR(_xlfn.XLOOKUP(_xlfn.XLOOKUP(tblSectorAssessmentSummary10[[#This Row],[ActionID]],$B$434:$B$486,$E$434:$E$486,""),tblEffectivenessParameters8[Parameter],tblEffectivenessParameters8[Default value],""),"")</f>
        <v>0</v>
      </c>
      <c r="K121" s="73">
        <f>IFERROR(_xlfn.XLOOKUP(_xlfn.XLOOKUP(tblSectorAssessmentSummary10[[#This Row],[ActionID]],$B$434:$B$486,$G$434:$G$486,""),tblEffectivenessParameters8[Parameter],tblEffectivenessParameters8[Default value],""),"")</f>
        <v>0</v>
      </c>
      <c r="L121" s="73">
        <f>IFERROR(_xlfn.XLOOKUP(_xlfn.XLOOKUP(tblSectorAssessmentSummary10[[#This Row],[ActionID]],$B$525:$B$577,$E$525:$E$577,""),tblEffectivenessParameters8[Parameter],tblEffectivenessParameters8[Default value],""),"")</f>
        <v>0</v>
      </c>
      <c r="M121" s="73">
        <f>IFERROR(_xlfn.XLOOKUP(_xlfn.XLOOKUP(tblSectorAssessmentSummary10[[#This Row],[ActionID]],$B$525:$B$577,$G$525:$G$577,""),tblEffectivenessParameters8[Parameter],tblEffectivenessParameters8[Default value],""),"")</f>
        <v>0</v>
      </c>
      <c r="N121" s="73">
        <f>IFERROR(_xlfn.XLOOKUP(_xlfn.XLOOKUP(tblSectorAssessmentSummary10[[#This Row],[ActionID]],$B$616:$B$668,$E$616:$E$668,""),tblEffectivenessParameters8[Parameter],tblEffectivenessParameters8[Default value],""),"")</f>
        <v>0</v>
      </c>
      <c r="O121" s="73">
        <f>IFERROR(_xlfn.XLOOKUP(_xlfn.XLOOKUP(tblSectorAssessmentSummary10[[#This Row],[ActionID]],$B$616:$B$668,$G$616:$G$668,""),tblEffectivenessParameters8[Parameter],tblEffectivenessParameters8[Default value],""),"")</f>
        <v>0</v>
      </c>
    </row>
    <row r="122" spans="2:15">
      <c r="B122" t="s">
        <v>564</v>
      </c>
      <c r="C122" t="s">
        <v>565</v>
      </c>
      <c r="D122" s="73">
        <f>IFERROR(_xlfn.XLOOKUP(_xlfn.XLOOKUP(tblSectorAssessmentSummary10[[#This Row],[ActionID]],$B$161:$B$213,$E$161:$E$213,""),tblEffectivenessParameters8[Parameter],tblEffectivenessParameters8[Default value],""),"")</f>
        <v>0</v>
      </c>
      <c r="E122" s="73">
        <f>IFERROR(_xlfn.XLOOKUP(_xlfn.XLOOKUP(tblSectorAssessmentSummary10[[#This Row],[ActionID]],$B$161:$B$213,$G$161:$G$213,""),tblEffectivenessParameters8[Parameter],tblEffectivenessParameters8[Default value],""),"")</f>
        <v>0</v>
      </c>
      <c r="F122" s="73">
        <f>IFERROR(_xlfn.XLOOKUP(_xlfn.XLOOKUP(tblSectorAssessmentSummary10[[#This Row],[ActionID]],$B$252:$B$304,$E$252:$E$304,""),tblEffectivenessParameters8[Parameter],tblEffectivenessParameters8[Default value],""),"")</f>
        <v>0</v>
      </c>
      <c r="G122" s="73">
        <f>IFERROR(_xlfn.XLOOKUP(_xlfn.XLOOKUP(tblSectorAssessmentSummary10[[#This Row],[ActionID]],$B$252:$B$304,$G$252:$G$304,""),tblEffectivenessParameters8[Parameter],tblEffectivenessParameters8[Default value],""),"")</f>
        <v>0</v>
      </c>
      <c r="H122" s="73">
        <f>IFERROR(_xlfn.XLOOKUP(_xlfn.XLOOKUP(tblSectorAssessmentSummary10[[#This Row],[ActionID]],$B$343:$B$395,$E$343:$E$395,""),tblEffectivenessParameters8[Parameter],tblEffectivenessParameters8[Default value],""),"")</f>
        <v>0</v>
      </c>
      <c r="I122" s="73">
        <f>IFERROR(_xlfn.XLOOKUP(_xlfn.XLOOKUP(tblSectorAssessmentSummary10[[#This Row],[ActionID]],$B$343:$B$395,$G$343:$G$395,""),tblEffectivenessParameters8[Parameter],tblEffectivenessParameters8[Default value],""),"")</f>
        <v>0</v>
      </c>
      <c r="J122" s="73">
        <f>IFERROR(_xlfn.XLOOKUP(_xlfn.XLOOKUP(tblSectorAssessmentSummary10[[#This Row],[ActionID]],$B$434:$B$486,$E$434:$E$486,""),tblEffectivenessParameters8[Parameter],tblEffectivenessParameters8[Default value],""),"")</f>
        <v>0</v>
      </c>
      <c r="K122" s="73">
        <f>IFERROR(_xlfn.XLOOKUP(_xlfn.XLOOKUP(tblSectorAssessmentSummary10[[#This Row],[ActionID]],$B$434:$B$486,$G$434:$G$486,""),tblEffectivenessParameters8[Parameter],tblEffectivenessParameters8[Default value],""),"")</f>
        <v>-1</v>
      </c>
      <c r="L122" s="73">
        <f>IFERROR(_xlfn.XLOOKUP(_xlfn.XLOOKUP(tblSectorAssessmentSummary10[[#This Row],[ActionID]],$B$525:$B$577,$E$525:$E$577,""),tblEffectivenessParameters8[Parameter],tblEffectivenessParameters8[Default value],""),"")</f>
        <v>-1</v>
      </c>
      <c r="M122" s="73">
        <f>IFERROR(_xlfn.XLOOKUP(_xlfn.XLOOKUP(tblSectorAssessmentSummary10[[#This Row],[ActionID]],$B$525:$B$577,$G$525:$G$577,""),tblEffectivenessParameters8[Parameter],tblEffectivenessParameters8[Default value],""),"")</f>
        <v>-1</v>
      </c>
      <c r="N122" s="73">
        <f>IFERROR(_xlfn.XLOOKUP(_xlfn.XLOOKUP(tblSectorAssessmentSummary10[[#This Row],[ActionID]],$B$616:$B$668,$E$616:$E$668,""),tblEffectivenessParameters8[Parameter],tblEffectivenessParameters8[Default value],""),"")</f>
        <v>0</v>
      </c>
      <c r="O122" s="73">
        <f>IFERROR(_xlfn.XLOOKUP(_xlfn.XLOOKUP(tblSectorAssessmentSummary10[[#This Row],[ActionID]],$B$616:$B$668,$G$616:$G$668,""),tblEffectivenessParameters8[Parameter],tblEffectivenessParameters8[Default value],""),"")</f>
        <v>0</v>
      </c>
    </row>
    <row r="125" spans="2:15" ht="21">
      <c r="B125" s="138" t="s">
        <v>1266</v>
      </c>
      <c r="C125" s="138"/>
      <c r="D125" s="138"/>
      <c r="E125" s="138"/>
      <c r="F125" s="138"/>
      <c r="G125" s="138"/>
      <c r="H125" s="138"/>
      <c r="I125" s="138"/>
      <c r="J125" s="138"/>
      <c r="K125" s="138"/>
      <c r="L125" s="138"/>
      <c r="M125" s="138"/>
      <c r="N125" s="138"/>
      <c r="O125" s="138"/>
    </row>
    <row r="127" spans="2:15">
      <c r="B127" s="139" t="s">
        <v>1267</v>
      </c>
      <c r="C127" s="139"/>
      <c r="D127" s="139"/>
      <c r="E127" s="139"/>
      <c r="F127" s="139"/>
      <c r="G127" s="139"/>
      <c r="H127" s="139"/>
      <c r="I127" s="139"/>
      <c r="J127" s="139"/>
      <c r="K127" s="139"/>
      <c r="L127" s="139"/>
      <c r="M127" s="139"/>
      <c r="N127" s="139"/>
      <c r="O127" s="139"/>
    </row>
    <row r="128" spans="2:15" ht="63" customHeight="1">
      <c r="B128" s="134" t="str" cm="1">
        <f t="array" ref="B128">_xlfn.TEXTJOIN(", ",TRUE,_xlfn.UNIQUE(_xlfn._xlws.FILTER(Table2[base_indicator_name],(Table2[sector_name]="Water resources")*(Table2[risk_component_name]="Vulnerability"))))</f>
        <v>Inefficiency in water production, Inefficiency in water distribution, Average per capita water consumption, Water balance for agriculture, Water balance for industry, Diseases due to inadequate sanitation, Water quality, Degraded and/or deforested areas, Areas with soils susceptible to erosion, Ecological flow for ecosystem uses, Dam and mining safety, Municipal basic sanitation plan, Level of activity in basin committees, Drought-related prevention actions, Alternatives to water supply, Investments in water resources, Investments in adaptation policies, Resilient cities program, Cisterns program: water for consumption, Nature reserve, Artificial reserve, Underground storage potential, Agricultural participation in GDP, Industrial participation in GDP, Income not affected by water prices, Income greater than two minimum wages</v>
      </c>
      <c r="C128" s="134"/>
      <c r="D128" s="134"/>
      <c r="E128" s="134"/>
      <c r="F128" s="134"/>
      <c r="G128" s="134"/>
      <c r="H128" s="134"/>
      <c r="I128" s="134"/>
      <c r="J128" s="134"/>
      <c r="K128" s="134"/>
      <c r="L128" s="134"/>
      <c r="M128" s="134"/>
      <c r="N128" s="134"/>
      <c r="O128" s="134"/>
    </row>
    <row r="130" spans="1:15">
      <c r="B130" s="135" t="s">
        <v>1268</v>
      </c>
      <c r="C130" s="135"/>
      <c r="D130" s="135"/>
      <c r="E130" s="135"/>
      <c r="F130" s="135"/>
      <c r="G130" s="135"/>
      <c r="H130" s="135"/>
      <c r="I130" s="135"/>
      <c r="J130" s="135"/>
      <c r="K130" s="135"/>
      <c r="L130" s="135"/>
      <c r="M130" s="135"/>
      <c r="N130" s="135"/>
      <c r="O130" s="135"/>
    </row>
    <row r="131" spans="1:15" ht="25.8" customHeight="1">
      <c r="B131" s="136" t="str" cm="1">
        <f t="array" ref="B131">_xlfn.TEXTJOIN(", ",TRUE,_xlfn.UNIQUE(_xlfn._xlws.FILTER(Table2[base_indicator_name],(Table2[sector_name]="Water resources")*(Table2[risk_component_name]="Exposure"))))</f>
        <v>Population density, Urban users exposed, Exposed rural users, Exposed industrial users, Mining Users Exposed, Thermoelectricity users exposed, Animal husbandry users exposed, Irrigation users exposed</v>
      </c>
      <c r="C131" s="136"/>
      <c r="D131" s="136"/>
      <c r="E131" s="136"/>
      <c r="F131" s="136"/>
      <c r="G131" s="136"/>
      <c r="H131" s="136"/>
      <c r="I131" s="136"/>
      <c r="J131" s="136"/>
      <c r="K131" s="136"/>
      <c r="L131" s="136"/>
      <c r="M131" s="136"/>
      <c r="N131" s="136"/>
      <c r="O131" s="136"/>
    </row>
    <row r="133" spans="1:15" ht="22.05" customHeight="1">
      <c r="B133" s="137" t="s">
        <v>1278</v>
      </c>
      <c r="C133" s="144"/>
      <c r="D133" s="144"/>
      <c r="E133" s="144"/>
      <c r="F133" s="144"/>
      <c r="G133" s="144"/>
      <c r="H133" s="144"/>
      <c r="I133" s="144"/>
      <c r="J133" s="144"/>
      <c r="K133" s="144"/>
      <c r="L133" s="144"/>
      <c r="M133" s="144"/>
      <c r="N133" s="144"/>
      <c r="O133" s="144"/>
    </row>
    <row r="134" spans="1:15">
      <c r="B134" s="125" t="s">
        <v>1294</v>
      </c>
      <c r="C134" s="125"/>
      <c r="D134" s="125"/>
      <c r="E134" s="125"/>
      <c r="F134" s="125"/>
      <c r="G134" s="125"/>
      <c r="H134" s="125"/>
      <c r="I134" s="125"/>
      <c r="J134" s="125"/>
      <c r="K134" s="125"/>
      <c r="L134" s="125"/>
      <c r="M134" s="125"/>
      <c r="N134" s="125"/>
      <c r="O134" s="125"/>
    </row>
    <row r="135" spans="1:15">
      <c r="B135" s="56"/>
      <c r="C135" s="56"/>
      <c r="D135" s="56"/>
      <c r="E135" s="56"/>
      <c r="F135" s="56"/>
      <c r="G135" s="56"/>
      <c r="H135" s="56"/>
      <c r="I135" s="56"/>
      <c r="J135" s="56"/>
      <c r="K135" s="56"/>
      <c r="L135" s="56"/>
      <c r="M135" s="56"/>
      <c r="N135" s="56"/>
      <c r="O135" s="56"/>
    </row>
    <row r="136" spans="1:15" ht="22.05" customHeight="1">
      <c r="B136" s="137" t="s">
        <v>1279</v>
      </c>
      <c r="C136" s="144"/>
      <c r="D136" s="144"/>
      <c r="E136" s="144"/>
      <c r="F136" s="144"/>
      <c r="G136" s="144"/>
      <c r="H136" s="144"/>
      <c r="I136" s="144"/>
      <c r="J136" s="144"/>
      <c r="K136" s="144"/>
      <c r="L136" s="144"/>
      <c r="M136" s="144"/>
      <c r="N136" s="144"/>
      <c r="O136" s="144"/>
    </row>
    <row r="137" spans="1:15" ht="34.799999999999997" customHeight="1">
      <c r="A137" s="71" t="s">
        <v>1296</v>
      </c>
      <c r="B137" s="127" t="s">
        <v>1284</v>
      </c>
      <c r="C137" s="127"/>
      <c r="D137" s="127"/>
      <c r="E137" s="127"/>
      <c r="F137" s="127"/>
      <c r="G137" s="127"/>
      <c r="H137" s="127"/>
      <c r="I137" s="127"/>
      <c r="J137" s="127"/>
      <c r="K137" s="127"/>
      <c r="L137" s="127"/>
      <c r="M137" s="127"/>
      <c r="N137" s="127"/>
      <c r="O137" s="127"/>
    </row>
    <row r="138" spans="1:15" ht="30" customHeight="1">
      <c r="B138" s="67" t="s">
        <v>1154</v>
      </c>
      <c r="C138" s="67"/>
      <c r="D138" s="67" t="s">
        <v>1280</v>
      </c>
      <c r="E138" s="67" t="s">
        <v>1281</v>
      </c>
      <c r="F138" s="67"/>
      <c r="G138" s="67"/>
      <c r="H138" s="145" t="s">
        <v>1282</v>
      </c>
      <c r="I138" s="145"/>
      <c r="J138" s="145"/>
      <c r="K138" s="145"/>
      <c r="L138" s="145"/>
      <c r="M138" s="145"/>
      <c r="N138" s="145"/>
      <c r="O138" s="145"/>
    </row>
    <row r="139" spans="1:15" ht="45">
      <c r="B139" s="63" t="s">
        <v>1309</v>
      </c>
      <c r="C139" s="63"/>
      <c r="D139" s="66">
        <v>2023</v>
      </c>
      <c r="E139" s="65" t="s">
        <v>1310</v>
      </c>
      <c r="F139" s="66"/>
      <c r="G139" s="65"/>
      <c r="H139" s="142" t="s">
        <v>1311</v>
      </c>
      <c r="I139" s="142"/>
      <c r="J139" s="142"/>
      <c r="K139" s="142"/>
      <c r="L139" s="142"/>
      <c r="M139" s="142"/>
      <c r="N139" s="142"/>
      <c r="O139" s="142"/>
    </row>
    <row r="140" spans="1:15" ht="90">
      <c r="B140" s="63" t="s">
        <v>1312</v>
      </c>
      <c r="C140" s="63"/>
      <c r="D140" s="66">
        <v>2025</v>
      </c>
      <c r="E140" s="65" t="s">
        <v>1313</v>
      </c>
      <c r="F140" s="66"/>
      <c r="G140" s="65"/>
      <c r="H140" s="142" t="s">
        <v>1314</v>
      </c>
      <c r="I140" s="142"/>
      <c r="J140" s="142"/>
      <c r="K140" s="142"/>
      <c r="L140" s="142"/>
      <c r="M140" s="142"/>
      <c r="N140" s="142"/>
      <c r="O140" s="142"/>
    </row>
    <row r="141" spans="1:15" ht="75">
      <c r="B141" s="63" t="s">
        <v>1315</v>
      </c>
      <c r="C141" s="63"/>
      <c r="D141" s="66">
        <v>2023</v>
      </c>
      <c r="E141" s="65" t="s">
        <v>1316</v>
      </c>
      <c r="F141" s="66"/>
      <c r="G141" s="65"/>
      <c r="H141" s="142" t="s">
        <v>1317</v>
      </c>
      <c r="I141" s="142"/>
      <c r="J141" s="142"/>
      <c r="K141" s="142"/>
      <c r="L141" s="142"/>
      <c r="M141" s="142"/>
      <c r="N141" s="142"/>
      <c r="O141" s="142"/>
    </row>
    <row r="142" spans="1:15" ht="75">
      <c r="B142" s="63" t="s">
        <v>1318</v>
      </c>
      <c r="C142" s="63"/>
      <c r="D142" s="66">
        <v>2021</v>
      </c>
      <c r="E142" s="65" t="s">
        <v>1319</v>
      </c>
      <c r="F142" s="66"/>
      <c r="G142" s="65"/>
      <c r="H142" s="142" t="s">
        <v>1320</v>
      </c>
      <c r="I142" s="142"/>
      <c r="J142" s="142"/>
      <c r="K142" s="142"/>
      <c r="L142" s="142"/>
      <c r="M142" s="142"/>
      <c r="N142" s="142"/>
      <c r="O142" s="142"/>
    </row>
    <row r="143" spans="1:15" ht="22.05" customHeight="1">
      <c r="B143" s="137" t="s">
        <v>1283</v>
      </c>
      <c r="C143" s="144"/>
      <c r="D143" s="144"/>
      <c r="E143" s="144"/>
      <c r="F143" s="144"/>
      <c r="G143" s="144"/>
      <c r="H143" s="144"/>
      <c r="I143" s="144"/>
      <c r="J143" s="144"/>
      <c r="K143" s="144"/>
      <c r="L143" s="144"/>
      <c r="M143" s="144"/>
      <c r="N143" s="144"/>
      <c r="O143" s="144"/>
    </row>
    <row r="144" spans="1:15" ht="32.4" customHeight="1">
      <c r="A144" s="71" t="s">
        <v>1297</v>
      </c>
      <c r="B144" s="127" t="s">
        <v>1285</v>
      </c>
      <c r="C144" s="127"/>
      <c r="D144" s="127"/>
      <c r="E144" s="127"/>
      <c r="F144" s="127"/>
      <c r="G144" s="127"/>
      <c r="H144" s="127"/>
      <c r="I144" s="127"/>
      <c r="J144" s="127"/>
      <c r="K144" s="127"/>
      <c r="L144" s="127"/>
      <c r="M144" s="127"/>
      <c r="N144" s="127"/>
      <c r="O144" s="127"/>
    </row>
    <row r="145" spans="1:15" ht="30" customHeight="1">
      <c r="B145" s="67" t="s">
        <v>1154</v>
      </c>
      <c r="C145" s="67"/>
      <c r="D145" s="67" t="s">
        <v>1280</v>
      </c>
      <c r="E145" s="67" t="s">
        <v>1281</v>
      </c>
      <c r="F145" s="67"/>
      <c r="G145" s="67"/>
      <c r="H145" s="145" t="s">
        <v>1282</v>
      </c>
      <c r="I145" s="145"/>
      <c r="J145" s="145"/>
      <c r="K145" s="145"/>
      <c r="L145" s="145"/>
      <c r="M145" s="145"/>
      <c r="N145" s="145"/>
      <c r="O145" s="145"/>
    </row>
    <row r="146" spans="1:15" ht="60">
      <c r="B146" s="63" t="s">
        <v>1321</v>
      </c>
      <c r="C146" s="63"/>
      <c r="D146" s="66">
        <v>2022</v>
      </c>
      <c r="E146" s="65" t="s">
        <v>1322</v>
      </c>
      <c r="F146" s="66"/>
      <c r="G146" s="65"/>
      <c r="H146" s="142" t="s">
        <v>1323</v>
      </c>
      <c r="I146" s="142"/>
      <c r="J146" s="142"/>
      <c r="K146" s="142"/>
      <c r="L146" s="142"/>
      <c r="M146" s="142"/>
      <c r="N146" s="142"/>
      <c r="O146" s="142"/>
    </row>
    <row r="147" spans="1:15" ht="75">
      <c r="B147" s="63" t="s">
        <v>1324</v>
      </c>
      <c r="C147" s="63"/>
      <c r="D147" s="66">
        <v>2023</v>
      </c>
      <c r="E147" s="65" t="s">
        <v>1325</v>
      </c>
      <c r="F147" s="66"/>
      <c r="G147" s="65"/>
      <c r="H147" s="142" t="s">
        <v>1326</v>
      </c>
      <c r="I147" s="142"/>
      <c r="J147" s="142"/>
      <c r="K147" s="142"/>
      <c r="L147" s="142"/>
      <c r="M147" s="142"/>
      <c r="N147" s="142"/>
      <c r="O147" s="142"/>
    </row>
    <row r="148" spans="1:15" ht="45">
      <c r="B148" s="63" t="s">
        <v>1327</v>
      </c>
      <c r="C148" s="63"/>
      <c r="D148" s="66">
        <v>2011</v>
      </c>
      <c r="E148" s="65" t="s">
        <v>1328</v>
      </c>
      <c r="F148" s="66"/>
      <c r="G148" s="65"/>
      <c r="H148" s="142" t="s">
        <v>1329</v>
      </c>
      <c r="I148" s="142"/>
      <c r="J148" s="142"/>
      <c r="K148" s="142"/>
      <c r="L148" s="142"/>
      <c r="M148" s="142"/>
      <c r="N148" s="142"/>
      <c r="O148" s="142"/>
    </row>
    <row r="149" spans="1:15" ht="45">
      <c r="B149" s="63" t="s">
        <v>1330</v>
      </c>
      <c r="C149" s="63"/>
      <c r="D149" s="66">
        <v>2015</v>
      </c>
      <c r="E149" s="65" t="s">
        <v>1331</v>
      </c>
      <c r="F149" s="66"/>
      <c r="G149" s="65"/>
      <c r="H149" s="142" t="s">
        <v>1332</v>
      </c>
      <c r="I149" s="142"/>
      <c r="J149" s="142"/>
      <c r="K149" s="142"/>
      <c r="L149" s="142"/>
      <c r="M149" s="142"/>
      <c r="N149" s="142"/>
      <c r="O149" s="142"/>
    </row>
    <row r="151" spans="1:15" ht="22.05" customHeight="1">
      <c r="B151" s="131" t="s">
        <v>1295</v>
      </c>
      <c r="C151" s="143"/>
      <c r="D151" s="143"/>
      <c r="E151" s="143"/>
      <c r="F151" s="143"/>
      <c r="G151" s="143"/>
      <c r="H151" s="143"/>
      <c r="I151" s="143"/>
      <c r="J151" s="143"/>
      <c r="K151" s="143"/>
      <c r="L151" s="143"/>
      <c r="M151" s="143"/>
      <c r="N151" s="143"/>
      <c r="O151" s="143"/>
    </row>
    <row r="152" spans="1:15" ht="22.05" customHeight="1">
      <c r="B152" s="124" t="s">
        <v>1286</v>
      </c>
      <c r="C152" s="140"/>
      <c r="D152" s="140"/>
      <c r="E152" s="140"/>
      <c r="F152" s="140"/>
      <c r="G152" s="140"/>
      <c r="H152" s="140"/>
      <c r="I152" s="140"/>
      <c r="J152" s="140"/>
      <c r="K152" s="140"/>
      <c r="L152" s="140"/>
      <c r="M152" s="140"/>
      <c r="N152" s="140"/>
      <c r="O152" s="140"/>
    </row>
    <row r="153" spans="1:15">
      <c r="B153" s="125" t="s">
        <v>1287</v>
      </c>
      <c r="C153" s="125"/>
      <c r="D153" s="125"/>
      <c r="E153" s="125"/>
      <c r="F153" s="125"/>
      <c r="G153" s="125"/>
      <c r="H153" s="125"/>
      <c r="I153" s="125"/>
      <c r="J153" s="125"/>
      <c r="K153" s="125"/>
      <c r="L153" s="125"/>
      <c r="M153" s="125"/>
      <c r="N153" s="125"/>
      <c r="O153" s="125"/>
    </row>
    <row r="154" spans="1:15" ht="22.05" customHeight="1">
      <c r="B154" s="124" t="s">
        <v>1288</v>
      </c>
      <c r="C154" s="140"/>
      <c r="D154" s="140"/>
      <c r="E154" s="140"/>
      <c r="F154" s="140"/>
      <c r="G154" s="140"/>
      <c r="H154" s="140"/>
      <c r="I154" s="140"/>
      <c r="J154" s="140"/>
      <c r="K154" s="140"/>
      <c r="L154" s="140"/>
      <c r="M154" s="140"/>
      <c r="N154" s="140"/>
      <c r="O154" s="140"/>
    </row>
    <row r="155" spans="1:15">
      <c r="B155" s="125" t="s">
        <v>1289</v>
      </c>
      <c r="C155" s="125"/>
      <c r="D155" s="125"/>
      <c r="E155" s="125"/>
      <c r="F155" s="125"/>
      <c r="G155" s="125"/>
      <c r="H155" s="125"/>
      <c r="I155" s="125"/>
      <c r="J155" s="125"/>
      <c r="K155" s="125"/>
      <c r="L155" s="125"/>
      <c r="M155" s="125"/>
      <c r="N155" s="125"/>
      <c r="O155" s="125"/>
    </row>
    <row r="156" spans="1:15" ht="22.05" customHeight="1">
      <c r="B156" s="124" t="s">
        <v>1290</v>
      </c>
      <c r="C156" s="140"/>
      <c r="D156" s="140"/>
      <c r="E156" s="140"/>
      <c r="F156" s="140"/>
      <c r="G156" s="140"/>
      <c r="H156" s="140"/>
      <c r="I156" s="140"/>
      <c r="J156" s="140"/>
      <c r="K156" s="140"/>
      <c r="L156" s="140"/>
      <c r="M156" s="140"/>
      <c r="N156" s="140"/>
      <c r="O156" s="140"/>
    </row>
    <row r="157" spans="1:15">
      <c r="B157" s="125" t="s">
        <v>1291</v>
      </c>
      <c r="C157" s="125"/>
      <c r="D157" s="125"/>
      <c r="E157" s="125"/>
      <c r="F157" s="125"/>
      <c r="G157" s="125"/>
      <c r="H157" s="125"/>
      <c r="I157" s="125"/>
      <c r="J157" s="125"/>
      <c r="K157" s="125"/>
      <c r="L157" s="125"/>
      <c r="M157" s="125"/>
      <c r="N157" s="125"/>
      <c r="O157" s="125"/>
    </row>
    <row r="158" spans="1:15" ht="22.05" customHeight="1">
      <c r="B158" s="126" t="s">
        <v>1269</v>
      </c>
      <c r="C158" s="141"/>
      <c r="D158" s="141"/>
      <c r="E158" s="141"/>
      <c r="F158" s="141"/>
      <c r="G158" s="141"/>
      <c r="H158" s="141"/>
      <c r="I158" s="141"/>
      <c r="J158" s="141"/>
      <c r="K158" s="141"/>
      <c r="L158" s="141"/>
      <c r="M158" s="141"/>
      <c r="N158" s="141"/>
      <c r="O158" s="141"/>
    </row>
    <row r="159" spans="1:15" ht="66" customHeight="1">
      <c r="A159" s="71" t="s">
        <v>1298</v>
      </c>
      <c r="B159" s="127" t="s">
        <v>1466</v>
      </c>
      <c r="C159" s="127"/>
      <c r="D159" s="127"/>
      <c r="E159" s="127"/>
      <c r="F159" s="127"/>
      <c r="G159" s="127"/>
      <c r="H159" s="127"/>
      <c r="I159" s="127"/>
      <c r="J159" s="127"/>
      <c r="K159" s="127"/>
      <c r="L159" s="127"/>
      <c r="M159" s="127"/>
      <c r="N159" s="127"/>
      <c r="O159" s="127"/>
    </row>
    <row r="160" spans="1:15" ht="30" customHeight="1">
      <c r="B160" s="68" t="s">
        <v>310</v>
      </c>
      <c r="C160" s="68" t="s">
        <v>311</v>
      </c>
      <c r="D160" s="69" t="s">
        <v>1293</v>
      </c>
      <c r="E160" s="68" t="s">
        <v>33</v>
      </c>
      <c r="F160" s="68" t="s">
        <v>1277</v>
      </c>
      <c r="G160" s="68" t="s">
        <v>71</v>
      </c>
      <c r="H160" s="68" t="s">
        <v>1277</v>
      </c>
      <c r="I160" s="69"/>
      <c r="J160" s="69"/>
      <c r="K160" s="69"/>
      <c r="L160" s="69"/>
      <c r="M160" s="69"/>
      <c r="N160" s="69"/>
      <c r="O160" s="69"/>
    </row>
    <row r="161" spans="2:15" ht="15" customHeight="1">
      <c r="B161" s="62" t="s">
        <v>320</v>
      </c>
      <c r="C161" s="63" t="s">
        <v>321</v>
      </c>
      <c r="D161" s="70" t="str">
        <f>_xlfn.XLOOKUP(B161,Table24[ActionID],Table24[Description],"")</f>
        <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v>
      </c>
      <c r="E161" s="64" t="s">
        <v>1163</v>
      </c>
      <c r="F161" s="65" t="s">
        <v>1447</v>
      </c>
      <c r="G161" s="64" t="s">
        <v>1163</v>
      </c>
      <c r="H161" s="65" t="s">
        <v>1447</v>
      </c>
      <c r="I161" s="63"/>
      <c r="J161" s="63"/>
      <c r="K161" s="63"/>
      <c r="L161" s="63"/>
      <c r="M161" s="63"/>
      <c r="N161" s="63"/>
      <c r="O161" s="63"/>
    </row>
    <row r="162" spans="2:15" ht="15" customHeight="1">
      <c r="B162" s="62" t="s">
        <v>329</v>
      </c>
      <c r="C162" s="63" t="s">
        <v>330</v>
      </c>
      <c r="D162" s="70" t="str">
        <f>_xlfn.XLOOKUP(B162,Table24[ActionID],Table24[Description],"")</f>
        <v>"Upgrade urban drainage systems" involves eco-engineering solutions to enhance drainage systems, through capacity upgrade and network expansion. This adaptation measure aims to improve urban resilience by minimizing the impact of extreme weather events such as flooding.</v>
      </c>
      <c r="E162" s="64" t="s">
        <v>1163</v>
      </c>
      <c r="F162" s="65" t="s">
        <v>1447</v>
      </c>
      <c r="G162" s="64" t="s">
        <v>1163</v>
      </c>
      <c r="H162" s="65" t="s">
        <v>1447</v>
      </c>
      <c r="I162" s="63"/>
      <c r="J162" s="63"/>
      <c r="K162" s="63"/>
      <c r="L162" s="63"/>
      <c r="M162" s="63"/>
      <c r="N162" s="63"/>
      <c r="O162" s="63"/>
    </row>
    <row r="163" spans="2:15" ht="30" customHeight="1">
      <c r="B163" s="62" t="s">
        <v>335</v>
      </c>
      <c r="C163" s="63" t="s">
        <v>336</v>
      </c>
      <c r="D163" s="70" t="str">
        <f>_xlfn.XLOOKUP(B163,Table24[ActionID],Table24[Description],"")</f>
        <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v>
      </c>
      <c r="E163" s="64" t="s">
        <v>1163</v>
      </c>
      <c r="F163" s="65" t="s">
        <v>1447</v>
      </c>
      <c r="G163" s="64" t="s">
        <v>1163</v>
      </c>
      <c r="H163" s="65" t="s">
        <v>1447</v>
      </c>
      <c r="I163" s="63"/>
      <c r="J163" s="63"/>
      <c r="K163" s="63"/>
      <c r="L163" s="63"/>
      <c r="M163" s="63"/>
      <c r="N163" s="63"/>
      <c r="O163" s="63"/>
    </row>
    <row r="164" spans="2:15" ht="15" customHeight="1">
      <c r="B164" s="62" t="s">
        <v>341</v>
      </c>
      <c r="C164" s="63" t="s">
        <v>342</v>
      </c>
      <c r="D164" s="70" t="str">
        <f>_xlfn.XLOOKUP(B164,Table24[ActionID],Table24[Description],"")</f>
        <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v>
      </c>
      <c r="E164" s="64" t="s">
        <v>1163</v>
      </c>
      <c r="F164" s="65" t="s">
        <v>1447</v>
      </c>
      <c r="G164" s="64" t="s">
        <v>1163</v>
      </c>
      <c r="H164" s="65" t="s">
        <v>1447</v>
      </c>
      <c r="I164" s="63"/>
      <c r="J164" s="63"/>
      <c r="K164" s="63"/>
      <c r="L164" s="63"/>
      <c r="M164" s="63"/>
      <c r="N164" s="63"/>
      <c r="O164" s="63"/>
    </row>
    <row r="165" spans="2:15" ht="30" customHeight="1">
      <c r="B165" s="62" t="s">
        <v>346</v>
      </c>
      <c r="C165" s="63" t="s">
        <v>347</v>
      </c>
      <c r="D165" s="70" t="str">
        <f>_xlfn.XLOOKUP(B165,Table24[ActionID],Table24[Description],"")</f>
        <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v>
      </c>
      <c r="E165" s="64" t="s">
        <v>1163</v>
      </c>
      <c r="F165" s="65" t="s">
        <v>1447</v>
      </c>
      <c r="G165" s="64" t="s">
        <v>1163</v>
      </c>
      <c r="H165" s="65" t="s">
        <v>1447</v>
      </c>
      <c r="I165" s="63"/>
      <c r="J165" s="63"/>
      <c r="K165" s="63"/>
      <c r="L165" s="63"/>
      <c r="M165" s="63"/>
      <c r="N165" s="63"/>
      <c r="O165" s="63"/>
    </row>
    <row r="166" spans="2:15" ht="15" customHeight="1">
      <c r="B166" s="62" t="s">
        <v>349</v>
      </c>
      <c r="C166" s="63" t="s">
        <v>350</v>
      </c>
      <c r="D166" s="70" t="str">
        <f>_xlfn.XLOOKUP(B166,Table24[ActionID],Table24[Description],"")</f>
        <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v>
      </c>
      <c r="E166" s="64" t="s">
        <v>1161</v>
      </c>
      <c r="F166" s="65" t="s">
        <v>1449</v>
      </c>
      <c r="G166" s="64" t="s">
        <v>1161</v>
      </c>
      <c r="H166" s="65" t="s">
        <v>1449</v>
      </c>
      <c r="I166" s="63"/>
      <c r="J166" s="63"/>
      <c r="K166" s="63"/>
      <c r="L166" s="63"/>
      <c r="M166" s="63"/>
      <c r="N166" s="63"/>
      <c r="O166" s="63"/>
    </row>
    <row r="167" spans="2:15" ht="15" customHeight="1">
      <c r="B167" s="62" t="s">
        <v>355</v>
      </c>
      <c r="C167" s="63" t="s">
        <v>356</v>
      </c>
      <c r="D167" s="70" t="str">
        <f>_xlfn.XLOOKUP(B167,Table24[ActionID],Table24[Description],"")</f>
        <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v>
      </c>
      <c r="E167" s="64" t="s">
        <v>1161</v>
      </c>
      <c r="F167" s="65" t="s">
        <v>1448</v>
      </c>
      <c r="G167" s="64" t="s">
        <v>1163</v>
      </c>
      <c r="H167" s="65" t="s">
        <v>1447</v>
      </c>
      <c r="I167" s="63"/>
      <c r="J167" s="63"/>
      <c r="K167" s="63"/>
      <c r="L167" s="63"/>
      <c r="M167" s="63"/>
      <c r="N167" s="63"/>
      <c r="O167" s="63"/>
    </row>
    <row r="168" spans="2:15" ht="30" customHeight="1">
      <c r="B168" s="62" t="s">
        <v>360</v>
      </c>
      <c r="C168" s="63" t="s">
        <v>361</v>
      </c>
      <c r="D168" s="70" t="str">
        <f>_xlfn.XLOOKUP(B168,Table24[ActionID],Table24[Description],"")</f>
        <v>"Reform water tariffs to support efficiency and equity" involve pricing structures for water use, encouraging conservation and efficient use of water resources. This initiative aims to promote responsible water consumption and contribute to sustainable water management.</v>
      </c>
      <c r="E168" s="64" t="s">
        <v>1161</v>
      </c>
      <c r="F168" s="65" t="s">
        <v>1449</v>
      </c>
      <c r="G168" s="64" t="s">
        <v>1162</v>
      </c>
      <c r="H168" s="65" t="s">
        <v>1449</v>
      </c>
      <c r="I168" s="63"/>
      <c r="J168" s="63"/>
      <c r="K168" s="63"/>
      <c r="L168" s="63"/>
      <c r="M168" s="63"/>
      <c r="N168" s="63"/>
      <c r="O168" s="63"/>
    </row>
    <row r="169" spans="2:15" ht="30" customHeight="1">
      <c r="B169" s="62" t="s">
        <v>364</v>
      </c>
      <c r="C169" s="63" t="s">
        <v>365</v>
      </c>
      <c r="D169" s="70" t="str">
        <f>_xlfn.XLOOKUP(B169,Table24[ActionID],Table24[Description],"")</f>
        <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v>
      </c>
      <c r="E169" s="64" t="s">
        <v>1163</v>
      </c>
      <c r="F169" s="65" t="s">
        <v>1447</v>
      </c>
      <c r="G169" s="64" t="s">
        <v>1163</v>
      </c>
      <c r="H169" s="65" t="s">
        <v>1447</v>
      </c>
      <c r="I169" s="63"/>
      <c r="J169" s="63"/>
      <c r="K169" s="63"/>
      <c r="L169" s="63"/>
      <c r="M169" s="63"/>
      <c r="N169" s="63"/>
      <c r="O169" s="63"/>
    </row>
    <row r="170" spans="2:15" ht="30" customHeight="1">
      <c r="B170" s="62" t="s">
        <v>369</v>
      </c>
      <c r="C170" s="63" t="s">
        <v>370</v>
      </c>
      <c r="D170" s="70" t="str">
        <f>_xlfn.XLOOKUP(B170,Table24[ActionID],Table24[Description],"")</f>
        <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v>
      </c>
      <c r="E170" s="64" t="s">
        <v>1163</v>
      </c>
      <c r="F170" s="65" t="s">
        <v>1447</v>
      </c>
      <c r="G170" s="64" t="s">
        <v>1163</v>
      </c>
      <c r="H170" s="65" t="s">
        <v>1447</v>
      </c>
      <c r="I170" s="63"/>
      <c r="J170" s="63"/>
      <c r="K170" s="63"/>
      <c r="L170" s="63"/>
      <c r="M170" s="63"/>
      <c r="N170" s="63"/>
      <c r="O170" s="63"/>
    </row>
    <row r="171" spans="2:15" ht="30" customHeight="1">
      <c r="B171" s="62" t="s">
        <v>375</v>
      </c>
      <c r="C171" s="63" t="s">
        <v>376</v>
      </c>
      <c r="D171" s="70" t="str">
        <f>_xlfn.XLOOKUP(B171,Table24[ActionID],Table24[Description],"")</f>
        <v>Cleaning and unclogging channels in the city to reduce the risk of flooding caused by extreme rainfall events. Installation of eco-barriers to assist in cleaning efforts and raise awareness about solid waste.</v>
      </c>
      <c r="E171" s="64" t="s">
        <v>1163</v>
      </c>
      <c r="F171" s="65" t="s">
        <v>1447</v>
      </c>
      <c r="G171" s="64" t="s">
        <v>1163</v>
      </c>
      <c r="H171" s="65" t="s">
        <v>1447</v>
      </c>
      <c r="I171" s="63"/>
      <c r="J171" s="63"/>
      <c r="K171" s="63"/>
      <c r="L171" s="63"/>
      <c r="M171" s="63"/>
      <c r="N171" s="63"/>
      <c r="O171" s="63"/>
    </row>
    <row r="172" spans="2:15" ht="15" customHeight="1">
      <c r="B172" s="62" t="s">
        <v>379</v>
      </c>
      <c r="C172" s="63" t="s">
        <v>380</v>
      </c>
      <c r="D172" s="70" t="str">
        <f>_xlfn.XLOOKUP(B172,Table24[ActionID],Table24[Description],"")</f>
        <v>Identify and assess the feasibility of suitable areas for the installation of urban gardens and ensure that the sites chosen meet the expectations of the community.</v>
      </c>
      <c r="E172" s="64" t="s">
        <v>1163</v>
      </c>
      <c r="F172" s="65" t="s">
        <v>1447</v>
      </c>
      <c r="G172" s="64" t="s">
        <v>1163</v>
      </c>
      <c r="H172" s="65" t="s">
        <v>1447</v>
      </c>
      <c r="I172" s="63"/>
      <c r="J172" s="63"/>
      <c r="K172" s="63"/>
      <c r="L172" s="63"/>
      <c r="M172" s="63"/>
      <c r="N172" s="63"/>
      <c r="O172" s="63"/>
    </row>
    <row r="173" spans="2:15" ht="45" customHeight="1">
      <c r="B173" s="62" t="s">
        <v>384</v>
      </c>
      <c r="C173" s="63" t="s">
        <v>385</v>
      </c>
      <c r="D173" s="70" t="str">
        <f>_xlfn.XLOOKUP(B173,Table24[ActionID],Table24[Description],"")</f>
        <v>Establish more mechanisms that enable better intersectoral coordination and public participation in climate policy, including the creation of working groups with neighboring municipalities to discuss a common climate agenda.</v>
      </c>
      <c r="E173" s="64" t="s">
        <v>1163</v>
      </c>
      <c r="F173" s="65" t="s">
        <v>1447</v>
      </c>
      <c r="G173" s="64" t="s">
        <v>1163</v>
      </c>
      <c r="H173" s="65" t="s">
        <v>1447</v>
      </c>
      <c r="I173" s="63"/>
      <c r="J173" s="63"/>
      <c r="K173" s="63"/>
      <c r="L173" s="63"/>
      <c r="M173" s="63"/>
      <c r="N173" s="63"/>
      <c r="O173" s="63"/>
    </row>
    <row r="174" spans="2:15" ht="30" customHeight="1">
      <c r="B174" s="62" t="s">
        <v>388</v>
      </c>
      <c r="C174" s="63" t="s">
        <v>389</v>
      </c>
      <c r="D174" s="70" t="str">
        <f>_xlfn.XLOOKUP(B174,Table24[ActionID],Table24[Description],"")</f>
        <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v>
      </c>
      <c r="E174" s="64" t="s">
        <v>1163</v>
      </c>
      <c r="F174" s="65" t="s">
        <v>1447</v>
      </c>
      <c r="G174" s="64" t="s">
        <v>1163</v>
      </c>
      <c r="H174" s="65" t="s">
        <v>1447</v>
      </c>
      <c r="I174" s="63"/>
      <c r="J174" s="63"/>
      <c r="K174" s="63"/>
      <c r="L174" s="63"/>
      <c r="M174" s="63"/>
      <c r="N174" s="63"/>
      <c r="O174" s="63"/>
    </row>
    <row r="175" spans="2:15" ht="15" customHeight="1">
      <c r="B175" s="62" t="s">
        <v>393</v>
      </c>
      <c r="C175" s="63" t="s">
        <v>394</v>
      </c>
      <c r="D175" s="70" t="str">
        <f>_xlfn.XLOOKUP(B175,Table24[ActionID],Table24[Description],"")</f>
        <v>Creation of a First Response Brigade in rural communities to provide them with training and equipment for fire prevention and firefighting.</v>
      </c>
      <c r="E175" s="64" t="s">
        <v>1163</v>
      </c>
      <c r="F175" s="65" t="s">
        <v>1447</v>
      </c>
      <c r="G175" s="64" t="s">
        <v>1163</v>
      </c>
      <c r="H175" s="65" t="s">
        <v>1447</v>
      </c>
      <c r="I175" s="63"/>
      <c r="J175" s="63"/>
      <c r="K175" s="63"/>
      <c r="L175" s="63"/>
      <c r="M175" s="63"/>
      <c r="N175" s="63"/>
      <c r="O175" s="63"/>
    </row>
    <row r="176" spans="2:15" ht="30" customHeight="1">
      <c r="B176" s="62" t="s">
        <v>398</v>
      </c>
      <c r="C176" s="63" t="s">
        <v>399</v>
      </c>
      <c r="D176" s="70" t="str">
        <f>_xlfn.XLOOKUP(B176,Table24[ActionID],Table24[Description],"")</f>
        <v>Implementation of a hydrological monitoring system with telemetry stations to monitor rainfall, water levels, and meteorological variables in real-time.</v>
      </c>
      <c r="E176" s="64" t="s">
        <v>1163</v>
      </c>
      <c r="F176" s="65" t="s">
        <v>1447</v>
      </c>
      <c r="G176" s="64" t="s">
        <v>1163</v>
      </c>
      <c r="H176" s="65" t="s">
        <v>1447</v>
      </c>
      <c r="I176" s="63"/>
      <c r="J176" s="63"/>
      <c r="K176" s="63"/>
      <c r="L176" s="63"/>
      <c r="M176" s="63"/>
      <c r="N176" s="63"/>
      <c r="O176" s="63"/>
    </row>
    <row r="177" spans="2:15" ht="15" customHeight="1">
      <c r="B177" s="62" t="s">
        <v>404</v>
      </c>
      <c r="C177" s="63" t="s">
        <v>405</v>
      </c>
      <c r="D177" s="70" t="str">
        <f>_xlfn.XLOOKUP(B177,Table24[ActionID],Table24[Description],"")</f>
        <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v>
      </c>
      <c r="E177" s="64" t="s">
        <v>1163</v>
      </c>
      <c r="F177" s="65" t="s">
        <v>1447</v>
      </c>
      <c r="G177" s="64" t="s">
        <v>1163</v>
      </c>
      <c r="H177" s="65" t="s">
        <v>1447</v>
      </c>
      <c r="I177" s="63"/>
      <c r="J177" s="63"/>
      <c r="K177" s="63"/>
      <c r="L177" s="63"/>
      <c r="M177" s="63"/>
      <c r="N177" s="63"/>
      <c r="O177" s="63"/>
    </row>
    <row r="178" spans="2:15" ht="45" customHeight="1">
      <c r="B178" s="62" t="s">
        <v>408</v>
      </c>
      <c r="C178" s="63" t="s">
        <v>409</v>
      </c>
      <c r="D178" s="70" t="str">
        <f>_xlfn.XLOOKUP(B178,Table24[ActionID],Table24[Description],"")</f>
        <v>This action focuses on preparing the municipality to respond to extreme events, aiming to provide a rapid response that minimizes the impacts on the population.</v>
      </c>
      <c r="E178" s="64" t="s">
        <v>1163</v>
      </c>
      <c r="F178" s="65" t="s">
        <v>1447</v>
      </c>
      <c r="G178" s="64" t="s">
        <v>1163</v>
      </c>
      <c r="H178" s="65" t="s">
        <v>1447</v>
      </c>
      <c r="I178" s="63"/>
      <c r="J178" s="63"/>
      <c r="K178" s="63"/>
      <c r="L178" s="63"/>
      <c r="M178" s="63"/>
      <c r="N178" s="63"/>
      <c r="O178" s="63"/>
    </row>
    <row r="179" spans="2:15" ht="45" customHeight="1">
      <c r="B179" s="62" t="s">
        <v>412</v>
      </c>
      <c r="C179" s="63" t="s">
        <v>413</v>
      </c>
      <c r="D179" s="70" t="str">
        <f>_xlfn.XLOOKUP(B179,Table24[ActionID],Table24[Description],"")</f>
        <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v>
      </c>
      <c r="E179" s="64" t="s">
        <v>1163</v>
      </c>
      <c r="F179" s="65" t="s">
        <v>1447</v>
      </c>
      <c r="G179" s="64" t="s">
        <v>1163</v>
      </c>
      <c r="H179" s="65" t="s">
        <v>1447</v>
      </c>
      <c r="I179" s="63"/>
      <c r="J179" s="63"/>
      <c r="K179" s="63"/>
      <c r="L179" s="63"/>
      <c r="M179" s="63"/>
      <c r="N179" s="63"/>
      <c r="O179" s="63"/>
    </row>
    <row r="180" spans="2:15" ht="30" customHeight="1">
      <c r="B180" s="62" t="s">
        <v>417</v>
      </c>
      <c r="C180" s="63" t="s">
        <v>418</v>
      </c>
      <c r="D180" s="70" t="str">
        <f>_xlfn.XLOOKUP(B180,Table24[ActionID],Table24[Description],"")</f>
        <v>This action aims to expand the procedures related to the existing climate risk forecasting, monitoring, and alert system in the municipality.</v>
      </c>
      <c r="E180" s="64" t="s">
        <v>1163</v>
      </c>
      <c r="F180" s="65" t="s">
        <v>1447</v>
      </c>
      <c r="G180" s="64" t="s">
        <v>1163</v>
      </c>
      <c r="H180" s="65" t="s">
        <v>1447</v>
      </c>
      <c r="I180" s="63"/>
      <c r="J180" s="63"/>
      <c r="K180" s="63"/>
      <c r="L180" s="63"/>
      <c r="M180" s="63"/>
      <c r="N180" s="63"/>
      <c r="O180" s="63"/>
    </row>
    <row r="181" spans="2:15" ht="45" customHeight="1">
      <c r="B181" s="62" t="s">
        <v>423</v>
      </c>
      <c r="C181" s="63" t="s">
        <v>424</v>
      </c>
      <c r="D181" s="70" t="str">
        <f>_xlfn.XLOOKUP(B181,Table24[ActionID],Table24[Description],"")</f>
        <v>This action aims to strengthen the development of the Municipal Risk Reduction Plan (PMRR) in the municipality, as it is a highly relevant tool for managing climate risks, especially river floods and landslides.</v>
      </c>
      <c r="E181" s="64" t="s">
        <v>1163</v>
      </c>
      <c r="F181" s="65" t="s">
        <v>1447</v>
      </c>
      <c r="G181" s="64" t="s">
        <v>1163</v>
      </c>
      <c r="H181" s="65" t="s">
        <v>1447</v>
      </c>
      <c r="I181" s="63"/>
      <c r="J181" s="63"/>
      <c r="K181" s="63"/>
      <c r="L181" s="63"/>
      <c r="M181" s="63"/>
      <c r="N181" s="63"/>
      <c r="O181" s="63"/>
    </row>
    <row r="182" spans="2:15" ht="15" customHeight="1">
      <c r="B182" s="62" t="s">
        <v>427</v>
      </c>
      <c r="C182" s="63" t="s">
        <v>428</v>
      </c>
      <c r="D182" s="70" t="str">
        <f>_xlfn.XLOOKUP(B182,Table24[ActionID],Table24[Description],"")</f>
        <v>Regular upkeep and cleaning of urban drainage systems, including storm drains, sewers, and retention basins, to ensure efficient water flow and prevent blockages that can lead to flooding during heavy rainfall events.</v>
      </c>
      <c r="E182" s="64" t="s">
        <v>1163</v>
      </c>
      <c r="F182" s="65" t="s">
        <v>1447</v>
      </c>
      <c r="G182" s="64" t="s">
        <v>1163</v>
      </c>
      <c r="H182" s="65" t="s">
        <v>1447</v>
      </c>
      <c r="I182" s="63"/>
      <c r="J182" s="63"/>
      <c r="K182" s="63"/>
      <c r="L182" s="63"/>
      <c r="M182" s="63"/>
      <c r="N182" s="63"/>
      <c r="O182" s="63"/>
    </row>
    <row r="183" spans="2:15" ht="15" customHeight="1">
      <c r="B183" s="62" t="s">
        <v>432</v>
      </c>
      <c r="C183" s="63" t="s">
        <v>433</v>
      </c>
      <c r="D183" s="70" t="str">
        <f>_xlfn.XLOOKUP(B183,Table24[ActionID],Table24[Description],"")</f>
        <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v>
      </c>
      <c r="E183" s="64" t="s">
        <v>1163</v>
      </c>
      <c r="F183" s="65" t="s">
        <v>1447</v>
      </c>
      <c r="G183" s="64" t="s">
        <v>1163</v>
      </c>
      <c r="H183" s="65" t="s">
        <v>1447</v>
      </c>
      <c r="I183" s="63"/>
      <c r="J183" s="63"/>
      <c r="K183" s="63"/>
      <c r="L183" s="63"/>
      <c r="M183" s="63"/>
      <c r="N183" s="63"/>
      <c r="O183" s="63"/>
    </row>
    <row r="184" spans="2:15" ht="30" customHeight="1">
      <c r="B184" s="62" t="s">
        <v>436</v>
      </c>
      <c r="C184" s="63" t="s">
        <v>437</v>
      </c>
      <c r="D184" s="70" t="str">
        <f>_xlfn.XLOOKUP(B184,Table24[ActionID],Table24[Description],"")</f>
        <v>Mapping of critical flood-prone areas with the aim of revising and harmonizing legislation related to land use, given the intensification of the impacts of extreme weather events.</v>
      </c>
      <c r="E184" s="64" t="s">
        <v>1163</v>
      </c>
      <c r="F184" s="65" t="s">
        <v>1447</v>
      </c>
      <c r="G184" s="64" t="s">
        <v>1163</v>
      </c>
      <c r="H184" s="65" t="s">
        <v>1447</v>
      </c>
      <c r="I184" s="63"/>
      <c r="J184" s="63"/>
      <c r="K184" s="63"/>
      <c r="L184" s="63"/>
      <c r="M184" s="63"/>
      <c r="N184" s="63"/>
      <c r="O184" s="63"/>
    </row>
    <row r="185" spans="2:15" ht="15" customHeight="1">
      <c r="B185" s="62" t="s">
        <v>440</v>
      </c>
      <c r="C185" s="63" t="s">
        <v>441</v>
      </c>
      <c r="D185" s="70" t="str">
        <f>_xlfn.XLOOKUP(B185,Table24[ActionID],Table24[Description],"")</f>
        <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v>
      </c>
      <c r="E185" s="64" t="s">
        <v>1163</v>
      </c>
      <c r="F185" s="65" t="s">
        <v>1447</v>
      </c>
      <c r="G185" s="64" t="s">
        <v>1163</v>
      </c>
      <c r="H185" s="65" t="s">
        <v>1447</v>
      </c>
      <c r="I185" s="63"/>
      <c r="J185" s="63"/>
      <c r="K185" s="63"/>
      <c r="L185" s="63"/>
      <c r="M185" s="63"/>
      <c r="N185" s="63"/>
      <c r="O185" s="63"/>
    </row>
    <row r="186" spans="2:15" ht="15" customHeight="1">
      <c r="B186" s="62" t="s">
        <v>444</v>
      </c>
      <c r="C186" s="63" t="s">
        <v>445</v>
      </c>
      <c r="D186" s="70" t="str">
        <f>_xlfn.XLOOKUP(B186,Table24[ActionID],Table24[Description],"")</f>
        <v>A comprehensive project addressing the socio-environmental vulnerability of an informal settlement. It includes relocating residents from flood-prone areas, restoring the environment, and providing infrastructure and social services.</v>
      </c>
      <c r="E186" s="64" t="s">
        <v>1163</v>
      </c>
      <c r="F186" s="65" t="s">
        <v>1447</v>
      </c>
      <c r="G186" s="64" t="s">
        <v>1163</v>
      </c>
      <c r="H186" s="65" t="s">
        <v>1447</v>
      </c>
      <c r="I186" s="63"/>
      <c r="J186" s="63"/>
      <c r="K186" s="63"/>
      <c r="L186" s="63"/>
      <c r="M186" s="63"/>
      <c r="N186" s="63"/>
      <c r="O186" s="63"/>
    </row>
    <row r="187" spans="2:15" ht="15" customHeight="1">
      <c r="B187" s="62" t="s">
        <v>449</v>
      </c>
      <c r="C187" s="63" t="s">
        <v>450</v>
      </c>
      <c r="D187" s="70" t="str">
        <f>_xlfn.XLOOKUP(B187,Table24[ActionID],Table24[Description],"")</f>
        <v>This action focuses on expanding green areas in the city through urban afforestation. This includes planting trees in sidewalks, squares, public buildings, and schools, as well as creating ecological parks to revitalize watercourses and/or restore forests.</v>
      </c>
      <c r="E187" s="64" t="s">
        <v>1163</v>
      </c>
      <c r="F187" s="65" t="s">
        <v>1447</v>
      </c>
      <c r="G187" s="64" t="s">
        <v>1163</v>
      </c>
      <c r="H187" s="65" t="s">
        <v>1447</v>
      </c>
      <c r="I187" s="63"/>
      <c r="J187" s="63"/>
      <c r="K187" s="63"/>
      <c r="L187" s="63"/>
      <c r="M187" s="63"/>
      <c r="N187" s="63"/>
      <c r="O187" s="63"/>
    </row>
    <row r="188" spans="2:15" ht="30" customHeight="1">
      <c r="B188" s="62" t="s">
        <v>453</v>
      </c>
      <c r="C188" s="63" t="s">
        <v>454</v>
      </c>
      <c r="D188" s="70" t="str">
        <f>_xlfn.XLOOKUP(B188,Table24[ActionID],Table24[Description],"")</f>
        <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v>
      </c>
      <c r="E188" s="64" t="s">
        <v>1163</v>
      </c>
      <c r="F188" s="65" t="s">
        <v>1447</v>
      </c>
      <c r="G188" s="64" t="s">
        <v>1163</v>
      </c>
      <c r="H188" s="65" t="s">
        <v>1447</v>
      </c>
      <c r="I188" s="63"/>
      <c r="J188" s="63"/>
      <c r="K188" s="63"/>
      <c r="L188" s="63"/>
      <c r="M188" s="63"/>
      <c r="N188" s="63"/>
      <c r="O188" s="63"/>
    </row>
    <row r="189" spans="2:15" ht="15" customHeight="1">
      <c r="B189" s="62" t="s">
        <v>457</v>
      </c>
      <c r="C189" s="63" t="s">
        <v>458</v>
      </c>
      <c r="D189" s="70" t="str">
        <f>_xlfn.XLOOKUP(B189,Table24[ActionID],Table24[Description],"")</f>
        <v>This action involves stabilizing slopes and maintaining or restoring drainage systems in hillside areas. This helps to prevent landslides and erosion, reducing the risk of disasters.</v>
      </c>
      <c r="E189" s="64" t="s">
        <v>1163</v>
      </c>
      <c r="F189" s="65" t="s">
        <v>1447</v>
      </c>
      <c r="G189" s="64" t="s">
        <v>1163</v>
      </c>
      <c r="H189" s="65" t="s">
        <v>1447</v>
      </c>
      <c r="I189" s="63"/>
      <c r="J189" s="63"/>
      <c r="K189" s="63"/>
      <c r="L189" s="63"/>
      <c r="M189" s="63"/>
      <c r="N189" s="63"/>
      <c r="O189" s="63"/>
    </row>
    <row r="190" spans="2:15" ht="30" customHeight="1">
      <c r="B190" s="62" t="s">
        <v>461</v>
      </c>
      <c r="C190" s="63" t="s">
        <v>462</v>
      </c>
      <c r="D190" s="70" t="str">
        <f>_xlfn.XLOOKUP(B190,Table24[ActionID],Table24[Description],"")</f>
        <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v>
      </c>
      <c r="E190" s="64" t="s">
        <v>1163</v>
      </c>
      <c r="F190" s="65" t="s">
        <v>1447</v>
      </c>
      <c r="G190" s="64" t="s">
        <v>1163</v>
      </c>
      <c r="H190" s="65" t="s">
        <v>1447</v>
      </c>
      <c r="I190" s="63"/>
      <c r="J190" s="63"/>
      <c r="K190" s="63"/>
      <c r="L190" s="63"/>
      <c r="M190" s="63"/>
      <c r="N190" s="63"/>
      <c r="O190" s="63"/>
    </row>
    <row r="191" spans="2:15" ht="15" customHeight="1">
      <c r="B191" s="62" t="s">
        <v>466</v>
      </c>
      <c r="C191" s="63" t="s">
        <v>467</v>
      </c>
      <c r="D191" s="70" t="str">
        <f>_xlfn.XLOOKUP(B191,Table24[ActionID],Table24[Description],"")</f>
        <v>This action describes the implementation of an integrated coastal zone management plan to promote sustainable development and address the impacts of climate change in coastal areas. It includes measures to mitigate the impacts of sea-level rise and coastal erosion.</v>
      </c>
      <c r="E191" s="64" t="s">
        <v>1163</v>
      </c>
      <c r="F191" s="65" t="s">
        <v>1447</v>
      </c>
      <c r="G191" s="64" t="s">
        <v>1163</v>
      </c>
      <c r="H191" s="65" t="s">
        <v>1447</v>
      </c>
      <c r="I191" s="63"/>
      <c r="J191" s="63"/>
      <c r="K191" s="63"/>
      <c r="L191" s="63"/>
      <c r="M191" s="63"/>
      <c r="N191" s="63"/>
      <c r="O191" s="63"/>
    </row>
    <row r="192" spans="2:15" ht="60" customHeight="1">
      <c r="B192" s="62" t="s">
        <v>471</v>
      </c>
      <c r="C192" s="63" t="s">
        <v>472</v>
      </c>
      <c r="D192" s="70" t="str">
        <f>_xlfn.XLOOKUP(B192,Table24[ActionID],Table24[Description],"")</f>
        <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v>
      </c>
      <c r="E192" s="64" t="s">
        <v>1163</v>
      </c>
      <c r="F192" s="65" t="s">
        <v>1447</v>
      </c>
      <c r="G192" s="64" t="s">
        <v>1163</v>
      </c>
      <c r="H192" s="65" t="s">
        <v>1447</v>
      </c>
      <c r="I192" s="63"/>
      <c r="J192" s="63"/>
      <c r="K192" s="63"/>
      <c r="L192" s="63"/>
      <c r="M192" s="63"/>
      <c r="N192" s="63"/>
      <c r="O192" s="63"/>
    </row>
    <row r="193" spans="2:15" ht="15" customHeight="1">
      <c r="B193" s="62" t="s">
        <v>475</v>
      </c>
      <c r="C193" s="63" t="s">
        <v>476</v>
      </c>
      <c r="D193" s="70" t="str">
        <f>_xlfn.XLOOKUP(B193,Table24[ActionID],Table24[Description],"")</f>
        <v>The implementation of green roofs and green walls mitigates urban heat island effects, improves thermal comfort, reduces energy demand in buildings, manages stormwater, and enhances urban livability and biodiversity.</v>
      </c>
      <c r="E193" s="64" t="s">
        <v>1163</v>
      </c>
      <c r="F193" s="65" t="s">
        <v>1447</v>
      </c>
      <c r="G193" s="64" t="s">
        <v>1163</v>
      </c>
      <c r="H193" s="65" t="s">
        <v>1447</v>
      </c>
      <c r="I193" s="63"/>
      <c r="J193" s="63"/>
      <c r="K193" s="63"/>
      <c r="L193" s="63"/>
      <c r="M193" s="63"/>
      <c r="N193" s="63"/>
      <c r="O193" s="63"/>
    </row>
    <row r="194" spans="2:15" ht="30" customHeight="1">
      <c r="B194" s="62" t="s">
        <v>480</v>
      </c>
      <c r="C194" s="63" t="s">
        <v>481</v>
      </c>
      <c r="D194" s="70" t="str">
        <f>_xlfn.XLOOKUP(B194,Table24[ActionID],Table24[Description],"")</f>
        <v>Planned relocation and retreat of people, assets, and activities from coastal hazard zones to reduce exposure and risks caused by sea-level rise and associated coastal hazards.</v>
      </c>
      <c r="E194" s="64" t="s">
        <v>1163</v>
      </c>
      <c r="F194" s="65" t="s">
        <v>1447</v>
      </c>
      <c r="G194" s="64" t="s">
        <v>1163</v>
      </c>
      <c r="H194" s="65" t="s">
        <v>1447</v>
      </c>
      <c r="I194" s="63"/>
      <c r="J194" s="63"/>
      <c r="K194" s="63"/>
      <c r="L194" s="63"/>
      <c r="M194" s="63"/>
      <c r="N194" s="63"/>
      <c r="O194" s="63"/>
    </row>
    <row r="195" spans="2:15" ht="15" customHeight="1">
      <c r="B195" s="62" t="s">
        <v>485</v>
      </c>
      <c r="C195" s="63" t="s">
        <v>486</v>
      </c>
      <c r="D195" s="70" t="str">
        <f>_xlfn.XLOOKUP(B195,Table24[ActionID],Table24[Description],"")</f>
        <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v>
      </c>
      <c r="E195" s="64" t="s">
        <v>1163</v>
      </c>
      <c r="F195" s="65" t="s">
        <v>1447</v>
      </c>
      <c r="G195" s="64" t="s">
        <v>1163</v>
      </c>
      <c r="H195" s="65" t="s">
        <v>1447</v>
      </c>
      <c r="I195" s="63"/>
      <c r="J195" s="63"/>
      <c r="K195" s="63"/>
      <c r="L195" s="63"/>
      <c r="M195" s="63"/>
      <c r="N195" s="63"/>
      <c r="O195" s="63"/>
    </row>
    <row r="196" spans="2:15" ht="30" customHeight="1">
      <c r="B196" s="62" t="s">
        <v>490</v>
      </c>
      <c r="C196" s="63" t="s">
        <v>491</v>
      </c>
      <c r="D196" s="70" t="str">
        <f>_xlfn.XLOOKUP(B196,Table24[ActionID],Table24[Description],"")</f>
        <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v>
      </c>
      <c r="E196" s="64" t="s">
        <v>1162</v>
      </c>
      <c r="F196" s="65" t="s">
        <v>1448</v>
      </c>
      <c r="G196" s="64" t="s">
        <v>1163</v>
      </c>
      <c r="H196" s="65" t="s">
        <v>1447</v>
      </c>
      <c r="I196" s="63"/>
      <c r="J196" s="63"/>
      <c r="K196" s="63"/>
      <c r="L196" s="63"/>
      <c r="M196" s="63"/>
      <c r="N196" s="63"/>
      <c r="O196" s="63"/>
    </row>
    <row r="197" spans="2:15" ht="15" customHeight="1">
      <c r="B197" s="62" t="s">
        <v>495</v>
      </c>
      <c r="C197" s="63" t="s">
        <v>496</v>
      </c>
      <c r="D197" s="70" t="str">
        <f>_xlfn.XLOOKUP(B197,Table24[ActionID],Table24[Description],"")</f>
        <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v>
      </c>
      <c r="E197" s="64" t="s">
        <v>1162</v>
      </c>
      <c r="F197" s="65" t="s">
        <v>1448</v>
      </c>
      <c r="G197" s="64" t="s">
        <v>1163</v>
      </c>
      <c r="H197" s="65" t="s">
        <v>1447</v>
      </c>
      <c r="I197" s="63"/>
      <c r="J197" s="63"/>
      <c r="K197" s="63"/>
      <c r="L197" s="63"/>
      <c r="M197" s="63"/>
      <c r="N197" s="63"/>
      <c r="O197" s="63"/>
    </row>
    <row r="198" spans="2:15" ht="15" customHeight="1">
      <c r="B198" s="62" t="s">
        <v>500</v>
      </c>
      <c r="C198" s="63" t="s">
        <v>501</v>
      </c>
      <c r="D198" s="70" t="str">
        <f>_xlfn.XLOOKUP(B198,Table24[ActionID],Table24[Description],"")</f>
        <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v>
      </c>
      <c r="E198" s="64" t="s">
        <v>1163</v>
      </c>
      <c r="F198" s="65" t="s">
        <v>1447</v>
      </c>
      <c r="G198" s="64" t="s">
        <v>1163</v>
      </c>
      <c r="H198" s="65" t="s">
        <v>1447</v>
      </c>
      <c r="I198" s="63"/>
      <c r="J198" s="63"/>
      <c r="K198" s="63"/>
      <c r="L198" s="63"/>
      <c r="M198" s="63"/>
      <c r="N198" s="63"/>
      <c r="O198" s="63"/>
    </row>
    <row r="199" spans="2:15" ht="15" customHeight="1">
      <c r="B199" s="62" t="s">
        <v>505</v>
      </c>
      <c r="C199" s="63" t="s">
        <v>506</v>
      </c>
      <c r="D199" s="70" t="str">
        <f>_xlfn.XLOOKUP(B199,Table24[ActionID],Table24[Description],"")</f>
        <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v>
      </c>
      <c r="E199" s="64" t="s">
        <v>1163</v>
      </c>
      <c r="F199" s="65" t="s">
        <v>1447</v>
      </c>
      <c r="G199" s="64" t="s">
        <v>1163</v>
      </c>
      <c r="H199" s="65" t="s">
        <v>1447</v>
      </c>
      <c r="I199" s="63"/>
      <c r="J199" s="63"/>
      <c r="K199" s="63"/>
      <c r="L199" s="63"/>
      <c r="M199" s="63"/>
      <c r="N199" s="63"/>
      <c r="O199" s="63"/>
    </row>
    <row r="200" spans="2:15" ht="15" customHeight="1">
      <c r="B200" s="62" t="s">
        <v>509</v>
      </c>
      <c r="C200" s="63" t="s">
        <v>510</v>
      </c>
      <c r="D200" s="70" t="str">
        <f>_xlfn.XLOOKUP(B200,Table24[ActionID],Table24[Description],"")</f>
        <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v>
      </c>
      <c r="E200" s="64" t="s">
        <v>1163</v>
      </c>
      <c r="F200" s="65" t="s">
        <v>1447</v>
      </c>
      <c r="G200" s="64" t="s">
        <v>1163</v>
      </c>
      <c r="H200" s="65" t="s">
        <v>1447</v>
      </c>
      <c r="I200" s="63"/>
      <c r="J200" s="63"/>
      <c r="K200" s="63"/>
      <c r="L200" s="63"/>
      <c r="M200" s="63"/>
      <c r="N200" s="63"/>
      <c r="O200" s="63"/>
    </row>
    <row r="201" spans="2:15" ht="15" customHeight="1">
      <c r="B201" s="62" t="s">
        <v>513</v>
      </c>
      <c r="C201" s="63" t="s">
        <v>514</v>
      </c>
      <c r="D201" s="70" t="str">
        <f>_xlfn.XLOOKUP(B201,Table24[ActionID],Table24[Description],"")</f>
        <v xml:space="preserve"> 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v>
      </c>
      <c r="E201" s="64" t="s">
        <v>1163</v>
      </c>
      <c r="F201" s="65" t="s">
        <v>1447</v>
      </c>
      <c r="G201" s="64" t="s">
        <v>1163</v>
      </c>
      <c r="H201" s="65" t="s">
        <v>1447</v>
      </c>
      <c r="I201" s="63"/>
      <c r="J201" s="63"/>
      <c r="K201" s="63"/>
      <c r="L201" s="63"/>
      <c r="M201" s="63"/>
      <c r="N201" s="63"/>
      <c r="O201" s="63"/>
    </row>
    <row r="202" spans="2:15" ht="30" customHeight="1">
      <c r="B202" s="62" t="s">
        <v>517</v>
      </c>
      <c r="C202" s="63" t="s">
        <v>518</v>
      </c>
      <c r="D202" s="70" t="str">
        <f>_xlfn.XLOOKUP(B202,Table24[ActionID],Table24[Description],"")</f>
        <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v>
      </c>
      <c r="E202" s="64" t="s">
        <v>1163</v>
      </c>
      <c r="F202" s="65" t="s">
        <v>1447</v>
      </c>
      <c r="G202" s="64" t="s">
        <v>1163</v>
      </c>
      <c r="H202" s="65" t="s">
        <v>1447</v>
      </c>
      <c r="I202" s="63"/>
      <c r="J202" s="63"/>
      <c r="K202" s="63"/>
      <c r="L202" s="63"/>
      <c r="M202" s="63"/>
      <c r="N202" s="63"/>
      <c r="O202" s="63"/>
    </row>
    <row r="203" spans="2:15" ht="15" customHeight="1">
      <c r="B203" s="62" t="s">
        <v>522</v>
      </c>
      <c r="C203" s="63" t="s">
        <v>523</v>
      </c>
      <c r="D203" s="70" t="str">
        <f>_xlfn.XLOOKUP(B203,Table24[ActionID],Table24[Description],"")</f>
        <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v>
      </c>
      <c r="E203" s="64" t="s">
        <v>1163</v>
      </c>
      <c r="F203" s="65" t="s">
        <v>1447</v>
      </c>
      <c r="G203" s="64" t="s">
        <v>1163</v>
      </c>
      <c r="H203" s="65" t="s">
        <v>1447</v>
      </c>
      <c r="I203" s="63"/>
      <c r="J203" s="63"/>
      <c r="K203" s="63"/>
      <c r="L203" s="63"/>
      <c r="M203" s="63"/>
      <c r="N203" s="63"/>
      <c r="O203" s="63"/>
    </row>
    <row r="204" spans="2:15" ht="15" customHeight="1">
      <c r="B204" s="62" t="s">
        <v>527</v>
      </c>
      <c r="C204" s="63" t="s">
        <v>528</v>
      </c>
      <c r="D204" s="70" t="str">
        <f>_xlfn.XLOOKUP(B204,Table24[ActionID],Table24[Description],"")</f>
        <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v>
      </c>
      <c r="E204" s="64" t="s">
        <v>1163</v>
      </c>
      <c r="F204" s="65" t="s">
        <v>1447</v>
      </c>
      <c r="G204" s="64" t="s">
        <v>1163</v>
      </c>
      <c r="H204" s="65" t="s">
        <v>1447</v>
      </c>
      <c r="I204" s="63"/>
      <c r="J204" s="63"/>
      <c r="K204" s="63"/>
      <c r="L204" s="63"/>
      <c r="M204" s="63"/>
      <c r="N204" s="63"/>
      <c r="O204" s="63"/>
    </row>
    <row r="205" spans="2:15" ht="30" customHeight="1">
      <c r="B205" s="62" t="s">
        <v>531</v>
      </c>
      <c r="C205" s="63" t="s">
        <v>532</v>
      </c>
      <c r="D205" s="70" t="str">
        <f>_xlfn.XLOOKUP(B205,Table24[ActionID],Table24[Description],"")</f>
        <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v>
      </c>
      <c r="E205" s="64" t="s">
        <v>1162</v>
      </c>
      <c r="F205" s="65" t="s">
        <v>1450</v>
      </c>
      <c r="G205" s="64" t="s">
        <v>1163</v>
      </c>
      <c r="H205" s="65" t="s">
        <v>1447</v>
      </c>
      <c r="I205" s="63"/>
      <c r="J205" s="63"/>
      <c r="K205" s="63"/>
      <c r="L205" s="63"/>
      <c r="M205" s="63"/>
      <c r="N205" s="63"/>
      <c r="O205" s="63"/>
    </row>
    <row r="206" spans="2:15" ht="30" customHeight="1">
      <c r="B206" s="62" t="s">
        <v>535</v>
      </c>
      <c r="C206" s="63" t="s">
        <v>536</v>
      </c>
      <c r="D206" s="70" t="str">
        <f>_xlfn.XLOOKUP(B206,Table24[ActionID],Table24[Description],"")</f>
        <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v>
      </c>
      <c r="E206" s="64" t="s">
        <v>1163</v>
      </c>
      <c r="F206" s="65" t="s">
        <v>1447</v>
      </c>
      <c r="G206" s="64" t="s">
        <v>1163</v>
      </c>
      <c r="H206" s="65" t="s">
        <v>1447</v>
      </c>
      <c r="I206" s="63"/>
      <c r="J206" s="63"/>
      <c r="K206" s="63"/>
      <c r="L206" s="63"/>
      <c r="M206" s="63"/>
      <c r="N206" s="63"/>
      <c r="O206" s="63"/>
    </row>
    <row r="207" spans="2:15" ht="45" customHeight="1">
      <c r="B207" s="62" t="s">
        <v>539</v>
      </c>
      <c r="C207" s="63" t="s">
        <v>540</v>
      </c>
      <c r="D207" s="70" t="str">
        <f>_xlfn.XLOOKUP(B207,Table24[ActionID],Table24[Description],"")</f>
        <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v>
      </c>
      <c r="E207" s="64" t="s">
        <v>1163</v>
      </c>
      <c r="F207" s="65" t="s">
        <v>1447</v>
      </c>
      <c r="G207" s="64" t="s">
        <v>1163</v>
      </c>
      <c r="H207" s="65" t="s">
        <v>1447</v>
      </c>
      <c r="I207" s="63"/>
      <c r="J207" s="63"/>
      <c r="K207" s="63"/>
      <c r="L207" s="63"/>
      <c r="M207" s="63"/>
      <c r="N207" s="63"/>
      <c r="O207" s="63"/>
    </row>
    <row r="208" spans="2:15" ht="15" customHeight="1">
      <c r="B208" s="62" t="s">
        <v>543</v>
      </c>
      <c r="C208" s="63" t="s">
        <v>544</v>
      </c>
      <c r="D208" s="70" t="str">
        <f>_xlfn.XLOOKUP(B208,Table24[ActionID],Table24[Description],"")</f>
        <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v>
      </c>
      <c r="E208" s="64" t="s">
        <v>1161</v>
      </c>
      <c r="F208" s="65" t="s">
        <v>1449</v>
      </c>
      <c r="G208" s="64" t="s">
        <v>1161</v>
      </c>
      <c r="H208" s="65" t="s">
        <v>1449</v>
      </c>
      <c r="I208" s="63"/>
      <c r="J208" s="63"/>
      <c r="K208" s="63"/>
      <c r="L208" s="63"/>
      <c r="M208" s="63"/>
      <c r="N208" s="63"/>
      <c r="O208" s="63"/>
    </row>
    <row r="209" spans="2:15" ht="15" customHeight="1">
      <c r="B209" s="62" t="s">
        <v>547</v>
      </c>
      <c r="C209" s="63" t="s">
        <v>548</v>
      </c>
      <c r="D209" s="70" t="str">
        <f>_xlfn.XLOOKUP(B209,Table24[ActionID],Table24[Description],"")</f>
        <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v>
      </c>
      <c r="E209" s="64" t="s">
        <v>1161</v>
      </c>
      <c r="F209" s="65" t="s">
        <v>1449</v>
      </c>
      <c r="G209" s="64" t="s">
        <v>1161</v>
      </c>
      <c r="H209" s="65" t="s">
        <v>1449</v>
      </c>
      <c r="I209" s="63"/>
      <c r="J209" s="63"/>
      <c r="K209" s="63"/>
      <c r="L209" s="63"/>
      <c r="M209" s="63"/>
      <c r="N209" s="63"/>
      <c r="O209" s="63"/>
    </row>
    <row r="210" spans="2:15" ht="15" customHeight="1">
      <c r="B210" s="62" t="s">
        <v>552</v>
      </c>
      <c r="C210" s="63" t="s">
        <v>553</v>
      </c>
      <c r="D210" s="70" t="str">
        <f>_xlfn.XLOOKUP(B210,Table24[ActionID],Table24[Description],"")</f>
        <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v>
      </c>
      <c r="E210" s="64" t="s">
        <v>1161</v>
      </c>
      <c r="F210" s="65" t="s">
        <v>1449</v>
      </c>
      <c r="G210" s="64" t="s">
        <v>1161</v>
      </c>
      <c r="H210" s="65" t="s">
        <v>1449</v>
      </c>
      <c r="I210" s="63"/>
      <c r="J210" s="63"/>
      <c r="K210" s="63"/>
      <c r="L210" s="63"/>
      <c r="M210" s="63"/>
      <c r="N210" s="63"/>
      <c r="O210" s="63"/>
    </row>
    <row r="211" spans="2:15" ht="30" customHeight="1">
      <c r="B211" s="62" t="s">
        <v>556</v>
      </c>
      <c r="C211" s="63" t="s">
        <v>557</v>
      </c>
      <c r="D211" s="70" t="str">
        <f>_xlfn.XLOOKUP(B211,Table24[ActionID],Table24[Description],"")</f>
        <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v>
      </c>
      <c r="E211" s="64" t="s">
        <v>1163</v>
      </c>
      <c r="F211" s="65" t="s">
        <v>1447</v>
      </c>
      <c r="G211" s="64" t="s">
        <v>1163</v>
      </c>
      <c r="H211" s="65" t="s">
        <v>1447</v>
      </c>
      <c r="I211" s="63"/>
      <c r="J211" s="63"/>
      <c r="K211" s="63"/>
      <c r="L211" s="63"/>
      <c r="M211" s="63"/>
      <c r="N211" s="63"/>
      <c r="O211" s="63"/>
    </row>
    <row r="212" spans="2:15" ht="15" customHeight="1">
      <c r="B212" s="62" t="s">
        <v>561</v>
      </c>
      <c r="C212" s="63" t="s">
        <v>562</v>
      </c>
      <c r="D212" s="70" t="str">
        <f>_xlfn.XLOOKUP(B212,Table24[ActionID],Table24[Description],"")</f>
        <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v>
      </c>
      <c r="E212" s="64" t="s">
        <v>1163</v>
      </c>
      <c r="F212" s="65" t="s">
        <v>1447</v>
      </c>
      <c r="G212" s="64" t="s">
        <v>1163</v>
      </c>
      <c r="H212" s="65" t="s">
        <v>1447</v>
      </c>
      <c r="I212" s="63"/>
      <c r="J212" s="63"/>
      <c r="K212" s="63"/>
      <c r="L212" s="63"/>
      <c r="M212" s="63"/>
      <c r="N212" s="63"/>
      <c r="O212" s="63"/>
    </row>
    <row r="213" spans="2:15" ht="30" customHeight="1">
      <c r="B213" s="62" t="s">
        <v>564</v>
      </c>
      <c r="C213" s="63" t="s">
        <v>565</v>
      </c>
      <c r="D213" s="70" t="str">
        <f>_xlfn.XLOOKUP(B213,Table24[ActionID],Table24[Description],"")</f>
        <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v>
      </c>
      <c r="E213" s="64" t="s">
        <v>1163</v>
      </c>
      <c r="F213" s="65" t="s">
        <v>1447</v>
      </c>
      <c r="G213" s="64" t="s">
        <v>1163</v>
      </c>
      <c r="H213" s="65" t="s">
        <v>1447</v>
      </c>
      <c r="I213" s="63"/>
      <c r="J213" s="63"/>
      <c r="K213" s="63"/>
      <c r="L213" s="63"/>
      <c r="M213" s="63"/>
      <c r="N213" s="63"/>
      <c r="O213" s="63"/>
    </row>
    <row r="216" spans="2:15" ht="21" customHeight="1">
      <c r="B216" s="138" t="s">
        <v>1270</v>
      </c>
      <c r="C216" s="138"/>
      <c r="D216" s="138"/>
      <c r="E216" s="138"/>
      <c r="F216" s="138"/>
      <c r="G216" s="138"/>
      <c r="H216" s="138"/>
      <c r="I216" s="138"/>
      <c r="J216" s="138"/>
      <c r="K216" s="138"/>
      <c r="L216" s="138"/>
      <c r="M216" s="138"/>
      <c r="N216" s="138"/>
      <c r="O216" s="138"/>
    </row>
    <row r="217" spans="2:15" ht="15" customHeight="1"/>
    <row r="218" spans="2:15" ht="15" customHeight="1">
      <c r="B218" s="139" t="s">
        <v>1267</v>
      </c>
      <c r="C218" s="139"/>
      <c r="D218" s="139"/>
      <c r="E218" s="139"/>
      <c r="F218" s="139"/>
      <c r="G218" s="139"/>
      <c r="H218" s="139"/>
      <c r="I218" s="139"/>
      <c r="J218" s="139"/>
      <c r="K218" s="139"/>
      <c r="L218" s="139"/>
      <c r="M218" s="139"/>
      <c r="N218" s="139"/>
      <c r="O218" s="139"/>
    </row>
    <row r="219" spans="2:15" ht="63" customHeight="1">
      <c r="B219" s="134" t="str" cm="1">
        <f t="array" ref="B219">_xlfn.TEXTJOIN(", ",TRUE,_xlfn.UNIQUE(_xlfn._xlws.FILTER(Table2[base_indicator_name],(Table2[sector_name]="Food security")*(Table2[risk_component_name]="Vulnerability"))))</f>
        <v>Susceptibility of agricultural productivity, Susceptibility of livestock productivity, Homogeneity of agricultural production, Irrigation susceptibility, Fire hotspots, Agriculture and water availability, Agricultural areas with low agricultural potential, Agricultural areas with soil susceptible to erosion, Water deficit, Vegetation cover losses, Investment in agrarian and environmental management policies, Harvest guarantee program, PRONAF coverage, cistern program, Proagro coverage plus, PSR coverage, Technical guidance, Associativism, Land ownership, Stability of agrarian conflicts, Storage capacity, Distance from warehouses, Diversity of revenues, Tractors in agricultural establishments, Potential for agricultural expansion in pasture areas, Average number of residents per household, Mothers who are heads of the family, Economically dependent population, Direct source water shortage, Compromised water quality, Ultra-processed food commercial establishments, Municipalities without a basic food supply network, Food and nutritional insecurity, Child malnutrition, Occurrence of diseases related to inadequate environmental sanitation, Overweight and obesity, Federal investment per capita, Food safety instruments, National school feeding program (PNAE), Food Acquisition Program (PAA), PAA suppliers classified as “traditional peoples and communities”, Cistern program service, Scope of the family allowance program, Equality in intra-household income distribution, Households with high per capita income</v>
      </c>
      <c r="C219" s="134"/>
      <c r="D219" s="134"/>
      <c r="E219" s="134"/>
      <c r="F219" s="134"/>
      <c r="G219" s="134"/>
      <c r="H219" s="134"/>
      <c r="I219" s="134"/>
      <c r="J219" s="134"/>
      <c r="K219" s="134"/>
      <c r="L219" s="134"/>
      <c r="M219" s="134"/>
      <c r="N219" s="134"/>
      <c r="O219" s="134"/>
    </row>
    <row r="220" spans="2:15" ht="15" customHeight="1"/>
    <row r="221" spans="2:15" ht="15" customHeight="1">
      <c r="B221" s="135" t="s">
        <v>1268</v>
      </c>
      <c r="C221" s="135"/>
      <c r="D221" s="135"/>
      <c r="E221" s="135"/>
      <c r="F221" s="135"/>
      <c r="G221" s="135"/>
      <c r="H221" s="135"/>
      <c r="I221" s="135"/>
      <c r="J221" s="135"/>
      <c r="K221" s="135"/>
      <c r="L221" s="135"/>
      <c r="M221" s="135"/>
      <c r="N221" s="135"/>
      <c r="O221" s="135"/>
    </row>
    <row r="222" spans="2:15" ht="25.8" customHeight="1">
      <c r="B222" s="136" t="str" cm="1">
        <f t="array" ref="B222">_xlfn.TEXTJOIN(", ",TRUE,_xlfn.UNIQUE(_xlfn._xlws.FILTER(Table2[base_indicator_name],(Table2[sector_name]="Food security")*(Table2[risk_component_name]="Exposure"))))</f>
        <v>Agriculture in the municipality’s economy, Area planted with agricultural crops, Area of ​​agricultural establishments with livestock, Establishments with family farming, Density of agricultural establishments, Population density, Total population</v>
      </c>
      <c r="C222" s="136"/>
      <c r="D222" s="136"/>
      <c r="E222" s="136"/>
      <c r="F222" s="136"/>
      <c r="G222" s="136"/>
      <c r="H222" s="136"/>
      <c r="I222" s="136"/>
      <c r="J222" s="136"/>
      <c r="K222" s="136"/>
      <c r="L222" s="136"/>
      <c r="M222" s="136"/>
      <c r="N222" s="136"/>
      <c r="O222" s="136"/>
    </row>
    <row r="223" spans="2:15" ht="15" customHeight="1"/>
    <row r="224" spans="2:15" ht="22.05" customHeight="1">
      <c r="B224" s="137" t="s">
        <v>1278</v>
      </c>
      <c r="C224" s="137"/>
      <c r="D224" s="137"/>
      <c r="E224" s="137"/>
      <c r="F224" s="137"/>
      <c r="G224" s="137"/>
      <c r="H224" s="137"/>
      <c r="I224" s="137"/>
      <c r="J224" s="137"/>
      <c r="K224" s="137"/>
      <c r="L224" s="137"/>
      <c r="M224" s="137"/>
      <c r="N224" s="137"/>
      <c r="O224" s="137"/>
    </row>
    <row r="225" spans="1:15" ht="15" customHeight="1">
      <c r="B225" s="125" t="s">
        <v>1299</v>
      </c>
      <c r="C225" s="125"/>
      <c r="D225" s="125"/>
      <c r="E225" s="125"/>
      <c r="F225" s="125"/>
      <c r="G225" s="125"/>
      <c r="H225" s="125"/>
      <c r="I225" s="125"/>
      <c r="J225" s="125"/>
      <c r="K225" s="125"/>
      <c r="L225" s="125"/>
      <c r="M225" s="125"/>
      <c r="N225" s="125"/>
      <c r="O225" s="125"/>
    </row>
    <row r="226" spans="1:15" ht="15" customHeight="1">
      <c r="B226" s="56"/>
      <c r="C226" s="56"/>
      <c r="D226" s="56"/>
      <c r="E226" s="56"/>
      <c r="F226" s="56"/>
      <c r="G226" s="56"/>
      <c r="H226" s="56"/>
      <c r="I226" s="56"/>
      <c r="J226" s="56"/>
      <c r="K226" s="56"/>
      <c r="L226" s="56"/>
      <c r="M226" s="56"/>
      <c r="N226" s="56"/>
      <c r="O226" s="56"/>
    </row>
    <row r="227" spans="1:15" ht="22.05" customHeight="1">
      <c r="B227" s="137" t="s">
        <v>1279</v>
      </c>
      <c r="C227" s="137"/>
      <c r="D227" s="137"/>
      <c r="E227" s="137"/>
      <c r="F227" s="137"/>
      <c r="G227" s="137"/>
      <c r="H227" s="137"/>
      <c r="I227" s="137"/>
      <c r="J227" s="137"/>
      <c r="K227" s="137"/>
      <c r="L227" s="137"/>
      <c r="M227" s="137"/>
      <c r="N227" s="137"/>
      <c r="O227" s="137"/>
    </row>
    <row r="228" spans="1:15" ht="34.799999999999997" customHeight="1">
      <c r="A228" s="71" t="s">
        <v>1296</v>
      </c>
      <c r="B228" s="127" t="s">
        <v>1284</v>
      </c>
      <c r="C228" s="127"/>
      <c r="D228" s="127"/>
      <c r="E228" s="127"/>
      <c r="F228" s="127"/>
      <c r="G228" s="127"/>
      <c r="H228" s="127"/>
      <c r="I228" s="127"/>
      <c r="J228" s="127"/>
      <c r="K228" s="127"/>
      <c r="L228" s="127"/>
      <c r="M228" s="127"/>
      <c r="N228" s="127"/>
      <c r="O228" s="127"/>
    </row>
    <row r="229" spans="1:15" ht="30" customHeight="1">
      <c r="B229" s="67" t="s">
        <v>1154</v>
      </c>
      <c r="C229" s="67"/>
      <c r="D229" s="67" t="s">
        <v>1280</v>
      </c>
      <c r="E229" s="67" t="s">
        <v>1281</v>
      </c>
      <c r="F229" s="67"/>
      <c r="G229" s="67"/>
      <c r="H229" s="133" t="s">
        <v>1282</v>
      </c>
      <c r="I229" s="133"/>
      <c r="J229" s="133"/>
      <c r="K229" s="133"/>
      <c r="L229" s="133"/>
      <c r="M229" s="133"/>
      <c r="N229" s="133"/>
      <c r="O229" s="133"/>
    </row>
    <row r="230" spans="1:15" ht="15" customHeight="1">
      <c r="B230" s="63" t="s">
        <v>1333</v>
      </c>
      <c r="C230" s="63"/>
      <c r="D230" s="66">
        <v>2023</v>
      </c>
      <c r="E230" s="65" t="s">
        <v>1334</v>
      </c>
      <c r="F230" s="66"/>
      <c r="G230" s="65"/>
      <c r="H230" s="128" t="s">
        <v>1335</v>
      </c>
      <c r="I230" s="129"/>
      <c r="J230" s="129"/>
      <c r="K230" s="129"/>
      <c r="L230" s="129"/>
      <c r="M230" s="129"/>
      <c r="N230" s="129"/>
      <c r="O230" s="130"/>
    </row>
    <row r="231" spans="1:15" ht="15" customHeight="1">
      <c r="B231" s="63" t="s">
        <v>1336</v>
      </c>
      <c r="C231" s="63"/>
      <c r="D231" s="66">
        <v>2024</v>
      </c>
      <c r="E231" s="65" t="s">
        <v>1337</v>
      </c>
      <c r="F231" s="66"/>
      <c r="G231" s="65"/>
      <c r="H231" s="128" t="s">
        <v>1338</v>
      </c>
      <c r="I231" s="129"/>
      <c r="J231" s="129"/>
      <c r="K231" s="129"/>
      <c r="L231" s="129"/>
      <c r="M231" s="129"/>
      <c r="N231" s="129"/>
      <c r="O231" s="130"/>
    </row>
    <row r="232" spans="1:15" ht="15" customHeight="1">
      <c r="B232" s="63" t="s">
        <v>1339</v>
      </c>
      <c r="C232" s="63"/>
      <c r="D232" s="66">
        <v>2021</v>
      </c>
      <c r="E232" s="65" t="s">
        <v>1340</v>
      </c>
      <c r="F232" s="66"/>
      <c r="G232" s="65"/>
      <c r="H232" s="128" t="s">
        <v>1341</v>
      </c>
      <c r="I232" s="129"/>
      <c r="J232" s="129"/>
      <c r="K232" s="129"/>
      <c r="L232" s="129"/>
      <c r="M232" s="129"/>
      <c r="N232" s="129"/>
      <c r="O232" s="130"/>
    </row>
    <row r="233" spans="1:15" ht="15" customHeight="1">
      <c r="B233" s="63" t="s">
        <v>1342</v>
      </c>
      <c r="C233" s="63"/>
      <c r="D233" s="66">
        <v>2025</v>
      </c>
      <c r="E233" s="65" t="s">
        <v>1343</v>
      </c>
      <c r="F233" s="66"/>
      <c r="G233" s="65"/>
      <c r="H233" s="128" t="s">
        <v>1344</v>
      </c>
      <c r="I233" s="129"/>
      <c r="J233" s="129"/>
      <c r="K233" s="129"/>
      <c r="L233" s="129"/>
      <c r="M233" s="129"/>
      <c r="N233" s="129"/>
      <c r="O233" s="130"/>
    </row>
    <row r="234" spans="1:15" ht="22.05" customHeight="1">
      <c r="B234" s="132" t="s">
        <v>1283</v>
      </c>
      <c r="C234" s="132"/>
      <c r="D234" s="132"/>
      <c r="E234" s="132"/>
      <c r="F234" s="132"/>
      <c r="G234" s="132"/>
      <c r="H234" s="132"/>
      <c r="I234" s="132"/>
      <c r="J234" s="132"/>
      <c r="K234" s="132"/>
      <c r="L234" s="132"/>
      <c r="M234" s="132"/>
      <c r="N234" s="132"/>
      <c r="O234" s="132"/>
    </row>
    <row r="235" spans="1:15" ht="32.549999999999997" customHeight="1">
      <c r="A235" s="71" t="s">
        <v>1297</v>
      </c>
      <c r="B235" s="127" t="s">
        <v>1285</v>
      </c>
      <c r="C235" s="127"/>
      <c r="D235" s="127"/>
      <c r="E235" s="127"/>
      <c r="F235" s="127"/>
      <c r="G235" s="127"/>
      <c r="H235" s="127"/>
      <c r="I235" s="127"/>
      <c r="J235" s="127"/>
      <c r="K235" s="127"/>
      <c r="L235" s="127"/>
      <c r="M235" s="127"/>
      <c r="N235" s="127"/>
      <c r="O235" s="127"/>
    </row>
    <row r="236" spans="1:15" ht="30" customHeight="1">
      <c r="B236" s="67" t="s">
        <v>1154</v>
      </c>
      <c r="C236" s="67"/>
      <c r="D236" s="67" t="s">
        <v>1280</v>
      </c>
      <c r="E236" s="67" t="s">
        <v>1281</v>
      </c>
      <c r="F236" s="67"/>
      <c r="G236" s="67"/>
      <c r="H236" s="133" t="s">
        <v>1282</v>
      </c>
      <c r="I236" s="133"/>
      <c r="J236" s="133"/>
      <c r="K236" s="133"/>
      <c r="L236" s="133"/>
      <c r="M236" s="133"/>
      <c r="N236" s="133"/>
      <c r="O236" s="133"/>
    </row>
    <row r="237" spans="1:15" ht="15" customHeight="1">
      <c r="B237" s="63" t="s">
        <v>1345</v>
      </c>
      <c r="C237" s="63"/>
      <c r="D237" s="66">
        <v>2022</v>
      </c>
      <c r="E237" s="65" t="s">
        <v>1346</v>
      </c>
      <c r="F237" s="66"/>
      <c r="G237" s="65"/>
      <c r="H237" s="128" t="s">
        <v>1347</v>
      </c>
      <c r="I237" s="129"/>
      <c r="J237" s="129"/>
      <c r="K237" s="129"/>
      <c r="L237" s="129"/>
      <c r="M237" s="129"/>
      <c r="N237" s="129"/>
      <c r="O237" s="130"/>
    </row>
    <row r="238" spans="1:15" ht="15" customHeight="1">
      <c r="B238" s="63" t="s">
        <v>1348</v>
      </c>
      <c r="C238" s="63"/>
      <c r="D238" s="66">
        <v>2015</v>
      </c>
      <c r="E238" s="65" t="s">
        <v>1349</v>
      </c>
      <c r="F238" s="66"/>
      <c r="G238" s="65"/>
      <c r="H238" s="128" t="s">
        <v>1350</v>
      </c>
      <c r="I238" s="129"/>
      <c r="J238" s="129"/>
      <c r="K238" s="129"/>
      <c r="L238" s="129"/>
      <c r="M238" s="129"/>
      <c r="N238" s="129"/>
      <c r="O238" s="130"/>
    </row>
    <row r="239" spans="1:15" ht="15" customHeight="1">
      <c r="B239" s="63" t="s">
        <v>1327</v>
      </c>
      <c r="C239" s="63"/>
      <c r="D239" s="66">
        <v>2011</v>
      </c>
      <c r="E239" s="65" t="s">
        <v>1351</v>
      </c>
      <c r="F239" s="66"/>
      <c r="G239" s="65"/>
      <c r="H239" s="128" t="s">
        <v>1352</v>
      </c>
      <c r="I239" s="129"/>
      <c r="J239" s="129"/>
      <c r="K239" s="129"/>
      <c r="L239" s="129"/>
      <c r="M239" s="129"/>
      <c r="N239" s="129"/>
      <c r="O239" s="130"/>
    </row>
    <row r="240" spans="1:15" ht="15" customHeight="1">
      <c r="B240" s="63" t="s">
        <v>1324</v>
      </c>
      <c r="C240" s="63"/>
      <c r="D240" s="66">
        <v>2023</v>
      </c>
      <c r="E240" s="65" t="s">
        <v>1353</v>
      </c>
      <c r="F240" s="66"/>
      <c r="G240" s="65"/>
      <c r="H240" s="128" t="s">
        <v>1354</v>
      </c>
      <c r="I240" s="129"/>
      <c r="J240" s="129"/>
      <c r="K240" s="129"/>
      <c r="L240" s="129"/>
      <c r="M240" s="129"/>
      <c r="N240" s="129"/>
      <c r="O240" s="130"/>
    </row>
    <row r="241" spans="1:15" ht="15" customHeight="1"/>
    <row r="242" spans="1:15" ht="22.05" customHeight="1">
      <c r="B242" s="131" t="s">
        <v>1295</v>
      </c>
      <c r="C242" s="131"/>
      <c r="D242" s="131"/>
      <c r="E242" s="131"/>
      <c r="F242" s="131"/>
      <c r="G242" s="131"/>
      <c r="H242" s="131"/>
      <c r="I242" s="131"/>
      <c r="J242" s="131"/>
      <c r="K242" s="131"/>
      <c r="L242" s="131"/>
      <c r="M242" s="131"/>
      <c r="N242" s="131"/>
      <c r="O242" s="131"/>
    </row>
    <row r="243" spans="1:15" ht="22.05" customHeight="1">
      <c r="B243" s="124" t="s">
        <v>1286</v>
      </c>
      <c r="C243" s="124"/>
      <c r="D243" s="124"/>
      <c r="E243" s="124"/>
      <c r="F243" s="124"/>
      <c r="G243" s="124"/>
      <c r="H243" s="124"/>
      <c r="I243" s="124"/>
      <c r="J243" s="124"/>
      <c r="K243" s="124"/>
      <c r="L243" s="124"/>
      <c r="M243" s="124"/>
      <c r="N243" s="124"/>
      <c r="O243" s="124"/>
    </row>
    <row r="244" spans="1:15" ht="15" customHeight="1">
      <c r="B244" s="125" t="s">
        <v>1300</v>
      </c>
      <c r="C244" s="125"/>
      <c r="D244" s="125"/>
      <c r="E244" s="125"/>
      <c r="F244" s="125"/>
      <c r="G244" s="125"/>
      <c r="H244" s="125"/>
      <c r="I244" s="125"/>
      <c r="J244" s="125"/>
      <c r="K244" s="125"/>
      <c r="L244" s="125"/>
      <c r="M244" s="125"/>
      <c r="N244" s="125"/>
      <c r="O244" s="125"/>
    </row>
    <row r="245" spans="1:15" ht="22.05" customHeight="1">
      <c r="B245" s="124" t="s">
        <v>1288</v>
      </c>
      <c r="C245" s="124"/>
      <c r="D245" s="124"/>
      <c r="E245" s="124"/>
      <c r="F245" s="124"/>
      <c r="G245" s="124"/>
      <c r="H245" s="124"/>
      <c r="I245" s="124"/>
      <c r="J245" s="124"/>
      <c r="K245" s="124"/>
      <c r="L245" s="124"/>
      <c r="M245" s="124"/>
      <c r="N245" s="124"/>
      <c r="O245" s="124"/>
    </row>
    <row r="246" spans="1:15" ht="15" customHeight="1">
      <c r="B246" s="125" t="s">
        <v>1289</v>
      </c>
      <c r="C246" s="125"/>
      <c r="D246" s="125"/>
      <c r="E246" s="125"/>
      <c r="F246" s="125"/>
      <c r="G246" s="125"/>
      <c r="H246" s="125"/>
      <c r="I246" s="125"/>
      <c r="J246" s="125"/>
      <c r="K246" s="125"/>
      <c r="L246" s="125"/>
      <c r="M246" s="125"/>
      <c r="N246" s="125"/>
      <c r="O246" s="125"/>
    </row>
    <row r="247" spans="1:15" ht="22.05" customHeight="1">
      <c r="B247" s="124" t="s">
        <v>1290</v>
      </c>
      <c r="C247" s="124"/>
      <c r="D247" s="124"/>
      <c r="E247" s="124"/>
      <c r="F247" s="124"/>
      <c r="G247" s="124"/>
      <c r="H247" s="124"/>
      <c r="I247" s="124"/>
      <c r="J247" s="124"/>
      <c r="K247" s="124"/>
      <c r="L247" s="124"/>
      <c r="M247" s="124"/>
      <c r="N247" s="124"/>
      <c r="O247" s="124"/>
    </row>
    <row r="248" spans="1:15" ht="15" customHeight="1">
      <c r="B248" s="125" t="s">
        <v>1291</v>
      </c>
      <c r="C248" s="125"/>
      <c r="D248" s="125"/>
      <c r="E248" s="125"/>
      <c r="F248" s="125"/>
      <c r="G248" s="125"/>
      <c r="H248" s="125"/>
      <c r="I248" s="125"/>
      <c r="J248" s="125"/>
      <c r="K248" s="125"/>
      <c r="L248" s="125"/>
      <c r="M248" s="125"/>
      <c r="N248" s="125"/>
      <c r="O248" s="125"/>
    </row>
    <row r="249" spans="1:15" ht="22.05" customHeight="1">
      <c r="B249" s="126" t="s">
        <v>1269</v>
      </c>
      <c r="C249" s="126"/>
      <c r="D249" s="126"/>
      <c r="E249" s="126"/>
      <c r="F249" s="126"/>
      <c r="G249" s="126"/>
      <c r="H249" s="126"/>
      <c r="I249" s="126"/>
      <c r="J249" s="126"/>
      <c r="K249" s="126"/>
      <c r="L249" s="126"/>
      <c r="M249" s="126"/>
      <c r="N249" s="126"/>
      <c r="O249" s="126"/>
    </row>
    <row r="250" spans="1:15" ht="66" customHeight="1">
      <c r="A250" s="71" t="s">
        <v>1298</v>
      </c>
      <c r="B250" s="127" t="s">
        <v>1292</v>
      </c>
      <c r="C250" s="127"/>
      <c r="D250" s="127"/>
      <c r="E250" s="127"/>
      <c r="F250" s="127"/>
      <c r="G250" s="127"/>
      <c r="H250" s="127"/>
      <c r="I250" s="127"/>
      <c r="J250" s="127"/>
      <c r="K250" s="127"/>
      <c r="L250" s="127"/>
      <c r="M250" s="127"/>
      <c r="N250" s="127"/>
      <c r="O250" s="127"/>
    </row>
    <row r="251" spans="1:15" ht="30" customHeight="1">
      <c r="B251" s="68" t="s">
        <v>310</v>
      </c>
      <c r="C251" s="68" t="s">
        <v>311</v>
      </c>
      <c r="D251" s="69" t="s">
        <v>1293</v>
      </c>
      <c r="E251" s="68" t="s">
        <v>33</v>
      </c>
      <c r="F251" s="68" t="s">
        <v>1277</v>
      </c>
      <c r="G251" s="68" t="s">
        <v>71</v>
      </c>
      <c r="H251" s="68" t="s">
        <v>1277</v>
      </c>
      <c r="I251" s="69"/>
      <c r="J251" s="69"/>
      <c r="K251" s="69"/>
      <c r="L251" s="69"/>
      <c r="M251" s="69"/>
      <c r="N251" s="69"/>
      <c r="O251" s="69"/>
    </row>
    <row r="252" spans="1:15" ht="15" customHeight="1">
      <c r="B252" s="62" t="s">
        <v>320</v>
      </c>
      <c r="C252" s="63" t="s">
        <v>321</v>
      </c>
      <c r="D252" s="70" t="str">
        <f>_xlfn.XLOOKUP(B252,Table24[ActionID],Table24[Description],"")</f>
        <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v>
      </c>
      <c r="E252" s="64" t="s">
        <v>1163</v>
      </c>
      <c r="F252" s="65" t="s">
        <v>1447</v>
      </c>
      <c r="G252" s="64" t="s">
        <v>1163</v>
      </c>
      <c r="H252" s="65" t="s">
        <v>1447</v>
      </c>
      <c r="I252" s="63"/>
      <c r="J252" s="63"/>
      <c r="K252" s="63"/>
      <c r="L252" s="63"/>
      <c r="M252" s="63"/>
      <c r="N252" s="63"/>
      <c r="O252" s="63"/>
    </row>
    <row r="253" spans="1:15" ht="15" customHeight="1">
      <c r="B253" s="62" t="s">
        <v>329</v>
      </c>
      <c r="C253" s="63" t="s">
        <v>330</v>
      </c>
      <c r="D253" s="70" t="str">
        <f>_xlfn.XLOOKUP(B253,Table24[ActionID],Table24[Description],"")</f>
        <v>"Upgrade urban drainage systems" involves eco-engineering solutions to enhance drainage systems, through capacity upgrade and network expansion. This adaptation measure aims to improve urban resilience by minimizing the impact of extreme weather events such as flooding.</v>
      </c>
      <c r="E253" s="64" t="s">
        <v>1163</v>
      </c>
      <c r="F253" s="65" t="s">
        <v>1447</v>
      </c>
      <c r="G253" s="64" t="s">
        <v>1163</v>
      </c>
      <c r="H253" s="65" t="s">
        <v>1447</v>
      </c>
      <c r="I253" s="63"/>
      <c r="J253" s="63"/>
      <c r="K253" s="63"/>
      <c r="L253" s="63"/>
      <c r="M253" s="63"/>
      <c r="N253" s="63"/>
      <c r="O253" s="63"/>
    </row>
    <row r="254" spans="1:15" ht="30" customHeight="1">
      <c r="B254" s="62" t="s">
        <v>335</v>
      </c>
      <c r="C254" s="63" t="s">
        <v>336</v>
      </c>
      <c r="D254" s="70" t="str">
        <f>_xlfn.XLOOKUP(B254,Table24[ActionID],Table24[Description],"")</f>
        <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v>
      </c>
      <c r="E254" s="64" t="s">
        <v>1163</v>
      </c>
      <c r="F254" s="65" t="s">
        <v>1447</v>
      </c>
      <c r="G254" s="64" t="s">
        <v>1163</v>
      </c>
      <c r="H254" s="65" t="s">
        <v>1447</v>
      </c>
      <c r="I254" s="63"/>
      <c r="J254" s="63"/>
      <c r="K254" s="63"/>
      <c r="L254" s="63"/>
      <c r="M254" s="63"/>
      <c r="N254" s="63"/>
      <c r="O254" s="63"/>
    </row>
    <row r="255" spans="1:15" ht="15" customHeight="1">
      <c r="B255" s="62" t="s">
        <v>341</v>
      </c>
      <c r="C255" s="63" t="s">
        <v>342</v>
      </c>
      <c r="D255" s="70" t="str">
        <f>_xlfn.XLOOKUP(B255,Table24[ActionID],Table24[Description],"")</f>
        <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v>
      </c>
      <c r="E255" s="64" t="s">
        <v>1163</v>
      </c>
      <c r="F255" s="65" t="s">
        <v>1447</v>
      </c>
      <c r="G255" s="64" t="s">
        <v>1163</v>
      </c>
      <c r="H255" s="65" t="s">
        <v>1447</v>
      </c>
      <c r="I255" s="63"/>
      <c r="J255" s="63"/>
      <c r="K255" s="63"/>
      <c r="L255" s="63"/>
      <c r="M255" s="63"/>
      <c r="N255" s="63"/>
      <c r="O255" s="63"/>
    </row>
    <row r="256" spans="1:15" ht="30" customHeight="1">
      <c r="B256" s="62" t="s">
        <v>346</v>
      </c>
      <c r="C256" s="63" t="s">
        <v>347</v>
      </c>
      <c r="D256" s="70" t="str">
        <f>_xlfn.XLOOKUP(B256,Table24[ActionID],Table24[Description],"")</f>
        <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v>
      </c>
      <c r="E256" s="64" t="s">
        <v>1163</v>
      </c>
      <c r="F256" s="65" t="s">
        <v>1447</v>
      </c>
      <c r="G256" s="64" t="s">
        <v>1163</v>
      </c>
      <c r="H256" s="65" t="s">
        <v>1447</v>
      </c>
      <c r="I256" s="63"/>
      <c r="J256" s="63"/>
      <c r="K256" s="63"/>
      <c r="L256" s="63"/>
      <c r="M256" s="63"/>
      <c r="N256" s="63"/>
      <c r="O256" s="63"/>
    </row>
    <row r="257" spans="2:15" ht="15" customHeight="1">
      <c r="B257" s="62" t="s">
        <v>349</v>
      </c>
      <c r="C257" s="63" t="s">
        <v>350</v>
      </c>
      <c r="D257" s="70" t="str">
        <f>_xlfn.XLOOKUP(B257,Table24[ActionID],Table24[Description],"")</f>
        <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v>
      </c>
      <c r="E257" s="64" t="s">
        <v>1163</v>
      </c>
      <c r="F257" s="65" t="s">
        <v>1447</v>
      </c>
      <c r="G257" s="64" t="s">
        <v>1163</v>
      </c>
      <c r="H257" s="65" t="s">
        <v>1447</v>
      </c>
      <c r="I257" s="63"/>
      <c r="J257" s="63"/>
      <c r="K257" s="63"/>
      <c r="L257" s="63"/>
      <c r="M257" s="63"/>
      <c r="N257" s="63"/>
      <c r="O257" s="63"/>
    </row>
    <row r="258" spans="2:15" ht="15" customHeight="1">
      <c r="B258" s="62" t="s">
        <v>355</v>
      </c>
      <c r="C258" s="63" t="s">
        <v>356</v>
      </c>
      <c r="D258" s="70" t="str">
        <f>_xlfn.XLOOKUP(B258,Table24[ActionID],Table24[Description],"")</f>
        <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v>
      </c>
      <c r="E258" s="64" t="s">
        <v>1163</v>
      </c>
      <c r="F258" s="65" t="s">
        <v>1447</v>
      </c>
      <c r="G258" s="64" t="s">
        <v>1163</v>
      </c>
      <c r="H258" s="65" t="s">
        <v>1447</v>
      </c>
      <c r="I258" s="63"/>
      <c r="J258" s="63"/>
      <c r="K258" s="63"/>
      <c r="L258" s="63"/>
      <c r="M258" s="63"/>
      <c r="N258" s="63"/>
      <c r="O258" s="63"/>
    </row>
    <row r="259" spans="2:15" ht="30" customHeight="1">
      <c r="B259" s="62" t="s">
        <v>360</v>
      </c>
      <c r="C259" s="63" t="s">
        <v>361</v>
      </c>
      <c r="D259" s="70" t="str">
        <f>_xlfn.XLOOKUP(B259,Table24[ActionID],Table24[Description],"")</f>
        <v>"Reform water tariffs to support efficiency and equity" involve pricing structures for water use, encouraging conservation and efficient use of water resources. This initiative aims to promote responsible water consumption and contribute to sustainable water management.</v>
      </c>
      <c r="E259" s="64" t="s">
        <v>1163</v>
      </c>
      <c r="F259" s="65" t="s">
        <v>1447</v>
      </c>
      <c r="G259" s="64" t="s">
        <v>1163</v>
      </c>
      <c r="H259" s="65" t="s">
        <v>1447</v>
      </c>
      <c r="I259" s="63"/>
      <c r="J259" s="63"/>
      <c r="K259" s="63"/>
      <c r="L259" s="63"/>
      <c r="M259" s="63"/>
      <c r="N259" s="63"/>
      <c r="O259" s="63"/>
    </row>
    <row r="260" spans="2:15" ht="30" customHeight="1">
      <c r="B260" s="62" t="s">
        <v>364</v>
      </c>
      <c r="C260" s="63" t="s">
        <v>365</v>
      </c>
      <c r="D260" s="70" t="str">
        <f>_xlfn.XLOOKUP(B260,Table24[ActionID],Table24[Description],"")</f>
        <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v>
      </c>
      <c r="E260" s="64" t="s">
        <v>1163</v>
      </c>
      <c r="F260" s="65" t="s">
        <v>1447</v>
      </c>
      <c r="G260" s="64" t="s">
        <v>1163</v>
      </c>
      <c r="H260" s="65" t="s">
        <v>1447</v>
      </c>
      <c r="I260" s="63"/>
      <c r="J260" s="63"/>
      <c r="K260" s="63"/>
      <c r="L260" s="63"/>
      <c r="M260" s="63"/>
      <c r="N260" s="63"/>
      <c r="O260" s="63"/>
    </row>
    <row r="261" spans="2:15" ht="30" customHeight="1">
      <c r="B261" s="62" t="s">
        <v>369</v>
      </c>
      <c r="C261" s="63" t="s">
        <v>370</v>
      </c>
      <c r="D261" s="70" t="str">
        <f>_xlfn.XLOOKUP(B261,Table24[ActionID],Table24[Description],"")</f>
        <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v>
      </c>
      <c r="E261" s="64" t="s">
        <v>1163</v>
      </c>
      <c r="F261" s="65" t="s">
        <v>1447</v>
      </c>
      <c r="G261" s="64" t="s">
        <v>1163</v>
      </c>
      <c r="H261" s="65" t="s">
        <v>1447</v>
      </c>
      <c r="I261" s="63"/>
      <c r="J261" s="63"/>
      <c r="K261" s="63"/>
      <c r="L261" s="63"/>
      <c r="M261" s="63"/>
      <c r="N261" s="63"/>
      <c r="O261" s="63"/>
    </row>
    <row r="262" spans="2:15" ht="30" customHeight="1">
      <c r="B262" s="62" t="s">
        <v>375</v>
      </c>
      <c r="C262" s="63" t="s">
        <v>376</v>
      </c>
      <c r="D262" s="70" t="str">
        <f>_xlfn.XLOOKUP(B262,Table24[ActionID],Table24[Description],"")</f>
        <v>Cleaning and unclogging channels in the city to reduce the risk of flooding caused by extreme rainfall events. Installation of eco-barriers to assist in cleaning efforts and raise awareness about solid waste.</v>
      </c>
      <c r="E262" s="64" t="s">
        <v>1163</v>
      </c>
      <c r="F262" s="65" t="s">
        <v>1447</v>
      </c>
      <c r="G262" s="64" t="s">
        <v>1163</v>
      </c>
      <c r="H262" s="65" t="s">
        <v>1447</v>
      </c>
      <c r="I262" s="63"/>
      <c r="J262" s="63"/>
      <c r="K262" s="63"/>
      <c r="L262" s="63"/>
      <c r="M262" s="63"/>
      <c r="N262" s="63"/>
      <c r="O262" s="63"/>
    </row>
    <row r="263" spans="2:15" ht="15" customHeight="1">
      <c r="B263" s="62" t="s">
        <v>379</v>
      </c>
      <c r="C263" s="63" t="s">
        <v>380</v>
      </c>
      <c r="D263" s="70" t="str">
        <f>_xlfn.XLOOKUP(B263,Table24[ActionID],Table24[Description],"")</f>
        <v>Identify and assess the feasibility of suitable areas for the installation of urban gardens and ensure that the sites chosen meet the expectations of the community.</v>
      </c>
      <c r="E263" s="64" t="s">
        <v>1163</v>
      </c>
      <c r="F263" s="65" t="s">
        <v>1447</v>
      </c>
      <c r="G263" s="64" t="s">
        <v>1163</v>
      </c>
      <c r="H263" s="65" t="s">
        <v>1447</v>
      </c>
      <c r="I263" s="63"/>
      <c r="J263" s="63"/>
      <c r="K263" s="63"/>
      <c r="L263" s="63"/>
      <c r="M263" s="63"/>
      <c r="N263" s="63"/>
      <c r="O263" s="63"/>
    </row>
    <row r="264" spans="2:15" ht="45" customHeight="1">
      <c r="B264" s="62" t="s">
        <v>384</v>
      </c>
      <c r="C264" s="63" t="s">
        <v>385</v>
      </c>
      <c r="D264" s="70" t="str">
        <f>_xlfn.XLOOKUP(B264,Table24[ActionID],Table24[Description],"")</f>
        <v>Establish more mechanisms that enable better intersectoral coordination and public participation in climate policy, including the creation of working groups with neighboring municipalities to discuss a common climate agenda.</v>
      </c>
      <c r="E264" s="64" t="s">
        <v>1163</v>
      </c>
      <c r="F264" s="65" t="s">
        <v>1447</v>
      </c>
      <c r="G264" s="64" t="s">
        <v>1163</v>
      </c>
      <c r="H264" s="65" t="s">
        <v>1447</v>
      </c>
      <c r="I264" s="63"/>
      <c r="J264" s="63"/>
      <c r="K264" s="63"/>
      <c r="L264" s="63"/>
      <c r="M264" s="63"/>
      <c r="N264" s="63"/>
      <c r="O264" s="63"/>
    </row>
    <row r="265" spans="2:15" ht="30" customHeight="1">
      <c r="B265" s="62" t="s">
        <v>388</v>
      </c>
      <c r="C265" s="63" t="s">
        <v>389</v>
      </c>
      <c r="D265" s="70" t="str">
        <f>_xlfn.XLOOKUP(B265,Table24[ActionID],Table24[Description],"")</f>
        <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v>
      </c>
      <c r="E265" s="64" t="s">
        <v>1163</v>
      </c>
      <c r="F265" s="65" t="s">
        <v>1447</v>
      </c>
      <c r="G265" s="64" t="s">
        <v>1163</v>
      </c>
      <c r="H265" s="65" t="s">
        <v>1447</v>
      </c>
      <c r="I265" s="63"/>
      <c r="J265" s="63"/>
      <c r="K265" s="63"/>
      <c r="L265" s="63"/>
      <c r="M265" s="63"/>
      <c r="N265" s="63"/>
      <c r="O265" s="63"/>
    </row>
    <row r="266" spans="2:15" ht="15" customHeight="1">
      <c r="B266" s="62" t="s">
        <v>393</v>
      </c>
      <c r="C266" s="63" t="s">
        <v>394</v>
      </c>
      <c r="D266" s="70" t="str">
        <f>_xlfn.XLOOKUP(B266,Table24[ActionID],Table24[Description],"")</f>
        <v>Creation of a First Response Brigade in rural communities to provide them with training and equipment for fire prevention and firefighting.</v>
      </c>
      <c r="E266" s="64" t="s">
        <v>1162</v>
      </c>
      <c r="F266" s="65" t="s">
        <v>1453</v>
      </c>
      <c r="G266" s="64" t="s">
        <v>1163</v>
      </c>
      <c r="H266" s="65" t="s">
        <v>1447</v>
      </c>
      <c r="I266" s="63"/>
      <c r="J266" s="63"/>
      <c r="K266" s="63"/>
      <c r="L266" s="63"/>
      <c r="M266" s="63"/>
      <c r="N266" s="63"/>
      <c r="O266" s="63"/>
    </row>
    <row r="267" spans="2:15" ht="30" customHeight="1">
      <c r="B267" s="62" t="s">
        <v>398</v>
      </c>
      <c r="C267" s="63" t="s">
        <v>399</v>
      </c>
      <c r="D267" s="70" t="str">
        <f>_xlfn.XLOOKUP(B267,Table24[ActionID],Table24[Description],"")</f>
        <v>Implementation of a hydrological monitoring system with telemetry stations to monitor rainfall, water levels, and meteorological variables in real-time.</v>
      </c>
      <c r="E267" s="64" t="s">
        <v>1163</v>
      </c>
      <c r="F267" s="65" t="s">
        <v>1447</v>
      </c>
      <c r="G267" s="64" t="s">
        <v>1163</v>
      </c>
      <c r="H267" s="65" t="s">
        <v>1447</v>
      </c>
      <c r="I267" s="63"/>
      <c r="J267" s="63"/>
      <c r="K267" s="63"/>
      <c r="L267" s="63"/>
      <c r="M267" s="63"/>
      <c r="N267" s="63"/>
      <c r="O267" s="63"/>
    </row>
    <row r="268" spans="2:15" ht="15" customHeight="1">
      <c r="B268" s="62" t="s">
        <v>404</v>
      </c>
      <c r="C268" s="63" t="s">
        <v>405</v>
      </c>
      <c r="D268" s="70" t="str">
        <f>_xlfn.XLOOKUP(B268,Table24[ActionID],Table24[Description],"")</f>
        <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v>
      </c>
      <c r="E268" s="64" t="s">
        <v>1163</v>
      </c>
      <c r="F268" s="65" t="s">
        <v>1447</v>
      </c>
      <c r="G268" s="64" t="s">
        <v>1163</v>
      </c>
      <c r="H268" s="65" t="s">
        <v>1447</v>
      </c>
      <c r="I268" s="63"/>
      <c r="J268" s="63"/>
      <c r="K268" s="63"/>
      <c r="L268" s="63"/>
      <c r="M268" s="63"/>
      <c r="N268" s="63"/>
      <c r="O268" s="63"/>
    </row>
    <row r="269" spans="2:15" ht="45" customHeight="1">
      <c r="B269" s="62" t="s">
        <v>408</v>
      </c>
      <c r="C269" s="63" t="s">
        <v>409</v>
      </c>
      <c r="D269" s="70" t="str">
        <f>_xlfn.XLOOKUP(B269,Table24[ActionID],Table24[Description],"")</f>
        <v>This action focuses on preparing the municipality to respond to extreme events, aiming to provide a rapid response that minimizes the impacts on the population.</v>
      </c>
      <c r="E269" s="64" t="s">
        <v>1163</v>
      </c>
      <c r="F269" s="65" t="s">
        <v>1447</v>
      </c>
      <c r="G269" s="64" t="s">
        <v>1163</v>
      </c>
      <c r="H269" s="65" t="s">
        <v>1447</v>
      </c>
      <c r="I269" s="63"/>
      <c r="J269" s="63"/>
      <c r="K269" s="63"/>
      <c r="L269" s="63"/>
      <c r="M269" s="63"/>
      <c r="N269" s="63"/>
      <c r="O269" s="63"/>
    </row>
    <row r="270" spans="2:15" ht="45" customHeight="1">
      <c r="B270" s="62" t="s">
        <v>412</v>
      </c>
      <c r="C270" s="63" t="s">
        <v>413</v>
      </c>
      <c r="D270" s="70" t="str">
        <f>_xlfn.XLOOKUP(B270,Table24[ActionID],Table24[Description],"")</f>
        <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v>
      </c>
      <c r="E270" s="64" t="s">
        <v>1163</v>
      </c>
      <c r="F270" s="65" t="s">
        <v>1447</v>
      </c>
      <c r="G270" s="64" t="s">
        <v>1163</v>
      </c>
      <c r="H270" s="65" t="s">
        <v>1447</v>
      </c>
      <c r="I270" s="63"/>
      <c r="J270" s="63"/>
      <c r="K270" s="63"/>
      <c r="L270" s="63"/>
      <c r="M270" s="63"/>
      <c r="N270" s="63"/>
      <c r="O270" s="63"/>
    </row>
    <row r="271" spans="2:15" ht="30" customHeight="1">
      <c r="B271" s="62" t="s">
        <v>417</v>
      </c>
      <c r="C271" s="63" t="s">
        <v>418</v>
      </c>
      <c r="D271" s="70" t="str">
        <f>_xlfn.XLOOKUP(B271,Table24[ActionID],Table24[Description],"")</f>
        <v>This action aims to expand the procedures related to the existing climate risk forecasting, monitoring, and alert system in the municipality.</v>
      </c>
      <c r="E271" s="64" t="s">
        <v>1163</v>
      </c>
      <c r="F271" s="65" t="s">
        <v>1447</v>
      </c>
      <c r="G271" s="64" t="s">
        <v>1163</v>
      </c>
      <c r="H271" s="65" t="s">
        <v>1447</v>
      </c>
      <c r="I271" s="63"/>
      <c r="J271" s="63"/>
      <c r="K271" s="63"/>
      <c r="L271" s="63"/>
      <c r="M271" s="63"/>
      <c r="N271" s="63"/>
      <c r="O271" s="63"/>
    </row>
    <row r="272" spans="2:15" ht="45" customHeight="1">
      <c r="B272" s="62" t="s">
        <v>423</v>
      </c>
      <c r="C272" s="63" t="s">
        <v>424</v>
      </c>
      <c r="D272" s="70" t="str">
        <f>_xlfn.XLOOKUP(B272,Table24[ActionID],Table24[Description],"")</f>
        <v>This action aims to strengthen the development of the Municipal Risk Reduction Plan (PMRR) in the municipality, as it is a highly relevant tool for managing climate risks, especially river floods and landslides.</v>
      </c>
      <c r="E272" s="64" t="s">
        <v>1163</v>
      </c>
      <c r="F272" s="65" t="s">
        <v>1447</v>
      </c>
      <c r="G272" s="64" t="s">
        <v>1163</v>
      </c>
      <c r="H272" s="65" t="s">
        <v>1447</v>
      </c>
      <c r="I272" s="63"/>
      <c r="J272" s="63"/>
      <c r="K272" s="63"/>
      <c r="L272" s="63"/>
      <c r="M272" s="63"/>
      <c r="N272" s="63"/>
      <c r="O272" s="63"/>
    </row>
    <row r="273" spans="2:15" ht="15" customHeight="1">
      <c r="B273" s="62" t="s">
        <v>427</v>
      </c>
      <c r="C273" s="63" t="s">
        <v>428</v>
      </c>
      <c r="D273" s="70" t="str">
        <f>_xlfn.XLOOKUP(B273,Table24[ActionID],Table24[Description],"")</f>
        <v>Regular upkeep and cleaning of urban drainage systems, including storm drains, sewers, and retention basins, to ensure efficient water flow and prevent blockages that can lead to flooding during heavy rainfall events.</v>
      </c>
      <c r="E273" s="64" t="s">
        <v>1163</v>
      </c>
      <c r="F273" s="65" t="s">
        <v>1447</v>
      </c>
      <c r="G273" s="64" t="s">
        <v>1163</v>
      </c>
      <c r="H273" s="65" t="s">
        <v>1447</v>
      </c>
      <c r="I273" s="63"/>
      <c r="J273" s="63"/>
      <c r="K273" s="63"/>
      <c r="L273" s="63"/>
      <c r="M273" s="63"/>
      <c r="N273" s="63"/>
      <c r="O273" s="63"/>
    </row>
    <row r="274" spans="2:15" ht="15" customHeight="1">
      <c r="B274" s="62" t="s">
        <v>432</v>
      </c>
      <c r="C274" s="63" t="s">
        <v>433</v>
      </c>
      <c r="D274" s="70" t="str">
        <f>_xlfn.XLOOKUP(B274,Table24[ActionID],Table24[Description],"")</f>
        <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v>
      </c>
      <c r="E274" s="64" t="s">
        <v>1163</v>
      </c>
      <c r="F274" s="65" t="s">
        <v>1447</v>
      </c>
      <c r="G274" s="64" t="s">
        <v>1163</v>
      </c>
      <c r="H274" s="65" t="s">
        <v>1447</v>
      </c>
      <c r="I274" s="63"/>
      <c r="J274" s="63"/>
      <c r="K274" s="63"/>
      <c r="L274" s="63"/>
      <c r="M274" s="63"/>
      <c r="N274" s="63"/>
      <c r="O274" s="63"/>
    </row>
    <row r="275" spans="2:15" ht="30" customHeight="1">
      <c r="B275" s="62" t="s">
        <v>436</v>
      </c>
      <c r="C275" s="63" t="s">
        <v>437</v>
      </c>
      <c r="D275" s="70" t="str">
        <f>_xlfn.XLOOKUP(B275,Table24[ActionID],Table24[Description],"")</f>
        <v>Mapping of critical flood-prone areas with the aim of revising and harmonizing legislation related to land use, given the intensification of the impacts of extreme weather events.</v>
      </c>
      <c r="E275" s="64" t="s">
        <v>1163</v>
      </c>
      <c r="F275" s="65" t="s">
        <v>1447</v>
      </c>
      <c r="G275" s="64" t="s">
        <v>1163</v>
      </c>
      <c r="H275" s="65" t="s">
        <v>1447</v>
      </c>
      <c r="I275" s="63"/>
      <c r="J275" s="63"/>
      <c r="K275" s="63"/>
      <c r="L275" s="63"/>
      <c r="M275" s="63"/>
      <c r="N275" s="63"/>
      <c r="O275" s="63"/>
    </row>
    <row r="276" spans="2:15" ht="15" customHeight="1">
      <c r="B276" s="62" t="s">
        <v>440</v>
      </c>
      <c r="C276" s="63" t="s">
        <v>441</v>
      </c>
      <c r="D276" s="70" t="str">
        <f>_xlfn.XLOOKUP(B276,Table24[ActionID],Table24[Description],"")</f>
        <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v>
      </c>
      <c r="E276" s="64" t="s">
        <v>1163</v>
      </c>
      <c r="F276" s="65" t="s">
        <v>1447</v>
      </c>
      <c r="G276" s="64" t="s">
        <v>1163</v>
      </c>
      <c r="H276" s="65" t="s">
        <v>1447</v>
      </c>
      <c r="I276" s="63"/>
      <c r="J276" s="63"/>
      <c r="K276" s="63"/>
      <c r="L276" s="63"/>
      <c r="M276" s="63"/>
      <c r="N276" s="63"/>
      <c r="O276" s="63"/>
    </row>
    <row r="277" spans="2:15" ht="15" customHeight="1">
      <c r="B277" s="62" t="s">
        <v>444</v>
      </c>
      <c r="C277" s="63" t="s">
        <v>445</v>
      </c>
      <c r="D277" s="70" t="str">
        <f>_xlfn.XLOOKUP(B277,Table24[ActionID],Table24[Description],"")</f>
        <v>A comprehensive project addressing the socio-environmental vulnerability of an informal settlement. It includes relocating residents from flood-prone areas, restoring the environment, and providing infrastructure and social services.</v>
      </c>
      <c r="E277" s="64" t="s">
        <v>1163</v>
      </c>
      <c r="F277" s="65" t="s">
        <v>1447</v>
      </c>
      <c r="G277" s="64" t="s">
        <v>1163</v>
      </c>
      <c r="H277" s="65" t="s">
        <v>1447</v>
      </c>
      <c r="I277" s="63"/>
      <c r="J277" s="63"/>
      <c r="K277" s="63"/>
      <c r="L277" s="63"/>
      <c r="M277" s="63"/>
      <c r="N277" s="63"/>
      <c r="O277" s="63"/>
    </row>
    <row r="278" spans="2:15" ht="15" customHeight="1">
      <c r="B278" s="62" t="s">
        <v>449</v>
      </c>
      <c r="C278" s="63" t="s">
        <v>450</v>
      </c>
      <c r="D278" s="70" t="str">
        <f>_xlfn.XLOOKUP(B278,Table24[ActionID],Table24[Description],"")</f>
        <v>This action focuses on expanding green areas in the city through urban afforestation. This includes planting trees in sidewalks, squares, public buildings, and schools, as well as creating ecological parks to revitalize watercourses and/or restore forests.</v>
      </c>
      <c r="E278" s="64" t="s">
        <v>1163</v>
      </c>
      <c r="F278" s="65" t="s">
        <v>1447</v>
      </c>
      <c r="G278" s="64" t="s">
        <v>1163</v>
      </c>
      <c r="H278" s="65" t="s">
        <v>1447</v>
      </c>
      <c r="I278" s="63"/>
      <c r="J278" s="63"/>
      <c r="K278" s="63"/>
      <c r="L278" s="63"/>
      <c r="M278" s="63"/>
      <c r="N278" s="63"/>
      <c r="O278" s="63"/>
    </row>
    <row r="279" spans="2:15" ht="30" customHeight="1">
      <c r="B279" s="62" t="s">
        <v>453</v>
      </c>
      <c r="C279" s="63" t="s">
        <v>454</v>
      </c>
      <c r="D279" s="70" t="str">
        <f>_xlfn.XLOOKUP(B279,Table24[ActionID],Table24[Description],"")</f>
        <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v>
      </c>
      <c r="E279" s="64" t="s">
        <v>1163</v>
      </c>
      <c r="F279" s="65" t="s">
        <v>1447</v>
      </c>
      <c r="G279" s="64" t="s">
        <v>1163</v>
      </c>
      <c r="H279" s="65" t="s">
        <v>1447</v>
      </c>
      <c r="I279" s="63"/>
      <c r="J279" s="63"/>
      <c r="K279" s="63"/>
      <c r="L279" s="63"/>
      <c r="M279" s="63"/>
      <c r="N279" s="63"/>
      <c r="O279" s="63"/>
    </row>
    <row r="280" spans="2:15" ht="15" customHeight="1">
      <c r="B280" s="62" t="s">
        <v>457</v>
      </c>
      <c r="C280" s="63" t="s">
        <v>458</v>
      </c>
      <c r="D280" s="70" t="str">
        <f>_xlfn.XLOOKUP(B280,Table24[ActionID],Table24[Description],"")</f>
        <v>This action involves stabilizing slopes and maintaining or restoring drainage systems in hillside areas. This helps to prevent landslides and erosion, reducing the risk of disasters.</v>
      </c>
      <c r="E280" s="64" t="s">
        <v>1163</v>
      </c>
      <c r="F280" s="65" t="s">
        <v>1447</v>
      </c>
      <c r="G280" s="64" t="s">
        <v>1163</v>
      </c>
      <c r="H280" s="65" t="s">
        <v>1447</v>
      </c>
      <c r="I280" s="63"/>
      <c r="J280" s="63"/>
      <c r="K280" s="63"/>
      <c r="L280" s="63"/>
      <c r="M280" s="63"/>
      <c r="N280" s="63"/>
      <c r="O280" s="63"/>
    </row>
    <row r="281" spans="2:15" ht="30" customHeight="1">
      <c r="B281" s="62" t="s">
        <v>461</v>
      </c>
      <c r="C281" s="63" t="s">
        <v>462</v>
      </c>
      <c r="D281" s="70" t="str">
        <f>_xlfn.XLOOKUP(B281,Table24[ActionID],Table24[Description],"")</f>
        <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v>
      </c>
      <c r="E281" s="64" t="s">
        <v>1163</v>
      </c>
      <c r="F281" s="65" t="s">
        <v>1447</v>
      </c>
      <c r="G281" s="64" t="s">
        <v>1163</v>
      </c>
      <c r="H281" s="65" t="s">
        <v>1447</v>
      </c>
      <c r="I281" s="63"/>
      <c r="J281" s="63"/>
      <c r="K281" s="63"/>
      <c r="L281" s="63"/>
      <c r="M281" s="63"/>
      <c r="N281" s="63"/>
      <c r="O281" s="63"/>
    </row>
    <row r="282" spans="2:15" ht="15" customHeight="1">
      <c r="B282" s="62" t="s">
        <v>466</v>
      </c>
      <c r="C282" s="63" t="s">
        <v>467</v>
      </c>
      <c r="D282" s="70" t="str">
        <f>_xlfn.XLOOKUP(B282,Table24[ActionID],Table24[Description],"")</f>
        <v>This action describes the implementation of an integrated coastal zone management plan to promote sustainable development and address the impacts of climate change in coastal areas. It includes measures to mitigate the impacts of sea-level rise and coastal erosion.</v>
      </c>
      <c r="E282" s="64" t="s">
        <v>1163</v>
      </c>
      <c r="F282" s="65" t="s">
        <v>1447</v>
      </c>
      <c r="G282" s="64" t="s">
        <v>1163</v>
      </c>
      <c r="H282" s="65" t="s">
        <v>1447</v>
      </c>
      <c r="I282" s="63"/>
      <c r="J282" s="63"/>
      <c r="K282" s="63"/>
      <c r="L282" s="63"/>
      <c r="M282" s="63"/>
      <c r="N282" s="63"/>
      <c r="O282" s="63"/>
    </row>
    <row r="283" spans="2:15" ht="60" customHeight="1">
      <c r="B283" s="62" t="s">
        <v>471</v>
      </c>
      <c r="C283" s="63" t="s">
        <v>472</v>
      </c>
      <c r="D283" s="70" t="str">
        <f>_xlfn.XLOOKUP(B283,Table24[ActionID],Table24[Description],"")</f>
        <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v>
      </c>
      <c r="E283" s="64" t="s">
        <v>1163</v>
      </c>
      <c r="F283" s="65" t="s">
        <v>1447</v>
      </c>
      <c r="G283" s="64" t="s">
        <v>1163</v>
      </c>
      <c r="H283" s="65" t="s">
        <v>1447</v>
      </c>
      <c r="I283" s="63"/>
      <c r="J283" s="63"/>
      <c r="K283" s="63"/>
      <c r="L283" s="63"/>
      <c r="M283" s="63"/>
      <c r="N283" s="63"/>
      <c r="O283" s="63"/>
    </row>
    <row r="284" spans="2:15" ht="15" customHeight="1">
      <c r="B284" s="62" t="s">
        <v>475</v>
      </c>
      <c r="C284" s="63" t="s">
        <v>476</v>
      </c>
      <c r="D284" s="70" t="str">
        <f>_xlfn.XLOOKUP(B284,Table24[ActionID],Table24[Description],"")</f>
        <v>The implementation of green roofs and green walls mitigates urban heat island effects, improves thermal comfort, reduces energy demand in buildings, manages stormwater, and enhances urban livability and biodiversity.</v>
      </c>
      <c r="E284" s="64" t="s">
        <v>1163</v>
      </c>
      <c r="F284" s="65" t="s">
        <v>1447</v>
      </c>
      <c r="G284" s="64" t="s">
        <v>1163</v>
      </c>
      <c r="H284" s="65" t="s">
        <v>1447</v>
      </c>
      <c r="I284" s="63"/>
      <c r="J284" s="63"/>
      <c r="K284" s="63"/>
      <c r="L284" s="63"/>
      <c r="M284" s="63"/>
      <c r="N284" s="63"/>
      <c r="O284" s="63"/>
    </row>
    <row r="285" spans="2:15" ht="30" customHeight="1">
      <c r="B285" s="62" t="s">
        <v>480</v>
      </c>
      <c r="C285" s="63" t="s">
        <v>481</v>
      </c>
      <c r="D285" s="70" t="str">
        <f>_xlfn.XLOOKUP(B285,Table24[ActionID],Table24[Description],"")</f>
        <v>Planned relocation and retreat of people, assets, and activities from coastal hazard zones to reduce exposure and risks caused by sea-level rise and associated coastal hazards.</v>
      </c>
      <c r="E285" s="64" t="s">
        <v>1163</v>
      </c>
      <c r="F285" s="65" t="s">
        <v>1447</v>
      </c>
      <c r="G285" s="64" t="s">
        <v>1163</v>
      </c>
      <c r="H285" s="65" t="s">
        <v>1447</v>
      </c>
      <c r="I285" s="63"/>
      <c r="J285" s="63"/>
      <c r="K285" s="63"/>
      <c r="L285" s="63"/>
      <c r="M285" s="63"/>
      <c r="N285" s="63"/>
      <c r="O285" s="63"/>
    </row>
    <row r="286" spans="2:15" ht="15" customHeight="1">
      <c r="B286" s="62" t="s">
        <v>485</v>
      </c>
      <c r="C286" s="63" t="s">
        <v>486</v>
      </c>
      <c r="D286" s="70" t="str">
        <f>_xlfn.XLOOKUP(B286,Table24[ActionID],Table24[Description],"")</f>
        <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v>
      </c>
      <c r="E286" s="64" t="s">
        <v>1163</v>
      </c>
      <c r="F286" s="65" t="s">
        <v>1447</v>
      </c>
      <c r="G286" s="64" t="s">
        <v>1163</v>
      </c>
      <c r="H286" s="65" t="s">
        <v>1447</v>
      </c>
      <c r="I286" s="63"/>
      <c r="J286" s="63"/>
      <c r="K286" s="63"/>
      <c r="L286" s="63"/>
      <c r="M286" s="63"/>
      <c r="N286" s="63"/>
      <c r="O286" s="63"/>
    </row>
    <row r="287" spans="2:15" ht="30" customHeight="1">
      <c r="B287" s="62" t="s">
        <v>490</v>
      </c>
      <c r="C287" s="63" t="s">
        <v>491</v>
      </c>
      <c r="D287" s="70" t="str">
        <f>_xlfn.XLOOKUP(B287,Table24[ActionID],Table24[Description],"")</f>
        <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v>
      </c>
      <c r="E287" s="64" t="s">
        <v>1163</v>
      </c>
      <c r="F287" s="65" t="s">
        <v>1447</v>
      </c>
      <c r="G287" s="64" t="s">
        <v>1163</v>
      </c>
      <c r="H287" s="65" t="s">
        <v>1447</v>
      </c>
      <c r="I287" s="63"/>
      <c r="J287" s="63"/>
      <c r="K287" s="63"/>
      <c r="L287" s="63"/>
      <c r="M287" s="63"/>
      <c r="N287" s="63"/>
      <c r="O287" s="63"/>
    </row>
    <row r="288" spans="2:15" ht="15" customHeight="1">
      <c r="B288" s="62" t="s">
        <v>495</v>
      </c>
      <c r="C288" s="63" t="s">
        <v>496</v>
      </c>
      <c r="D288" s="70" t="str">
        <f>_xlfn.XLOOKUP(B288,Table24[ActionID],Table24[Description],"")</f>
        <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v>
      </c>
      <c r="E288" s="64" t="s">
        <v>1163</v>
      </c>
      <c r="F288" s="65" t="s">
        <v>1447</v>
      </c>
      <c r="G288" s="64" t="s">
        <v>1163</v>
      </c>
      <c r="H288" s="65" t="s">
        <v>1447</v>
      </c>
      <c r="I288" s="63"/>
      <c r="J288" s="63"/>
      <c r="K288" s="63"/>
      <c r="L288" s="63"/>
      <c r="M288" s="63"/>
      <c r="N288" s="63"/>
      <c r="O288" s="63"/>
    </row>
    <row r="289" spans="2:15" ht="15" customHeight="1">
      <c r="B289" s="62" t="s">
        <v>500</v>
      </c>
      <c r="C289" s="63" t="s">
        <v>501</v>
      </c>
      <c r="D289" s="70" t="str">
        <f>_xlfn.XLOOKUP(B289,Table24[ActionID],Table24[Description],"")</f>
        <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v>
      </c>
      <c r="E289" s="64" t="s">
        <v>1163</v>
      </c>
      <c r="F289" s="65" t="s">
        <v>1447</v>
      </c>
      <c r="G289" s="64" t="s">
        <v>1163</v>
      </c>
      <c r="H289" s="65" t="s">
        <v>1447</v>
      </c>
      <c r="I289" s="63"/>
      <c r="J289" s="63"/>
      <c r="K289" s="63"/>
      <c r="L289" s="63"/>
      <c r="M289" s="63"/>
      <c r="N289" s="63"/>
      <c r="O289" s="63"/>
    </row>
    <row r="290" spans="2:15" ht="15" customHeight="1">
      <c r="B290" s="62" t="s">
        <v>505</v>
      </c>
      <c r="C290" s="63" t="s">
        <v>506</v>
      </c>
      <c r="D290" s="70" t="str">
        <f>_xlfn.XLOOKUP(B290,Table24[ActionID],Table24[Description],"")</f>
        <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v>
      </c>
      <c r="E290" s="64" t="s">
        <v>1163</v>
      </c>
      <c r="F290" s="65" t="s">
        <v>1447</v>
      </c>
      <c r="G290" s="64" t="s">
        <v>1163</v>
      </c>
      <c r="H290" s="65" t="s">
        <v>1447</v>
      </c>
      <c r="I290" s="63"/>
      <c r="J290" s="63"/>
      <c r="K290" s="63"/>
      <c r="L290" s="63"/>
      <c r="M290" s="63"/>
      <c r="N290" s="63"/>
      <c r="O290" s="63"/>
    </row>
    <row r="291" spans="2:15" ht="15" customHeight="1">
      <c r="B291" s="62" t="s">
        <v>509</v>
      </c>
      <c r="C291" s="63" t="s">
        <v>510</v>
      </c>
      <c r="D291" s="70" t="str">
        <f>_xlfn.XLOOKUP(B291,Table24[ActionID],Table24[Description],"")</f>
        <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v>
      </c>
      <c r="E291" s="64" t="s">
        <v>1163</v>
      </c>
      <c r="F291" s="65" t="s">
        <v>1447</v>
      </c>
      <c r="G291" s="64" t="s">
        <v>1163</v>
      </c>
      <c r="H291" s="65" t="s">
        <v>1447</v>
      </c>
      <c r="I291" s="63"/>
      <c r="J291" s="63"/>
      <c r="K291" s="63"/>
      <c r="L291" s="63"/>
      <c r="M291" s="63"/>
      <c r="N291" s="63"/>
      <c r="O291" s="63"/>
    </row>
    <row r="292" spans="2:15" ht="15" customHeight="1">
      <c r="B292" s="62" t="s">
        <v>513</v>
      </c>
      <c r="C292" s="63" t="s">
        <v>514</v>
      </c>
      <c r="D292" s="70" t="str">
        <f>_xlfn.XLOOKUP(B292,Table24[ActionID],Table24[Description],"")</f>
        <v xml:space="preserve"> 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v>
      </c>
      <c r="E292" s="64" t="s">
        <v>1161</v>
      </c>
      <c r="F292" s="65" t="s">
        <v>1453</v>
      </c>
      <c r="G292" s="64" t="s">
        <v>1163</v>
      </c>
      <c r="H292" s="65" t="s">
        <v>1447</v>
      </c>
      <c r="I292" s="63"/>
      <c r="J292" s="63"/>
      <c r="K292" s="63"/>
      <c r="L292" s="63"/>
      <c r="M292" s="63"/>
      <c r="N292" s="63"/>
      <c r="O292" s="63"/>
    </row>
    <row r="293" spans="2:15" ht="30" customHeight="1">
      <c r="B293" s="62" t="s">
        <v>517</v>
      </c>
      <c r="C293" s="63" t="s">
        <v>518</v>
      </c>
      <c r="D293" s="70" t="str">
        <f>_xlfn.XLOOKUP(B293,Table24[ActionID],Table24[Description],"")</f>
        <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v>
      </c>
      <c r="E293" s="64" t="s">
        <v>1161</v>
      </c>
      <c r="F293" s="65" t="s">
        <v>1452</v>
      </c>
      <c r="G293" s="64" t="s">
        <v>1163</v>
      </c>
      <c r="H293" s="65" t="s">
        <v>1447</v>
      </c>
      <c r="I293" s="63"/>
      <c r="J293" s="63"/>
      <c r="K293" s="63"/>
      <c r="L293" s="63"/>
      <c r="M293" s="63"/>
      <c r="N293" s="63"/>
      <c r="O293" s="63"/>
    </row>
    <row r="294" spans="2:15" ht="15" customHeight="1">
      <c r="B294" s="62" t="s">
        <v>522</v>
      </c>
      <c r="C294" s="63" t="s">
        <v>523</v>
      </c>
      <c r="D294" s="70" t="str">
        <f>_xlfn.XLOOKUP(B294,Table24[ActionID],Table24[Description],"")</f>
        <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v>
      </c>
      <c r="E294" s="64" t="s">
        <v>1161</v>
      </c>
      <c r="F294" s="65" t="s">
        <v>1452</v>
      </c>
      <c r="G294" s="64" t="s">
        <v>1163</v>
      </c>
      <c r="H294" s="65" t="s">
        <v>1447</v>
      </c>
      <c r="I294" s="63"/>
      <c r="J294" s="63"/>
      <c r="K294" s="63"/>
      <c r="L294" s="63"/>
      <c r="M294" s="63"/>
      <c r="N294" s="63"/>
      <c r="O294" s="63"/>
    </row>
    <row r="295" spans="2:15" ht="15" customHeight="1">
      <c r="B295" s="62" t="s">
        <v>527</v>
      </c>
      <c r="C295" s="63" t="s">
        <v>528</v>
      </c>
      <c r="D295" s="70" t="str">
        <f>_xlfn.XLOOKUP(B295,Table24[ActionID],Table24[Description],"")</f>
        <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v>
      </c>
      <c r="E295" s="64" t="s">
        <v>1163</v>
      </c>
      <c r="F295" s="65" t="s">
        <v>1447</v>
      </c>
      <c r="G295" s="64" t="s">
        <v>1163</v>
      </c>
      <c r="H295" s="65" t="s">
        <v>1447</v>
      </c>
      <c r="I295" s="63"/>
      <c r="J295" s="63"/>
      <c r="K295" s="63"/>
      <c r="L295" s="63"/>
      <c r="M295" s="63"/>
      <c r="N295" s="63"/>
      <c r="O295" s="63"/>
    </row>
    <row r="296" spans="2:15" ht="30" customHeight="1">
      <c r="B296" s="62" t="s">
        <v>531</v>
      </c>
      <c r="C296" s="63" t="s">
        <v>532</v>
      </c>
      <c r="D296" s="70" t="str">
        <f>_xlfn.XLOOKUP(B296,Table24[ActionID],Table24[Description],"")</f>
        <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v>
      </c>
      <c r="E296" s="64" t="s">
        <v>1161</v>
      </c>
      <c r="F296" s="65" t="s">
        <v>1453</v>
      </c>
      <c r="G296" s="64" t="s">
        <v>1163</v>
      </c>
      <c r="H296" s="65" t="s">
        <v>1447</v>
      </c>
      <c r="I296" s="63"/>
      <c r="J296" s="63"/>
      <c r="K296" s="63"/>
      <c r="L296" s="63"/>
      <c r="M296" s="63"/>
      <c r="N296" s="63"/>
      <c r="O296" s="63"/>
    </row>
    <row r="297" spans="2:15" ht="30" customHeight="1">
      <c r="B297" s="62" t="s">
        <v>535</v>
      </c>
      <c r="C297" s="63" t="s">
        <v>536</v>
      </c>
      <c r="D297" s="70" t="str">
        <f>_xlfn.XLOOKUP(B297,Table24[ActionID],Table24[Description],"")</f>
        <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v>
      </c>
      <c r="E297" s="64" t="s">
        <v>1161</v>
      </c>
      <c r="F297" s="65" t="s">
        <v>1452</v>
      </c>
      <c r="G297" s="64" t="s">
        <v>1163</v>
      </c>
      <c r="H297" s="65" t="s">
        <v>1447</v>
      </c>
      <c r="I297" s="63"/>
      <c r="J297" s="63"/>
      <c r="K297" s="63"/>
      <c r="L297" s="63"/>
      <c r="M297" s="63"/>
      <c r="N297" s="63"/>
      <c r="O297" s="63"/>
    </row>
    <row r="298" spans="2:15" ht="45" customHeight="1">
      <c r="B298" s="62" t="s">
        <v>539</v>
      </c>
      <c r="C298" s="63" t="s">
        <v>540</v>
      </c>
      <c r="D298" s="70" t="str">
        <f>_xlfn.XLOOKUP(B298,Table24[ActionID],Table24[Description],"")</f>
        <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v>
      </c>
      <c r="E298" s="64" t="s">
        <v>1161</v>
      </c>
      <c r="F298" s="65" t="s">
        <v>1452</v>
      </c>
      <c r="G298" s="64" t="s">
        <v>1163</v>
      </c>
      <c r="H298" s="65" t="s">
        <v>1447</v>
      </c>
      <c r="I298" s="63"/>
      <c r="J298" s="63"/>
      <c r="K298" s="63"/>
      <c r="L298" s="63"/>
      <c r="M298" s="63"/>
      <c r="N298" s="63"/>
      <c r="O298" s="63"/>
    </row>
    <row r="299" spans="2:15" ht="15" customHeight="1">
      <c r="B299" s="62" t="s">
        <v>543</v>
      </c>
      <c r="C299" s="63" t="s">
        <v>544</v>
      </c>
      <c r="D299" s="70" t="str">
        <f>_xlfn.XLOOKUP(B299,Table24[ActionID],Table24[Description],"")</f>
        <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v>
      </c>
      <c r="E299" s="64" t="s">
        <v>1162</v>
      </c>
      <c r="F299" s="65" t="s">
        <v>1451</v>
      </c>
      <c r="G299" s="64" t="s">
        <v>1163</v>
      </c>
      <c r="H299" s="65" t="s">
        <v>1447</v>
      </c>
      <c r="I299" s="63"/>
      <c r="J299" s="63"/>
      <c r="K299" s="63"/>
      <c r="L299" s="63"/>
      <c r="M299" s="63"/>
      <c r="N299" s="63"/>
      <c r="O299" s="63"/>
    </row>
    <row r="300" spans="2:15" ht="15" customHeight="1">
      <c r="B300" s="62" t="s">
        <v>547</v>
      </c>
      <c r="C300" s="63" t="s">
        <v>548</v>
      </c>
      <c r="D300" s="70" t="str">
        <f>_xlfn.XLOOKUP(B300,Table24[ActionID],Table24[Description],"")</f>
        <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v>
      </c>
      <c r="E300" s="64" t="s">
        <v>1161</v>
      </c>
      <c r="F300" s="65" t="s">
        <v>1451</v>
      </c>
      <c r="G300" s="64" t="s">
        <v>1163</v>
      </c>
      <c r="H300" s="65" t="s">
        <v>1447</v>
      </c>
      <c r="I300" s="63"/>
      <c r="J300" s="63"/>
      <c r="K300" s="63"/>
      <c r="L300" s="63"/>
      <c r="M300" s="63"/>
      <c r="N300" s="63"/>
      <c r="O300" s="63"/>
    </row>
    <row r="301" spans="2:15" ht="15" customHeight="1">
      <c r="B301" s="62" t="s">
        <v>552</v>
      </c>
      <c r="C301" s="63" t="s">
        <v>553</v>
      </c>
      <c r="D301" s="70" t="str">
        <f>_xlfn.XLOOKUP(B301,Table24[ActionID],Table24[Description],"")</f>
        <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v>
      </c>
      <c r="E301" s="64" t="s">
        <v>1163</v>
      </c>
      <c r="F301" s="65" t="s">
        <v>1447</v>
      </c>
      <c r="G301" s="64" t="s">
        <v>1163</v>
      </c>
      <c r="H301" s="65" t="s">
        <v>1447</v>
      </c>
      <c r="I301" s="63"/>
      <c r="J301" s="63"/>
      <c r="K301" s="63"/>
      <c r="L301" s="63"/>
      <c r="M301" s="63"/>
      <c r="N301" s="63"/>
      <c r="O301" s="63"/>
    </row>
    <row r="302" spans="2:15" ht="30" customHeight="1">
      <c r="B302" s="62" t="s">
        <v>556</v>
      </c>
      <c r="C302" s="63" t="s">
        <v>557</v>
      </c>
      <c r="D302" s="70" t="str">
        <f>_xlfn.XLOOKUP(B302,Table24[ActionID],Table24[Description],"")</f>
        <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v>
      </c>
      <c r="E302" s="64" t="s">
        <v>1163</v>
      </c>
      <c r="F302" s="65" t="s">
        <v>1447</v>
      </c>
      <c r="G302" s="64" t="s">
        <v>1163</v>
      </c>
      <c r="H302" s="65" t="s">
        <v>1447</v>
      </c>
      <c r="I302" s="63"/>
      <c r="J302" s="63"/>
      <c r="K302" s="63"/>
      <c r="L302" s="63"/>
      <c r="M302" s="63"/>
      <c r="N302" s="63"/>
      <c r="O302" s="63"/>
    </row>
    <row r="303" spans="2:15" ht="15" customHeight="1">
      <c r="B303" s="62" t="s">
        <v>561</v>
      </c>
      <c r="C303" s="63" t="s">
        <v>562</v>
      </c>
      <c r="D303" s="70" t="str">
        <f>_xlfn.XLOOKUP(B303,Table24[ActionID],Table24[Description],"")</f>
        <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v>
      </c>
      <c r="E303" s="64" t="s">
        <v>1163</v>
      </c>
      <c r="F303" s="65" t="s">
        <v>1447</v>
      </c>
      <c r="G303" s="64" t="s">
        <v>1163</v>
      </c>
      <c r="H303" s="65" t="s">
        <v>1447</v>
      </c>
      <c r="I303" s="63"/>
      <c r="J303" s="63"/>
      <c r="K303" s="63"/>
      <c r="L303" s="63"/>
      <c r="M303" s="63"/>
      <c r="N303" s="63"/>
      <c r="O303" s="63"/>
    </row>
    <row r="304" spans="2:15" ht="30" customHeight="1">
      <c r="B304" s="62" t="s">
        <v>564</v>
      </c>
      <c r="C304" s="63" t="s">
        <v>565</v>
      </c>
      <c r="D304" s="70" t="str">
        <f>_xlfn.XLOOKUP(B304,Table24[ActionID],Table24[Description],"")</f>
        <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v>
      </c>
      <c r="E304" s="64" t="s">
        <v>1163</v>
      </c>
      <c r="F304" s="65" t="s">
        <v>1447</v>
      </c>
      <c r="G304" s="64" t="s">
        <v>1163</v>
      </c>
      <c r="H304" s="65" t="s">
        <v>1447</v>
      </c>
      <c r="I304" s="63"/>
      <c r="J304" s="63"/>
      <c r="K304" s="63"/>
      <c r="L304" s="63"/>
      <c r="M304" s="63"/>
      <c r="N304" s="63"/>
      <c r="O304" s="63"/>
    </row>
    <row r="305" spans="1:15" ht="15" customHeight="1"/>
    <row r="306" spans="1:15" ht="15" customHeight="1"/>
    <row r="307" spans="1:15" ht="21" customHeight="1">
      <c r="B307" s="138" t="s">
        <v>1271</v>
      </c>
      <c r="C307" s="138"/>
      <c r="D307" s="138"/>
      <c r="E307" s="138"/>
      <c r="F307" s="138"/>
      <c r="G307" s="138"/>
      <c r="H307" s="138"/>
      <c r="I307" s="138"/>
      <c r="J307" s="138"/>
      <c r="K307" s="138"/>
      <c r="L307" s="138"/>
      <c r="M307" s="138"/>
      <c r="N307" s="138"/>
      <c r="O307" s="138"/>
    </row>
    <row r="308" spans="1:15" ht="15" customHeight="1"/>
    <row r="309" spans="1:15" ht="15" customHeight="1">
      <c r="B309" s="139" t="s">
        <v>1267</v>
      </c>
      <c r="C309" s="139"/>
      <c r="D309" s="139"/>
      <c r="E309" s="139"/>
      <c r="F309" s="139"/>
      <c r="G309" s="139"/>
      <c r="H309" s="139"/>
      <c r="I309" s="139"/>
      <c r="J309" s="139"/>
      <c r="K309" s="139"/>
      <c r="L309" s="139"/>
      <c r="M309" s="139"/>
      <c r="N309" s="139"/>
      <c r="O309" s="139"/>
    </row>
    <row r="310" spans="1:15" ht="63" customHeight="1">
      <c r="B310" s="134" t="str" cm="1">
        <f t="array" ref="B310">_xlfn.TEXTJOIN(", ",TRUE,_xlfn.UNIQUE(_xlfn._xlws.FILTER(Table2[base_indicator_name],(Table2[sector_name]="Energy security")*(Table2[risk_component_name]="Vulnerability"))))</f>
        <v>Energy poverty, Electricity interruption, Residential electrical consumption, Electrical energy intensity, Electricity self-producers, Distributed electricity generation, Energy stored in hydroelectric reservoirs, Diversification of electricity generation, Municipal GDP per capita, Income greater than two minimum wages, Resilient cities</v>
      </c>
      <c r="C310" s="134"/>
      <c r="D310" s="134"/>
      <c r="E310" s="134"/>
      <c r="F310" s="134"/>
      <c r="G310" s="134"/>
      <c r="H310" s="134"/>
      <c r="I310" s="134"/>
      <c r="J310" s="134"/>
      <c r="K310" s="134"/>
      <c r="L310" s="134"/>
      <c r="M310" s="134"/>
      <c r="N310" s="134"/>
      <c r="O310" s="134"/>
    </row>
    <row r="311" spans="1:15" ht="15" customHeight="1"/>
    <row r="312" spans="1:15" ht="15" customHeight="1">
      <c r="B312" s="135" t="s">
        <v>1268</v>
      </c>
      <c r="C312" s="135"/>
      <c r="D312" s="135"/>
      <c r="E312" s="135"/>
      <c r="F312" s="135"/>
      <c r="G312" s="135"/>
      <c r="H312" s="135"/>
      <c r="I312" s="135"/>
      <c r="J312" s="135"/>
      <c r="K312" s="135"/>
      <c r="L312" s="135"/>
      <c r="M312" s="135"/>
      <c r="N312" s="135"/>
      <c r="O312" s="135"/>
    </row>
    <row r="313" spans="1:15" ht="25.8" customHeight="1">
      <c r="B313" s="136" t="str" cm="1">
        <f t="array" ref="B313">_xlfn.TEXTJOIN(", ",TRUE,_xlfn.UNIQUE(_xlfn._xlws.FILTER(Table2[base_indicator_name],(Table2[sector_name]="Energy security")*(Table2[risk_component_name]="Exposure"))))</f>
        <v>Population density, Energy-intensive industries</v>
      </c>
      <c r="C313" s="136"/>
      <c r="D313" s="136"/>
      <c r="E313" s="136"/>
      <c r="F313" s="136"/>
      <c r="G313" s="136"/>
      <c r="H313" s="136"/>
      <c r="I313" s="136"/>
      <c r="J313" s="136"/>
      <c r="K313" s="136"/>
      <c r="L313" s="136"/>
      <c r="M313" s="136"/>
      <c r="N313" s="136"/>
      <c r="O313" s="136"/>
    </row>
    <row r="314" spans="1:15" ht="15" customHeight="1"/>
    <row r="315" spans="1:15" ht="22.05" customHeight="1">
      <c r="B315" s="137" t="s">
        <v>1278</v>
      </c>
      <c r="C315" s="137"/>
      <c r="D315" s="137"/>
      <c r="E315" s="137"/>
      <c r="F315" s="137"/>
      <c r="G315" s="137"/>
      <c r="H315" s="137"/>
      <c r="I315" s="137"/>
      <c r="J315" s="137"/>
      <c r="K315" s="137"/>
      <c r="L315" s="137"/>
      <c r="M315" s="137"/>
      <c r="N315" s="137"/>
      <c r="O315" s="137"/>
    </row>
    <row r="316" spans="1:15" ht="15" customHeight="1">
      <c r="B316" s="125" t="s">
        <v>1301</v>
      </c>
      <c r="C316" s="125"/>
      <c r="D316" s="125"/>
      <c r="E316" s="125"/>
      <c r="F316" s="125"/>
      <c r="G316" s="125"/>
      <c r="H316" s="125"/>
      <c r="I316" s="125"/>
      <c r="J316" s="125"/>
      <c r="K316" s="125"/>
      <c r="L316" s="125"/>
      <c r="M316" s="125"/>
      <c r="N316" s="125"/>
      <c r="O316" s="125"/>
    </row>
    <row r="317" spans="1:15" ht="15" customHeight="1">
      <c r="B317" s="56"/>
      <c r="C317" s="56"/>
      <c r="D317" s="56"/>
      <c r="E317" s="56"/>
      <c r="F317" s="56"/>
      <c r="G317" s="56"/>
      <c r="H317" s="56"/>
      <c r="I317" s="56"/>
      <c r="J317" s="56"/>
      <c r="K317" s="56"/>
      <c r="L317" s="56"/>
      <c r="M317" s="56"/>
      <c r="N317" s="56"/>
      <c r="O317" s="56"/>
    </row>
    <row r="318" spans="1:15" ht="22.05" customHeight="1">
      <c r="B318" s="137" t="s">
        <v>1279</v>
      </c>
      <c r="C318" s="137"/>
      <c r="D318" s="137"/>
      <c r="E318" s="137"/>
      <c r="F318" s="137"/>
      <c r="G318" s="137"/>
      <c r="H318" s="137"/>
      <c r="I318" s="137"/>
      <c r="J318" s="137"/>
      <c r="K318" s="137"/>
      <c r="L318" s="137"/>
      <c r="M318" s="137"/>
      <c r="N318" s="137"/>
      <c r="O318" s="137"/>
    </row>
    <row r="319" spans="1:15" ht="34.799999999999997" customHeight="1">
      <c r="A319" s="71" t="s">
        <v>1296</v>
      </c>
      <c r="B319" s="127" t="s">
        <v>1284</v>
      </c>
      <c r="C319" s="127"/>
      <c r="D319" s="127"/>
      <c r="E319" s="127"/>
      <c r="F319" s="127"/>
      <c r="G319" s="127"/>
      <c r="H319" s="127"/>
      <c r="I319" s="127"/>
      <c r="J319" s="127"/>
      <c r="K319" s="127"/>
      <c r="L319" s="127"/>
      <c r="M319" s="127"/>
      <c r="N319" s="127"/>
      <c r="O319" s="127"/>
    </row>
    <row r="320" spans="1:15" ht="30" customHeight="1">
      <c r="B320" s="67" t="s">
        <v>1154</v>
      </c>
      <c r="C320" s="67"/>
      <c r="D320" s="67" t="s">
        <v>1280</v>
      </c>
      <c r="E320" s="67" t="s">
        <v>1281</v>
      </c>
      <c r="F320" s="67"/>
      <c r="G320" s="67"/>
      <c r="H320" s="133" t="s">
        <v>1282</v>
      </c>
      <c r="I320" s="133"/>
      <c r="J320" s="133"/>
      <c r="K320" s="133"/>
      <c r="L320" s="133"/>
      <c r="M320" s="133"/>
      <c r="N320" s="133"/>
      <c r="O320" s="133"/>
    </row>
    <row r="321" spans="1:15" ht="15" customHeight="1">
      <c r="B321" s="63" t="s">
        <v>1355</v>
      </c>
      <c r="C321" s="63"/>
      <c r="D321" s="66">
        <v>2025</v>
      </c>
      <c r="E321" s="65" t="s">
        <v>1356</v>
      </c>
      <c r="F321" s="66"/>
      <c r="G321" s="65"/>
      <c r="H321" s="128" t="s">
        <v>1357</v>
      </c>
      <c r="I321" s="129"/>
      <c r="J321" s="129"/>
      <c r="K321" s="129"/>
      <c r="L321" s="129"/>
      <c r="M321" s="129"/>
      <c r="N321" s="129"/>
      <c r="O321" s="130"/>
    </row>
    <row r="322" spans="1:15" ht="15" customHeight="1">
      <c r="B322" s="63" t="s">
        <v>1358</v>
      </c>
      <c r="C322" s="63"/>
      <c r="D322" s="66">
        <v>2020</v>
      </c>
      <c r="E322" s="65" t="s">
        <v>1359</v>
      </c>
      <c r="F322" s="66"/>
      <c r="G322" s="65"/>
      <c r="H322" s="128" t="s">
        <v>1360</v>
      </c>
      <c r="I322" s="129"/>
      <c r="J322" s="129"/>
      <c r="K322" s="129"/>
      <c r="L322" s="129"/>
      <c r="M322" s="129"/>
      <c r="N322" s="129"/>
      <c r="O322" s="130"/>
    </row>
    <row r="323" spans="1:15" ht="15" customHeight="1">
      <c r="B323" s="63" t="s">
        <v>1361</v>
      </c>
      <c r="C323" s="63"/>
      <c r="D323" s="66">
        <v>2024</v>
      </c>
      <c r="E323" s="65" t="s">
        <v>1362</v>
      </c>
      <c r="F323" s="66"/>
      <c r="G323" s="65"/>
      <c r="H323" s="128" t="s">
        <v>1363</v>
      </c>
      <c r="I323" s="129"/>
      <c r="J323" s="129"/>
      <c r="K323" s="129"/>
      <c r="L323" s="129"/>
      <c r="M323" s="129"/>
      <c r="N323" s="129"/>
      <c r="O323" s="130"/>
    </row>
    <row r="324" spans="1:15" ht="15" customHeight="1">
      <c r="B324" s="63" t="s">
        <v>1364</v>
      </c>
      <c r="C324" s="63"/>
      <c r="D324" s="66">
        <v>2023</v>
      </c>
      <c r="E324" s="65" t="s">
        <v>1365</v>
      </c>
      <c r="F324" s="66"/>
      <c r="G324" s="65"/>
      <c r="H324" s="128" t="s">
        <v>1366</v>
      </c>
      <c r="I324" s="129"/>
      <c r="J324" s="129"/>
      <c r="K324" s="129"/>
      <c r="L324" s="129"/>
      <c r="M324" s="129"/>
      <c r="N324" s="129"/>
      <c r="O324" s="130"/>
    </row>
    <row r="325" spans="1:15" ht="22.05" customHeight="1">
      <c r="B325" s="132" t="s">
        <v>1283</v>
      </c>
      <c r="C325" s="132"/>
      <c r="D325" s="132"/>
      <c r="E325" s="132"/>
      <c r="F325" s="132"/>
      <c r="G325" s="132"/>
      <c r="H325" s="132"/>
      <c r="I325" s="132"/>
      <c r="J325" s="132"/>
      <c r="K325" s="132"/>
      <c r="L325" s="132"/>
      <c r="M325" s="132"/>
      <c r="N325" s="132"/>
      <c r="O325" s="132"/>
    </row>
    <row r="326" spans="1:15" ht="32.549999999999997" customHeight="1">
      <c r="A326" s="71" t="s">
        <v>1297</v>
      </c>
      <c r="B326" s="127" t="s">
        <v>1285</v>
      </c>
      <c r="C326" s="127"/>
      <c r="D326" s="127"/>
      <c r="E326" s="127"/>
      <c r="F326" s="127"/>
      <c r="G326" s="127"/>
      <c r="H326" s="127"/>
      <c r="I326" s="127"/>
      <c r="J326" s="127"/>
      <c r="K326" s="127"/>
      <c r="L326" s="127"/>
      <c r="M326" s="127"/>
      <c r="N326" s="127"/>
      <c r="O326" s="127"/>
    </row>
    <row r="327" spans="1:15" ht="30" customHeight="1">
      <c r="B327" s="67" t="s">
        <v>1154</v>
      </c>
      <c r="C327" s="67"/>
      <c r="D327" s="67" t="s">
        <v>1280</v>
      </c>
      <c r="E327" s="67" t="s">
        <v>1281</v>
      </c>
      <c r="F327" s="67"/>
      <c r="G327" s="67"/>
      <c r="H327" s="133" t="s">
        <v>1282</v>
      </c>
      <c r="I327" s="133"/>
      <c r="J327" s="133"/>
      <c r="K327" s="133"/>
      <c r="L327" s="133"/>
      <c r="M327" s="133"/>
      <c r="N327" s="133"/>
      <c r="O327" s="133"/>
    </row>
    <row r="328" spans="1:15" ht="15" customHeight="1">
      <c r="B328" s="63" t="s">
        <v>1367</v>
      </c>
      <c r="C328" s="63"/>
      <c r="D328" s="66">
        <v>2025</v>
      </c>
      <c r="E328" s="65" t="s">
        <v>1368</v>
      </c>
      <c r="F328" s="66"/>
      <c r="G328" s="65"/>
      <c r="H328" s="128" t="s">
        <v>1369</v>
      </c>
      <c r="I328" s="129"/>
      <c r="J328" s="129"/>
      <c r="K328" s="129"/>
      <c r="L328" s="129"/>
      <c r="M328" s="129"/>
      <c r="N328" s="129"/>
      <c r="O328" s="130"/>
    </row>
    <row r="329" spans="1:15" ht="15" customHeight="1">
      <c r="B329" s="63" t="s">
        <v>1370</v>
      </c>
      <c r="C329" s="63"/>
      <c r="D329" s="66">
        <v>2022</v>
      </c>
      <c r="E329" s="65" t="s">
        <v>1371</v>
      </c>
      <c r="F329" s="66"/>
      <c r="G329" s="65"/>
      <c r="H329" s="128" t="s">
        <v>1372</v>
      </c>
      <c r="I329" s="129"/>
      <c r="J329" s="129"/>
      <c r="K329" s="129"/>
      <c r="L329" s="129"/>
      <c r="M329" s="129"/>
      <c r="N329" s="129"/>
      <c r="O329" s="130"/>
    </row>
    <row r="330" spans="1:15" ht="15" customHeight="1">
      <c r="B330" s="63" t="s">
        <v>1324</v>
      </c>
      <c r="C330" s="63"/>
      <c r="D330" s="66">
        <v>2023</v>
      </c>
      <c r="E330" s="65" t="s">
        <v>1373</v>
      </c>
      <c r="F330" s="66"/>
      <c r="G330" s="65"/>
      <c r="H330" s="128" t="s">
        <v>1374</v>
      </c>
      <c r="I330" s="129"/>
      <c r="J330" s="129"/>
      <c r="K330" s="129"/>
      <c r="L330" s="129"/>
      <c r="M330" s="129"/>
      <c r="N330" s="129"/>
      <c r="O330" s="130"/>
    </row>
    <row r="331" spans="1:15" ht="15" customHeight="1">
      <c r="B331" s="63" t="s">
        <v>1375</v>
      </c>
      <c r="C331" s="63"/>
      <c r="D331" s="66">
        <v>2022</v>
      </c>
      <c r="E331" s="65" t="s">
        <v>1376</v>
      </c>
      <c r="F331" s="66"/>
      <c r="G331" s="65"/>
      <c r="H331" s="128" t="s">
        <v>1377</v>
      </c>
      <c r="I331" s="129"/>
      <c r="J331" s="129"/>
      <c r="K331" s="129"/>
      <c r="L331" s="129"/>
      <c r="M331" s="129"/>
      <c r="N331" s="129"/>
      <c r="O331" s="130"/>
    </row>
    <row r="332" spans="1:15" ht="15" customHeight="1"/>
    <row r="333" spans="1:15" ht="22.05" customHeight="1">
      <c r="B333" s="131" t="s">
        <v>1295</v>
      </c>
      <c r="C333" s="131"/>
      <c r="D333" s="131"/>
      <c r="E333" s="131"/>
      <c r="F333" s="131"/>
      <c r="G333" s="131"/>
      <c r="H333" s="131"/>
      <c r="I333" s="131"/>
      <c r="J333" s="131"/>
      <c r="K333" s="131"/>
      <c r="L333" s="131"/>
      <c r="M333" s="131"/>
      <c r="N333" s="131"/>
      <c r="O333" s="131"/>
    </row>
    <row r="334" spans="1:15" ht="22.05" customHeight="1">
      <c r="B334" s="124" t="s">
        <v>1286</v>
      </c>
      <c r="C334" s="124"/>
      <c r="D334" s="124"/>
      <c r="E334" s="124"/>
      <c r="F334" s="124"/>
      <c r="G334" s="124"/>
      <c r="H334" s="124"/>
      <c r="I334" s="124"/>
      <c r="J334" s="124"/>
      <c r="K334" s="124"/>
      <c r="L334" s="124"/>
      <c r="M334" s="124"/>
      <c r="N334" s="124"/>
      <c r="O334" s="124"/>
    </row>
    <row r="335" spans="1:15" ht="15" customHeight="1">
      <c r="B335" s="125" t="s">
        <v>1302</v>
      </c>
      <c r="C335" s="125"/>
      <c r="D335" s="125"/>
      <c r="E335" s="125"/>
      <c r="F335" s="125"/>
      <c r="G335" s="125"/>
      <c r="H335" s="125"/>
      <c r="I335" s="125"/>
      <c r="J335" s="125"/>
      <c r="K335" s="125"/>
      <c r="L335" s="125"/>
      <c r="M335" s="125"/>
      <c r="N335" s="125"/>
      <c r="O335" s="125"/>
    </row>
    <row r="336" spans="1:15" ht="22.05" customHeight="1">
      <c r="B336" s="124" t="s">
        <v>1288</v>
      </c>
      <c r="C336" s="124"/>
      <c r="D336" s="124"/>
      <c r="E336" s="124"/>
      <c r="F336" s="124"/>
      <c r="G336" s="124"/>
      <c r="H336" s="124"/>
      <c r="I336" s="124"/>
      <c r="J336" s="124"/>
      <c r="K336" s="124"/>
      <c r="L336" s="124"/>
      <c r="M336" s="124"/>
      <c r="N336" s="124"/>
      <c r="O336" s="124"/>
    </row>
    <row r="337" spans="1:15" ht="15" customHeight="1">
      <c r="B337" s="125" t="s">
        <v>1289</v>
      </c>
      <c r="C337" s="125"/>
      <c r="D337" s="125"/>
      <c r="E337" s="125"/>
      <c r="F337" s="125"/>
      <c r="G337" s="125"/>
      <c r="H337" s="125"/>
      <c r="I337" s="125"/>
      <c r="J337" s="125"/>
      <c r="K337" s="125"/>
      <c r="L337" s="125"/>
      <c r="M337" s="125"/>
      <c r="N337" s="125"/>
      <c r="O337" s="125"/>
    </row>
    <row r="338" spans="1:15" ht="22.05" customHeight="1">
      <c r="B338" s="124" t="s">
        <v>1290</v>
      </c>
      <c r="C338" s="124"/>
      <c r="D338" s="124"/>
      <c r="E338" s="124"/>
      <c r="F338" s="124"/>
      <c r="G338" s="124"/>
      <c r="H338" s="124"/>
      <c r="I338" s="124"/>
      <c r="J338" s="124"/>
      <c r="K338" s="124"/>
      <c r="L338" s="124"/>
      <c r="M338" s="124"/>
      <c r="N338" s="124"/>
      <c r="O338" s="124"/>
    </row>
    <row r="339" spans="1:15" ht="15" customHeight="1">
      <c r="B339" s="125" t="s">
        <v>1291</v>
      </c>
      <c r="C339" s="125"/>
      <c r="D339" s="125"/>
      <c r="E339" s="125"/>
      <c r="F339" s="125"/>
      <c r="G339" s="125"/>
      <c r="H339" s="125"/>
      <c r="I339" s="125"/>
      <c r="J339" s="125"/>
      <c r="K339" s="125"/>
      <c r="L339" s="125"/>
      <c r="M339" s="125"/>
      <c r="N339" s="125"/>
      <c r="O339" s="125"/>
    </row>
    <row r="340" spans="1:15" ht="22.05" customHeight="1">
      <c r="B340" s="126" t="s">
        <v>1269</v>
      </c>
      <c r="C340" s="126"/>
      <c r="D340" s="126"/>
      <c r="E340" s="126"/>
      <c r="F340" s="126"/>
      <c r="G340" s="126"/>
      <c r="H340" s="126"/>
      <c r="I340" s="126"/>
      <c r="J340" s="126"/>
      <c r="K340" s="126"/>
      <c r="L340" s="126"/>
      <c r="M340" s="126"/>
      <c r="N340" s="126"/>
      <c r="O340" s="126"/>
    </row>
    <row r="341" spans="1:15" ht="66" customHeight="1">
      <c r="A341" s="71" t="s">
        <v>1298</v>
      </c>
      <c r="B341" s="127" t="s">
        <v>1292</v>
      </c>
      <c r="C341" s="127"/>
      <c r="D341" s="127"/>
      <c r="E341" s="127"/>
      <c r="F341" s="127"/>
      <c r="G341" s="127"/>
      <c r="H341" s="127"/>
      <c r="I341" s="127"/>
      <c r="J341" s="127"/>
      <c r="K341" s="127"/>
      <c r="L341" s="127"/>
      <c r="M341" s="127"/>
      <c r="N341" s="127"/>
      <c r="O341" s="127"/>
    </row>
    <row r="342" spans="1:15" ht="30" customHeight="1">
      <c r="B342" s="68" t="s">
        <v>310</v>
      </c>
      <c r="C342" s="68" t="s">
        <v>311</v>
      </c>
      <c r="D342" s="69" t="s">
        <v>1293</v>
      </c>
      <c r="E342" s="68" t="s">
        <v>33</v>
      </c>
      <c r="F342" s="68" t="s">
        <v>1277</v>
      </c>
      <c r="G342" s="68" t="s">
        <v>71</v>
      </c>
      <c r="H342" s="68" t="s">
        <v>1277</v>
      </c>
      <c r="I342" s="69"/>
      <c r="J342" s="69"/>
      <c r="K342" s="69"/>
      <c r="L342" s="69"/>
      <c r="M342" s="69"/>
      <c r="N342" s="69"/>
      <c r="O342" s="69"/>
    </row>
    <row r="343" spans="1:15" ht="15" customHeight="1">
      <c r="B343" s="62" t="s">
        <v>320</v>
      </c>
      <c r="C343" s="63" t="s">
        <v>321</v>
      </c>
      <c r="D343" s="70" t="str">
        <f>_xlfn.XLOOKUP(B343,Table24[ActionID],Table24[Description],"")</f>
        <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v>
      </c>
      <c r="E343" s="64" t="s">
        <v>1163</v>
      </c>
      <c r="F343" s="65" t="s">
        <v>1447</v>
      </c>
      <c r="G343" s="64" t="s">
        <v>1163</v>
      </c>
      <c r="H343" s="65" t="s">
        <v>1447</v>
      </c>
      <c r="I343" s="63"/>
      <c r="J343" s="63"/>
      <c r="K343" s="63"/>
      <c r="L343" s="63"/>
      <c r="M343" s="63"/>
      <c r="N343" s="63"/>
      <c r="O343" s="63"/>
    </row>
    <row r="344" spans="1:15" ht="15" customHeight="1">
      <c r="B344" s="62" t="s">
        <v>329</v>
      </c>
      <c r="C344" s="63" t="s">
        <v>330</v>
      </c>
      <c r="D344" s="70" t="str">
        <f>_xlfn.XLOOKUP(B344,Table24[ActionID],Table24[Description],"")</f>
        <v>"Upgrade urban drainage systems" involves eco-engineering solutions to enhance drainage systems, through capacity upgrade and network expansion. This adaptation measure aims to improve urban resilience by minimizing the impact of extreme weather events such as flooding.</v>
      </c>
      <c r="E344" s="64" t="s">
        <v>1163</v>
      </c>
      <c r="F344" s="65" t="s">
        <v>1447</v>
      </c>
      <c r="G344" s="64" t="s">
        <v>1163</v>
      </c>
      <c r="H344" s="65" t="s">
        <v>1447</v>
      </c>
      <c r="I344" s="63"/>
      <c r="J344" s="63"/>
      <c r="K344" s="63"/>
      <c r="L344" s="63"/>
      <c r="M344" s="63"/>
      <c r="N344" s="63"/>
      <c r="O344" s="63"/>
    </row>
    <row r="345" spans="1:15" ht="30" customHeight="1">
      <c r="B345" s="62" t="s">
        <v>335</v>
      </c>
      <c r="C345" s="63" t="s">
        <v>336</v>
      </c>
      <c r="D345" s="70" t="str">
        <f>_xlfn.XLOOKUP(B345,Table24[ActionID],Table24[Description],"")</f>
        <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v>
      </c>
      <c r="E345" s="64" t="s">
        <v>1163</v>
      </c>
      <c r="F345" s="65" t="s">
        <v>1447</v>
      </c>
      <c r="G345" s="64" t="s">
        <v>1163</v>
      </c>
      <c r="H345" s="65" t="s">
        <v>1447</v>
      </c>
      <c r="I345" s="63"/>
      <c r="J345" s="63"/>
      <c r="K345" s="63"/>
      <c r="L345" s="63"/>
      <c r="M345" s="63"/>
      <c r="N345" s="63"/>
      <c r="O345" s="63"/>
    </row>
    <row r="346" spans="1:15" ht="15" customHeight="1">
      <c r="B346" s="62" t="s">
        <v>341</v>
      </c>
      <c r="C346" s="63" t="s">
        <v>342</v>
      </c>
      <c r="D346" s="70" t="str">
        <f>_xlfn.XLOOKUP(B346,Table24[ActionID],Table24[Description],"")</f>
        <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v>
      </c>
      <c r="E346" s="64" t="s">
        <v>1163</v>
      </c>
      <c r="F346" s="65" t="s">
        <v>1447</v>
      </c>
      <c r="G346" s="64" t="s">
        <v>1163</v>
      </c>
      <c r="H346" s="65" t="s">
        <v>1447</v>
      </c>
      <c r="I346" s="63"/>
      <c r="J346" s="63"/>
      <c r="K346" s="63"/>
      <c r="L346" s="63"/>
      <c r="M346" s="63"/>
      <c r="N346" s="63"/>
      <c r="O346" s="63"/>
    </row>
    <row r="347" spans="1:15" ht="30" customHeight="1">
      <c r="B347" s="62" t="s">
        <v>346</v>
      </c>
      <c r="C347" s="63" t="s">
        <v>347</v>
      </c>
      <c r="D347" s="70" t="str">
        <f>_xlfn.XLOOKUP(B347,Table24[ActionID],Table24[Description],"")</f>
        <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v>
      </c>
      <c r="E347" s="64" t="s">
        <v>1163</v>
      </c>
      <c r="F347" s="65" t="s">
        <v>1447</v>
      </c>
      <c r="G347" s="64" t="s">
        <v>1163</v>
      </c>
      <c r="H347" s="65" t="s">
        <v>1447</v>
      </c>
      <c r="I347" s="63"/>
      <c r="J347" s="63"/>
      <c r="K347" s="63"/>
      <c r="L347" s="63"/>
      <c r="M347" s="63"/>
      <c r="N347" s="63"/>
      <c r="O347" s="63"/>
    </row>
    <row r="348" spans="1:15" ht="15" customHeight="1">
      <c r="B348" s="62" t="s">
        <v>349</v>
      </c>
      <c r="C348" s="63" t="s">
        <v>350</v>
      </c>
      <c r="D348" s="70" t="str">
        <f>_xlfn.XLOOKUP(B348,Table24[ActionID],Table24[Description],"")</f>
        <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v>
      </c>
      <c r="E348" s="64" t="s">
        <v>1163</v>
      </c>
      <c r="F348" s="65" t="s">
        <v>1447</v>
      </c>
      <c r="G348" s="64" t="s">
        <v>1163</v>
      </c>
      <c r="H348" s="65" t="s">
        <v>1447</v>
      </c>
      <c r="I348" s="63"/>
      <c r="J348" s="63"/>
      <c r="K348" s="63"/>
      <c r="L348" s="63"/>
      <c r="M348" s="63"/>
      <c r="N348" s="63"/>
      <c r="O348" s="63"/>
    </row>
    <row r="349" spans="1:15" ht="15" customHeight="1">
      <c r="B349" s="62" t="s">
        <v>355</v>
      </c>
      <c r="C349" s="63" t="s">
        <v>356</v>
      </c>
      <c r="D349" s="70" t="str">
        <f>_xlfn.XLOOKUP(B349,Table24[ActionID],Table24[Description],"")</f>
        <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v>
      </c>
      <c r="E349" s="64" t="s">
        <v>1163</v>
      </c>
      <c r="F349" s="65" t="s">
        <v>1447</v>
      </c>
      <c r="G349" s="64" t="s">
        <v>1163</v>
      </c>
      <c r="H349" s="65" t="s">
        <v>1447</v>
      </c>
      <c r="I349" s="63"/>
      <c r="J349" s="63"/>
      <c r="K349" s="63"/>
      <c r="L349" s="63"/>
      <c r="M349" s="63"/>
      <c r="N349" s="63"/>
      <c r="O349" s="63"/>
    </row>
    <row r="350" spans="1:15" ht="30" customHeight="1">
      <c r="B350" s="62" t="s">
        <v>360</v>
      </c>
      <c r="C350" s="63" t="s">
        <v>361</v>
      </c>
      <c r="D350" s="70" t="str">
        <f>_xlfn.XLOOKUP(B350,Table24[ActionID],Table24[Description],"")</f>
        <v>"Reform water tariffs to support efficiency and equity" involve pricing structures for water use, encouraging conservation and efficient use of water resources. This initiative aims to promote responsible water consumption and contribute to sustainable water management.</v>
      </c>
      <c r="E350" s="64" t="s">
        <v>1163</v>
      </c>
      <c r="F350" s="65" t="s">
        <v>1447</v>
      </c>
      <c r="G350" s="64" t="s">
        <v>1163</v>
      </c>
      <c r="H350" s="65" t="s">
        <v>1447</v>
      </c>
      <c r="I350" s="63"/>
      <c r="J350" s="63"/>
      <c r="K350" s="63"/>
      <c r="L350" s="63"/>
      <c r="M350" s="63"/>
      <c r="N350" s="63"/>
      <c r="O350" s="63"/>
    </row>
    <row r="351" spans="1:15" ht="30" customHeight="1">
      <c r="B351" s="62" t="s">
        <v>364</v>
      </c>
      <c r="C351" s="63" t="s">
        <v>365</v>
      </c>
      <c r="D351" s="70" t="str">
        <f>_xlfn.XLOOKUP(B351,Table24[ActionID],Table24[Description],"")</f>
        <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v>
      </c>
      <c r="E351" s="64" t="s">
        <v>1163</v>
      </c>
      <c r="F351" s="65" t="s">
        <v>1447</v>
      </c>
      <c r="G351" s="64" t="s">
        <v>1163</v>
      </c>
      <c r="H351" s="65" t="s">
        <v>1447</v>
      </c>
      <c r="I351" s="63"/>
      <c r="J351" s="63"/>
      <c r="K351" s="63"/>
      <c r="L351" s="63"/>
      <c r="M351" s="63"/>
      <c r="N351" s="63"/>
      <c r="O351" s="63"/>
    </row>
    <row r="352" spans="1:15" ht="30" customHeight="1">
      <c r="B352" s="62" t="s">
        <v>369</v>
      </c>
      <c r="C352" s="63" t="s">
        <v>370</v>
      </c>
      <c r="D352" s="70" t="str">
        <f>_xlfn.XLOOKUP(B352,Table24[ActionID],Table24[Description],"")</f>
        <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v>
      </c>
      <c r="E352" s="64" t="s">
        <v>1163</v>
      </c>
      <c r="F352" s="65" t="s">
        <v>1447</v>
      </c>
      <c r="G352" s="64" t="s">
        <v>1163</v>
      </c>
      <c r="H352" s="65" t="s">
        <v>1447</v>
      </c>
      <c r="I352" s="63"/>
      <c r="J352" s="63"/>
      <c r="K352" s="63"/>
      <c r="L352" s="63"/>
      <c r="M352" s="63"/>
      <c r="N352" s="63"/>
      <c r="O352" s="63"/>
    </row>
    <row r="353" spans="2:15" ht="30" customHeight="1">
      <c r="B353" s="62" t="s">
        <v>375</v>
      </c>
      <c r="C353" s="63" t="s">
        <v>376</v>
      </c>
      <c r="D353" s="70" t="str">
        <f>_xlfn.XLOOKUP(B353,Table24[ActionID],Table24[Description],"")</f>
        <v>Cleaning and unclogging channels in the city to reduce the risk of flooding caused by extreme rainfall events. Installation of eco-barriers to assist in cleaning efforts and raise awareness about solid waste.</v>
      </c>
      <c r="E353" s="64" t="s">
        <v>1163</v>
      </c>
      <c r="F353" s="65" t="s">
        <v>1447</v>
      </c>
      <c r="G353" s="64" t="s">
        <v>1163</v>
      </c>
      <c r="H353" s="65" t="s">
        <v>1447</v>
      </c>
      <c r="I353" s="63"/>
      <c r="J353" s="63"/>
      <c r="K353" s="63"/>
      <c r="L353" s="63"/>
      <c r="M353" s="63"/>
      <c r="N353" s="63"/>
      <c r="O353" s="63"/>
    </row>
    <row r="354" spans="2:15" ht="15" customHeight="1">
      <c r="B354" s="62" t="s">
        <v>379</v>
      </c>
      <c r="C354" s="63" t="s">
        <v>380</v>
      </c>
      <c r="D354" s="70" t="str">
        <f>_xlfn.XLOOKUP(B354,Table24[ActionID],Table24[Description],"")</f>
        <v>Identify and assess the feasibility of suitable areas for the installation of urban gardens and ensure that the sites chosen meet the expectations of the community.</v>
      </c>
      <c r="E354" s="64" t="s">
        <v>1163</v>
      </c>
      <c r="F354" s="65" t="s">
        <v>1447</v>
      </c>
      <c r="G354" s="64" t="s">
        <v>1163</v>
      </c>
      <c r="H354" s="65" t="s">
        <v>1447</v>
      </c>
      <c r="I354" s="63"/>
      <c r="J354" s="63"/>
      <c r="K354" s="63"/>
      <c r="L354" s="63"/>
      <c r="M354" s="63"/>
      <c r="N354" s="63"/>
      <c r="O354" s="63"/>
    </row>
    <row r="355" spans="2:15" ht="45" customHeight="1">
      <c r="B355" s="62" t="s">
        <v>384</v>
      </c>
      <c r="C355" s="63" t="s">
        <v>385</v>
      </c>
      <c r="D355" s="70" t="str">
        <f>_xlfn.XLOOKUP(B355,Table24[ActionID],Table24[Description],"")</f>
        <v>Establish more mechanisms that enable better intersectoral coordination and public participation in climate policy, including the creation of working groups with neighboring municipalities to discuss a common climate agenda.</v>
      </c>
      <c r="E355" s="64" t="s">
        <v>1163</v>
      </c>
      <c r="F355" s="65" t="s">
        <v>1447</v>
      </c>
      <c r="G355" s="64" t="s">
        <v>1163</v>
      </c>
      <c r="H355" s="65" t="s">
        <v>1447</v>
      </c>
      <c r="I355" s="63"/>
      <c r="J355" s="63"/>
      <c r="K355" s="63"/>
      <c r="L355" s="63"/>
      <c r="M355" s="63"/>
      <c r="N355" s="63"/>
      <c r="O355" s="63"/>
    </row>
    <row r="356" spans="2:15" ht="30" customHeight="1">
      <c r="B356" s="62" t="s">
        <v>388</v>
      </c>
      <c r="C356" s="63" t="s">
        <v>389</v>
      </c>
      <c r="D356" s="70" t="str">
        <f>_xlfn.XLOOKUP(B356,Table24[ActionID],Table24[Description],"")</f>
        <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v>
      </c>
      <c r="E356" s="64" t="s">
        <v>1163</v>
      </c>
      <c r="F356" s="65" t="s">
        <v>1447</v>
      </c>
      <c r="G356" s="64" t="s">
        <v>1163</v>
      </c>
      <c r="H356" s="65" t="s">
        <v>1447</v>
      </c>
      <c r="I356" s="63"/>
      <c r="J356" s="63"/>
      <c r="K356" s="63"/>
      <c r="L356" s="63"/>
      <c r="M356" s="63"/>
      <c r="N356" s="63"/>
      <c r="O356" s="63"/>
    </row>
    <row r="357" spans="2:15" ht="15" customHeight="1">
      <c r="B357" s="62" t="s">
        <v>393</v>
      </c>
      <c r="C357" s="63" t="s">
        <v>394</v>
      </c>
      <c r="D357" s="70" t="str">
        <f>_xlfn.XLOOKUP(B357,Table24[ActionID],Table24[Description],"")</f>
        <v>Creation of a First Response Brigade in rural communities to provide them with training and equipment for fire prevention and firefighting.</v>
      </c>
      <c r="E357" s="64" t="s">
        <v>1163</v>
      </c>
      <c r="F357" s="65" t="s">
        <v>1447</v>
      </c>
      <c r="G357" s="64" t="s">
        <v>1163</v>
      </c>
      <c r="H357" s="65" t="s">
        <v>1447</v>
      </c>
      <c r="I357" s="63"/>
      <c r="J357" s="63"/>
      <c r="K357" s="63"/>
      <c r="L357" s="63"/>
      <c r="M357" s="63"/>
      <c r="N357" s="63"/>
      <c r="O357" s="63"/>
    </row>
    <row r="358" spans="2:15" ht="30" customHeight="1">
      <c r="B358" s="62" t="s">
        <v>398</v>
      </c>
      <c r="C358" s="63" t="s">
        <v>399</v>
      </c>
      <c r="D358" s="70" t="str">
        <f>_xlfn.XLOOKUP(B358,Table24[ActionID],Table24[Description],"")</f>
        <v>Implementation of a hydrological monitoring system with telemetry stations to monitor rainfall, water levels, and meteorological variables in real-time.</v>
      </c>
      <c r="E358" s="64" t="s">
        <v>1163</v>
      </c>
      <c r="F358" s="65" t="s">
        <v>1447</v>
      </c>
      <c r="G358" s="64" t="s">
        <v>1163</v>
      </c>
      <c r="H358" s="65" t="s">
        <v>1447</v>
      </c>
      <c r="I358" s="63"/>
      <c r="J358" s="63"/>
      <c r="K358" s="63"/>
      <c r="L358" s="63"/>
      <c r="M358" s="63"/>
      <c r="N358" s="63"/>
      <c r="O358" s="63"/>
    </row>
    <row r="359" spans="2:15" ht="15" customHeight="1">
      <c r="B359" s="62" t="s">
        <v>404</v>
      </c>
      <c r="C359" s="63" t="s">
        <v>405</v>
      </c>
      <c r="D359" s="70" t="str">
        <f>_xlfn.XLOOKUP(B359,Table24[ActionID],Table24[Description],"")</f>
        <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v>
      </c>
      <c r="E359" s="64" t="s">
        <v>1163</v>
      </c>
      <c r="F359" s="65" t="s">
        <v>1447</v>
      </c>
      <c r="G359" s="64" t="s">
        <v>1163</v>
      </c>
      <c r="H359" s="65" t="s">
        <v>1447</v>
      </c>
      <c r="I359" s="63"/>
      <c r="J359" s="63"/>
      <c r="K359" s="63"/>
      <c r="L359" s="63"/>
      <c r="M359" s="63"/>
      <c r="N359" s="63"/>
      <c r="O359" s="63"/>
    </row>
    <row r="360" spans="2:15" ht="45" customHeight="1">
      <c r="B360" s="62" t="s">
        <v>408</v>
      </c>
      <c r="C360" s="63" t="s">
        <v>409</v>
      </c>
      <c r="D360" s="70" t="str">
        <f>_xlfn.XLOOKUP(B360,Table24[ActionID],Table24[Description],"")</f>
        <v>This action focuses on preparing the municipality to respond to extreme events, aiming to provide a rapid response that minimizes the impacts on the population.</v>
      </c>
      <c r="E360" s="64" t="s">
        <v>1163</v>
      </c>
      <c r="F360" s="65" t="s">
        <v>1447</v>
      </c>
      <c r="G360" s="64" t="s">
        <v>1163</v>
      </c>
      <c r="H360" s="65" t="s">
        <v>1447</v>
      </c>
      <c r="I360" s="63"/>
      <c r="J360" s="63"/>
      <c r="K360" s="63"/>
      <c r="L360" s="63"/>
      <c r="M360" s="63"/>
      <c r="N360" s="63"/>
      <c r="O360" s="63"/>
    </row>
    <row r="361" spans="2:15" ht="45" customHeight="1">
      <c r="B361" s="62" t="s">
        <v>412</v>
      </c>
      <c r="C361" s="63" t="s">
        <v>413</v>
      </c>
      <c r="D361" s="70" t="str">
        <f>_xlfn.XLOOKUP(B361,Table24[ActionID],Table24[Description],"")</f>
        <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v>
      </c>
      <c r="E361" s="64" t="s">
        <v>1163</v>
      </c>
      <c r="F361" s="65" t="s">
        <v>1447</v>
      </c>
      <c r="G361" s="64" t="s">
        <v>1163</v>
      </c>
      <c r="H361" s="65" t="s">
        <v>1447</v>
      </c>
      <c r="I361" s="63"/>
      <c r="J361" s="63"/>
      <c r="K361" s="63"/>
      <c r="L361" s="63"/>
      <c r="M361" s="63"/>
      <c r="N361" s="63"/>
      <c r="O361" s="63"/>
    </row>
    <row r="362" spans="2:15" ht="30" customHeight="1">
      <c r="B362" s="62" t="s">
        <v>417</v>
      </c>
      <c r="C362" s="63" t="s">
        <v>418</v>
      </c>
      <c r="D362" s="70" t="str">
        <f>_xlfn.XLOOKUP(B362,Table24[ActionID],Table24[Description],"")</f>
        <v>This action aims to expand the procedures related to the existing climate risk forecasting, monitoring, and alert system in the municipality.</v>
      </c>
      <c r="E362" s="64" t="s">
        <v>1163</v>
      </c>
      <c r="F362" s="65" t="s">
        <v>1447</v>
      </c>
      <c r="G362" s="64" t="s">
        <v>1163</v>
      </c>
      <c r="H362" s="65" t="s">
        <v>1447</v>
      </c>
      <c r="I362" s="63"/>
      <c r="J362" s="63"/>
      <c r="K362" s="63"/>
      <c r="L362" s="63"/>
      <c r="M362" s="63"/>
      <c r="N362" s="63"/>
      <c r="O362" s="63"/>
    </row>
    <row r="363" spans="2:15" ht="45" customHeight="1">
      <c r="B363" s="62" t="s">
        <v>423</v>
      </c>
      <c r="C363" s="63" t="s">
        <v>424</v>
      </c>
      <c r="D363" s="70" t="str">
        <f>_xlfn.XLOOKUP(B363,Table24[ActionID],Table24[Description],"")</f>
        <v>This action aims to strengthen the development of the Municipal Risk Reduction Plan (PMRR) in the municipality, as it is a highly relevant tool for managing climate risks, especially river floods and landslides.</v>
      </c>
      <c r="E363" s="64" t="s">
        <v>1163</v>
      </c>
      <c r="F363" s="65" t="s">
        <v>1447</v>
      </c>
      <c r="G363" s="64" t="s">
        <v>1163</v>
      </c>
      <c r="H363" s="65" t="s">
        <v>1447</v>
      </c>
      <c r="I363" s="63"/>
      <c r="J363" s="63"/>
      <c r="K363" s="63"/>
      <c r="L363" s="63"/>
      <c r="M363" s="63"/>
      <c r="N363" s="63"/>
      <c r="O363" s="63"/>
    </row>
    <row r="364" spans="2:15" ht="15" customHeight="1">
      <c r="B364" s="62" t="s">
        <v>427</v>
      </c>
      <c r="C364" s="63" t="s">
        <v>428</v>
      </c>
      <c r="D364" s="70" t="str">
        <f>_xlfn.XLOOKUP(B364,Table24[ActionID],Table24[Description],"")</f>
        <v>Regular upkeep and cleaning of urban drainage systems, including storm drains, sewers, and retention basins, to ensure efficient water flow and prevent blockages that can lead to flooding during heavy rainfall events.</v>
      </c>
      <c r="E364" s="64" t="s">
        <v>1163</v>
      </c>
      <c r="F364" s="65" t="s">
        <v>1447</v>
      </c>
      <c r="G364" s="64" t="s">
        <v>1163</v>
      </c>
      <c r="H364" s="65" t="s">
        <v>1447</v>
      </c>
      <c r="I364" s="63"/>
      <c r="J364" s="63"/>
      <c r="K364" s="63"/>
      <c r="L364" s="63"/>
      <c r="M364" s="63"/>
      <c r="N364" s="63"/>
      <c r="O364" s="63"/>
    </row>
    <row r="365" spans="2:15" ht="15" customHeight="1">
      <c r="B365" s="62" t="s">
        <v>432</v>
      </c>
      <c r="C365" s="63" t="s">
        <v>433</v>
      </c>
      <c r="D365" s="70" t="str">
        <f>_xlfn.XLOOKUP(B365,Table24[ActionID],Table24[Description],"")</f>
        <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v>
      </c>
      <c r="E365" s="64" t="s">
        <v>1163</v>
      </c>
      <c r="F365" s="65" t="s">
        <v>1447</v>
      </c>
      <c r="G365" s="64" t="s">
        <v>1163</v>
      </c>
      <c r="H365" s="65" t="s">
        <v>1447</v>
      </c>
      <c r="I365" s="63"/>
      <c r="J365" s="63"/>
      <c r="K365" s="63"/>
      <c r="L365" s="63"/>
      <c r="M365" s="63"/>
      <c r="N365" s="63"/>
      <c r="O365" s="63"/>
    </row>
    <row r="366" spans="2:15" ht="30" customHeight="1">
      <c r="B366" s="62" t="s">
        <v>436</v>
      </c>
      <c r="C366" s="63" t="s">
        <v>437</v>
      </c>
      <c r="D366" s="70" t="str">
        <f>_xlfn.XLOOKUP(B366,Table24[ActionID],Table24[Description],"")</f>
        <v>Mapping of critical flood-prone areas with the aim of revising and harmonizing legislation related to land use, given the intensification of the impacts of extreme weather events.</v>
      </c>
      <c r="E366" s="64" t="s">
        <v>1163</v>
      </c>
      <c r="F366" s="65" t="s">
        <v>1447</v>
      </c>
      <c r="G366" s="64" t="s">
        <v>1163</v>
      </c>
      <c r="H366" s="65" t="s">
        <v>1447</v>
      </c>
      <c r="I366" s="63"/>
      <c r="J366" s="63"/>
      <c r="K366" s="63"/>
      <c r="L366" s="63"/>
      <c r="M366" s="63"/>
      <c r="N366" s="63"/>
      <c r="O366" s="63"/>
    </row>
    <row r="367" spans="2:15" ht="15" customHeight="1">
      <c r="B367" s="62" t="s">
        <v>440</v>
      </c>
      <c r="C367" s="63" t="s">
        <v>441</v>
      </c>
      <c r="D367" s="70" t="str">
        <f>_xlfn.XLOOKUP(B367,Table24[ActionID],Table24[Description],"")</f>
        <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v>
      </c>
      <c r="E367" s="64" t="s">
        <v>1163</v>
      </c>
      <c r="F367" s="65" t="s">
        <v>1447</v>
      </c>
      <c r="G367" s="64" t="s">
        <v>1163</v>
      </c>
      <c r="H367" s="65" t="s">
        <v>1447</v>
      </c>
      <c r="I367" s="63"/>
      <c r="J367" s="63"/>
      <c r="K367" s="63"/>
      <c r="L367" s="63"/>
      <c r="M367" s="63"/>
      <c r="N367" s="63"/>
      <c r="O367" s="63"/>
    </row>
    <row r="368" spans="2:15" ht="15" customHeight="1">
      <c r="B368" s="62" t="s">
        <v>444</v>
      </c>
      <c r="C368" s="63" t="s">
        <v>445</v>
      </c>
      <c r="D368" s="70" t="str">
        <f>_xlfn.XLOOKUP(B368,Table24[ActionID],Table24[Description],"")</f>
        <v>A comprehensive project addressing the socio-environmental vulnerability of an informal settlement. It includes relocating residents from flood-prone areas, restoring the environment, and providing infrastructure and social services.</v>
      </c>
      <c r="E368" s="64" t="s">
        <v>1163</v>
      </c>
      <c r="F368" s="65" t="s">
        <v>1447</v>
      </c>
      <c r="G368" s="64" t="s">
        <v>1163</v>
      </c>
      <c r="H368" s="65" t="s">
        <v>1447</v>
      </c>
      <c r="I368" s="63"/>
      <c r="J368" s="63"/>
      <c r="K368" s="63"/>
      <c r="L368" s="63"/>
      <c r="M368" s="63"/>
      <c r="N368" s="63"/>
      <c r="O368" s="63"/>
    </row>
    <row r="369" spans="2:15" ht="15" customHeight="1">
      <c r="B369" s="62" t="s">
        <v>449</v>
      </c>
      <c r="C369" s="63" t="s">
        <v>450</v>
      </c>
      <c r="D369" s="70" t="str">
        <f>_xlfn.XLOOKUP(B369,Table24[ActionID],Table24[Description],"")</f>
        <v>This action focuses on expanding green areas in the city through urban afforestation. This includes planting trees in sidewalks, squares, public buildings, and schools, as well as creating ecological parks to revitalize watercourses and/or restore forests.</v>
      </c>
      <c r="E369" s="64" t="s">
        <v>1163</v>
      </c>
      <c r="F369" s="65" t="s">
        <v>1447</v>
      </c>
      <c r="G369" s="64" t="s">
        <v>1163</v>
      </c>
      <c r="H369" s="65" t="s">
        <v>1447</v>
      </c>
      <c r="I369" s="63"/>
      <c r="J369" s="63"/>
      <c r="K369" s="63"/>
      <c r="L369" s="63"/>
      <c r="M369" s="63"/>
      <c r="N369" s="63"/>
      <c r="O369" s="63"/>
    </row>
    <row r="370" spans="2:15" ht="30" customHeight="1">
      <c r="B370" s="62" t="s">
        <v>453</v>
      </c>
      <c r="C370" s="63" t="s">
        <v>454</v>
      </c>
      <c r="D370" s="70" t="str">
        <f>_xlfn.XLOOKUP(B370,Table24[ActionID],Table24[Description],"")</f>
        <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v>
      </c>
      <c r="E370" s="64" t="s">
        <v>1163</v>
      </c>
      <c r="F370" s="65" t="s">
        <v>1447</v>
      </c>
      <c r="G370" s="64" t="s">
        <v>1163</v>
      </c>
      <c r="H370" s="65" t="s">
        <v>1447</v>
      </c>
      <c r="I370" s="63"/>
      <c r="J370" s="63"/>
      <c r="K370" s="63"/>
      <c r="L370" s="63"/>
      <c r="M370" s="63"/>
      <c r="N370" s="63"/>
      <c r="O370" s="63"/>
    </row>
    <row r="371" spans="2:15" ht="15" customHeight="1">
      <c r="B371" s="62" t="s">
        <v>457</v>
      </c>
      <c r="C371" s="63" t="s">
        <v>458</v>
      </c>
      <c r="D371" s="70" t="str">
        <f>_xlfn.XLOOKUP(B371,Table24[ActionID],Table24[Description],"")</f>
        <v>This action involves stabilizing slopes and maintaining or restoring drainage systems in hillside areas. This helps to prevent landslides and erosion, reducing the risk of disasters.</v>
      </c>
      <c r="E371" s="64" t="s">
        <v>1163</v>
      </c>
      <c r="F371" s="65" t="s">
        <v>1447</v>
      </c>
      <c r="G371" s="64" t="s">
        <v>1163</v>
      </c>
      <c r="H371" s="65" t="s">
        <v>1447</v>
      </c>
      <c r="I371" s="63"/>
      <c r="J371" s="63"/>
      <c r="K371" s="63"/>
      <c r="L371" s="63"/>
      <c r="M371" s="63"/>
      <c r="N371" s="63"/>
      <c r="O371" s="63"/>
    </row>
    <row r="372" spans="2:15" ht="30" customHeight="1">
      <c r="B372" s="62" t="s">
        <v>461</v>
      </c>
      <c r="C372" s="63" t="s">
        <v>462</v>
      </c>
      <c r="D372" s="70" t="str">
        <f>_xlfn.XLOOKUP(B372,Table24[ActionID],Table24[Description],"")</f>
        <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v>
      </c>
      <c r="E372" s="64" t="s">
        <v>1163</v>
      </c>
      <c r="F372" s="65" t="s">
        <v>1447</v>
      </c>
      <c r="G372" s="64" t="s">
        <v>1163</v>
      </c>
      <c r="H372" s="65" t="s">
        <v>1447</v>
      </c>
      <c r="I372" s="63"/>
      <c r="J372" s="63"/>
      <c r="K372" s="63"/>
      <c r="L372" s="63"/>
      <c r="M372" s="63"/>
      <c r="N372" s="63"/>
      <c r="O372" s="63"/>
    </row>
    <row r="373" spans="2:15" ht="15" customHeight="1">
      <c r="B373" s="62" t="s">
        <v>466</v>
      </c>
      <c r="C373" s="63" t="s">
        <v>467</v>
      </c>
      <c r="D373" s="70" t="str">
        <f>_xlfn.XLOOKUP(B373,Table24[ActionID],Table24[Description],"")</f>
        <v>This action describes the implementation of an integrated coastal zone management plan to promote sustainable development and address the impacts of climate change in coastal areas. It includes measures to mitigate the impacts of sea-level rise and coastal erosion.</v>
      </c>
      <c r="E373" s="64" t="s">
        <v>1163</v>
      </c>
      <c r="F373" s="65" t="s">
        <v>1447</v>
      </c>
      <c r="G373" s="64" t="s">
        <v>1163</v>
      </c>
      <c r="H373" s="65" t="s">
        <v>1447</v>
      </c>
      <c r="I373" s="63"/>
      <c r="J373" s="63"/>
      <c r="K373" s="63"/>
      <c r="L373" s="63"/>
      <c r="M373" s="63"/>
      <c r="N373" s="63"/>
      <c r="O373" s="63"/>
    </row>
    <row r="374" spans="2:15" ht="60" customHeight="1">
      <c r="B374" s="62" t="s">
        <v>471</v>
      </c>
      <c r="C374" s="63" t="s">
        <v>472</v>
      </c>
      <c r="D374" s="70" t="str">
        <f>_xlfn.XLOOKUP(B374,Table24[ActionID],Table24[Description],"")</f>
        <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v>
      </c>
      <c r="E374" s="64" t="s">
        <v>1163</v>
      </c>
      <c r="F374" s="65" t="s">
        <v>1447</v>
      </c>
      <c r="G374" s="64" t="s">
        <v>1163</v>
      </c>
      <c r="H374" s="65" t="s">
        <v>1447</v>
      </c>
      <c r="I374" s="63"/>
      <c r="J374" s="63"/>
      <c r="K374" s="63"/>
      <c r="L374" s="63"/>
      <c r="M374" s="63"/>
      <c r="N374" s="63"/>
      <c r="O374" s="63"/>
    </row>
    <row r="375" spans="2:15" ht="15" customHeight="1">
      <c r="B375" s="62" t="s">
        <v>475</v>
      </c>
      <c r="C375" s="63" t="s">
        <v>476</v>
      </c>
      <c r="D375" s="70" t="str">
        <f>_xlfn.XLOOKUP(B375,Table24[ActionID],Table24[Description],"")</f>
        <v>The implementation of green roofs and green walls mitigates urban heat island effects, improves thermal comfort, reduces energy demand in buildings, manages stormwater, and enhances urban livability and biodiversity.</v>
      </c>
      <c r="E375" s="64" t="s">
        <v>1163</v>
      </c>
      <c r="F375" s="65" t="s">
        <v>1447</v>
      </c>
      <c r="G375" s="64" t="s">
        <v>1163</v>
      </c>
      <c r="H375" s="65" t="s">
        <v>1447</v>
      </c>
      <c r="I375" s="63"/>
      <c r="J375" s="63"/>
      <c r="K375" s="63"/>
      <c r="L375" s="63"/>
      <c r="M375" s="63"/>
      <c r="N375" s="63"/>
      <c r="O375" s="63"/>
    </row>
    <row r="376" spans="2:15" ht="30" customHeight="1">
      <c r="B376" s="62" t="s">
        <v>480</v>
      </c>
      <c r="C376" s="63" t="s">
        <v>481</v>
      </c>
      <c r="D376" s="70" t="str">
        <f>_xlfn.XLOOKUP(B376,Table24[ActionID],Table24[Description],"")</f>
        <v>Planned relocation and retreat of people, assets, and activities from coastal hazard zones to reduce exposure and risks caused by sea-level rise and associated coastal hazards.</v>
      </c>
      <c r="E376" s="64" t="s">
        <v>1163</v>
      </c>
      <c r="F376" s="65" t="s">
        <v>1447</v>
      </c>
      <c r="G376" s="64" t="s">
        <v>1163</v>
      </c>
      <c r="H376" s="65" t="s">
        <v>1447</v>
      </c>
      <c r="I376" s="63"/>
      <c r="J376" s="63"/>
      <c r="K376" s="63"/>
      <c r="L376" s="63"/>
      <c r="M376" s="63"/>
      <c r="N376" s="63"/>
      <c r="O376" s="63"/>
    </row>
    <row r="377" spans="2:15" ht="15" customHeight="1">
      <c r="B377" s="62" t="s">
        <v>485</v>
      </c>
      <c r="C377" s="63" t="s">
        <v>486</v>
      </c>
      <c r="D377" s="70" t="str">
        <f>_xlfn.XLOOKUP(B377,Table24[ActionID],Table24[Description],"")</f>
        <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v>
      </c>
      <c r="E377" s="64" t="s">
        <v>1163</v>
      </c>
      <c r="F377" s="65" t="s">
        <v>1447</v>
      </c>
      <c r="G377" s="64" t="s">
        <v>1163</v>
      </c>
      <c r="H377" s="65" t="s">
        <v>1447</v>
      </c>
      <c r="I377" s="63"/>
      <c r="J377" s="63"/>
      <c r="K377" s="63"/>
      <c r="L377" s="63"/>
      <c r="M377" s="63"/>
      <c r="N377" s="63"/>
      <c r="O377" s="63"/>
    </row>
    <row r="378" spans="2:15" ht="30" customHeight="1">
      <c r="B378" s="62" t="s">
        <v>490</v>
      </c>
      <c r="C378" s="63" t="s">
        <v>491</v>
      </c>
      <c r="D378" s="70" t="str">
        <f>_xlfn.XLOOKUP(B378,Table24[ActionID],Table24[Description],"")</f>
        <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v>
      </c>
      <c r="E378" s="64" t="s">
        <v>1163</v>
      </c>
      <c r="F378" s="65" t="s">
        <v>1447</v>
      </c>
      <c r="G378" s="64" t="s">
        <v>1163</v>
      </c>
      <c r="H378" s="65" t="s">
        <v>1447</v>
      </c>
      <c r="I378" s="63"/>
      <c r="J378" s="63"/>
      <c r="K378" s="63"/>
      <c r="L378" s="63"/>
      <c r="M378" s="63"/>
      <c r="N378" s="63"/>
      <c r="O378" s="63"/>
    </row>
    <row r="379" spans="2:15" ht="15" customHeight="1">
      <c r="B379" s="62" t="s">
        <v>495</v>
      </c>
      <c r="C379" s="63" t="s">
        <v>496</v>
      </c>
      <c r="D379" s="70" t="str">
        <f>_xlfn.XLOOKUP(B379,Table24[ActionID],Table24[Description],"")</f>
        <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v>
      </c>
      <c r="E379" s="64" t="s">
        <v>1163</v>
      </c>
      <c r="F379" s="65" t="s">
        <v>1447</v>
      </c>
      <c r="G379" s="64" t="s">
        <v>1163</v>
      </c>
      <c r="H379" s="65" t="s">
        <v>1447</v>
      </c>
      <c r="I379" s="63"/>
      <c r="J379" s="63"/>
      <c r="K379" s="63"/>
      <c r="L379" s="63"/>
      <c r="M379" s="63"/>
      <c r="N379" s="63"/>
      <c r="O379" s="63"/>
    </row>
    <row r="380" spans="2:15" ht="15" customHeight="1">
      <c r="B380" s="62" t="s">
        <v>500</v>
      </c>
      <c r="C380" s="63" t="s">
        <v>501</v>
      </c>
      <c r="D380" s="70" t="str">
        <f>_xlfn.XLOOKUP(B380,Table24[ActionID],Table24[Description],"")</f>
        <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v>
      </c>
      <c r="E380" s="64" t="s">
        <v>1162</v>
      </c>
      <c r="F380" s="65" t="s">
        <v>1454</v>
      </c>
      <c r="G380" s="64" t="s">
        <v>1163</v>
      </c>
      <c r="H380" s="65" t="s">
        <v>1447</v>
      </c>
      <c r="I380" s="63"/>
      <c r="J380" s="63"/>
      <c r="K380" s="63"/>
      <c r="L380" s="63"/>
      <c r="M380" s="63"/>
      <c r="N380" s="63"/>
      <c r="O380" s="63"/>
    </row>
    <row r="381" spans="2:15" ht="15" customHeight="1">
      <c r="B381" s="62" t="s">
        <v>505</v>
      </c>
      <c r="C381" s="63" t="s">
        <v>506</v>
      </c>
      <c r="D381" s="70" t="str">
        <f>_xlfn.XLOOKUP(B381,Table24[ActionID],Table24[Description],"")</f>
        <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v>
      </c>
      <c r="E381" s="64" t="s">
        <v>1163</v>
      </c>
      <c r="F381" s="65" t="s">
        <v>1447</v>
      </c>
      <c r="G381" s="64" t="s">
        <v>1163</v>
      </c>
      <c r="H381" s="65" t="s">
        <v>1447</v>
      </c>
      <c r="I381" s="63"/>
      <c r="J381" s="63"/>
      <c r="K381" s="63"/>
      <c r="L381" s="63"/>
      <c r="M381" s="63"/>
      <c r="N381" s="63"/>
      <c r="O381" s="63"/>
    </row>
    <row r="382" spans="2:15" ht="15" customHeight="1">
      <c r="B382" s="62" t="s">
        <v>509</v>
      </c>
      <c r="C382" s="63" t="s">
        <v>510</v>
      </c>
      <c r="D382" s="70" t="str">
        <f>_xlfn.XLOOKUP(B382,Table24[ActionID],Table24[Description],"")</f>
        <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v>
      </c>
      <c r="E382" s="64" t="s">
        <v>1163</v>
      </c>
      <c r="F382" s="65" t="s">
        <v>1447</v>
      </c>
      <c r="G382" s="64" t="s">
        <v>1163</v>
      </c>
      <c r="H382" s="65" t="s">
        <v>1447</v>
      </c>
      <c r="I382" s="63"/>
      <c r="J382" s="63"/>
      <c r="K382" s="63"/>
      <c r="L382" s="63"/>
      <c r="M382" s="63"/>
      <c r="N382" s="63"/>
      <c r="O382" s="63"/>
    </row>
    <row r="383" spans="2:15" ht="15" customHeight="1">
      <c r="B383" s="62" t="s">
        <v>513</v>
      </c>
      <c r="C383" s="63" t="s">
        <v>514</v>
      </c>
      <c r="D383" s="70" t="str">
        <f>_xlfn.XLOOKUP(B383,Table24[ActionID],Table24[Description],"")</f>
        <v xml:space="preserve"> 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v>
      </c>
      <c r="E383" s="64" t="s">
        <v>1163</v>
      </c>
      <c r="F383" s="65" t="s">
        <v>1447</v>
      </c>
      <c r="G383" s="64" t="s">
        <v>1163</v>
      </c>
      <c r="H383" s="65" t="s">
        <v>1447</v>
      </c>
      <c r="I383" s="63"/>
      <c r="J383" s="63"/>
      <c r="K383" s="63"/>
      <c r="L383" s="63"/>
      <c r="M383" s="63"/>
      <c r="N383" s="63"/>
      <c r="O383" s="63"/>
    </row>
    <row r="384" spans="2:15" ht="30" customHeight="1">
      <c r="B384" s="62" t="s">
        <v>517</v>
      </c>
      <c r="C384" s="63" t="s">
        <v>518</v>
      </c>
      <c r="D384" s="70" t="str">
        <f>_xlfn.XLOOKUP(B384,Table24[ActionID],Table24[Description],"")</f>
        <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v>
      </c>
      <c r="E384" s="64" t="s">
        <v>1163</v>
      </c>
      <c r="F384" s="65" t="s">
        <v>1447</v>
      </c>
      <c r="G384" s="64" t="s">
        <v>1163</v>
      </c>
      <c r="H384" s="65" t="s">
        <v>1447</v>
      </c>
      <c r="I384" s="63"/>
      <c r="J384" s="63"/>
      <c r="K384" s="63"/>
      <c r="L384" s="63"/>
      <c r="M384" s="63"/>
      <c r="N384" s="63"/>
      <c r="O384" s="63"/>
    </row>
    <row r="385" spans="2:15" ht="15" customHeight="1">
      <c r="B385" s="62" t="s">
        <v>522</v>
      </c>
      <c r="C385" s="63" t="s">
        <v>523</v>
      </c>
      <c r="D385" s="70" t="str">
        <f>_xlfn.XLOOKUP(B385,Table24[ActionID],Table24[Description],"")</f>
        <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v>
      </c>
      <c r="E385" s="64" t="s">
        <v>1163</v>
      </c>
      <c r="F385" s="65" t="s">
        <v>1447</v>
      </c>
      <c r="G385" s="64" t="s">
        <v>1163</v>
      </c>
      <c r="H385" s="65" t="s">
        <v>1447</v>
      </c>
      <c r="I385" s="63"/>
      <c r="J385" s="63"/>
      <c r="K385" s="63"/>
      <c r="L385" s="63"/>
      <c r="M385" s="63"/>
      <c r="N385" s="63"/>
      <c r="O385" s="63"/>
    </row>
    <row r="386" spans="2:15" ht="15" customHeight="1">
      <c r="B386" s="62" t="s">
        <v>527</v>
      </c>
      <c r="C386" s="63" t="s">
        <v>528</v>
      </c>
      <c r="D386" s="70" t="str">
        <f>_xlfn.XLOOKUP(B386,Table24[ActionID],Table24[Description],"")</f>
        <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v>
      </c>
      <c r="E386" s="64" t="s">
        <v>1163</v>
      </c>
      <c r="F386" s="65" t="s">
        <v>1447</v>
      </c>
      <c r="G386" s="64" t="s">
        <v>1163</v>
      </c>
      <c r="H386" s="65" t="s">
        <v>1447</v>
      </c>
      <c r="I386" s="63"/>
      <c r="J386" s="63"/>
      <c r="K386" s="63"/>
      <c r="L386" s="63"/>
      <c r="M386" s="63"/>
      <c r="N386" s="63"/>
      <c r="O386" s="63"/>
    </row>
    <row r="387" spans="2:15" ht="30" customHeight="1">
      <c r="B387" s="62" t="s">
        <v>531</v>
      </c>
      <c r="C387" s="63" t="s">
        <v>532</v>
      </c>
      <c r="D387" s="70" t="str">
        <f>_xlfn.XLOOKUP(B387,Table24[ActionID],Table24[Description],"")</f>
        <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v>
      </c>
      <c r="E387" s="64" t="s">
        <v>1163</v>
      </c>
      <c r="F387" s="65" t="s">
        <v>1447</v>
      </c>
      <c r="G387" s="64" t="s">
        <v>1163</v>
      </c>
      <c r="H387" s="65" t="s">
        <v>1447</v>
      </c>
      <c r="I387" s="63"/>
      <c r="J387" s="63"/>
      <c r="K387" s="63"/>
      <c r="L387" s="63"/>
      <c r="M387" s="63"/>
      <c r="N387" s="63"/>
      <c r="O387" s="63"/>
    </row>
    <row r="388" spans="2:15" ht="30" customHeight="1">
      <c r="B388" s="62" t="s">
        <v>535</v>
      </c>
      <c r="C388" s="63" t="s">
        <v>536</v>
      </c>
      <c r="D388" s="70" t="str">
        <f>_xlfn.XLOOKUP(B388,Table24[ActionID],Table24[Description],"")</f>
        <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v>
      </c>
      <c r="E388" s="64" t="s">
        <v>1163</v>
      </c>
      <c r="F388" s="65" t="s">
        <v>1447</v>
      </c>
      <c r="G388" s="64" t="s">
        <v>1163</v>
      </c>
      <c r="H388" s="65" t="s">
        <v>1447</v>
      </c>
      <c r="I388" s="63"/>
      <c r="J388" s="63"/>
      <c r="K388" s="63"/>
      <c r="L388" s="63"/>
      <c r="M388" s="63"/>
      <c r="N388" s="63"/>
      <c r="O388" s="63"/>
    </row>
    <row r="389" spans="2:15" ht="45" customHeight="1">
      <c r="B389" s="62" t="s">
        <v>539</v>
      </c>
      <c r="C389" s="63" t="s">
        <v>540</v>
      </c>
      <c r="D389" s="70" t="str">
        <f>_xlfn.XLOOKUP(B389,Table24[ActionID],Table24[Description],"")</f>
        <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v>
      </c>
      <c r="E389" s="64" t="s">
        <v>1163</v>
      </c>
      <c r="F389" s="65" t="s">
        <v>1447</v>
      </c>
      <c r="G389" s="64" t="s">
        <v>1163</v>
      </c>
      <c r="H389" s="65" t="s">
        <v>1447</v>
      </c>
      <c r="I389" s="63"/>
      <c r="J389" s="63"/>
      <c r="K389" s="63"/>
      <c r="L389" s="63"/>
      <c r="M389" s="63"/>
      <c r="N389" s="63"/>
      <c r="O389" s="63"/>
    </row>
    <row r="390" spans="2:15" ht="15" customHeight="1">
      <c r="B390" s="62" t="s">
        <v>543</v>
      </c>
      <c r="C390" s="63" t="s">
        <v>544</v>
      </c>
      <c r="D390" s="70" t="str">
        <f>_xlfn.XLOOKUP(B390,Table24[ActionID],Table24[Description],"")</f>
        <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v>
      </c>
      <c r="E390" s="64" t="s">
        <v>1162</v>
      </c>
      <c r="F390" s="65" t="s">
        <v>1455</v>
      </c>
      <c r="G390" s="64" t="s">
        <v>1163</v>
      </c>
      <c r="H390" s="65" t="s">
        <v>1447</v>
      </c>
      <c r="I390" s="63"/>
      <c r="J390" s="63"/>
      <c r="K390" s="63"/>
      <c r="L390" s="63"/>
      <c r="M390" s="63"/>
      <c r="N390" s="63"/>
      <c r="O390" s="63"/>
    </row>
    <row r="391" spans="2:15" ht="15" customHeight="1">
      <c r="B391" s="62" t="s">
        <v>547</v>
      </c>
      <c r="C391" s="63" t="s">
        <v>548</v>
      </c>
      <c r="D391" s="70" t="str">
        <f>_xlfn.XLOOKUP(B391,Table24[ActionID],Table24[Description],"")</f>
        <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v>
      </c>
      <c r="E391" s="64" t="s">
        <v>1163</v>
      </c>
      <c r="F391" s="65" t="s">
        <v>1447</v>
      </c>
      <c r="G391" s="64" t="s">
        <v>1163</v>
      </c>
      <c r="H391" s="65" t="s">
        <v>1447</v>
      </c>
      <c r="I391" s="63"/>
      <c r="J391" s="63"/>
      <c r="K391" s="63"/>
      <c r="L391" s="63"/>
      <c r="M391" s="63"/>
      <c r="N391" s="63"/>
      <c r="O391" s="63"/>
    </row>
    <row r="392" spans="2:15" ht="15" customHeight="1">
      <c r="B392" s="62" t="s">
        <v>552</v>
      </c>
      <c r="C392" s="63" t="s">
        <v>553</v>
      </c>
      <c r="D392" s="70" t="str">
        <f>_xlfn.XLOOKUP(B392,Table24[ActionID],Table24[Description],"")</f>
        <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v>
      </c>
      <c r="E392" s="64" t="s">
        <v>1163</v>
      </c>
      <c r="F392" s="65" t="s">
        <v>1447</v>
      </c>
      <c r="G392" s="64" t="s">
        <v>1163</v>
      </c>
      <c r="H392" s="65" t="s">
        <v>1447</v>
      </c>
      <c r="I392" s="63"/>
      <c r="J392" s="63"/>
      <c r="K392" s="63"/>
      <c r="L392" s="63"/>
      <c r="M392" s="63"/>
      <c r="N392" s="63"/>
      <c r="O392" s="63"/>
    </row>
    <row r="393" spans="2:15" ht="30" customHeight="1">
      <c r="B393" s="62" t="s">
        <v>556</v>
      </c>
      <c r="C393" s="63" t="s">
        <v>557</v>
      </c>
      <c r="D393" s="70" t="str">
        <f>_xlfn.XLOOKUP(B393,Table24[ActionID],Table24[Description],"")</f>
        <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v>
      </c>
      <c r="E393" s="64" t="s">
        <v>1163</v>
      </c>
      <c r="F393" s="65" t="s">
        <v>1447</v>
      </c>
      <c r="G393" s="64" t="s">
        <v>1163</v>
      </c>
      <c r="H393" s="65" t="s">
        <v>1447</v>
      </c>
      <c r="I393" s="63"/>
      <c r="J393" s="63"/>
      <c r="K393" s="63"/>
      <c r="L393" s="63"/>
      <c r="M393" s="63"/>
      <c r="N393" s="63"/>
      <c r="O393" s="63"/>
    </row>
    <row r="394" spans="2:15" ht="15" customHeight="1">
      <c r="B394" s="62" t="s">
        <v>561</v>
      </c>
      <c r="C394" s="63" t="s">
        <v>562</v>
      </c>
      <c r="D394" s="70" t="str">
        <f>_xlfn.XLOOKUP(B394,Table24[ActionID],Table24[Description],"")</f>
        <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v>
      </c>
      <c r="E394" s="64" t="s">
        <v>1163</v>
      </c>
      <c r="F394" s="65" t="s">
        <v>1447</v>
      </c>
      <c r="G394" s="64" t="s">
        <v>1163</v>
      </c>
      <c r="H394" s="65" t="s">
        <v>1447</v>
      </c>
      <c r="I394" s="63"/>
      <c r="J394" s="63"/>
      <c r="K394" s="63"/>
      <c r="L394" s="63"/>
      <c r="M394" s="63"/>
      <c r="N394" s="63"/>
      <c r="O394" s="63"/>
    </row>
    <row r="395" spans="2:15" ht="30" customHeight="1">
      <c r="B395" s="62" t="s">
        <v>564</v>
      </c>
      <c r="C395" s="63" t="s">
        <v>565</v>
      </c>
      <c r="D395" s="70" t="str">
        <f>_xlfn.XLOOKUP(B395,Table24[ActionID],Table24[Description],"")</f>
        <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v>
      </c>
      <c r="E395" s="64" t="s">
        <v>1163</v>
      </c>
      <c r="F395" s="65" t="s">
        <v>1447</v>
      </c>
      <c r="G395" s="64" t="s">
        <v>1163</v>
      </c>
      <c r="H395" s="65" t="s">
        <v>1447</v>
      </c>
      <c r="I395" s="63"/>
      <c r="J395" s="63"/>
      <c r="K395" s="63"/>
      <c r="L395" s="63"/>
      <c r="M395" s="63"/>
      <c r="N395" s="63"/>
      <c r="O395" s="63"/>
    </row>
    <row r="396" spans="2:15" ht="15" customHeight="1"/>
    <row r="397" spans="2:15" ht="15" customHeight="1"/>
    <row r="398" spans="2:15" ht="21" customHeight="1">
      <c r="B398" s="138" t="s">
        <v>1272</v>
      </c>
      <c r="C398" s="138"/>
      <c r="D398" s="138"/>
      <c r="E398" s="138"/>
      <c r="F398" s="138"/>
      <c r="G398" s="138"/>
      <c r="H398" s="138"/>
      <c r="I398" s="138"/>
      <c r="J398" s="138"/>
      <c r="K398" s="138"/>
      <c r="L398" s="138"/>
      <c r="M398" s="138"/>
      <c r="N398" s="138"/>
      <c r="O398" s="138"/>
    </row>
    <row r="399" spans="2:15" ht="15" customHeight="1"/>
    <row r="400" spans="2:15" ht="15" customHeight="1">
      <c r="B400" s="139" t="s">
        <v>1267</v>
      </c>
      <c r="C400" s="139"/>
      <c r="D400" s="139"/>
      <c r="E400" s="139"/>
      <c r="F400" s="139"/>
      <c r="G400" s="139"/>
      <c r="H400" s="139"/>
      <c r="I400" s="139"/>
      <c r="J400" s="139"/>
      <c r="K400" s="139"/>
      <c r="L400" s="139"/>
      <c r="M400" s="139"/>
      <c r="N400" s="139"/>
      <c r="O400" s="139"/>
    </row>
    <row r="401" spans="1:15" ht="63" customHeight="1">
      <c r="B401" s="134" t="str" cm="1">
        <f t="array" ref="B401">_xlfn.TEXTJOIN(", ",TRUE,_xlfn.UNIQUE(_xlfn._xlws.FILTER(Table2[base_indicator_name],(Table2[sector_name]="Health")*(Table2[risk_component_name]="Vulnerability"))))</f>
        <v>No access to adequate sanitation, HDI-M, Municipal tourism, Recent immigration, Ipa, falciparum malaria, Basic care coverage, Access to diagnosis and treatment, Households without access to garbage collection, Incidence of American cutaneous leishmaniasis, Incidence of visceral leishmaniasis, Water supply, Presence of cistern, Incidence of arboviruses dengue, zika and chikungunya</v>
      </c>
      <c r="C401" s="134"/>
      <c r="D401" s="134"/>
      <c r="E401" s="134"/>
      <c r="F401" s="134"/>
      <c r="G401" s="134"/>
      <c r="H401" s="134"/>
      <c r="I401" s="134"/>
      <c r="J401" s="134"/>
      <c r="K401" s="134"/>
      <c r="L401" s="134"/>
      <c r="M401" s="134"/>
      <c r="N401" s="134"/>
      <c r="O401" s="134"/>
    </row>
    <row r="402" spans="1:15" ht="15" customHeight="1"/>
    <row r="403" spans="1:15" ht="15" customHeight="1">
      <c r="B403" s="135" t="s">
        <v>1268</v>
      </c>
      <c r="C403" s="135"/>
      <c r="D403" s="135"/>
      <c r="E403" s="135"/>
      <c r="F403" s="135"/>
      <c r="G403" s="135"/>
      <c r="H403" s="135"/>
      <c r="I403" s="135"/>
      <c r="J403" s="135"/>
      <c r="K403" s="135"/>
      <c r="L403" s="135"/>
      <c r="M403" s="135"/>
      <c r="N403" s="135"/>
      <c r="O403" s="135"/>
    </row>
    <row r="404" spans="1:15" ht="25.8" customHeight="1">
      <c r="B404" s="136" t="str" cm="1">
        <f t="array" ref="B404">_xlfn.TEXTJOIN(", ",TRUE,_xlfn.UNIQUE(_xlfn._xlws.FILTER(Table2[base_indicator_name],(Table2[sector_name]="Health")*(Table2[risk_component_name]="Exposure"))))</f>
        <v>Highway density, Settlements, Mining, Deforestation, Rural population, Bodies of water, Informal settlements, Natural coverage, Agricultural coverage, Population density</v>
      </c>
      <c r="C404" s="136"/>
      <c r="D404" s="136"/>
      <c r="E404" s="136"/>
      <c r="F404" s="136"/>
      <c r="G404" s="136"/>
      <c r="H404" s="136"/>
      <c r="I404" s="136"/>
      <c r="J404" s="136"/>
      <c r="K404" s="136"/>
      <c r="L404" s="136"/>
      <c r="M404" s="136"/>
      <c r="N404" s="136"/>
      <c r="O404" s="136"/>
    </row>
    <row r="405" spans="1:15" ht="15" customHeight="1"/>
    <row r="406" spans="1:15" ht="22.05" customHeight="1">
      <c r="B406" s="137" t="s">
        <v>1278</v>
      </c>
      <c r="C406" s="137"/>
      <c r="D406" s="137"/>
      <c r="E406" s="137"/>
      <c r="F406" s="137"/>
      <c r="G406" s="137"/>
      <c r="H406" s="137"/>
      <c r="I406" s="137"/>
      <c r="J406" s="137"/>
      <c r="K406" s="137"/>
      <c r="L406" s="137"/>
      <c r="M406" s="137"/>
      <c r="N406" s="137"/>
      <c r="O406" s="137"/>
    </row>
    <row r="407" spans="1:15" ht="15" customHeight="1">
      <c r="B407" s="125" t="s">
        <v>1303</v>
      </c>
      <c r="C407" s="125"/>
      <c r="D407" s="125"/>
      <c r="E407" s="125"/>
      <c r="F407" s="125"/>
      <c r="G407" s="125"/>
      <c r="H407" s="125"/>
      <c r="I407" s="125"/>
      <c r="J407" s="125"/>
      <c r="K407" s="125"/>
      <c r="L407" s="125"/>
      <c r="M407" s="125"/>
      <c r="N407" s="125"/>
      <c r="O407" s="125"/>
    </row>
    <row r="408" spans="1:15" ht="15" customHeight="1">
      <c r="B408" s="56"/>
      <c r="C408" s="56"/>
      <c r="D408" s="56"/>
      <c r="E408" s="56"/>
      <c r="F408" s="56"/>
      <c r="G408" s="56"/>
      <c r="H408" s="56"/>
      <c r="I408" s="56"/>
      <c r="J408" s="56"/>
      <c r="K408" s="56"/>
      <c r="L408" s="56"/>
      <c r="M408" s="56"/>
      <c r="N408" s="56"/>
      <c r="O408" s="56"/>
    </row>
    <row r="409" spans="1:15" ht="22.05" customHeight="1">
      <c r="B409" s="137" t="s">
        <v>1279</v>
      </c>
      <c r="C409" s="137"/>
      <c r="D409" s="137"/>
      <c r="E409" s="137"/>
      <c r="F409" s="137"/>
      <c r="G409" s="137"/>
      <c r="H409" s="137"/>
      <c r="I409" s="137"/>
      <c r="J409" s="137"/>
      <c r="K409" s="137"/>
      <c r="L409" s="137"/>
      <c r="M409" s="137"/>
      <c r="N409" s="137"/>
      <c r="O409" s="137"/>
    </row>
    <row r="410" spans="1:15" ht="34.799999999999997" customHeight="1">
      <c r="A410" s="71" t="s">
        <v>1296</v>
      </c>
      <c r="B410" s="127" t="s">
        <v>1284</v>
      </c>
      <c r="C410" s="127"/>
      <c r="D410" s="127"/>
      <c r="E410" s="127"/>
      <c r="F410" s="127"/>
      <c r="G410" s="127"/>
      <c r="H410" s="127"/>
      <c r="I410" s="127"/>
      <c r="J410" s="127"/>
      <c r="K410" s="127"/>
      <c r="L410" s="127"/>
      <c r="M410" s="127"/>
      <c r="N410" s="127"/>
      <c r="O410" s="127"/>
    </row>
    <row r="411" spans="1:15" ht="30" customHeight="1">
      <c r="B411" s="67" t="s">
        <v>1154</v>
      </c>
      <c r="C411" s="67"/>
      <c r="D411" s="67" t="s">
        <v>1280</v>
      </c>
      <c r="E411" s="67" t="s">
        <v>1281</v>
      </c>
      <c r="F411" s="67"/>
      <c r="G411" s="67"/>
      <c r="H411" s="133" t="s">
        <v>1282</v>
      </c>
      <c r="I411" s="133"/>
      <c r="J411" s="133"/>
      <c r="K411" s="133"/>
      <c r="L411" s="133"/>
      <c r="M411" s="133"/>
      <c r="N411" s="133"/>
      <c r="O411" s="133"/>
    </row>
    <row r="412" spans="1:15" ht="15" customHeight="1">
      <c r="B412" s="63" t="s">
        <v>1378</v>
      </c>
      <c r="C412" s="63"/>
      <c r="D412" s="66">
        <v>2025</v>
      </c>
      <c r="E412" s="65" t="s">
        <v>1379</v>
      </c>
      <c r="F412" s="66"/>
      <c r="G412" s="65"/>
      <c r="H412" s="128" t="s">
        <v>1380</v>
      </c>
      <c r="I412" s="129"/>
      <c r="J412" s="129"/>
      <c r="K412" s="129"/>
      <c r="L412" s="129"/>
      <c r="M412" s="129"/>
      <c r="N412" s="129"/>
      <c r="O412" s="130"/>
    </row>
    <row r="413" spans="1:15" ht="15" customHeight="1">
      <c r="B413" s="63" t="s">
        <v>1381</v>
      </c>
      <c r="C413" s="63"/>
      <c r="D413" s="66">
        <v>2016</v>
      </c>
      <c r="E413" s="65" t="s">
        <v>1382</v>
      </c>
      <c r="F413" s="66"/>
      <c r="G413" s="65"/>
      <c r="H413" s="128" t="s">
        <v>1383</v>
      </c>
      <c r="I413" s="129"/>
      <c r="J413" s="129"/>
      <c r="K413" s="129"/>
      <c r="L413" s="129"/>
      <c r="M413" s="129"/>
      <c r="N413" s="129"/>
      <c r="O413" s="130"/>
    </row>
    <row r="414" spans="1:15" ht="15" customHeight="1">
      <c r="B414" s="63" t="s">
        <v>1384</v>
      </c>
      <c r="C414" s="63"/>
      <c r="D414" s="66">
        <v>2024</v>
      </c>
      <c r="E414" s="65" t="s">
        <v>1385</v>
      </c>
      <c r="F414" s="66"/>
      <c r="G414" s="65"/>
      <c r="H414" s="128" t="s">
        <v>1386</v>
      </c>
      <c r="I414" s="129"/>
      <c r="J414" s="129"/>
      <c r="K414" s="129"/>
      <c r="L414" s="129"/>
      <c r="M414" s="129"/>
      <c r="N414" s="129"/>
      <c r="O414" s="130"/>
    </row>
    <row r="415" spans="1:15" ht="15" customHeight="1">
      <c r="B415" s="63" t="s">
        <v>1387</v>
      </c>
      <c r="C415" s="63"/>
      <c r="D415" s="66">
        <v>2023</v>
      </c>
      <c r="E415" s="65" t="s">
        <v>1388</v>
      </c>
      <c r="F415" s="66"/>
      <c r="G415" s="65"/>
      <c r="H415" s="128" t="s">
        <v>1389</v>
      </c>
      <c r="I415" s="129"/>
      <c r="J415" s="129"/>
      <c r="K415" s="129"/>
      <c r="L415" s="129"/>
      <c r="M415" s="129"/>
      <c r="N415" s="129"/>
      <c r="O415" s="130"/>
    </row>
    <row r="416" spans="1:15" ht="22.05" customHeight="1">
      <c r="B416" s="132" t="s">
        <v>1283</v>
      </c>
      <c r="C416" s="132"/>
      <c r="D416" s="132"/>
      <c r="E416" s="132"/>
      <c r="F416" s="132"/>
      <c r="G416" s="132"/>
      <c r="H416" s="132"/>
      <c r="I416" s="132"/>
      <c r="J416" s="132"/>
      <c r="K416" s="132"/>
      <c r="L416" s="132"/>
      <c r="M416" s="132"/>
      <c r="N416" s="132"/>
      <c r="O416" s="132"/>
    </row>
    <row r="417" spans="1:15" ht="32.549999999999997" customHeight="1">
      <c r="A417" s="71" t="s">
        <v>1297</v>
      </c>
      <c r="B417" s="127" t="s">
        <v>1285</v>
      </c>
      <c r="C417" s="127"/>
      <c r="D417" s="127"/>
      <c r="E417" s="127"/>
      <c r="F417" s="127"/>
      <c r="G417" s="127"/>
      <c r="H417" s="127"/>
      <c r="I417" s="127"/>
      <c r="J417" s="127"/>
      <c r="K417" s="127"/>
      <c r="L417" s="127"/>
      <c r="M417" s="127"/>
      <c r="N417" s="127"/>
      <c r="O417" s="127"/>
    </row>
    <row r="418" spans="1:15" ht="30" customHeight="1">
      <c r="B418" s="67" t="s">
        <v>1154</v>
      </c>
      <c r="C418" s="67"/>
      <c r="D418" s="67" t="s">
        <v>1280</v>
      </c>
      <c r="E418" s="67" t="s">
        <v>1281</v>
      </c>
      <c r="F418" s="67"/>
      <c r="G418" s="67"/>
      <c r="H418" s="133" t="s">
        <v>1282</v>
      </c>
      <c r="I418" s="133"/>
      <c r="J418" s="133"/>
      <c r="K418" s="133"/>
      <c r="L418" s="133"/>
      <c r="M418" s="133"/>
      <c r="N418" s="133"/>
      <c r="O418" s="133"/>
    </row>
    <row r="419" spans="1:15" ht="15" customHeight="1">
      <c r="B419" s="63" t="s">
        <v>1390</v>
      </c>
      <c r="C419" s="63"/>
      <c r="D419" s="66">
        <v>2025</v>
      </c>
      <c r="E419" s="65" t="s">
        <v>1391</v>
      </c>
      <c r="F419" s="66"/>
      <c r="G419" s="65"/>
      <c r="H419" s="128" t="s">
        <v>1392</v>
      </c>
      <c r="I419" s="129"/>
      <c r="J419" s="129"/>
      <c r="K419" s="129"/>
      <c r="L419" s="129"/>
      <c r="M419" s="129"/>
      <c r="N419" s="129"/>
      <c r="O419" s="130"/>
    </row>
    <row r="420" spans="1:15" ht="15" customHeight="1">
      <c r="B420" s="63" t="s">
        <v>1393</v>
      </c>
      <c r="C420" s="63"/>
      <c r="D420" s="66">
        <v>2025</v>
      </c>
      <c r="E420" s="65" t="s">
        <v>1394</v>
      </c>
      <c r="F420" s="66"/>
      <c r="G420" s="65"/>
      <c r="H420" s="128" t="s">
        <v>1395</v>
      </c>
      <c r="I420" s="129"/>
      <c r="J420" s="129"/>
      <c r="K420" s="129"/>
      <c r="L420" s="129"/>
      <c r="M420" s="129"/>
      <c r="N420" s="129"/>
      <c r="O420" s="130"/>
    </row>
    <row r="421" spans="1:15" ht="15" customHeight="1">
      <c r="B421" s="63" t="s">
        <v>1396</v>
      </c>
      <c r="C421" s="63"/>
      <c r="D421" s="66">
        <v>2022</v>
      </c>
      <c r="E421" s="65" t="s">
        <v>1397</v>
      </c>
      <c r="F421" s="66"/>
      <c r="G421" s="65"/>
      <c r="H421" s="128" t="s">
        <v>1398</v>
      </c>
      <c r="I421" s="129"/>
      <c r="J421" s="129"/>
      <c r="K421" s="129"/>
      <c r="L421" s="129"/>
      <c r="M421" s="129"/>
      <c r="N421" s="129"/>
      <c r="O421" s="130"/>
    </row>
    <row r="422" spans="1:15" ht="15" customHeight="1">
      <c r="B422" s="63" t="s">
        <v>1399</v>
      </c>
      <c r="C422" s="63"/>
      <c r="D422" s="66">
        <v>2024</v>
      </c>
      <c r="E422" s="65" t="s">
        <v>1400</v>
      </c>
      <c r="F422" s="66"/>
      <c r="G422" s="65"/>
      <c r="H422" s="128" t="s">
        <v>1401</v>
      </c>
      <c r="I422" s="129"/>
      <c r="J422" s="129"/>
      <c r="K422" s="129"/>
      <c r="L422" s="129"/>
      <c r="M422" s="129"/>
      <c r="N422" s="129"/>
      <c r="O422" s="130"/>
    </row>
    <row r="423" spans="1:15" ht="15" customHeight="1"/>
    <row r="424" spans="1:15" ht="22.05" customHeight="1">
      <c r="B424" s="131" t="s">
        <v>1295</v>
      </c>
      <c r="C424" s="131"/>
      <c r="D424" s="131"/>
      <c r="E424" s="131"/>
      <c r="F424" s="131"/>
      <c r="G424" s="131"/>
      <c r="H424" s="131"/>
      <c r="I424" s="131"/>
      <c r="J424" s="131"/>
      <c r="K424" s="131"/>
      <c r="L424" s="131"/>
      <c r="M424" s="131"/>
      <c r="N424" s="131"/>
      <c r="O424" s="131"/>
    </row>
    <row r="425" spans="1:15" ht="22.05" customHeight="1">
      <c r="B425" s="124" t="s">
        <v>1286</v>
      </c>
      <c r="C425" s="124"/>
      <c r="D425" s="124"/>
      <c r="E425" s="124"/>
      <c r="F425" s="124"/>
      <c r="G425" s="124"/>
      <c r="H425" s="124"/>
      <c r="I425" s="124"/>
      <c r="J425" s="124"/>
      <c r="K425" s="124"/>
      <c r="L425" s="124"/>
      <c r="M425" s="124"/>
      <c r="N425" s="124"/>
      <c r="O425" s="124"/>
    </row>
    <row r="426" spans="1:15" ht="15" customHeight="1">
      <c r="B426" s="125" t="s">
        <v>1304</v>
      </c>
      <c r="C426" s="125"/>
      <c r="D426" s="125"/>
      <c r="E426" s="125"/>
      <c r="F426" s="125"/>
      <c r="G426" s="125"/>
      <c r="H426" s="125"/>
      <c r="I426" s="125"/>
      <c r="J426" s="125"/>
      <c r="K426" s="125"/>
      <c r="L426" s="125"/>
      <c r="M426" s="125"/>
      <c r="N426" s="125"/>
      <c r="O426" s="125"/>
    </row>
    <row r="427" spans="1:15" ht="22.05" customHeight="1">
      <c r="B427" s="124" t="s">
        <v>1288</v>
      </c>
      <c r="C427" s="124"/>
      <c r="D427" s="124"/>
      <c r="E427" s="124"/>
      <c r="F427" s="124"/>
      <c r="G427" s="124"/>
      <c r="H427" s="124"/>
      <c r="I427" s="124"/>
      <c r="J427" s="124"/>
      <c r="K427" s="124"/>
      <c r="L427" s="124"/>
      <c r="M427" s="124"/>
      <c r="N427" s="124"/>
      <c r="O427" s="124"/>
    </row>
    <row r="428" spans="1:15" ht="15" customHeight="1">
      <c r="B428" s="125" t="s">
        <v>1289</v>
      </c>
      <c r="C428" s="125"/>
      <c r="D428" s="125"/>
      <c r="E428" s="125"/>
      <c r="F428" s="125"/>
      <c r="G428" s="125"/>
      <c r="H428" s="125"/>
      <c r="I428" s="125"/>
      <c r="J428" s="125"/>
      <c r="K428" s="125"/>
      <c r="L428" s="125"/>
      <c r="M428" s="125"/>
      <c r="N428" s="125"/>
      <c r="O428" s="125"/>
    </row>
    <row r="429" spans="1:15" ht="22.05" customHeight="1">
      <c r="B429" s="124" t="s">
        <v>1290</v>
      </c>
      <c r="C429" s="124"/>
      <c r="D429" s="124"/>
      <c r="E429" s="124"/>
      <c r="F429" s="124"/>
      <c r="G429" s="124"/>
      <c r="H429" s="124"/>
      <c r="I429" s="124"/>
      <c r="J429" s="124"/>
      <c r="K429" s="124"/>
      <c r="L429" s="124"/>
      <c r="M429" s="124"/>
      <c r="N429" s="124"/>
      <c r="O429" s="124"/>
    </row>
    <row r="430" spans="1:15" ht="15" customHeight="1">
      <c r="B430" s="125" t="s">
        <v>1291</v>
      </c>
      <c r="C430" s="125"/>
      <c r="D430" s="125"/>
      <c r="E430" s="125"/>
      <c r="F430" s="125"/>
      <c r="G430" s="125"/>
      <c r="H430" s="125"/>
      <c r="I430" s="125"/>
      <c r="J430" s="125"/>
      <c r="K430" s="125"/>
      <c r="L430" s="125"/>
      <c r="M430" s="125"/>
      <c r="N430" s="125"/>
      <c r="O430" s="125"/>
    </row>
    <row r="431" spans="1:15" ht="22.05" customHeight="1">
      <c r="B431" s="126" t="s">
        <v>1269</v>
      </c>
      <c r="C431" s="126"/>
      <c r="D431" s="126"/>
      <c r="E431" s="126"/>
      <c r="F431" s="126"/>
      <c r="G431" s="126"/>
      <c r="H431" s="126"/>
      <c r="I431" s="126"/>
      <c r="J431" s="126"/>
      <c r="K431" s="126"/>
      <c r="L431" s="126"/>
      <c r="M431" s="126"/>
      <c r="N431" s="126"/>
      <c r="O431" s="126"/>
    </row>
    <row r="432" spans="1:15" ht="66" customHeight="1">
      <c r="A432" s="71" t="s">
        <v>1298</v>
      </c>
      <c r="B432" s="127" t="s">
        <v>1292</v>
      </c>
      <c r="C432" s="127"/>
      <c r="D432" s="127"/>
      <c r="E432" s="127"/>
      <c r="F432" s="127"/>
      <c r="G432" s="127"/>
      <c r="H432" s="127"/>
      <c r="I432" s="127"/>
      <c r="J432" s="127"/>
      <c r="K432" s="127"/>
      <c r="L432" s="127"/>
      <c r="M432" s="127"/>
      <c r="N432" s="127"/>
      <c r="O432" s="127"/>
    </row>
    <row r="433" spans="2:15" ht="30" customHeight="1">
      <c r="B433" s="68" t="s">
        <v>310</v>
      </c>
      <c r="C433" s="68" t="s">
        <v>311</v>
      </c>
      <c r="D433" s="69" t="s">
        <v>1293</v>
      </c>
      <c r="E433" s="68" t="s">
        <v>33</v>
      </c>
      <c r="F433" s="68" t="s">
        <v>1277</v>
      </c>
      <c r="G433" s="68" t="s">
        <v>71</v>
      </c>
      <c r="H433" s="68" t="s">
        <v>1277</v>
      </c>
      <c r="I433" s="69"/>
      <c r="J433" s="69"/>
      <c r="K433" s="69"/>
      <c r="L433" s="69"/>
      <c r="M433" s="69"/>
      <c r="N433" s="69"/>
      <c r="O433" s="69"/>
    </row>
    <row r="434" spans="2:15" ht="15" customHeight="1">
      <c r="B434" s="62" t="s">
        <v>320</v>
      </c>
      <c r="C434" s="63" t="s">
        <v>321</v>
      </c>
      <c r="D434" s="70" t="str">
        <f>_xlfn.XLOOKUP(B434,Table24[ActionID],Table24[Description],"")</f>
        <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v>
      </c>
      <c r="E434" s="64" t="s">
        <v>1163</v>
      </c>
      <c r="F434" s="65" t="s">
        <v>1447</v>
      </c>
      <c r="G434" s="64" t="s">
        <v>1163</v>
      </c>
      <c r="H434" s="65" t="s">
        <v>1447</v>
      </c>
      <c r="I434" s="63"/>
      <c r="J434" s="63"/>
      <c r="K434" s="63"/>
      <c r="L434" s="63"/>
      <c r="M434" s="63"/>
      <c r="N434" s="63"/>
      <c r="O434" s="63"/>
    </row>
    <row r="435" spans="2:15" ht="15" customHeight="1">
      <c r="B435" s="62" t="s">
        <v>329</v>
      </c>
      <c r="C435" s="63" t="s">
        <v>330</v>
      </c>
      <c r="D435" s="70" t="str">
        <f>_xlfn.XLOOKUP(B435,Table24[ActionID],Table24[Description],"")</f>
        <v>"Upgrade urban drainage systems" involves eco-engineering solutions to enhance drainage systems, through capacity upgrade and network expansion. This adaptation measure aims to improve urban resilience by minimizing the impact of extreme weather events such as flooding.</v>
      </c>
      <c r="E435" s="64" t="s">
        <v>1163</v>
      </c>
      <c r="F435" s="65" t="s">
        <v>1447</v>
      </c>
      <c r="G435" s="64" t="s">
        <v>1163</v>
      </c>
      <c r="H435" s="65" t="s">
        <v>1447</v>
      </c>
      <c r="I435" s="63"/>
      <c r="J435" s="63"/>
      <c r="K435" s="63"/>
      <c r="L435" s="63"/>
      <c r="M435" s="63"/>
      <c r="N435" s="63"/>
      <c r="O435" s="63"/>
    </row>
    <row r="436" spans="2:15" ht="30" customHeight="1">
      <c r="B436" s="62" t="s">
        <v>335</v>
      </c>
      <c r="C436" s="63" t="s">
        <v>336</v>
      </c>
      <c r="D436" s="70" t="str">
        <f>_xlfn.XLOOKUP(B436,Table24[ActionID],Table24[Description],"")</f>
        <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v>
      </c>
      <c r="E436" s="64" t="s">
        <v>1163</v>
      </c>
      <c r="F436" s="65" t="s">
        <v>1447</v>
      </c>
      <c r="G436" s="64" t="s">
        <v>1163</v>
      </c>
      <c r="H436" s="65" t="s">
        <v>1447</v>
      </c>
      <c r="I436" s="63"/>
      <c r="J436" s="63"/>
      <c r="K436" s="63"/>
      <c r="L436" s="63"/>
      <c r="M436" s="63"/>
      <c r="N436" s="63"/>
      <c r="O436" s="63"/>
    </row>
    <row r="437" spans="2:15" ht="15" customHeight="1">
      <c r="B437" s="62" t="s">
        <v>341</v>
      </c>
      <c r="C437" s="63" t="s">
        <v>342</v>
      </c>
      <c r="D437" s="70" t="str">
        <f>_xlfn.XLOOKUP(B437,Table24[ActionID],Table24[Description],"")</f>
        <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v>
      </c>
      <c r="E437" s="64" t="s">
        <v>1163</v>
      </c>
      <c r="F437" s="65" t="s">
        <v>1447</v>
      </c>
      <c r="G437" s="64" t="s">
        <v>1163</v>
      </c>
      <c r="H437" s="65" t="s">
        <v>1447</v>
      </c>
      <c r="I437" s="63"/>
      <c r="J437" s="63"/>
      <c r="K437" s="63"/>
      <c r="L437" s="63"/>
      <c r="M437" s="63"/>
      <c r="N437" s="63"/>
      <c r="O437" s="63"/>
    </row>
    <row r="438" spans="2:15" ht="30" customHeight="1">
      <c r="B438" s="62" t="s">
        <v>346</v>
      </c>
      <c r="C438" s="63" t="s">
        <v>347</v>
      </c>
      <c r="D438" s="70" t="str">
        <f>_xlfn.XLOOKUP(B438,Table24[ActionID],Table24[Description],"")</f>
        <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v>
      </c>
      <c r="E438" s="64" t="s">
        <v>1163</v>
      </c>
      <c r="F438" s="65" t="s">
        <v>1447</v>
      </c>
      <c r="G438" s="64" t="s">
        <v>1163</v>
      </c>
      <c r="H438" s="65" t="s">
        <v>1447</v>
      </c>
      <c r="I438" s="63"/>
      <c r="J438" s="63"/>
      <c r="K438" s="63"/>
      <c r="L438" s="63"/>
      <c r="M438" s="63"/>
      <c r="N438" s="63"/>
      <c r="O438" s="63"/>
    </row>
    <row r="439" spans="2:15" ht="15" customHeight="1">
      <c r="B439" s="62" t="s">
        <v>349</v>
      </c>
      <c r="C439" s="63" t="s">
        <v>350</v>
      </c>
      <c r="D439" s="70" t="str">
        <f>_xlfn.XLOOKUP(B439,Table24[ActionID],Table24[Description],"")</f>
        <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v>
      </c>
      <c r="E439" s="64" t="s">
        <v>1163</v>
      </c>
      <c r="F439" s="65" t="s">
        <v>1447</v>
      </c>
      <c r="G439" s="64" t="s">
        <v>1163</v>
      </c>
      <c r="H439" s="65" t="s">
        <v>1447</v>
      </c>
      <c r="I439" s="63"/>
      <c r="J439" s="63"/>
      <c r="K439" s="63"/>
      <c r="L439" s="63"/>
      <c r="M439" s="63"/>
      <c r="N439" s="63"/>
      <c r="O439" s="63"/>
    </row>
    <row r="440" spans="2:15" ht="15" customHeight="1">
      <c r="B440" s="62" t="s">
        <v>355</v>
      </c>
      <c r="C440" s="63" t="s">
        <v>356</v>
      </c>
      <c r="D440" s="70" t="str">
        <f>_xlfn.XLOOKUP(B440,Table24[ActionID],Table24[Description],"")</f>
        <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v>
      </c>
      <c r="E440" s="64" t="s">
        <v>1163</v>
      </c>
      <c r="F440" s="65" t="s">
        <v>1447</v>
      </c>
      <c r="G440" s="64" t="s">
        <v>1163</v>
      </c>
      <c r="H440" s="65" t="s">
        <v>1447</v>
      </c>
      <c r="I440" s="63"/>
      <c r="J440" s="63"/>
      <c r="K440" s="63"/>
      <c r="L440" s="63"/>
      <c r="M440" s="63"/>
      <c r="N440" s="63"/>
      <c r="O440" s="63"/>
    </row>
    <row r="441" spans="2:15" ht="30" customHeight="1">
      <c r="B441" s="62" t="s">
        <v>360</v>
      </c>
      <c r="C441" s="63" t="s">
        <v>361</v>
      </c>
      <c r="D441" s="70" t="str">
        <f>_xlfn.XLOOKUP(B441,Table24[ActionID],Table24[Description],"")</f>
        <v>"Reform water tariffs to support efficiency and equity" involve pricing structures for water use, encouraging conservation and efficient use of water resources. This initiative aims to promote responsible water consumption and contribute to sustainable water management.</v>
      </c>
      <c r="E441" s="64" t="s">
        <v>1163</v>
      </c>
      <c r="F441" s="65" t="s">
        <v>1447</v>
      </c>
      <c r="G441" s="64" t="s">
        <v>1163</v>
      </c>
      <c r="H441" s="65" t="s">
        <v>1447</v>
      </c>
      <c r="I441" s="63"/>
      <c r="J441" s="63"/>
      <c r="K441" s="63"/>
      <c r="L441" s="63"/>
      <c r="M441" s="63"/>
      <c r="N441" s="63"/>
      <c r="O441" s="63"/>
    </row>
    <row r="442" spans="2:15" ht="30" customHeight="1">
      <c r="B442" s="62" t="s">
        <v>364</v>
      </c>
      <c r="C442" s="63" t="s">
        <v>365</v>
      </c>
      <c r="D442" s="70" t="str">
        <f>_xlfn.XLOOKUP(B442,Table24[ActionID],Table24[Description],"")</f>
        <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v>
      </c>
      <c r="E442" s="64" t="s">
        <v>1163</v>
      </c>
      <c r="F442" s="65" t="s">
        <v>1447</v>
      </c>
      <c r="G442" s="64" t="s">
        <v>1163</v>
      </c>
      <c r="H442" s="65" t="s">
        <v>1447</v>
      </c>
      <c r="I442" s="63"/>
      <c r="J442" s="63"/>
      <c r="K442" s="63"/>
      <c r="L442" s="63"/>
      <c r="M442" s="63"/>
      <c r="N442" s="63"/>
      <c r="O442" s="63"/>
    </row>
    <row r="443" spans="2:15" ht="30" customHeight="1">
      <c r="B443" s="62" t="s">
        <v>369</v>
      </c>
      <c r="C443" s="63" t="s">
        <v>370</v>
      </c>
      <c r="D443" s="70" t="str">
        <f>_xlfn.XLOOKUP(B443,Table24[ActionID],Table24[Description],"")</f>
        <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v>
      </c>
      <c r="E443" s="64" t="s">
        <v>1161</v>
      </c>
      <c r="F443" s="65" t="s">
        <v>1467</v>
      </c>
      <c r="G443" s="64" t="s">
        <v>1163</v>
      </c>
      <c r="H443" s="65" t="s">
        <v>1447</v>
      </c>
      <c r="I443" s="63"/>
      <c r="J443" s="63"/>
      <c r="K443" s="63"/>
      <c r="L443" s="63"/>
      <c r="M443" s="63"/>
      <c r="N443" s="63"/>
      <c r="O443" s="63"/>
    </row>
    <row r="444" spans="2:15" ht="30" customHeight="1">
      <c r="B444" s="62" t="s">
        <v>375</v>
      </c>
      <c r="C444" s="63" t="s">
        <v>376</v>
      </c>
      <c r="D444" s="70" t="str">
        <f>_xlfn.XLOOKUP(B444,Table24[ActionID],Table24[Description],"")</f>
        <v>Cleaning and unclogging channels in the city to reduce the risk of flooding caused by extreme rainfall events. Installation of eco-barriers to assist in cleaning efforts and raise awareness about solid waste.</v>
      </c>
      <c r="E444" s="64" t="s">
        <v>1163</v>
      </c>
      <c r="F444" s="65" t="s">
        <v>1447</v>
      </c>
      <c r="G444" s="64" t="s">
        <v>1163</v>
      </c>
      <c r="H444" s="65" t="s">
        <v>1447</v>
      </c>
      <c r="I444" s="63"/>
      <c r="J444" s="63"/>
      <c r="K444" s="63"/>
      <c r="L444" s="63"/>
      <c r="M444" s="63"/>
      <c r="N444" s="63"/>
      <c r="O444" s="63"/>
    </row>
    <row r="445" spans="2:15" ht="15" customHeight="1">
      <c r="B445" s="62" t="s">
        <v>379</v>
      </c>
      <c r="C445" s="63" t="s">
        <v>380</v>
      </c>
      <c r="D445" s="70" t="str">
        <f>_xlfn.XLOOKUP(B445,Table24[ActionID],Table24[Description],"")</f>
        <v>Identify and assess the feasibility of suitable areas for the installation of urban gardens and ensure that the sites chosen meet the expectations of the community.</v>
      </c>
      <c r="E445" s="64" t="s">
        <v>1163</v>
      </c>
      <c r="F445" s="65" t="s">
        <v>1447</v>
      </c>
      <c r="G445" s="64" t="s">
        <v>1163</v>
      </c>
      <c r="H445" s="65" t="s">
        <v>1447</v>
      </c>
      <c r="I445" s="63"/>
      <c r="J445" s="63"/>
      <c r="K445" s="63"/>
      <c r="L445" s="63"/>
      <c r="M445" s="63"/>
      <c r="N445" s="63"/>
      <c r="O445" s="63"/>
    </row>
    <row r="446" spans="2:15" ht="45" customHeight="1">
      <c r="B446" s="62" t="s">
        <v>384</v>
      </c>
      <c r="C446" s="63" t="s">
        <v>385</v>
      </c>
      <c r="D446" s="70" t="str">
        <f>_xlfn.XLOOKUP(B446,Table24[ActionID],Table24[Description],"")</f>
        <v>Establish more mechanisms that enable better intersectoral coordination and public participation in climate policy, including the creation of working groups with neighboring municipalities to discuss a common climate agenda.</v>
      </c>
      <c r="E446" s="64" t="s">
        <v>1163</v>
      </c>
      <c r="F446" s="65" t="s">
        <v>1447</v>
      </c>
      <c r="G446" s="64" t="s">
        <v>1163</v>
      </c>
      <c r="H446" s="65" t="s">
        <v>1447</v>
      </c>
      <c r="I446" s="63"/>
      <c r="J446" s="63"/>
      <c r="K446" s="63"/>
      <c r="L446" s="63"/>
      <c r="M446" s="63"/>
      <c r="N446" s="63"/>
      <c r="O446" s="63"/>
    </row>
    <row r="447" spans="2:15" ht="30" customHeight="1">
      <c r="B447" s="62" t="s">
        <v>388</v>
      </c>
      <c r="C447" s="63" t="s">
        <v>389</v>
      </c>
      <c r="D447" s="70" t="str">
        <f>_xlfn.XLOOKUP(B447,Table24[ActionID],Table24[Description],"")</f>
        <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v>
      </c>
      <c r="E447" s="64" t="s">
        <v>1163</v>
      </c>
      <c r="F447" s="65" t="s">
        <v>1447</v>
      </c>
      <c r="G447" s="64" t="s">
        <v>1163</v>
      </c>
      <c r="H447" s="65" t="s">
        <v>1447</v>
      </c>
      <c r="I447" s="63"/>
      <c r="J447" s="63"/>
      <c r="K447" s="63"/>
      <c r="L447" s="63"/>
      <c r="M447" s="63"/>
      <c r="N447" s="63"/>
      <c r="O447" s="63"/>
    </row>
    <row r="448" spans="2:15" ht="15" customHeight="1">
      <c r="B448" s="62" t="s">
        <v>393</v>
      </c>
      <c r="C448" s="63" t="s">
        <v>394</v>
      </c>
      <c r="D448" s="70" t="str">
        <f>_xlfn.XLOOKUP(B448,Table24[ActionID],Table24[Description],"")</f>
        <v>Creation of a First Response Brigade in rural communities to provide them with training and equipment for fire prevention and firefighting.</v>
      </c>
      <c r="E448" s="64" t="s">
        <v>1163</v>
      </c>
      <c r="F448" s="65" t="s">
        <v>1447</v>
      </c>
      <c r="G448" s="64" t="s">
        <v>1163</v>
      </c>
      <c r="H448" s="65" t="s">
        <v>1447</v>
      </c>
      <c r="I448" s="63"/>
      <c r="J448" s="63"/>
      <c r="K448" s="63"/>
      <c r="L448" s="63"/>
      <c r="M448" s="63"/>
      <c r="N448" s="63"/>
      <c r="O448" s="63"/>
    </row>
    <row r="449" spans="2:15" ht="30" customHeight="1">
      <c r="B449" s="62" t="s">
        <v>398</v>
      </c>
      <c r="C449" s="63" t="s">
        <v>399</v>
      </c>
      <c r="D449" s="70" t="str">
        <f>_xlfn.XLOOKUP(B449,Table24[ActionID],Table24[Description],"")</f>
        <v>Implementation of a hydrological monitoring system with telemetry stations to monitor rainfall, water levels, and meteorological variables in real-time.</v>
      </c>
      <c r="E449" s="64" t="s">
        <v>1163</v>
      </c>
      <c r="F449" s="65" t="s">
        <v>1447</v>
      </c>
      <c r="G449" s="64" t="s">
        <v>1163</v>
      </c>
      <c r="H449" s="65" t="s">
        <v>1447</v>
      </c>
      <c r="I449" s="63"/>
      <c r="J449" s="63"/>
      <c r="K449" s="63"/>
      <c r="L449" s="63"/>
      <c r="M449" s="63"/>
      <c r="N449" s="63"/>
      <c r="O449" s="63"/>
    </row>
    <row r="450" spans="2:15" ht="15" customHeight="1">
      <c r="B450" s="62" t="s">
        <v>404</v>
      </c>
      <c r="C450" s="63" t="s">
        <v>405</v>
      </c>
      <c r="D450" s="70" t="str">
        <f>_xlfn.XLOOKUP(B450,Table24[ActionID],Table24[Description],"")</f>
        <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v>
      </c>
      <c r="E450" s="64" t="s">
        <v>1163</v>
      </c>
      <c r="F450" s="65" t="s">
        <v>1447</v>
      </c>
      <c r="G450" s="64" t="s">
        <v>1163</v>
      </c>
      <c r="H450" s="65" t="s">
        <v>1447</v>
      </c>
      <c r="I450" s="63"/>
      <c r="J450" s="63"/>
      <c r="K450" s="63"/>
      <c r="L450" s="63"/>
      <c r="M450" s="63"/>
      <c r="N450" s="63"/>
      <c r="O450" s="63"/>
    </row>
    <row r="451" spans="2:15" ht="45" customHeight="1">
      <c r="B451" s="62" t="s">
        <v>408</v>
      </c>
      <c r="C451" s="63" t="s">
        <v>409</v>
      </c>
      <c r="D451" s="70" t="str">
        <f>_xlfn.XLOOKUP(B451,Table24[ActionID],Table24[Description],"")</f>
        <v>This action focuses on preparing the municipality to respond to extreme events, aiming to provide a rapid response that minimizes the impacts on the population.</v>
      </c>
      <c r="E451" s="64" t="s">
        <v>1163</v>
      </c>
      <c r="F451" s="65" t="s">
        <v>1447</v>
      </c>
      <c r="G451" s="64" t="s">
        <v>1163</v>
      </c>
      <c r="H451" s="65" t="s">
        <v>1447</v>
      </c>
      <c r="I451" s="63"/>
      <c r="J451" s="63"/>
      <c r="K451" s="63"/>
      <c r="L451" s="63"/>
      <c r="M451" s="63"/>
      <c r="N451" s="63"/>
      <c r="O451" s="63"/>
    </row>
    <row r="452" spans="2:15" ht="45" customHeight="1">
      <c r="B452" s="62" t="s">
        <v>412</v>
      </c>
      <c r="C452" s="63" t="s">
        <v>413</v>
      </c>
      <c r="D452" s="70" t="str">
        <f>_xlfn.XLOOKUP(B452,Table24[ActionID],Table24[Description],"")</f>
        <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v>
      </c>
      <c r="E452" s="64" t="s">
        <v>1163</v>
      </c>
      <c r="F452" s="65" t="s">
        <v>1447</v>
      </c>
      <c r="G452" s="64" t="s">
        <v>1161</v>
      </c>
      <c r="H452" s="65" t="s">
        <v>1468</v>
      </c>
      <c r="I452" s="63"/>
      <c r="J452" s="63"/>
      <c r="K452" s="63"/>
      <c r="L452" s="63"/>
      <c r="M452" s="63"/>
      <c r="N452" s="63"/>
      <c r="O452" s="63"/>
    </row>
    <row r="453" spans="2:15" ht="30" customHeight="1">
      <c r="B453" s="62" t="s">
        <v>417</v>
      </c>
      <c r="C453" s="63" t="s">
        <v>418</v>
      </c>
      <c r="D453" s="70" t="str">
        <f>_xlfn.XLOOKUP(B453,Table24[ActionID],Table24[Description],"")</f>
        <v>This action aims to expand the procedures related to the existing climate risk forecasting, monitoring, and alert system in the municipality.</v>
      </c>
      <c r="E453" s="64" t="s">
        <v>1163</v>
      </c>
      <c r="F453" s="65" t="s">
        <v>1447</v>
      </c>
      <c r="G453" s="64" t="s">
        <v>1163</v>
      </c>
      <c r="H453" s="65" t="s">
        <v>1447</v>
      </c>
      <c r="I453" s="63"/>
      <c r="J453" s="63"/>
      <c r="K453" s="63"/>
      <c r="L453" s="63"/>
      <c r="M453" s="63"/>
      <c r="N453" s="63"/>
      <c r="O453" s="63"/>
    </row>
    <row r="454" spans="2:15" ht="45" customHeight="1">
      <c r="B454" s="62" t="s">
        <v>423</v>
      </c>
      <c r="C454" s="63" t="s">
        <v>424</v>
      </c>
      <c r="D454" s="70" t="str">
        <f>_xlfn.XLOOKUP(B454,Table24[ActionID],Table24[Description],"")</f>
        <v>This action aims to strengthen the development of the Municipal Risk Reduction Plan (PMRR) in the municipality, as it is a highly relevant tool for managing climate risks, especially river floods and landslides.</v>
      </c>
      <c r="E454" s="64" t="s">
        <v>1163</v>
      </c>
      <c r="F454" s="65" t="s">
        <v>1447</v>
      </c>
      <c r="G454" s="64" t="s">
        <v>1163</v>
      </c>
      <c r="H454" s="65" t="s">
        <v>1447</v>
      </c>
      <c r="I454" s="63"/>
      <c r="J454" s="63"/>
      <c r="K454" s="63"/>
      <c r="L454" s="63"/>
      <c r="M454" s="63"/>
      <c r="N454" s="63"/>
      <c r="O454" s="63"/>
    </row>
    <row r="455" spans="2:15" ht="15" customHeight="1">
      <c r="B455" s="62" t="s">
        <v>427</v>
      </c>
      <c r="C455" s="63" t="s">
        <v>428</v>
      </c>
      <c r="D455" s="70" t="str">
        <f>_xlfn.XLOOKUP(B455,Table24[ActionID],Table24[Description],"")</f>
        <v>Regular upkeep and cleaning of urban drainage systems, including storm drains, sewers, and retention basins, to ensure efficient water flow and prevent blockages that can lead to flooding during heavy rainfall events.</v>
      </c>
      <c r="E455" s="64" t="s">
        <v>1163</v>
      </c>
      <c r="F455" s="65" t="s">
        <v>1447</v>
      </c>
      <c r="G455" s="64" t="s">
        <v>1163</v>
      </c>
      <c r="H455" s="65" t="s">
        <v>1447</v>
      </c>
      <c r="I455" s="63"/>
      <c r="J455" s="63"/>
      <c r="K455" s="63"/>
      <c r="L455" s="63"/>
      <c r="M455" s="63"/>
      <c r="N455" s="63"/>
      <c r="O455" s="63"/>
    </row>
    <row r="456" spans="2:15" ht="15" customHeight="1">
      <c r="B456" s="62" t="s">
        <v>432</v>
      </c>
      <c r="C456" s="63" t="s">
        <v>433</v>
      </c>
      <c r="D456" s="70" t="str">
        <f>_xlfn.XLOOKUP(B456,Table24[ActionID],Table24[Description],"")</f>
        <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v>
      </c>
      <c r="E456" s="64" t="s">
        <v>1163</v>
      </c>
      <c r="F456" s="65" t="s">
        <v>1447</v>
      </c>
      <c r="G456" s="64" t="s">
        <v>1163</v>
      </c>
      <c r="H456" s="65" t="s">
        <v>1447</v>
      </c>
      <c r="I456" s="63"/>
      <c r="J456" s="63"/>
      <c r="K456" s="63"/>
      <c r="L456" s="63"/>
      <c r="M456" s="63"/>
      <c r="N456" s="63"/>
      <c r="O456" s="63"/>
    </row>
    <row r="457" spans="2:15" ht="30" customHeight="1">
      <c r="B457" s="62" t="s">
        <v>436</v>
      </c>
      <c r="C457" s="63" t="s">
        <v>437</v>
      </c>
      <c r="D457" s="70" t="str">
        <f>_xlfn.XLOOKUP(B457,Table24[ActionID],Table24[Description],"")</f>
        <v>Mapping of critical flood-prone areas with the aim of revising and harmonizing legislation related to land use, given the intensification of the impacts of extreme weather events.</v>
      </c>
      <c r="E457" s="64" t="s">
        <v>1163</v>
      </c>
      <c r="F457" s="65" t="s">
        <v>1447</v>
      </c>
      <c r="G457" s="64" t="s">
        <v>1163</v>
      </c>
      <c r="H457" s="65" t="s">
        <v>1447</v>
      </c>
      <c r="I457" s="63"/>
      <c r="J457" s="63"/>
      <c r="K457" s="63"/>
      <c r="L457" s="63"/>
      <c r="M457" s="63"/>
      <c r="N457" s="63"/>
      <c r="O457" s="63"/>
    </row>
    <row r="458" spans="2:15" ht="15" customHeight="1">
      <c r="B458" s="62" t="s">
        <v>440</v>
      </c>
      <c r="C458" s="63" t="s">
        <v>441</v>
      </c>
      <c r="D458" s="70" t="str">
        <f>_xlfn.XLOOKUP(B458,Table24[ActionID],Table24[Description],"")</f>
        <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v>
      </c>
      <c r="E458" s="64" t="s">
        <v>1163</v>
      </c>
      <c r="F458" s="65" t="s">
        <v>1447</v>
      </c>
      <c r="G458" s="64" t="s">
        <v>1163</v>
      </c>
      <c r="H458" s="65" t="s">
        <v>1447</v>
      </c>
      <c r="I458" s="63"/>
      <c r="J458" s="63"/>
      <c r="K458" s="63"/>
      <c r="L458" s="63"/>
      <c r="M458" s="63"/>
      <c r="N458" s="63"/>
      <c r="O458" s="63"/>
    </row>
    <row r="459" spans="2:15" ht="15" customHeight="1">
      <c r="B459" s="62" t="s">
        <v>444</v>
      </c>
      <c r="C459" s="63" t="s">
        <v>445</v>
      </c>
      <c r="D459" s="70" t="str">
        <f>_xlfn.XLOOKUP(B459,Table24[ActionID],Table24[Description],"")</f>
        <v>A comprehensive project addressing the socio-environmental vulnerability of an informal settlement. It includes relocating residents from flood-prone areas, restoring the environment, and providing infrastructure and social services.</v>
      </c>
      <c r="E459" s="64" t="s">
        <v>1163</v>
      </c>
      <c r="F459" s="65" t="s">
        <v>1447</v>
      </c>
      <c r="G459" s="64" t="s">
        <v>1161</v>
      </c>
      <c r="H459" s="65" t="s">
        <v>1468</v>
      </c>
      <c r="I459" s="63"/>
      <c r="J459" s="63"/>
      <c r="K459" s="63"/>
      <c r="L459" s="63"/>
      <c r="M459" s="63"/>
      <c r="N459" s="63"/>
      <c r="O459" s="63"/>
    </row>
    <row r="460" spans="2:15" ht="15" customHeight="1">
      <c r="B460" s="62" t="s">
        <v>449</v>
      </c>
      <c r="C460" s="63" t="s">
        <v>450</v>
      </c>
      <c r="D460" s="70" t="str">
        <f>_xlfn.XLOOKUP(B460,Table24[ActionID],Table24[Description],"")</f>
        <v>This action focuses on expanding green areas in the city through urban afforestation. This includes planting trees in sidewalks, squares, public buildings, and schools, as well as creating ecological parks to revitalize watercourses and/or restore forests.</v>
      </c>
      <c r="E460" s="64" t="s">
        <v>1163</v>
      </c>
      <c r="F460" s="65" t="s">
        <v>1447</v>
      </c>
      <c r="G460" s="64" t="s">
        <v>1163</v>
      </c>
      <c r="H460" s="65" t="s">
        <v>1447</v>
      </c>
      <c r="I460" s="63"/>
      <c r="J460" s="63"/>
      <c r="K460" s="63"/>
      <c r="L460" s="63"/>
      <c r="M460" s="63"/>
      <c r="N460" s="63"/>
      <c r="O460" s="63"/>
    </row>
    <row r="461" spans="2:15" ht="30" customHeight="1">
      <c r="B461" s="62" t="s">
        <v>453</v>
      </c>
      <c r="C461" s="63" t="s">
        <v>454</v>
      </c>
      <c r="D461" s="70" t="str">
        <f>_xlfn.XLOOKUP(B461,Table24[ActionID],Table24[Description],"")</f>
        <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v>
      </c>
      <c r="E461" s="64" t="s">
        <v>1163</v>
      </c>
      <c r="F461" s="65" t="s">
        <v>1447</v>
      </c>
      <c r="G461" s="64" t="s">
        <v>1163</v>
      </c>
      <c r="H461" s="65" t="s">
        <v>1447</v>
      </c>
      <c r="I461" s="63"/>
      <c r="J461" s="63"/>
      <c r="K461" s="63"/>
      <c r="L461" s="63"/>
      <c r="M461" s="63"/>
      <c r="N461" s="63"/>
      <c r="O461" s="63"/>
    </row>
    <row r="462" spans="2:15" ht="15" customHeight="1">
      <c r="B462" s="62" t="s">
        <v>457</v>
      </c>
      <c r="C462" s="63" t="s">
        <v>458</v>
      </c>
      <c r="D462" s="70" t="str">
        <f>_xlfn.XLOOKUP(B462,Table24[ActionID],Table24[Description],"")</f>
        <v>This action involves stabilizing slopes and maintaining or restoring drainage systems in hillside areas. This helps to prevent landslides and erosion, reducing the risk of disasters.</v>
      </c>
      <c r="E462" s="64" t="s">
        <v>1163</v>
      </c>
      <c r="F462" s="65" t="s">
        <v>1447</v>
      </c>
      <c r="G462" s="64" t="s">
        <v>1163</v>
      </c>
      <c r="H462" s="65" t="s">
        <v>1447</v>
      </c>
      <c r="I462" s="63"/>
      <c r="J462" s="63"/>
      <c r="K462" s="63"/>
      <c r="L462" s="63"/>
      <c r="M462" s="63"/>
      <c r="N462" s="63"/>
      <c r="O462" s="63"/>
    </row>
    <row r="463" spans="2:15" ht="30" customHeight="1">
      <c r="B463" s="62" t="s">
        <v>461</v>
      </c>
      <c r="C463" s="63" t="s">
        <v>462</v>
      </c>
      <c r="D463" s="70" t="str">
        <f>_xlfn.XLOOKUP(B463,Table24[ActionID],Table24[Description],"")</f>
        <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v>
      </c>
      <c r="E463" s="64" t="s">
        <v>1163</v>
      </c>
      <c r="F463" s="65" t="s">
        <v>1447</v>
      </c>
      <c r="G463" s="64" t="s">
        <v>1163</v>
      </c>
      <c r="H463" s="65" t="s">
        <v>1447</v>
      </c>
      <c r="I463" s="63"/>
      <c r="J463" s="63"/>
      <c r="K463" s="63"/>
      <c r="L463" s="63"/>
      <c r="M463" s="63"/>
      <c r="N463" s="63"/>
      <c r="O463" s="63"/>
    </row>
    <row r="464" spans="2:15" ht="15" customHeight="1">
      <c r="B464" s="62" t="s">
        <v>466</v>
      </c>
      <c r="C464" s="63" t="s">
        <v>467</v>
      </c>
      <c r="D464" s="70" t="str">
        <f>_xlfn.XLOOKUP(B464,Table24[ActionID],Table24[Description],"")</f>
        <v>This action describes the implementation of an integrated coastal zone management plan to promote sustainable development and address the impacts of climate change in coastal areas. It includes measures to mitigate the impacts of sea-level rise and coastal erosion.</v>
      </c>
      <c r="E464" s="64" t="s">
        <v>1163</v>
      </c>
      <c r="F464" s="65" t="s">
        <v>1447</v>
      </c>
      <c r="G464" s="64" t="s">
        <v>1163</v>
      </c>
      <c r="H464" s="65" t="s">
        <v>1447</v>
      </c>
      <c r="I464" s="63"/>
      <c r="J464" s="63"/>
      <c r="K464" s="63"/>
      <c r="L464" s="63"/>
      <c r="M464" s="63"/>
      <c r="N464" s="63"/>
      <c r="O464" s="63"/>
    </row>
    <row r="465" spans="2:15" ht="60" customHeight="1">
      <c r="B465" s="62" t="s">
        <v>471</v>
      </c>
      <c r="C465" s="63" t="s">
        <v>472</v>
      </c>
      <c r="D465" s="70" t="str">
        <f>_xlfn.XLOOKUP(B465,Table24[ActionID],Table24[Description],"")</f>
        <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v>
      </c>
      <c r="E465" s="64" t="s">
        <v>1163</v>
      </c>
      <c r="F465" s="65" t="s">
        <v>1447</v>
      </c>
      <c r="G465" s="64" t="s">
        <v>1163</v>
      </c>
      <c r="H465" s="65" t="s">
        <v>1447</v>
      </c>
      <c r="I465" s="63"/>
      <c r="J465" s="63"/>
      <c r="K465" s="63"/>
      <c r="L465" s="63"/>
      <c r="M465" s="63"/>
      <c r="N465" s="63"/>
      <c r="O465" s="63"/>
    </row>
    <row r="466" spans="2:15" ht="15" customHeight="1">
      <c r="B466" s="62" t="s">
        <v>475</v>
      </c>
      <c r="C466" s="63" t="s">
        <v>476</v>
      </c>
      <c r="D466" s="70" t="str">
        <f>_xlfn.XLOOKUP(B466,Table24[ActionID],Table24[Description],"")</f>
        <v>The implementation of green roofs and green walls mitigates urban heat island effects, improves thermal comfort, reduces energy demand in buildings, manages stormwater, and enhances urban livability and biodiversity.</v>
      </c>
      <c r="E466" s="64" t="s">
        <v>1163</v>
      </c>
      <c r="F466" s="65" t="s">
        <v>1447</v>
      </c>
      <c r="G466" s="64" t="s">
        <v>1163</v>
      </c>
      <c r="H466" s="65" t="s">
        <v>1447</v>
      </c>
      <c r="I466" s="63"/>
      <c r="J466" s="63"/>
      <c r="K466" s="63"/>
      <c r="L466" s="63"/>
      <c r="M466" s="63"/>
      <c r="N466" s="63"/>
      <c r="O466" s="63"/>
    </row>
    <row r="467" spans="2:15" ht="30" customHeight="1">
      <c r="B467" s="62" t="s">
        <v>480</v>
      </c>
      <c r="C467" s="63" t="s">
        <v>481</v>
      </c>
      <c r="D467" s="70" t="str">
        <f>_xlfn.XLOOKUP(B467,Table24[ActionID],Table24[Description],"")</f>
        <v>Planned relocation and retreat of people, assets, and activities from coastal hazard zones to reduce exposure and risks caused by sea-level rise and associated coastal hazards.</v>
      </c>
      <c r="E467" s="64" t="s">
        <v>1163</v>
      </c>
      <c r="F467" s="65" t="s">
        <v>1447</v>
      </c>
      <c r="G467" s="64" t="s">
        <v>1161</v>
      </c>
      <c r="H467" s="65" t="s">
        <v>1468</v>
      </c>
      <c r="I467" s="63"/>
      <c r="J467" s="63"/>
      <c r="K467" s="63"/>
      <c r="L467" s="63"/>
      <c r="M467" s="63"/>
      <c r="N467" s="63"/>
      <c r="O467" s="63"/>
    </row>
    <row r="468" spans="2:15" ht="15" customHeight="1">
      <c r="B468" s="62" t="s">
        <v>485</v>
      </c>
      <c r="C468" s="63" t="s">
        <v>486</v>
      </c>
      <c r="D468" s="70" t="str">
        <f>_xlfn.XLOOKUP(B468,Table24[ActionID],Table24[Description],"")</f>
        <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v>
      </c>
      <c r="E468" s="64" t="s">
        <v>1163</v>
      </c>
      <c r="F468" s="65" t="s">
        <v>1447</v>
      </c>
      <c r="G468" s="64" t="s">
        <v>1163</v>
      </c>
      <c r="H468" s="65" t="s">
        <v>1447</v>
      </c>
      <c r="I468" s="63"/>
      <c r="J468" s="63"/>
      <c r="K468" s="63"/>
      <c r="L468" s="63"/>
      <c r="M468" s="63"/>
      <c r="N468" s="63"/>
      <c r="O468" s="63"/>
    </row>
    <row r="469" spans="2:15" ht="30" customHeight="1">
      <c r="B469" s="62" t="s">
        <v>490</v>
      </c>
      <c r="C469" s="63" t="s">
        <v>491</v>
      </c>
      <c r="D469" s="70" t="str">
        <f>_xlfn.XLOOKUP(B469,Table24[ActionID],Table24[Description],"")</f>
        <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v>
      </c>
      <c r="E469" s="64" t="s">
        <v>1163</v>
      </c>
      <c r="F469" s="65" t="s">
        <v>1447</v>
      </c>
      <c r="G469" s="64" t="s">
        <v>1163</v>
      </c>
      <c r="H469" s="65" t="s">
        <v>1447</v>
      </c>
      <c r="I469" s="63"/>
      <c r="J469" s="63"/>
      <c r="K469" s="63"/>
      <c r="L469" s="63"/>
      <c r="M469" s="63"/>
      <c r="N469" s="63"/>
      <c r="O469" s="63"/>
    </row>
    <row r="470" spans="2:15" ht="15" customHeight="1">
      <c r="B470" s="62" t="s">
        <v>495</v>
      </c>
      <c r="C470" s="63" t="s">
        <v>496</v>
      </c>
      <c r="D470" s="70" t="str">
        <f>_xlfn.XLOOKUP(B470,Table24[ActionID],Table24[Description],"")</f>
        <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v>
      </c>
      <c r="E470" s="64" t="s">
        <v>1163</v>
      </c>
      <c r="F470" s="65" t="s">
        <v>1447</v>
      </c>
      <c r="G470" s="64" t="s">
        <v>1163</v>
      </c>
      <c r="H470" s="65" t="s">
        <v>1447</v>
      </c>
      <c r="I470" s="63"/>
      <c r="J470" s="63"/>
      <c r="K470" s="63"/>
      <c r="L470" s="63"/>
      <c r="M470" s="63"/>
      <c r="N470" s="63"/>
      <c r="O470" s="63"/>
    </row>
    <row r="471" spans="2:15" ht="15" customHeight="1">
      <c r="B471" s="62" t="s">
        <v>500</v>
      </c>
      <c r="C471" s="63" t="s">
        <v>501</v>
      </c>
      <c r="D471" s="70" t="str">
        <f>_xlfn.XLOOKUP(B471,Table24[ActionID],Table24[Description],"")</f>
        <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v>
      </c>
      <c r="E471" s="64" t="s">
        <v>1163</v>
      </c>
      <c r="F471" s="65" t="s">
        <v>1447</v>
      </c>
      <c r="G471" s="64" t="s">
        <v>1163</v>
      </c>
      <c r="H471" s="65" t="s">
        <v>1447</v>
      </c>
      <c r="I471" s="63"/>
      <c r="J471" s="63"/>
      <c r="K471" s="63"/>
      <c r="L471" s="63"/>
      <c r="M471" s="63"/>
      <c r="N471" s="63"/>
      <c r="O471" s="63"/>
    </row>
    <row r="472" spans="2:15" ht="15" customHeight="1">
      <c r="B472" s="62" t="s">
        <v>505</v>
      </c>
      <c r="C472" s="63" t="s">
        <v>506</v>
      </c>
      <c r="D472" s="70" t="str">
        <f>_xlfn.XLOOKUP(B472,Table24[ActionID],Table24[Description],"")</f>
        <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v>
      </c>
      <c r="E472" s="64" t="s">
        <v>1163</v>
      </c>
      <c r="F472" s="65" t="s">
        <v>1447</v>
      </c>
      <c r="G472" s="64" t="s">
        <v>1163</v>
      </c>
      <c r="H472" s="65" t="s">
        <v>1447</v>
      </c>
      <c r="I472" s="63"/>
      <c r="J472" s="63"/>
      <c r="K472" s="63"/>
      <c r="L472" s="63"/>
      <c r="M472" s="63"/>
      <c r="N472" s="63"/>
      <c r="O472" s="63"/>
    </row>
    <row r="473" spans="2:15" ht="15" customHeight="1">
      <c r="B473" s="62" t="s">
        <v>509</v>
      </c>
      <c r="C473" s="63" t="s">
        <v>510</v>
      </c>
      <c r="D473" s="70" t="str">
        <f>_xlfn.XLOOKUP(B473,Table24[ActionID],Table24[Description],"")</f>
        <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v>
      </c>
      <c r="E473" s="64" t="s">
        <v>1163</v>
      </c>
      <c r="F473" s="65" t="s">
        <v>1447</v>
      </c>
      <c r="G473" s="64" t="s">
        <v>1161</v>
      </c>
      <c r="H473" s="65" t="s">
        <v>1468</v>
      </c>
      <c r="I473" s="63"/>
      <c r="J473" s="63"/>
      <c r="K473" s="63"/>
      <c r="L473" s="63"/>
      <c r="M473" s="63"/>
      <c r="N473" s="63"/>
      <c r="O473" s="63"/>
    </row>
    <row r="474" spans="2:15" ht="15" customHeight="1">
      <c r="B474" s="62" t="s">
        <v>513</v>
      </c>
      <c r="C474" s="63" t="s">
        <v>514</v>
      </c>
      <c r="D474" s="70" t="str">
        <f>_xlfn.XLOOKUP(B474,Table24[ActionID],Table24[Description],"")</f>
        <v xml:space="preserve"> 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v>
      </c>
      <c r="E474" s="64" t="s">
        <v>1163</v>
      </c>
      <c r="F474" s="65" t="s">
        <v>1447</v>
      </c>
      <c r="G474" s="64" t="s">
        <v>1163</v>
      </c>
      <c r="H474" s="65" t="s">
        <v>1447</v>
      </c>
      <c r="I474" s="63"/>
      <c r="J474" s="63"/>
      <c r="K474" s="63"/>
      <c r="L474" s="63"/>
      <c r="M474" s="63"/>
      <c r="N474" s="63"/>
      <c r="O474" s="63"/>
    </row>
    <row r="475" spans="2:15" ht="30" customHeight="1">
      <c r="B475" s="62" t="s">
        <v>517</v>
      </c>
      <c r="C475" s="63" t="s">
        <v>518</v>
      </c>
      <c r="D475" s="70" t="str">
        <f>_xlfn.XLOOKUP(B475,Table24[ActionID],Table24[Description],"")</f>
        <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v>
      </c>
      <c r="E475" s="64" t="s">
        <v>1163</v>
      </c>
      <c r="F475" s="65" t="s">
        <v>1447</v>
      </c>
      <c r="G475" s="64" t="s">
        <v>1163</v>
      </c>
      <c r="H475" s="65" t="s">
        <v>1447</v>
      </c>
      <c r="I475" s="63"/>
      <c r="J475" s="63"/>
      <c r="K475" s="63"/>
      <c r="L475" s="63"/>
      <c r="M475" s="63"/>
      <c r="N475" s="63"/>
      <c r="O475" s="63"/>
    </row>
    <row r="476" spans="2:15" ht="15" customHeight="1">
      <c r="B476" s="62" t="s">
        <v>522</v>
      </c>
      <c r="C476" s="63" t="s">
        <v>523</v>
      </c>
      <c r="D476" s="70" t="str">
        <f>_xlfn.XLOOKUP(B476,Table24[ActionID],Table24[Description],"")</f>
        <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v>
      </c>
      <c r="E476" s="64" t="s">
        <v>1163</v>
      </c>
      <c r="F476" s="65" t="s">
        <v>1447</v>
      </c>
      <c r="G476" s="64" t="s">
        <v>1163</v>
      </c>
      <c r="H476" s="65" t="s">
        <v>1447</v>
      </c>
      <c r="I476" s="63"/>
      <c r="J476" s="63"/>
      <c r="K476" s="63"/>
      <c r="L476" s="63"/>
      <c r="M476" s="63"/>
      <c r="N476" s="63"/>
      <c r="O476" s="63"/>
    </row>
    <row r="477" spans="2:15" ht="15" customHeight="1">
      <c r="B477" s="62" t="s">
        <v>527</v>
      </c>
      <c r="C477" s="63" t="s">
        <v>528</v>
      </c>
      <c r="D477" s="70" t="str">
        <f>_xlfn.XLOOKUP(B477,Table24[ActionID],Table24[Description],"")</f>
        <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v>
      </c>
      <c r="E477" s="64" t="s">
        <v>1161</v>
      </c>
      <c r="F477" s="65" t="s">
        <v>1467</v>
      </c>
      <c r="G477" s="64" t="s">
        <v>1163</v>
      </c>
      <c r="H477" s="65" t="s">
        <v>1447</v>
      </c>
      <c r="I477" s="63"/>
      <c r="J477" s="63"/>
      <c r="K477" s="63"/>
      <c r="L477" s="63"/>
      <c r="M477" s="63"/>
      <c r="N477" s="63"/>
      <c r="O477" s="63"/>
    </row>
    <row r="478" spans="2:15" ht="30" customHeight="1">
      <c r="B478" s="62" t="s">
        <v>531</v>
      </c>
      <c r="C478" s="63" t="s">
        <v>532</v>
      </c>
      <c r="D478" s="70" t="str">
        <f>_xlfn.XLOOKUP(B478,Table24[ActionID],Table24[Description],"")</f>
        <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v>
      </c>
      <c r="E478" s="64" t="s">
        <v>1163</v>
      </c>
      <c r="F478" s="65" t="s">
        <v>1447</v>
      </c>
      <c r="G478" s="64" t="s">
        <v>1163</v>
      </c>
      <c r="H478" s="65" t="s">
        <v>1447</v>
      </c>
      <c r="I478" s="63"/>
      <c r="J478" s="63"/>
      <c r="K478" s="63"/>
      <c r="L478" s="63"/>
      <c r="M478" s="63"/>
      <c r="N478" s="63"/>
      <c r="O478" s="63"/>
    </row>
    <row r="479" spans="2:15" ht="30" customHeight="1">
      <c r="B479" s="62" t="s">
        <v>535</v>
      </c>
      <c r="C479" s="63" t="s">
        <v>536</v>
      </c>
      <c r="D479" s="70" t="str">
        <f>_xlfn.XLOOKUP(B479,Table24[ActionID],Table24[Description],"")</f>
        <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v>
      </c>
      <c r="E479" s="64" t="s">
        <v>1163</v>
      </c>
      <c r="F479" s="65" t="s">
        <v>1447</v>
      </c>
      <c r="G479" s="64" t="s">
        <v>1163</v>
      </c>
      <c r="H479" s="65" t="s">
        <v>1447</v>
      </c>
      <c r="I479" s="63"/>
      <c r="J479" s="63"/>
      <c r="K479" s="63"/>
      <c r="L479" s="63"/>
      <c r="M479" s="63"/>
      <c r="N479" s="63"/>
      <c r="O479" s="63"/>
    </row>
    <row r="480" spans="2:15" ht="45" customHeight="1">
      <c r="B480" s="62" t="s">
        <v>539</v>
      </c>
      <c r="C480" s="63" t="s">
        <v>540</v>
      </c>
      <c r="D480" s="70" t="str">
        <f>_xlfn.XLOOKUP(B480,Table24[ActionID],Table24[Description],"")</f>
        <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v>
      </c>
      <c r="E480" s="64" t="s">
        <v>1163</v>
      </c>
      <c r="F480" s="65" t="s">
        <v>1447</v>
      </c>
      <c r="G480" s="64" t="s">
        <v>1163</v>
      </c>
      <c r="H480" s="65" t="s">
        <v>1447</v>
      </c>
      <c r="I480" s="63"/>
      <c r="J480" s="63"/>
      <c r="K480" s="63"/>
      <c r="L480" s="63"/>
      <c r="M480" s="63"/>
      <c r="N480" s="63"/>
      <c r="O480" s="63"/>
    </row>
    <row r="481" spans="2:15" ht="15" customHeight="1">
      <c r="B481" s="62" t="s">
        <v>543</v>
      </c>
      <c r="C481" s="63" t="s">
        <v>544</v>
      </c>
      <c r="D481" s="70" t="str">
        <f>_xlfn.XLOOKUP(B481,Table24[ActionID],Table24[Description],"")</f>
        <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v>
      </c>
      <c r="E481" s="64" t="s">
        <v>1163</v>
      </c>
      <c r="F481" s="65" t="s">
        <v>1447</v>
      </c>
      <c r="G481" s="64" t="s">
        <v>1163</v>
      </c>
      <c r="H481" s="65" t="s">
        <v>1447</v>
      </c>
      <c r="I481" s="63"/>
      <c r="J481" s="63"/>
      <c r="K481" s="63"/>
      <c r="L481" s="63"/>
      <c r="M481" s="63"/>
      <c r="N481" s="63"/>
      <c r="O481" s="63"/>
    </row>
    <row r="482" spans="2:15" ht="15" customHeight="1">
      <c r="B482" s="62" t="s">
        <v>547</v>
      </c>
      <c r="C482" s="63" t="s">
        <v>548</v>
      </c>
      <c r="D482" s="70" t="str">
        <f>_xlfn.XLOOKUP(B482,Table24[ActionID],Table24[Description],"")</f>
        <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v>
      </c>
      <c r="E482" s="64" t="s">
        <v>1163</v>
      </c>
      <c r="F482" s="65" t="s">
        <v>1447</v>
      </c>
      <c r="G482" s="64" t="s">
        <v>1163</v>
      </c>
      <c r="H482" s="65" t="s">
        <v>1447</v>
      </c>
      <c r="I482" s="63"/>
      <c r="J482" s="63"/>
      <c r="K482" s="63"/>
      <c r="L482" s="63"/>
      <c r="M482" s="63"/>
      <c r="N482" s="63"/>
      <c r="O482" s="63"/>
    </row>
    <row r="483" spans="2:15" ht="15" customHeight="1">
      <c r="B483" s="62" t="s">
        <v>552</v>
      </c>
      <c r="C483" s="63" t="s">
        <v>553</v>
      </c>
      <c r="D483" s="70" t="str">
        <f>_xlfn.XLOOKUP(B483,Table24[ActionID],Table24[Description],"")</f>
        <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v>
      </c>
      <c r="E483" s="64" t="s">
        <v>1163</v>
      </c>
      <c r="F483" s="65" t="s">
        <v>1447</v>
      </c>
      <c r="G483" s="64" t="s">
        <v>1163</v>
      </c>
      <c r="H483" s="65" t="s">
        <v>1447</v>
      </c>
      <c r="I483" s="63"/>
      <c r="J483" s="63"/>
      <c r="K483" s="63"/>
      <c r="L483" s="63"/>
      <c r="M483" s="63"/>
      <c r="N483" s="63"/>
      <c r="O483" s="63"/>
    </row>
    <row r="484" spans="2:15" ht="30" customHeight="1">
      <c r="B484" s="62" t="s">
        <v>556</v>
      </c>
      <c r="C484" s="63" t="s">
        <v>557</v>
      </c>
      <c r="D484" s="70" t="str">
        <f>_xlfn.XLOOKUP(B484,Table24[ActionID],Table24[Description],"")</f>
        <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v>
      </c>
      <c r="E484" s="64" t="s">
        <v>1163</v>
      </c>
      <c r="F484" s="65" t="s">
        <v>1447</v>
      </c>
      <c r="G484" s="64" t="s">
        <v>1163</v>
      </c>
      <c r="H484" s="65" t="s">
        <v>1447</v>
      </c>
      <c r="I484" s="63"/>
      <c r="J484" s="63"/>
      <c r="K484" s="63"/>
      <c r="L484" s="63"/>
      <c r="M484" s="63"/>
      <c r="N484" s="63"/>
      <c r="O484" s="63"/>
    </row>
    <row r="485" spans="2:15" ht="15" customHeight="1">
      <c r="B485" s="62" t="s">
        <v>561</v>
      </c>
      <c r="C485" s="63" t="s">
        <v>562</v>
      </c>
      <c r="D485" s="70" t="str">
        <f>_xlfn.XLOOKUP(B485,Table24[ActionID],Table24[Description],"")</f>
        <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v>
      </c>
      <c r="E485" s="64" t="s">
        <v>1163</v>
      </c>
      <c r="F485" s="65" t="s">
        <v>1447</v>
      </c>
      <c r="G485" s="64" t="s">
        <v>1163</v>
      </c>
      <c r="H485" s="65" t="s">
        <v>1447</v>
      </c>
      <c r="I485" s="63"/>
      <c r="J485" s="63"/>
      <c r="K485" s="63"/>
      <c r="L485" s="63"/>
      <c r="M485" s="63"/>
      <c r="N485" s="63"/>
      <c r="O485" s="63"/>
    </row>
    <row r="486" spans="2:15" ht="30" customHeight="1">
      <c r="B486" s="62" t="s">
        <v>564</v>
      </c>
      <c r="C486" s="63" t="s">
        <v>565</v>
      </c>
      <c r="D486" s="70" t="str">
        <f>_xlfn.XLOOKUP(B486,Table24[ActionID],Table24[Description],"")</f>
        <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v>
      </c>
      <c r="E486" s="64" t="s">
        <v>1163</v>
      </c>
      <c r="F486" s="65" t="s">
        <v>1447</v>
      </c>
      <c r="G486" s="64" t="s">
        <v>1161</v>
      </c>
      <c r="H486" s="65" t="s">
        <v>1468</v>
      </c>
      <c r="I486" s="63"/>
      <c r="J486" s="63"/>
      <c r="K486" s="63"/>
      <c r="L486" s="63"/>
      <c r="M486" s="63"/>
      <c r="N486" s="63"/>
      <c r="O486" s="63"/>
    </row>
    <row r="487" spans="2:15" ht="15" customHeight="1"/>
    <row r="488" spans="2:15" ht="15" customHeight="1"/>
    <row r="489" spans="2:15" ht="21" customHeight="1">
      <c r="B489" s="138" t="s">
        <v>1273</v>
      </c>
      <c r="C489" s="138"/>
      <c r="D489" s="138"/>
      <c r="E489" s="138"/>
      <c r="F489" s="138"/>
      <c r="G489" s="138"/>
      <c r="H489" s="138"/>
      <c r="I489" s="138"/>
      <c r="J489" s="138"/>
      <c r="K489" s="138"/>
      <c r="L489" s="138"/>
      <c r="M489" s="138"/>
      <c r="N489" s="138"/>
      <c r="O489" s="138"/>
    </row>
    <row r="490" spans="2:15" ht="15" customHeight="1"/>
    <row r="491" spans="2:15" ht="15" customHeight="1">
      <c r="B491" s="139" t="s">
        <v>1267</v>
      </c>
      <c r="C491" s="139"/>
      <c r="D491" s="139"/>
      <c r="E491" s="139"/>
      <c r="F491" s="139"/>
      <c r="G491" s="139"/>
      <c r="H491" s="139"/>
      <c r="I491" s="139"/>
      <c r="J491" s="139"/>
      <c r="K491" s="139"/>
      <c r="L491" s="139"/>
      <c r="M491" s="139"/>
      <c r="N491" s="139"/>
      <c r="O491" s="139"/>
    </row>
    <row r="492" spans="2:15" ht="63" customHeight="1">
      <c r="B492" s="134" t="str" cm="1">
        <f t="array" ref="B492">_xlfn.TEXTJOIN(", ",TRUE,_xlfn.UNIQUE(_xlfn._xlws.FILTER(Table2[base_indicator_name],(Table2[sector_name]="Geohydrological disasters")*(Table2[risk_component_name]="Vulnerability"))))</f>
        <v>Investment in adaptation policies, Tax management, Employment and income, Gross domestic product by urban area, Resilient cities program, Institutions for risk management, Waste management and public cleaning, Urban occupation management in risk areas, Actions to reduce risk, Early warning systems, Contingency plan, Land use and occupation, Environmental governance, Housing governance, Transport governance, Healthcare facilities, Municipal basic sanitation plan, Population with special demands, Young people without secondary education, Income inequality, Inappropriate households, Lack of urban mobility, Inaccessibility to cities, Basic sanitation, Drainage</v>
      </c>
      <c r="C492" s="134"/>
      <c r="D492" s="134"/>
      <c r="E492" s="134"/>
      <c r="F492" s="134"/>
      <c r="G492" s="134"/>
      <c r="H492" s="134"/>
      <c r="I492" s="134"/>
      <c r="J492" s="134"/>
      <c r="K492" s="134"/>
      <c r="L492" s="134"/>
      <c r="M492" s="134"/>
      <c r="N492" s="134"/>
      <c r="O492" s="134"/>
    </row>
    <row r="493" spans="2:15" ht="15" customHeight="1"/>
    <row r="494" spans="2:15" ht="15" customHeight="1">
      <c r="B494" s="135" t="s">
        <v>1268</v>
      </c>
      <c r="C494" s="135"/>
      <c r="D494" s="135"/>
      <c r="E494" s="135"/>
      <c r="F494" s="135"/>
      <c r="G494" s="135"/>
      <c r="H494" s="135"/>
      <c r="I494" s="135"/>
      <c r="J494" s="135"/>
      <c r="K494" s="135"/>
      <c r="L494" s="135"/>
      <c r="M494" s="135"/>
      <c r="N494" s="135"/>
      <c r="O494" s="135"/>
    </row>
    <row r="495" spans="2:15" ht="25.8" customHeight="1">
      <c r="B495" s="136" t="str" cm="1">
        <f t="array" ref="B495">_xlfn.TEXTJOIN(", ",TRUE,_xlfn.UNIQUE(_xlfn._xlws.FILTER(Table2[base_indicator_name],(Table2[sector_name]="Geohydrological disasters")*(Table2[risk_component_name]="Exposure"))))</f>
        <v>Households in risk areas, Urban population density</v>
      </c>
      <c r="C495" s="136"/>
      <c r="D495" s="136"/>
      <c r="E495" s="136"/>
      <c r="F495" s="136"/>
      <c r="G495" s="136"/>
      <c r="H495" s="136"/>
      <c r="I495" s="136"/>
      <c r="J495" s="136"/>
      <c r="K495" s="136"/>
      <c r="L495" s="136"/>
      <c r="M495" s="136"/>
      <c r="N495" s="136"/>
      <c r="O495" s="136"/>
    </row>
    <row r="496" spans="2:15" ht="15" customHeight="1"/>
    <row r="497" spans="1:15" ht="22.05" customHeight="1">
      <c r="B497" s="137" t="s">
        <v>1278</v>
      </c>
      <c r="C497" s="137"/>
      <c r="D497" s="137"/>
      <c r="E497" s="137"/>
      <c r="F497" s="137"/>
      <c r="G497" s="137"/>
      <c r="H497" s="137"/>
      <c r="I497" s="137"/>
      <c r="J497" s="137"/>
      <c r="K497" s="137"/>
      <c r="L497" s="137"/>
      <c r="M497" s="137"/>
      <c r="N497" s="137"/>
      <c r="O497" s="137"/>
    </row>
    <row r="498" spans="1:15" ht="15" customHeight="1">
      <c r="B498" s="125" t="s">
        <v>1305</v>
      </c>
      <c r="C498" s="125"/>
      <c r="D498" s="125"/>
      <c r="E498" s="125"/>
      <c r="F498" s="125"/>
      <c r="G498" s="125"/>
      <c r="H498" s="125"/>
      <c r="I498" s="125"/>
      <c r="J498" s="125"/>
      <c r="K498" s="125"/>
      <c r="L498" s="125"/>
      <c r="M498" s="125"/>
      <c r="N498" s="125"/>
      <c r="O498" s="125"/>
    </row>
    <row r="499" spans="1:15" ht="15" customHeight="1">
      <c r="B499" s="56"/>
      <c r="C499" s="56"/>
      <c r="D499" s="56"/>
      <c r="E499" s="56"/>
      <c r="F499" s="56"/>
      <c r="G499" s="56"/>
      <c r="H499" s="56"/>
      <c r="I499" s="56"/>
      <c r="J499" s="56"/>
      <c r="K499" s="56"/>
      <c r="L499" s="56"/>
      <c r="M499" s="56"/>
      <c r="N499" s="56"/>
      <c r="O499" s="56"/>
    </row>
    <row r="500" spans="1:15" ht="22.05" customHeight="1">
      <c r="B500" s="137" t="s">
        <v>1279</v>
      </c>
      <c r="C500" s="137"/>
      <c r="D500" s="137"/>
      <c r="E500" s="137"/>
      <c r="F500" s="137"/>
      <c r="G500" s="137"/>
      <c r="H500" s="137"/>
      <c r="I500" s="137"/>
      <c r="J500" s="137"/>
      <c r="K500" s="137"/>
      <c r="L500" s="137"/>
      <c r="M500" s="137"/>
      <c r="N500" s="137"/>
      <c r="O500" s="137"/>
    </row>
    <row r="501" spans="1:15" ht="34.799999999999997" customHeight="1">
      <c r="A501" s="71" t="s">
        <v>1296</v>
      </c>
      <c r="B501" s="127" t="s">
        <v>1284</v>
      </c>
      <c r="C501" s="127"/>
      <c r="D501" s="127"/>
      <c r="E501" s="127"/>
      <c r="F501" s="127"/>
      <c r="G501" s="127"/>
      <c r="H501" s="127"/>
      <c r="I501" s="127"/>
      <c r="J501" s="127"/>
      <c r="K501" s="127"/>
      <c r="L501" s="127"/>
      <c r="M501" s="127"/>
      <c r="N501" s="127"/>
      <c r="O501" s="127"/>
    </row>
    <row r="502" spans="1:15" ht="30" customHeight="1">
      <c r="B502" s="67" t="s">
        <v>1154</v>
      </c>
      <c r="C502" s="67"/>
      <c r="D502" s="67" t="s">
        <v>1280</v>
      </c>
      <c r="E502" s="67" t="s">
        <v>1281</v>
      </c>
      <c r="F502" s="67"/>
      <c r="G502" s="67"/>
      <c r="H502" s="133" t="s">
        <v>1282</v>
      </c>
      <c r="I502" s="133"/>
      <c r="J502" s="133"/>
      <c r="K502" s="133"/>
      <c r="L502" s="133"/>
      <c r="M502" s="133"/>
      <c r="N502" s="133"/>
      <c r="O502" s="133"/>
    </row>
    <row r="503" spans="1:15" ht="15" customHeight="1">
      <c r="B503" s="63" t="s">
        <v>1402</v>
      </c>
      <c r="C503" s="63"/>
      <c r="D503" s="66">
        <v>2025</v>
      </c>
      <c r="E503" s="65" t="s">
        <v>1403</v>
      </c>
      <c r="F503" s="66"/>
      <c r="G503" s="65"/>
      <c r="H503" s="128" t="s">
        <v>1404</v>
      </c>
      <c r="I503" s="129"/>
      <c r="J503" s="129"/>
      <c r="K503" s="129"/>
      <c r="L503" s="129"/>
      <c r="M503" s="129"/>
      <c r="N503" s="129"/>
      <c r="O503" s="130"/>
    </row>
    <row r="504" spans="1:15" ht="15" customHeight="1">
      <c r="B504" s="63" t="s">
        <v>1405</v>
      </c>
      <c r="C504" s="63"/>
      <c r="D504" s="66">
        <v>2026</v>
      </c>
      <c r="E504" s="65" t="s">
        <v>1406</v>
      </c>
      <c r="F504" s="66"/>
      <c r="G504" s="65"/>
      <c r="H504" s="128" t="s">
        <v>1407</v>
      </c>
      <c r="I504" s="129"/>
      <c r="J504" s="129"/>
      <c r="K504" s="129"/>
      <c r="L504" s="129"/>
      <c r="M504" s="129"/>
      <c r="N504" s="129"/>
      <c r="O504" s="130"/>
    </row>
    <row r="505" spans="1:15" ht="15" customHeight="1">
      <c r="B505" s="63" t="s">
        <v>1408</v>
      </c>
      <c r="C505" s="63"/>
      <c r="D505" s="66">
        <v>2023</v>
      </c>
      <c r="E505" s="65" t="s">
        <v>1409</v>
      </c>
      <c r="F505" s="66"/>
      <c r="G505" s="65"/>
      <c r="H505" s="128" t="s">
        <v>1410</v>
      </c>
      <c r="I505" s="129"/>
      <c r="J505" s="129"/>
      <c r="K505" s="129"/>
      <c r="L505" s="129"/>
      <c r="M505" s="129"/>
      <c r="N505" s="129"/>
      <c r="O505" s="130"/>
    </row>
    <row r="506" spans="1:15" ht="15" customHeight="1">
      <c r="B506" s="63" t="s">
        <v>1411</v>
      </c>
      <c r="C506" s="63"/>
      <c r="D506" s="66">
        <v>2024</v>
      </c>
      <c r="E506" s="65" t="s">
        <v>1412</v>
      </c>
      <c r="F506" s="66"/>
      <c r="G506" s="65"/>
      <c r="H506" s="128" t="s">
        <v>1413</v>
      </c>
      <c r="I506" s="129"/>
      <c r="J506" s="129"/>
      <c r="K506" s="129"/>
      <c r="L506" s="129"/>
      <c r="M506" s="129"/>
      <c r="N506" s="129"/>
      <c r="O506" s="130"/>
    </row>
    <row r="507" spans="1:15" ht="22.05" customHeight="1">
      <c r="B507" s="132" t="s">
        <v>1283</v>
      </c>
      <c r="C507" s="132"/>
      <c r="D507" s="132"/>
      <c r="E507" s="132"/>
      <c r="F507" s="132"/>
      <c r="G507" s="132"/>
      <c r="H507" s="132"/>
      <c r="I507" s="132"/>
      <c r="J507" s="132"/>
      <c r="K507" s="132"/>
      <c r="L507" s="132"/>
      <c r="M507" s="132"/>
      <c r="N507" s="132"/>
      <c r="O507" s="132"/>
    </row>
    <row r="508" spans="1:15" ht="32.549999999999997" customHeight="1">
      <c r="A508" s="71" t="s">
        <v>1297</v>
      </c>
      <c r="B508" s="127" t="s">
        <v>1285</v>
      </c>
      <c r="C508" s="127"/>
      <c r="D508" s="127"/>
      <c r="E508" s="127"/>
      <c r="F508" s="127"/>
      <c r="G508" s="127"/>
      <c r="H508" s="127"/>
      <c r="I508" s="127"/>
      <c r="J508" s="127"/>
      <c r="K508" s="127"/>
      <c r="L508" s="127"/>
      <c r="M508" s="127"/>
      <c r="N508" s="127"/>
      <c r="O508" s="127"/>
    </row>
    <row r="509" spans="1:15" ht="30" customHeight="1">
      <c r="B509" s="67" t="s">
        <v>1154</v>
      </c>
      <c r="C509" s="67"/>
      <c r="D509" s="67" t="s">
        <v>1280</v>
      </c>
      <c r="E509" s="67" t="s">
        <v>1281</v>
      </c>
      <c r="F509" s="67"/>
      <c r="G509" s="67"/>
      <c r="H509" s="133" t="s">
        <v>1282</v>
      </c>
      <c r="I509" s="133"/>
      <c r="J509" s="133"/>
      <c r="K509" s="133"/>
      <c r="L509" s="133"/>
      <c r="M509" s="133"/>
      <c r="N509" s="133"/>
      <c r="O509" s="133"/>
    </row>
    <row r="510" spans="1:15" ht="15" customHeight="1">
      <c r="B510" s="63" t="s">
        <v>1414</v>
      </c>
      <c r="C510" s="63"/>
      <c r="D510" s="66">
        <v>2015</v>
      </c>
      <c r="E510" s="65" t="s">
        <v>1415</v>
      </c>
      <c r="F510" s="66"/>
      <c r="G510" s="65"/>
      <c r="H510" s="128" t="s">
        <v>1416</v>
      </c>
      <c r="I510" s="129"/>
      <c r="J510" s="129"/>
      <c r="K510" s="129"/>
      <c r="L510" s="129"/>
      <c r="M510" s="129"/>
      <c r="N510" s="129"/>
      <c r="O510" s="130"/>
    </row>
    <row r="511" spans="1:15" ht="15" customHeight="1">
      <c r="B511" s="63" t="s">
        <v>1417</v>
      </c>
      <c r="C511" s="63"/>
      <c r="D511" s="66">
        <v>2022</v>
      </c>
      <c r="E511" s="65" t="s">
        <v>1418</v>
      </c>
      <c r="F511" s="66"/>
      <c r="G511" s="65"/>
      <c r="H511" s="128" t="s">
        <v>1419</v>
      </c>
      <c r="I511" s="129"/>
      <c r="J511" s="129"/>
      <c r="K511" s="129"/>
      <c r="L511" s="129"/>
      <c r="M511" s="129"/>
      <c r="N511" s="129"/>
      <c r="O511" s="130"/>
    </row>
    <row r="512" spans="1:15" ht="15" customHeight="1">
      <c r="B512" s="63" t="s">
        <v>1324</v>
      </c>
      <c r="C512" s="63"/>
      <c r="D512" s="66">
        <v>2023</v>
      </c>
      <c r="E512" s="65" t="s">
        <v>1420</v>
      </c>
      <c r="F512" s="66"/>
      <c r="G512" s="65"/>
      <c r="H512" s="128" t="s">
        <v>1421</v>
      </c>
      <c r="I512" s="129"/>
      <c r="J512" s="129"/>
      <c r="K512" s="129"/>
      <c r="L512" s="129"/>
      <c r="M512" s="129"/>
      <c r="N512" s="129"/>
      <c r="O512" s="130"/>
    </row>
    <row r="513" spans="1:15" ht="15" customHeight="1">
      <c r="B513" s="63" t="s">
        <v>1370</v>
      </c>
      <c r="C513" s="63"/>
      <c r="D513" s="66">
        <v>2022</v>
      </c>
      <c r="E513" s="65" t="s">
        <v>1422</v>
      </c>
      <c r="F513" s="66"/>
      <c r="G513" s="65"/>
      <c r="H513" s="128" t="s">
        <v>1423</v>
      </c>
      <c r="I513" s="129"/>
      <c r="J513" s="129"/>
      <c r="K513" s="129"/>
      <c r="L513" s="129"/>
      <c r="M513" s="129"/>
      <c r="N513" s="129"/>
      <c r="O513" s="130"/>
    </row>
    <row r="514" spans="1:15" ht="15" customHeight="1"/>
    <row r="515" spans="1:15" ht="22.05" customHeight="1">
      <c r="B515" s="131" t="s">
        <v>1295</v>
      </c>
      <c r="C515" s="131"/>
      <c r="D515" s="131"/>
      <c r="E515" s="131"/>
      <c r="F515" s="131"/>
      <c r="G515" s="131"/>
      <c r="H515" s="131"/>
      <c r="I515" s="131"/>
      <c r="J515" s="131"/>
      <c r="K515" s="131"/>
      <c r="L515" s="131"/>
      <c r="M515" s="131"/>
      <c r="N515" s="131"/>
      <c r="O515" s="131"/>
    </row>
    <row r="516" spans="1:15" ht="22.05" customHeight="1">
      <c r="B516" s="124" t="s">
        <v>1286</v>
      </c>
      <c r="C516" s="124"/>
      <c r="D516" s="124"/>
      <c r="E516" s="124"/>
      <c r="F516" s="124"/>
      <c r="G516" s="124"/>
      <c r="H516" s="124"/>
      <c r="I516" s="124"/>
      <c r="J516" s="124"/>
      <c r="K516" s="124"/>
      <c r="L516" s="124"/>
      <c r="M516" s="124"/>
      <c r="N516" s="124"/>
      <c r="O516" s="124"/>
    </row>
    <row r="517" spans="1:15" ht="15" customHeight="1">
      <c r="B517" s="125" t="s">
        <v>1306</v>
      </c>
      <c r="C517" s="125"/>
      <c r="D517" s="125"/>
      <c r="E517" s="125"/>
      <c r="F517" s="125"/>
      <c r="G517" s="125"/>
      <c r="H517" s="125"/>
      <c r="I517" s="125"/>
      <c r="J517" s="125"/>
      <c r="K517" s="125"/>
      <c r="L517" s="125"/>
      <c r="M517" s="125"/>
      <c r="N517" s="125"/>
      <c r="O517" s="125"/>
    </row>
    <row r="518" spans="1:15" ht="22.05" customHeight="1">
      <c r="B518" s="124" t="s">
        <v>1288</v>
      </c>
      <c r="C518" s="124"/>
      <c r="D518" s="124"/>
      <c r="E518" s="124"/>
      <c r="F518" s="124"/>
      <c r="G518" s="124"/>
      <c r="H518" s="124"/>
      <c r="I518" s="124"/>
      <c r="J518" s="124"/>
      <c r="K518" s="124"/>
      <c r="L518" s="124"/>
      <c r="M518" s="124"/>
      <c r="N518" s="124"/>
      <c r="O518" s="124"/>
    </row>
    <row r="519" spans="1:15" ht="15" customHeight="1">
      <c r="B519" s="125" t="s">
        <v>1289</v>
      </c>
      <c r="C519" s="125"/>
      <c r="D519" s="125"/>
      <c r="E519" s="125"/>
      <c r="F519" s="125"/>
      <c r="G519" s="125"/>
      <c r="H519" s="125"/>
      <c r="I519" s="125"/>
      <c r="J519" s="125"/>
      <c r="K519" s="125"/>
      <c r="L519" s="125"/>
      <c r="M519" s="125"/>
      <c r="N519" s="125"/>
      <c r="O519" s="125"/>
    </row>
    <row r="520" spans="1:15" ht="22.05" customHeight="1">
      <c r="B520" s="124" t="s">
        <v>1290</v>
      </c>
      <c r="C520" s="124"/>
      <c r="D520" s="124"/>
      <c r="E520" s="124"/>
      <c r="F520" s="124"/>
      <c r="G520" s="124"/>
      <c r="H520" s="124"/>
      <c r="I520" s="124"/>
      <c r="J520" s="124"/>
      <c r="K520" s="124"/>
      <c r="L520" s="124"/>
      <c r="M520" s="124"/>
      <c r="N520" s="124"/>
      <c r="O520" s="124"/>
    </row>
    <row r="521" spans="1:15" ht="15" customHeight="1">
      <c r="B521" s="125" t="s">
        <v>1291</v>
      </c>
      <c r="C521" s="125"/>
      <c r="D521" s="125"/>
      <c r="E521" s="125"/>
      <c r="F521" s="125"/>
      <c r="G521" s="125"/>
      <c r="H521" s="125"/>
      <c r="I521" s="125"/>
      <c r="J521" s="125"/>
      <c r="K521" s="125"/>
      <c r="L521" s="125"/>
      <c r="M521" s="125"/>
      <c r="N521" s="125"/>
      <c r="O521" s="125"/>
    </row>
    <row r="522" spans="1:15" ht="22.05" customHeight="1">
      <c r="B522" s="126" t="s">
        <v>1269</v>
      </c>
      <c r="C522" s="126"/>
      <c r="D522" s="126"/>
      <c r="E522" s="126"/>
      <c r="F522" s="126"/>
      <c r="G522" s="126"/>
      <c r="H522" s="126"/>
      <c r="I522" s="126"/>
      <c r="J522" s="126"/>
      <c r="K522" s="126"/>
      <c r="L522" s="126"/>
      <c r="M522" s="126"/>
      <c r="N522" s="126"/>
      <c r="O522" s="126"/>
    </row>
    <row r="523" spans="1:15" ht="66" customHeight="1">
      <c r="A523" s="71" t="s">
        <v>1298</v>
      </c>
      <c r="B523" s="127" t="s">
        <v>1292</v>
      </c>
      <c r="C523" s="127"/>
      <c r="D523" s="127"/>
      <c r="E523" s="127"/>
      <c r="F523" s="127"/>
      <c r="G523" s="127"/>
      <c r="H523" s="127"/>
      <c r="I523" s="127"/>
      <c r="J523" s="127"/>
      <c r="K523" s="127"/>
      <c r="L523" s="127"/>
      <c r="M523" s="127"/>
      <c r="N523" s="127"/>
      <c r="O523" s="127"/>
    </row>
    <row r="524" spans="1:15" ht="30" customHeight="1">
      <c r="B524" s="68" t="s">
        <v>310</v>
      </c>
      <c r="C524" s="68" t="s">
        <v>311</v>
      </c>
      <c r="D524" s="69" t="s">
        <v>1293</v>
      </c>
      <c r="E524" s="68" t="s">
        <v>33</v>
      </c>
      <c r="F524" s="68" t="s">
        <v>1277</v>
      </c>
      <c r="G524" s="68" t="s">
        <v>71</v>
      </c>
      <c r="H524" s="68" t="s">
        <v>1277</v>
      </c>
      <c r="I524" s="69"/>
      <c r="J524" s="69"/>
      <c r="K524" s="69"/>
      <c r="L524" s="69"/>
      <c r="M524" s="69"/>
      <c r="N524" s="69"/>
      <c r="O524" s="69"/>
    </row>
    <row r="525" spans="1:15" ht="15" customHeight="1">
      <c r="B525" s="62" t="s">
        <v>320</v>
      </c>
      <c r="C525" s="63" t="s">
        <v>321</v>
      </c>
      <c r="D525" s="70" t="str">
        <f>_xlfn.XLOOKUP(B525,Table24[ActionID],Table24[Description],"")</f>
        <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v>
      </c>
      <c r="E525" s="64" t="s">
        <v>1162</v>
      </c>
      <c r="F525" s="65" t="s">
        <v>1456</v>
      </c>
      <c r="G525" s="64" t="s">
        <v>1162</v>
      </c>
      <c r="H525" s="65" t="s">
        <v>1456</v>
      </c>
      <c r="I525" s="63"/>
      <c r="J525" s="63"/>
      <c r="K525" s="63"/>
      <c r="L525" s="63"/>
      <c r="M525" s="63"/>
      <c r="N525" s="63"/>
      <c r="O525" s="63"/>
    </row>
    <row r="526" spans="1:15" ht="15" customHeight="1">
      <c r="B526" s="62" t="s">
        <v>329</v>
      </c>
      <c r="C526" s="63" t="s">
        <v>330</v>
      </c>
      <c r="D526" s="70" t="str">
        <f>_xlfn.XLOOKUP(B526,Table24[ActionID],Table24[Description],"")</f>
        <v>"Upgrade urban drainage systems" involves eco-engineering solutions to enhance drainage systems, through capacity upgrade and network expansion. This adaptation measure aims to improve urban resilience by minimizing the impact of extreme weather events such as flooding.</v>
      </c>
      <c r="E526" s="64" t="s">
        <v>1161</v>
      </c>
      <c r="F526" s="65" t="s">
        <v>1457</v>
      </c>
      <c r="G526" s="64" t="s">
        <v>1162</v>
      </c>
      <c r="H526" s="65" t="s">
        <v>1457</v>
      </c>
      <c r="I526" s="63"/>
      <c r="J526" s="63"/>
      <c r="K526" s="63"/>
      <c r="L526" s="63"/>
      <c r="M526" s="63"/>
      <c r="N526" s="63"/>
      <c r="O526" s="63"/>
    </row>
    <row r="527" spans="1:15" ht="30" customHeight="1">
      <c r="B527" s="62" t="s">
        <v>335</v>
      </c>
      <c r="C527" s="63" t="s">
        <v>336</v>
      </c>
      <c r="D527" s="70" t="str">
        <f>_xlfn.XLOOKUP(B527,Table24[ActionID],Table24[Description],"")</f>
        <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v>
      </c>
      <c r="E527" s="64" t="s">
        <v>1163</v>
      </c>
      <c r="F527" s="65" t="s">
        <v>1447</v>
      </c>
      <c r="G527" s="64" t="s">
        <v>1163</v>
      </c>
      <c r="H527" s="65" t="s">
        <v>1447</v>
      </c>
      <c r="I527" s="63"/>
      <c r="J527" s="63"/>
      <c r="K527" s="63"/>
      <c r="L527" s="63"/>
      <c r="M527" s="63"/>
      <c r="N527" s="63"/>
      <c r="O527" s="63"/>
    </row>
    <row r="528" spans="1:15" ht="15" customHeight="1">
      <c r="B528" s="62" t="s">
        <v>341</v>
      </c>
      <c r="C528" s="63" t="s">
        <v>342</v>
      </c>
      <c r="D528" s="70" t="str">
        <f>_xlfn.XLOOKUP(B528,Table24[ActionID],Table24[Description],"")</f>
        <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v>
      </c>
      <c r="E528" s="64" t="s">
        <v>1163</v>
      </c>
      <c r="F528" s="65" t="s">
        <v>1447</v>
      </c>
      <c r="G528" s="64" t="s">
        <v>1163</v>
      </c>
      <c r="H528" s="65" t="s">
        <v>1447</v>
      </c>
      <c r="I528" s="63"/>
      <c r="J528" s="63"/>
      <c r="K528" s="63"/>
      <c r="L528" s="63"/>
      <c r="M528" s="63"/>
      <c r="N528" s="63"/>
      <c r="O528" s="63"/>
    </row>
    <row r="529" spans="2:15" ht="30" customHeight="1">
      <c r="B529" s="62" t="s">
        <v>346</v>
      </c>
      <c r="C529" s="63" t="s">
        <v>347</v>
      </c>
      <c r="D529" s="70" t="str">
        <f>_xlfn.XLOOKUP(B529,Table24[ActionID],Table24[Description],"")</f>
        <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v>
      </c>
      <c r="E529" s="64" t="s">
        <v>1163</v>
      </c>
      <c r="F529" s="65" t="s">
        <v>1447</v>
      </c>
      <c r="G529" s="64" t="s">
        <v>1163</v>
      </c>
      <c r="H529" s="65" t="s">
        <v>1447</v>
      </c>
      <c r="I529" s="63"/>
      <c r="J529" s="63"/>
      <c r="K529" s="63"/>
      <c r="L529" s="63"/>
      <c r="M529" s="63"/>
      <c r="N529" s="63"/>
      <c r="O529" s="63"/>
    </row>
    <row r="530" spans="2:15" ht="15" customHeight="1">
      <c r="B530" s="62" t="s">
        <v>349</v>
      </c>
      <c r="C530" s="63" t="s">
        <v>350</v>
      </c>
      <c r="D530" s="70" t="str">
        <f>_xlfn.XLOOKUP(B530,Table24[ActionID],Table24[Description],"")</f>
        <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v>
      </c>
      <c r="E530" s="64" t="s">
        <v>1163</v>
      </c>
      <c r="F530" s="65" t="s">
        <v>1447</v>
      </c>
      <c r="G530" s="64" t="s">
        <v>1163</v>
      </c>
      <c r="H530" s="65" t="s">
        <v>1447</v>
      </c>
      <c r="I530" s="63"/>
      <c r="J530" s="63"/>
      <c r="K530" s="63"/>
      <c r="L530" s="63"/>
      <c r="M530" s="63"/>
      <c r="N530" s="63"/>
      <c r="O530" s="63"/>
    </row>
    <row r="531" spans="2:15" ht="15" customHeight="1">
      <c r="B531" s="62" t="s">
        <v>355</v>
      </c>
      <c r="C531" s="63" t="s">
        <v>356</v>
      </c>
      <c r="D531" s="70" t="str">
        <f>_xlfn.XLOOKUP(B531,Table24[ActionID],Table24[Description],"")</f>
        <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v>
      </c>
      <c r="E531" s="64" t="s">
        <v>1163</v>
      </c>
      <c r="F531" s="65" t="s">
        <v>1447</v>
      </c>
      <c r="G531" s="64" t="s">
        <v>1163</v>
      </c>
      <c r="H531" s="65" t="s">
        <v>1447</v>
      </c>
      <c r="I531" s="63"/>
      <c r="J531" s="63"/>
      <c r="K531" s="63"/>
      <c r="L531" s="63"/>
      <c r="M531" s="63"/>
      <c r="N531" s="63"/>
      <c r="O531" s="63"/>
    </row>
    <row r="532" spans="2:15" ht="30" customHeight="1">
      <c r="B532" s="62" t="s">
        <v>360</v>
      </c>
      <c r="C532" s="63" t="s">
        <v>361</v>
      </c>
      <c r="D532" s="70" t="str">
        <f>_xlfn.XLOOKUP(B532,Table24[ActionID],Table24[Description],"")</f>
        <v>"Reform water tariffs to support efficiency and equity" involve pricing structures for water use, encouraging conservation and efficient use of water resources. This initiative aims to promote responsible water consumption and contribute to sustainable water management.</v>
      </c>
      <c r="E532" s="64" t="s">
        <v>1163</v>
      </c>
      <c r="F532" s="65" t="s">
        <v>1447</v>
      </c>
      <c r="G532" s="64" t="s">
        <v>1163</v>
      </c>
      <c r="H532" s="65" t="s">
        <v>1447</v>
      </c>
      <c r="I532" s="63"/>
      <c r="J532" s="63"/>
      <c r="K532" s="63"/>
      <c r="L532" s="63"/>
      <c r="M532" s="63"/>
      <c r="N532" s="63"/>
      <c r="O532" s="63"/>
    </row>
    <row r="533" spans="2:15" ht="30" customHeight="1">
      <c r="B533" s="62" t="s">
        <v>364</v>
      </c>
      <c r="C533" s="63" t="s">
        <v>365</v>
      </c>
      <c r="D533" s="70" t="str">
        <f>_xlfn.XLOOKUP(B533,Table24[ActionID],Table24[Description],"")</f>
        <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v>
      </c>
      <c r="E533" s="64" t="s">
        <v>1163</v>
      </c>
      <c r="F533" s="65" t="s">
        <v>1447</v>
      </c>
      <c r="G533" s="64" t="s">
        <v>1163</v>
      </c>
      <c r="H533" s="65" t="s">
        <v>1447</v>
      </c>
      <c r="I533" s="63"/>
      <c r="J533" s="63"/>
      <c r="K533" s="63"/>
      <c r="L533" s="63"/>
      <c r="M533" s="63"/>
      <c r="N533" s="63"/>
      <c r="O533" s="63"/>
    </row>
    <row r="534" spans="2:15" ht="30" customHeight="1">
      <c r="B534" s="62" t="s">
        <v>369</v>
      </c>
      <c r="C534" s="63" t="s">
        <v>370</v>
      </c>
      <c r="D534" s="70" t="str">
        <f>_xlfn.XLOOKUP(B534,Table24[ActionID],Table24[Description],"")</f>
        <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v>
      </c>
      <c r="E534" s="64" t="s">
        <v>1163</v>
      </c>
      <c r="F534" s="65" t="s">
        <v>1447</v>
      </c>
      <c r="G534" s="64" t="s">
        <v>1163</v>
      </c>
      <c r="H534" s="65" t="s">
        <v>1447</v>
      </c>
      <c r="I534" s="63"/>
      <c r="J534" s="63"/>
      <c r="K534" s="63"/>
      <c r="L534" s="63"/>
      <c r="M534" s="63"/>
      <c r="N534" s="63"/>
      <c r="O534" s="63"/>
    </row>
    <row r="535" spans="2:15" ht="30" customHeight="1">
      <c r="B535" s="62" t="s">
        <v>375</v>
      </c>
      <c r="C535" s="63" t="s">
        <v>376</v>
      </c>
      <c r="D535" s="70" t="str">
        <f>_xlfn.XLOOKUP(B535,Table24[ActionID],Table24[Description],"")</f>
        <v>Cleaning and unclogging channels in the city to reduce the risk of flooding caused by extreme rainfall events. Installation of eco-barriers to assist in cleaning efforts and raise awareness about solid waste.</v>
      </c>
      <c r="E535" s="64" t="s">
        <v>1161</v>
      </c>
      <c r="F535" s="65" t="s">
        <v>1457</v>
      </c>
      <c r="G535" s="64" t="s">
        <v>1162</v>
      </c>
      <c r="H535" s="65" t="s">
        <v>1457</v>
      </c>
      <c r="I535" s="63"/>
      <c r="J535" s="63"/>
      <c r="K535" s="63"/>
      <c r="L535" s="63"/>
      <c r="M535" s="63"/>
      <c r="N535" s="63"/>
      <c r="O535" s="63"/>
    </row>
    <row r="536" spans="2:15" ht="15" customHeight="1">
      <c r="B536" s="62" t="s">
        <v>379</v>
      </c>
      <c r="C536" s="63" t="s">
        <v>380</v>
      </c>
      <c r="D536" s="70" t="str">
        <f>_xlfn.XLOOKUP(B536,Table24[ActionID],Table24[Description],"")</f>
        <v>Identify and assess the feasibility of suitable areas for the installation of urban gardens and ensure that the sites chosen meet the expectations of the community.</v>
      </c>
      <c r="E536" s="64" t="s">
        <v>1163</v>
      </c>
      <c r="F536" s="65" t="s">
        <v>1447</v>
      </c>
      <c r="G536" s="64" t="s">
        <v>1163</v>
      </c>
      <c r="H536" s="65" t="s">
        <v>1447</v>
      </c>
      <c r="I536" s="63"/>
      <c r="J536" s="63"/>
      <c r="K536" s="63"/>
      <c r="L536" s="63"/>
      <c r="M536" s="63"/>
      <c r="N536" s="63"/>
      <c r="O536" s="63"/>
    </row>
    <row r="537" spans="2:15" ht="45" customHeight="1">
      <c r="B537" s="62" t="s">
        <v>384</v>
      </c>
      <c r="C537" s="63" t="s">
        <v>385</v>
      </c>
      <c r="D537" s="70" t="str">
        <f>_xlfn.XLOOKUP(B537,Table24[ActionID],Table24[Description],"")</f>
        <v>Establish more mechanisms that enable better intersectoral coordination and public participation in climate policy, including the creation of working groups with neighboring municipalities to discuss a common climate agenda.</v>
      </c>
      <c r="E537" s="64" t="s">
        <v>1163</v>
      </c>
      <c r="F537" s="65" t="s">
        <v>1447</v>
      </c>
      <c r="G537" s="64" t="s">
        <v>1163</v>
      </c>
      <c r="H537" s="65" t="s">
        <v>1447</v>
      </c>
      <c r="I537" s="63"/>
      <c r="J537" s="63"/>
      <c r="K537" s="63"/>
      <c r="L537" s="63"/>
      <c r="M537" s="63"/>
      <c r="N537" s="63"/>
      <c r="O537" s="63"/>
    </row>
    <row r="538" spans="2:15" ht="30" customHeight="1">
      <c r="B538" s="62" t="s">
        <v>388</v>
      </c>
      <c r="C538" s="63" t="s">
        <v>389</v>
      </c>
      <c r="D538" s="70" t="str">
        <f>_xlfn.XLOOKUP(B538,Table24[ActionID],Table24[Description],"")</f>
        <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v>
      </c>
      <c r="E538" s="64" t="s">
        <v>1163</v>
      </c>
      <c r="F538" s="65" t="s">
        <v>1447</v>
      </c>
      <c r="G538" s="64" t="s">
        <v>1163</v>
      </c>
      <c r="H538" s="65" t="s">
        <v>1447</v>
      </c>
      <c r="I538" s="63"/>
      <c r="J538" s="63"/>
      <c r="K538" s="63"/>
      <c r="L538" s="63"/>
      <c r="M538" s="63"/>
      <c r="N538" s="63"/>
      <c r="O538" s="63"/>
    </row>
    <row r="539" spans="2:15" ht="15" customHeight="1">
      <c r="B539" s="62" t="s">
        <v>393</v>
      </c>
      <c r="C539" s="63" t="s">
        <v>394</v>
      </c>
      <c r="D539" s="70" t="str">
        <f>_xlfn.XLOOKUP(B539,Table24[ActionID],Table24[Description],"")</f>
        <v>Creation of a First Response Brigade in rural communities to provide them with training and equipment for fire prevention and firefighting.</v>
      </c>
      <c r="E539" s="64" t="s">
        <v>1163</v>
      </c>
      <c r="F539" s="65" t="s">
        <v>1447</v>
      </c>
      <c r="G539" s="64" t="s">
        <v>1163</v>
      </c>
      <c r="H539" s="65" t="s">
        <v>1447</v>
      </c>
      <c r="I539" s="63"/>
      <c r="J539" s="63"/>
      <c r="K539" s="63"/>
      <c r="L539" s="63"/>
      <c r="M539" s="63"/>
      <c r="N539" s="63"/>
      <c r="O539" s="63"/>
    </row>
    <row r="540" spans="2:15" ht="30" customHeight="1">
      <c r="B540" s="62" t="s">
        <v>398</v>
      </c>
      <c r="C540" s="63" t="s">
        <v>399</v>
      </c>
      <c r="D540" s="70" t="str">
        <f>_xlfn.XLOOKUP(B540,Table24[ActionID],Table24[Description],"")</f>
        <v>Implementation of a hydrological monitoring system with telemetry stations to monitor rainfall, water levels, and meteorological variables in real-time.</v>
      </c>
      <c r="E540" s="64" t="s">
        <v>1163</v>
      </c>
      <c r="F540" s="65" t="s">
        <v>1447</v>
      </c>
      <c r="G540" s="64" t="s">
        <v>1163</v>
      </c>
      <c r="H540" s="65" t="s">
        <v>1447</v>
      </c>
      <c r="I540" s="63"/>
      <c r="J540" s="63"/>
      <c r="K540" s="63"/>
      <c r="L540" s="63"/>
      <c r="M540" s="63"/>
      <c r="N540" s="63"/>
      <c r="O540" s="63"/>
    </row>
    <row r="541" spans="2:15" ht="15" customHeight="1">
      <c r="B541" s="62" t="s">
        <v>404</v>
      </c>
      <c r="C541" s="63" t="s">
        <v>405</v>
      </c>
      <c r="D541" s="70" t="str">
        <f>_xlfn.XLOOKUP(B541,Table24[ActionID],Table24[Description],"")</f>
        <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v>
      </c>
      <c r="E541" s="64" t="s">
        <v>1163</v>
      </c>
      <c r="F541" s="65" t="s">
        <v>1447</v>
      </c>
      <c r="G541" s="64" t="s">
        <v>1163</v>
      </c>
      <c r="H541" s="65" t="s">
        <v>1447</v>
      </c>
      <c r="I541" s="63"/>
      <c r="J541" s="63"/>
      <c r="K541" s="63"/>
      <c r="L541" s="63"/>
      <c r="M541" s="63"/>
      <c r="N541" s="63"/>
      <c r="O541" s="63"/>
    </row>
    <row r="542" spans="2:15" ht="45" customHeight="1">
      <c r="B542" s="62" t="s">
        <v>408</v>
      </c>
      <c r="C542" s="63" t="s">
        <v>409</v>
      </c>
      <c r="D542" s="70" t="str">
        <f>_xlfn.XLOOKUP(B542,Table24[ActionID],Table24[Description],"")</f>
        <v>This action focuses on preparing the municipality to respond to extreme events, aiming to provide a rapid response that minimizes the impacts on the population.</v>
      </c>
      <c r="E542" s="64" t="s">
        <v>1163</v>
      </c>
      <c r="F542" s="65" t="s">
        <v>1447</v>
      </c>
      <c r="G542" s="64" t="s">
        <v>1163</v>
      </c>
      <c r="H542" s="65" t="s">
        <v>1447</v>
      </c>
      <c r="I542" s="63"/>
      <c r="J542" s="63"/>
      <c r="K542" s="63"/>
      <c r="L542" s="63"/>
      <c r="M542" s="63"/>
      <c r="N542" s="63"/>
      <c r="O542" s="63"/>
    </row>
    <row r="543" spans="2:15" ht="45" customHeight="1">
      <c r="B543" s="62" t="s">
        <v>412</v>
      </c>
      <c r="C543" s="63" t="s">
        <v>413</v>
      </c>
      <c r="D543" s="70" t="str">
        <f>_xlfn.XLOOKUP(B543,Table24[ActionID],Table24[Description],"")</f>
        <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v>
      </c>
      <c r="E543" s="64" t="s">
        <v>1161</v>
      </c>
      <c r="F543" s="65" t="s">
        <v>1458</v>
      </c>
      <c r="G543" s="64" t="s">
        <v>1161</v>
      </c>
      <c r="H543" s="65" t="s">
        <v>1458</v>
      </c>
      <c r="I543" s="63"/>
      <c r="J543" s="63"/>
      <c r="K543" s="63"/>
      <c r="L543" s="63"/>
      <c r="M543" s="63"/>
      <c r="N543" s="63"/>
      <c r="O543" s="63"/>
    </row>
    <row r="544" spans="2:15" ht="30" customHeight="1">
      <c r="B544" s="62" t="s">
        <v>417</v>
      </c>
      <c r="C544" s="63" t="s">
        <v>418</v>
      </c>
      <c r="D544" s="70" t="str">
        <f>_xlfn.XLOOKUP(B544,Table24[ActionID],Table24[Description],"")</f>
        <v>This action aims to expand the procedures related to the existing climate risk forecasting, monitoring, and alert system in the municipality.</v>
      </c>
      <c r="E544" s="64" t="s">
        <v>1163</v>
      </c>
      <c r="F544" s="65" t="s">
        <v>1447</v>
      </c>
      <c r="G544" s="64" t="s">
        <v>1163</v>
      </c>
      <c r="H544" s="65" t="s">
        <v>1447</v>
      </c>
      <c r="I544" s="63"/>
      <c r="J544" s="63"/>
      <c r="K544" s="63"/>
      <c r="L544" s="63"/>
      <c r="M544" s="63"/>
      <c r="N544" s="63"/>
      <c r="O544" s="63"/>
    </row>
    <row r="545" spans="2:15" ht="45" customHeight="1">
      <c r="B545" s="62" t="s">
        <v>423</v>
      </c>
      <c r="C545" s="63" t="s">
        <v>424</v>
      </c>
      <c r="D545" s="70" t="str">
        <f>_xlfn.XLOOKUP(B545,Table24[ActionID],Table24[Description],"")</f>
        <v>This action aims to strengthen the development of the Municipal Risk Reduction Plan (PMRR) in the municipality, as it is a highly relevant tool for managing climate risks, especially river floods and landslides.</v>
      </c>
      <c r="E545" s="64" t="s">
        <v>1163</v>
      </c>
      <c r="F545" s="65" t="s">
        <v>1447</v>
      </c>
      <c r="G545" s="64" t="s">
        <v>1163</v>
      </c>
      <c r="H545" s="65" t="s">
        <v>1447</v>
      </c>
      <c r="I545" s="63"/>
      <c r="J545" s="63"/>
      <c r="K545" s="63"/>
      <c r="L545" s="63"/>
      <c r="M545" s="63"/>
      <c r="N545" s="63"/>
      <c r="O545" s="63"/>
    </row>
    <row r="546" spans="2:15" ht="15" customHeight="1">
      <c r="B546" s="62" t="s">
        <v>427</v>
      </c>
      <c r="C546" s="63" t="s">
        <v>428</v>
      </c>
      <c r="D546" s="70" t="str">
        <f>_xlfn.XLOOKUP(B546,Table24[ActionID],Table24[Description],"")</f>
        <v>Regular upkeep and cleaning of urban drainage systems, including storm drains, sewers, and retention basins, to ensure efficient water flow and prevent blockages that can lead to flooding during heavy rainfall events.</v>
      </c>
      <c r="E546" s="64" t="s">
        <v>1161</v>
      </c>
      <c r="F546" s="65" t="s">
        <v>1457</v>
      </c>
      <c r="G546" s="64" t="s">
        <v>1163</v>
      </c>
      <c r="H546" s="65" t="s">
        <v>1447</v>
      </c>
      <c r="I546" s="63"/>
      <c r="J546" s="63"/>
      <c r="K546" s="63"/>
      <c r="L546" s="63"/>
      <c r="M546" s="63"/>
      <c r="N546" s="63"/>
      <c r="O546" s="63"/>
    </row>
    <row r="547" spans="2:15" ht="15" customHeight="1">
      <c r="B547" s="62" t="s">
        <v>432</v>
      </c>
      <c r="C547" s="63" t="s">
        <v>433</v>
      </c>
      <c r="D547" s="70" t="str">
        <f>_xlfn.XLOOKUP(B547,Table24[ActionID],Table24[Description],"")</f>
        <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v>
      </c>
      <c r="E547" s="64" t="s">
        <v>1163</v>
      </c>
      <c r="F547" s="65" t="s">
        <v>1447</v>
      </c>
      <c r="G547" s="64" t="s">
        <v>1163</v>
      </c>
      <c r="H547" s="65" t="s">
        <v>1447</v>
      </c>
      <c r="I547" s="63"/>
      <c r="J547" s="63"/>
      <c r="K547" s="63"/>
      <c r="L547" s="63"/>
      <c r="M547" s="63"/>
      <c r="N547" s="63"/>
      <c r="O547" s="63"/>
    </row>
    <row r="548" spans="2:15" ht="30" customHeight="1">
      <c r="B548" s="62" t="s">
        <v>436</v>
      </c>
      <c r="C548" s="63" t="s">
        <v>437</v>
      </c>
      <c r="D548" s="70" t="str">
        <f>_xlfn.XLOOKUP(B548,Table24[ActionID],Table24[Description],"")</f>
        <v>Mapping of critical flood-prone areas with the aim of revising and harmonizing legislation related to land use, given the intensification of the impacts of extreme weather events.</v>
      </c>
      <c r="E548" s="64" t="s">
        <v>1163</v>
      </c>
      <c r="F548" s="65" t="s">
        <v>1447</v>
      </c>
      <c r="G548" s="64" t="s">
        <v>1163</v>
      </c>
      <c r="H548" s="65" t="s">
        <v>1447</v>
      </c>
      <c r="I548" s="63"/>
      <c r="J548" s="63"/>
      <c r="K548" s="63"/>
      <c r="L548" s="63"/>
      <c r="M548" s="63"/>
      <c r="N548" s="63"/>
      <c r="O548" s="63"/>
    </row>
    <row r="549" spans="2:15" ht="15" customHeight="1">
      <c r="B549" s="62" t="s">
        <v>440</v>
      </c>
      <c r="C549" s="63" t="s">
        <v>441</v>
      </c>
      <c r="D549" s="70" t="str">
        <f>_xlfn.XLOOKUP(B549,Table24[ActionID],Table24[Description],"")</f>
        <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v>
      </c>
      <c r="E549" s="64" t="s">
        <v>1162</v>
      </c>
      <c r="F549" s="65" t="s">
        <v>1457</v>
      </c>
      <c r="G549" s="64" t="s">
        <v>1162</v>
      </c>
      <c r="H549" s="65" t="s">
        <v>1457</v>
      </c>
      <c r="I549" s="63"/>
      <c r="J549" s="63"/>
      <c r="K549" s="63"/>
      <c r="L549" s="63"/>
      <c r="M549" s="63"/>
      <c r="N549" s="63"/>
      <c r="O549" s="63"/>
    </row>
    <row r="550" spans="2:15" ht="15" customHeight="1">
      <c r="B550" s="62" t="s">
        <v>444</v>
      </c>
      <c r="C550" s="63" t="s">
        <v>445</v>
      </c>
      <c r="D550" s="70" t="str">
        <f>_xlfn.XLOOKUP(B550,Table24[ActionID],Table24[Description],"")</f>
        <v>A comprehensive project addressing the socio-environmental vulnerability of an informal settlement. It includes relocating residents from flood-prone areas, restoring the environment, and providing infrastructure and social services.</v>
      </c>
      <c r="E550" s="64" t="s">
        <v>1161</v>
      </c>
      <c r="F550" s="65" t="s">
        <v>1458</v>
      </c>
      <c r="G550" s="64" t="s">
        <v>1161</v>
      </c>
      <c r="H550" s="65" t="s">
        <v>1458</v>
      </c>
      <c r="I550" s="63"/>
      <c r="J550" s="63"/>
      <c r="K550" s="63"/>
      <c r="L550" s="63"/>
      <c r="M550" s="63"/>
      <c r="N550" s="63"/>
      <c r="O550" s="63"/>
    </row>
    <row r="551" spans="2:15" ht="15" customHeight="1">
      <c r="B551" s="62" t="s">
        <v>449</v>
      </c>
      <c r="C551" s="63" t="s">
        <v>450</v>
      </c>
      <c r="D551" s="70" t="str">
        <f>_xlfn.XLOOKUP(B551,Table24[ActionID],Table24[Description],"")</f>
        <v>This action focuses on expanding green areas in the city through urban afforestation. This includes planting trees in sidewalks, squares, public buildings, and schools, as well as creating ecological parks to revitalize watercourses and/or restore forests.</v>
      </c>
      <c r="E551" s="64" t="s">
        <v>1163</v>
      </c>
      <c r="F551" s="65" t="s">
        <v>1447</v>
      </c>
      <c r="G551" s="64" t="s">
        <v>1163</v>
      </c>
      <c r="H551" s="65" t="s">
        <v>1447</v>
      </c>
      <c r="I551" s="63"/>
      <c r="J551" s="63"/>
      <c r="K551" s="63"/>
      <c r="L551" s="63"/>
      <c r="M551" s="63"/>
      <c r="N551" s="63"/>
      <c r="O551" s="63"/>
    </row>
    <row r="552" spans="2:15" ht="30" customHeight="1">
      <c r="B552" s="62" t="s">
        <v>453</v>
      </c>
      <c r="C552" s="63" t="s">
        <v>454</v>
      </c>
      <c r="D552" s="70" t="str">
        <f>_xlfn.XLOOKUP(B552,Table24[ActionID],Table24[Description],"")</f>
        <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v>
      </c>
      <c r="E552" s="64" t="s">
        <v>1163</v>
      </c>
      <c r="F552" s="65" t="s">
        <v>1447</v>
      </c>
      <c r="G552" s="64" t="s">
        <v>1163</v>
      </c>
      <c r="H552" s="65" t="s">
        <v>1447</v>
      </c>
      <c r="I552" s="63"/>
      <c r="J552" s="63"/>
      <c r="K552" s="63"/>
      <c r="L552" s="63"/>
      <c r="M552" s="63"/>
      <c r="N552" s="63"/>
      <c r="O552" s="63"/>
    </row>
    <row r="553" spans="2:15" ht="15" customHeight="1">
      <c r="B553" s="62" t="s">
        <v>457</v>
      </c>
      <c r="C553" s="63" t="s">
        <v>458</v>
      </c>
      <c r="D553" s="70" t="str">
        <f>_xlfn.XLOOKUP(B553,Table24[ActionID],Table24[Description],"")</f>
        <v>This action involves stabilizing slopes and maintaining or restoring drainage systems in hillside areas. This helps to prevent landslides and erosion, reducing the risk of disasters.</v>
      </c>
      <c r="E553" s="64" t="s">
        <v>1161</v>
      </c>
      <c r="F553" s="65" t="s">
        <v>1458</v>
      </c>
      <c r="G553" s="64" t="s">
        <v>1162</v>
      </c>
      <c r="H553" s="65" t="s">
        <v>1458</v>
      </c>
      <c r="I553" s="63"/>
      <c r="J553" s="63"/>
      <c r="K553" s="63"/>
      <c r="L553" s="63"/>
      <c r="M553" s="63"/>
      <c r="N553" s="63"/>
      <c r="O553" s="63"/>
    </row>
    <row r="554" spans="2:15" ht="30" customHeight="1">
      <c r="B554" s="62" t="s">
        <v>461</v>
      </c>
      <c r="C554" s="63" t="s">
        <v>462</v>
      </c>
      <c r="D554" s="70" t="str">
        <f>_xlfn.XLOOKUP(B554,Table24[ActionID],Table24[Description],"")</f>
        <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v>
      </c>
      <c r="E554" s="64" t="s">
        <v>1163</v>
      </c>
      <c r="F554" s="65" t="s">
        <v>1447</v>
      </c>
      <c r="G554" s="64" t="s">
        <v>1163</v>
      </c>
      <c r="H554" s="65" t="s">
        <v>1447</v>
      </c>
      <c r="I554" s="63"/>
      <c r="J554" s="63"/>
      <c r="K554" s="63"/>
      <c r="L554" s="63"/>
      <c r="M554" s="63"/>
      <c r="N554" s="63"/>
      <c r="O554" s="63"/>
    </row>
    <row r="555" spans="2:15" ht="15" customHeight="1">
      <c r="B555" s="62" t="s">
        <v>466</v>
      </c>
      <c r="C555" s="63" t="s">
        <v>467</v>
      </c>
      <c r="D555" s="70" t="str">
        <f>_xlfn.XLOOKUP(B555,Table24[ActionID],Table24[Description],"")</f>
        <v>This action describes the implementation of an integrated coastal zone management plan to promote sustainable development and address the impacts of climate change in coastal areas. It includes measures to mitigate the impacts of sea-level rise and coastal erosion.</v>
      </c>
      <c r="E555" s="64" t="s">
        <v>1163</v>
      </c>
      <c r="F555" s="65" t="s">
        <v>1447</v>
      </c>
      <c r="G555" s="64" t="s">
        <v>1163</v>
      </c>
      <c r="H555" s="65" t="s">
        <v>1447</v>
      </c>
      <c r="I555" s="63"/>
      <c r="J555" s="63"/>
      <c r="K555" s="63"/>
      <c r="L555" s="63"/>
      <c r="M555" s="63"/>
      <c r="N555" s="63"/>
      <c r="O555" s="63"/>
    </row>
    <row r="556" spans="2:15" ht="60" customHeight="1">
      <c r="B556" s="62" t="s">
        <v>471</v>
      </c>
      <c r="C556" s="63" t="s">
        <v>472</v>
      </c>
      <c r="D556" s="70" t="str">
        <f>_xlfn.XLOOKUP(B556,Table24[ActionID],Table24[Description],"")</f>
        <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v>
      </c>
      <c r="E556" s="64" t="s">
        <v>1163</v>
      </c>
      <c r="F556" s="65" t="s">
        <v>1447</v>
      </c>
      <c r="G556" s="64" t="s">
        <v>1163</v>
      </c>
      <c r="H556" s="65" t="s">
        <v>1447</v>
      </c>
      <c r="I556" s="63"/>
      <c r="J556" s="63"/>
      <c r="K556" s="63"/>
      <c r="L556" s="63"/>
      <c r="M556" s="63"/>
      <c r="N556" s="63"/>
      <c r="O556" s="63"/>
    </row>
    <row r="557" spans="2:15" ht="15" customHeight="1">
      <c r="B557" s="62" t="s">
        <v>475</v>
      </c>
      <c r="C557" s="63" t="s">
        <v>476</v>
      </c>
      <c r="D557" s="70" t="str">
        <f>_xlfn.XLOOKUP(B557,Table24[ActionID],Table24[Description],"")</f>
        <v>The implementation of green roofs and green walls mitigates urban heat island effects, improves thermal comfort, reduces energy demand in buildings, manages stormwater, and enhances urban livability and biodiversity.</v>
      </c>
      <c r="E557" s="64" t="s">
        <v>1163</v>
      </c>
      <c r="F557" s="65" t="s">
        <v>1447</v>
      </c>
      <c r="G557" s="64" t="s">
        <v>1163</v>
      </c>
      <c r="H557" s="65" t="s">
        <v>1447</v>
      </c>
      <c r="I557" s="63"/>
      <c r="J557" s="63"/>
      <c r="K557" s="63"/>
      <c r="L557" s="63"/>
      <c r="M557" s="63"/>
      <c r="N557" s="63"/>
      <c r="O557" s="63"/>
    </row>
    <row r="558" spans="2:15" ht="30" customHeight="1">
      <c r="B558" s="62" t="s">
        <v>480</v>
      </c>
      <c r="C558" s="63" t="s">
        <v>481</v>
      </c>
      <c r="D558" s="70" t="str">
        <f>_xlfn.XLOOKUP(B558,Table24[ActionID],Table24[Description],"")</f>
        <v>Planned relocation and retreat of people, assets, and activities from coastal hazard zones to reduce exposure and risks caused by sea-level rise and associated coastal hazards.</v>
      </c>
      <c r="E558" s="64" t="s">
        <v>1161</v>
      </c>
      <c r="F558" s="65" t="s">
        <v>1458</v>
      </c>
      <c r="G558" s="64" t="s">
        <v>1161</v>
      </c>
      <c r="H558" s="65" t="s">
        <v>1458</v>
      </c>
      <c r="I558" s="63"/>
      <c r="J558" s="63"/>
      <c r="K558" s="63"/>
      <c r="L558" s="63"/>
      <c r="M558" s="63"/>
      <c r="N558" s="63"/>
      <c r="O558" s="63"/>
    </row>
    <row r="559" spans="2:15" ht="15" customHeight="1">
      <c r="B559" s="62" t="s">
        <v>485</v>
      </c>
      <c r="C559" s="63" t="s">
        <v>486</v>
      </c>
      <c r="D559" s="70" t="str">
        <f>_xlfn.XLOOKUP(B559,Table24[ActionID],Table24[Description],"")</f>
        <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v>
      </c>
      <c r="E559" s="64" t="s">
        <v>1163</v>
      </c>
      <c r="F559" s="65" t="s">
        <v>1447</v>
      </c>
      <c r="G559" s="64" t="s">
        <v>1163</v>
      </c>
      <c r="H559" s="65" t="s">
        <v>1447</v>
      </c>
      <c r="I559" s="63"/>
      <c r="J559" s="63"/>
      <c r="K559" s="63"/>
      <c r="L559" s="63"/>
      <c r="M559" s="63"/>
      <c r="N559" s="63"/>
      <c r="O559" s="63"/>
    </row>
    <row r="560" spans="2:15" ht="30" customHeight="1">
      <c r="B560" s="62" t="s">
        <v>490</v>
      </c>
      <c r="C560" s="63" t="s">
        <v>491</v>
      </c>
      <c r="D560" s="70" t="str">
        <f>_xlfn.XLOOKUP(B560,Table24[ActionID],Table24[Description],"")</f>
        <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v>
      </c>
      <c r="E560" s="64" t="s">
        <v>1163</v>
      </c>
      <c r="F560" s="65" t="s">
        <v>1447</v>
      </c>
      <c r="G560" s="64" t="s">
        <v>1163</v>
      </c>
      <c r="H560" s="65" t="s">
        <v>1447</v>
      </c>
      <c r="I560" s="63"/>
      <c r="J560" s="63"/>
      <c r="K560" s="63"/>
      <c r="L560" s="63"/>
      <c r="M560" s="63"/>
      <c r="N560" s="63"/>
      <c r="O560" s="63"/>
    </row>
    <row r="561" spans="2:15" ht="15" customHeight="1">
      <c r="B561" s="62" t="s">
        <v>495</v>
      </c>
      <c r="C561" s="63" t="s">
        <v>496</v>
      </c>
      <c r="D561" s="70" t="str">
        <f>_xlfn.XLOOKUP(B561,Table24[ActionID],Table24[Description],"")</f>
        <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v>
      </c>
      <c r="E561" s="64" t="s">
        <v>1162</v>
      </c>
      <c r="F561" s="65" t="s">
        <v>1457</v>
      </c>
      <c r="G561" s="64" t="s">
        <v>1162</v>
      </c>
      <c r="H561" s="65" t="s">
        <v>1457</v>
      </c>
      <c r="I561" s="63"/>
      <c r="J561" s="63"/>
      <c r="K561" s="63"/>
      <c r="L561" s="63"/>
      <c r="M561" s="63"/>
      <c r="N561" s="63"/>
      <c r="O561" s="63"/>
    </row>
    <row r="562" spans="2:15" ht="15" customHeight="1">
      <c r="B562" s="62" t="s">
        <v>500</v>
      </c>
      <c r="C562" s="63" t="s">
        <v>501</v>
      </c>
      <c r="D562" s="70" t="str">
        <f>_xlfn.XLOOKUP(B562,Table24[ActionID],Table24[Description],"")</f>
        <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v>
      </c>
      <c r="E562" s="64" t="s">
        <v>1162</v>
      </c>
      <c r="F562" s="65" t="s">
        <v>1457</v>
      </c>
      <c r="G562" s="64" t="s">
        <v>1162</v>
      </c>
      <c r="H562" s="65" t="s">
        <v>1457</v>
      </c>
      <c r="I562" s="63"/>
      <c r="J562" s="63"/>
      <c r="K562" s="63"/>
      <c r="L562" s="63"/>
      <c r="M562" s="63"/>
      <c r="N562" s="63"/>
      <c r="O562" s="63"/>
    </row>
    <row r="563" spans="2:15" ht="15" customHeight="1">
      <c r="B563" s="62" t="s">
        <v>505</v>
      </c>
      <c r="C563" s="63" t="s">
        <v>506</v>
      </c>
      <c r="D563" s="70" t="str">
        <f>_xlfn.XLOOKUP(B563,Table24[ActionID],Table24[Description],"")</f>
        <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v>
      </c>
      <c r="E563" s="64" t="s">
        <v>1161</v>
      </c>
      <c r="F563" s="65" t="s">
        <v>1458</v>
      </c>
      <c r="G563" s="64" t="s">
        <v>1161</v>
      </c>
      <c r="H563" s="65" t="s">
        <v>1458</v>
      </c>
      <c r="I563" s="63"/>
      <c r="J563" s="63"/>
      <c r="K563" s="63"/>
      <c r="L563" s="63"/>
      <c r="M563" s="63"/>
      <c r="N563" s="63"/>
      <c r="O563" s="63"/>
    </row>
    <row r="564" spans="2:15" ht="15" customHeight="1">
      <c r="B564" s="62" t="s">
        <v>509</v>
      </c>
      <c r="C564" s="63" t="s">
        <v>510</v>
      </c>
      <c r="D564" s="70" t="str">
        <f>_xlfn.XLOOKUP(B564,Table24[ActionID],Table24[Description],"")</f>
        <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v>
      </c>
      <c r="E564" s="64" t="s">
        <v>1161</v>
      </c>
      <c r="F564" s="65" t="s">
        <v>1458</v>
      </c>
      <c r="G564" s="64" t="s">
        <v>1161</v>
      </c>
      <c r="H564" s="65" t="s">
        <v>1458</v>
      </c>
      <c r="I564" s="63"/>
      <c r="J564" s="63"/>
      <c r="K564" s="63"/>
      <c r="L564" s="63"/>
      <c r="M564" s="63"/>
      <c r="N564" s="63"/>
      <c r="O564" s="63"/>
    </row>
    <row r="565" spans="2:15" ht="15" customHeight="1">
      <c r="B565" s="62" t="s">
        <v>513</v>
      </c>
      <c r="C565" s="63" t="s">
        <v>514</v>
      </c>
      <c r="D565" s="70" t="str">
        <f>_xlfn.XLOOKUP(B565,Table24[ActionID],Table24[Description],"")</f>
        <v xml:space="preserve"> 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v>
      </c>
      <c r="E565" s="64" t="s">
        <v>1163</v>
      </c>
      <c r="F565" s="65" t="s">
        <v>1447</v>
      </c>
      <c r="G565" s="64" t="s">
        <v>1163</v>
      </c>
      <c r="H565" s="65" t="s">
        <v>1447</v>
      </c>
      <c r="I565" s="63"/>
      <c r="J565" s="63"/>
      <c r="K565" s="63"/>
      <c r="L565" s="63"/>
      <c r="M565" s="63"/>
      <c r="N565" s="63"/>
      <c r="O565" s="63"/>
    </row>
    <row r="566" spans="2:15" ht="30" customHeight="1">
      <c r="B566" s="62" t="s">
        <v>517</v>
      </c>
      <c r="C566" s="63" t="s">
        <v>518</v>
      </c>
      <c r="D566" s="70" t="str">
        <f>_xlfn.XLOOKUP(B566,Table24[ActionID],Table24[Description],"")</f>
        <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v>
      </c>
      <c r="E566" s="64" t="s">
        <v>1163</v>
      </c>
      <c r="F566" s="65" t="s">
        <v>1447</v>
      </c>
      <c r="G566" s="64" t="s">
        <v>1163</v>
      </c>
      <c r="H566" s="65" t="s">
        <v>1447</v>
      </c>
      <c r="I566" s="63"/>
      <c r="J566" s="63"/>
      <c r="K566" s="63"/>
      <c r="L566" s="63"/>
      <c r="M566" s="63"/>
      <c r="N566" s="63"/>
      <c r="O566" s="63"/>
    </row>
    <row r="567" spans="2:15" ht="15" customHeight="1">
      <c r="B567" s="62" t="s">
        <v>522</v>
      </c>
      <c r="C567" s="63" t="s">
        <v>523</v>
      </c>
      <c r="D567" s="70" t="str">
        <f>_xlfn.XLOOKUP(B567,Table24[ActionID],Table24[Description],"")</f>
        <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v>
      </c>
      <c r="E567" s="64" t="s">
        <v>1163</v>
      </c>
      <c r="F567" s="65" t="s">
        <v>1447</v>
      </c>
      <c r="G567" s="64" t="s">
        <v>1163</v>
      </c>
      <c r="H567" s="65" t="s">
        <v>1447</v>
      </c>
      <c r="I567" s="63"/>
      <c r="J567" s="63"/>
      <c r="K567" s="63"/>
      <c r="L567" s="63"/>
      <c r="M567" s="63"/>
      <c r="N567" s="63"/>
      <c r="O567" s="63"/>
    </row>
    <row r="568" spans="2:15" ht="15" customHeight="1">
      <c r="B568" s="62" t="s">
        <v>527</v>
      </c>
      <c r="C568" s="63" t="s">
        <v>528</v>
      </c>
      <c r="D568" s="70" t="str">
        <f>_xlfn.XLOOKUP(B568,Table24[ActionID],Table24[Description],"")</f>
        <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v>
      </c>
      <c r="E568" s="64" t="s">
        <v>1163</v>
      </c>
      <c r="F568" s="65" t="s">
        <v>1447</v>
      </c>
      <c r="G568" s="64" t="s">
        <v>1163</v>
      </c>
      <c r="H568" s="65" t="s">
        <v>1447</v>
      </c>
      <c r="I568" s="63"/>
      <c r="J568" s="63"/>
      <c r="K568" s="63"/>
      <c r="L568" s="63"/>
      <c r="M568" s="63"/>
      <c r="N568" s="63"/>
      <c r="O568" s="63"/>
    </row>
    <row r="569" spans="2:15" ht="30" customHeight="1">
      <c r="B569" s="62" t="s">
        <v>531</v>
      </c>
      <c r="C569" s="63" t="s">
        <v>532</v>
      </c>
      <c r="D569" s="70" t="str">
        <f>_xlfn.XLOOKUP(B569,Table24[ActionID],Table24[Description],"")</f>
        <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v>
      </c>
      <c r="E569" s="64" t="s">
        <v>1163</v>
      </c>
      <c r="F569" s="65" t="s">
        <v>1447</v>
      </c>
      <c r="G569" s="64" t="s">
        <v>1163</v>
      </c>
      <c r="H569" s="65" t="s">
        <v>1447</v>
      </c>
      <c r="I569" s="63"/>
      <c r="J569" s="63"/>
      <c r="K569" s="63"/>
      <c r="L569" s="63"/>
      <c r="M569" s="63"/>
      <c r="N569" s="63"/>
      <c r="O569" s="63"/>
    </row>
    <row r="570" spans="2:15" ht="30" customHeight="1">
      <c r="B570" s="62" t="s">
        <v>535</v>
      </c>
      <c r="C570" s="63" t="s">
        <v>536</v>
      </c>
      <c r="D570" s="70" t="str">
        <f>_xlfn.XLOOKUP(B570,Table24[ActionID],Table24[Description],"")</f>
        <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v>
      </c>
      <c r="E570" s="64" t="s">
        <v>1163</v>
      </c>
      <c r="F570" s="65" t="s">
        <v>1447</v>
      </c>
      <c r="G570" s="64" t="s">
        <v>1163</v>
      </c>
      <c r="H570" s="65" t="s">
        <v>1447</v>
      </c>
      <c r="I570" s="63"/>
      <c r="J570" s="63"/>
      <c r="K570" s="63"/>
      <c r="L570" s="63"/>
      <c r="M570" s="63"/>
      <c r="N570" s="63"/>
      <c r="O570" s="63"/>
    </row>
    <row r="571" spans="2:15" ht="45" customHeight="1">
      <c r="B571" s="62" t="s">
        <v>539</v>
      </c>
      <c r="C571" s="63" t="s">
        <v>540</v>
      </c>
      <c r="D571" s="70" t="str">
        <f>_xlfn.XLOOKUP(B571,Table24[ActionID],Table24[Description],"")</f>
        <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v>
      </c>
      <c r="E571" s="64" t="s">
        <v>1163</v>
      </c>
      <c r="F571" s="65" t="s">
        <v>1447</v>
      </c>
      <c r="G571" s="64" t="s">
        <v>1163</v>
      </c>
      <c r="H571" s="65" t="s">
        <v>1447</v>
      </c>
      <c r="I571" s="63"/>
      <c r="J571" s="63"/>
      <c r="K571" s="63"/>
      <c r="L571" s="63"/>
      <c r="M571" s="63"/>
      <c r="N571" s="63"/>
      <c r="O571" s="63"/>
    </row>
    <row r="572" spans="2:15" ht="15" customHeight="1">
      <c r="B572" s="62" t="s">
        <v>543</v>
      </c>
      <c r="C572" s="63" t="s">
        <v>544</v>
      </c>
      <c r="D572" s="70" t="str">
        <f>_xlfn.XLOOKUP(B572,Table24[ActionID],Table24[Description],"")</f>
        <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v>
      </c>
      <c r="E572" s="64" t="s">
        <v>1163</v>
      </c>
      <c r="F572" s="65" t="s">
        <v>1447</v>
      </c>
      <c r="G572" s="64" t="s">
        <v>1163</v>
      </c>
      <c r="H572" s="65" t="s">
        <v>1447</v>
      </c>
      <c r="I572" s="63"/>
      <c r="J572" s="63"/>
      <c r="K572" s="63"/>
      <c r="L572" s="63"/>
      <c r="M572" s="63"/>
      <c r="N572" s="63"/>
      <c r="O572" s="63"/>
    </row>
    <row r="573" spans="2:15" ht="15" customHeight="1">
      <c r="B573" s="62" t="s">
        <v>547</v>
      </c>
      <c r="C573" s="63" t="s">
        <v>548</v>
      </c>
      <c r="D573" s="70" t="str">
        <f>_xlfn.XLOOKUP(B573,Table24[ActionID],Table24[Description],"")</f>
        <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v>
      </c>
      <c r="E573" s="64" t="s">
        <v>1163</v>
      </c>
      <c r="F573" s="65" t="s">
        <v>1447</v>
      </c>
      <c r="G573" s="64" t="s">
        <v>1163</v>
      </c>
      <c r="H573" s="65" t="s">
        <v>1447</v>
      </c>
      <c r="I573" s="63"/>
      <c r="J573" s="63"/>
      <c r="K573" s="63"/>
      <c r="L573" s="63"/>
      <c r="M573" s="63"/>
      <c r="N573" s="63"/>
      <c r="O573" s="63"/>
    </row>
    <row r="574" spans="2:15" ht="15" customHeight="1">
      <c r="B574" s="62" t="s">
        <v>552</v>
      </c>
      <c r="C574" s="63" t="s">
        <v>553</v>
      </c>
      <c r="D574" s="70" t="str">
        <f>_xlfn.XLOOKUP(B574,Table24[ActionID],Table24[Description],"")</f>
        <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v>
      </c>
      <c r="E574" s="64" t="s">
        <v>1163</v>
      </c>
      <c r="F574" s="65" t="s">
        <v>1447</v>
      </c>
      <c r="G574" s="64" t="s">
        <v>1163</v>
      </c>
      <c r="H574" s="65" t="s">
        <v>1447</v>
      </c>
      <c r="I574" s="63"/>
      <c r="J574" s="63"/>
      <c r="K574" s="63"/>
      <c r="L574" s="63"/>
      <c r="M574" s="63"/>
      <c r="N574" s="63"/>
      <c r="O574" s="63"/>
    </row>
    <row r="575" spans="2:15" ht="30" customHeight="1">
      <c r="B575" s="62" t="s">
        <v>556</v>
      </c>
      <c r="C575" s="63" t="s">
        <v>557</v>
      </c>
      <c r="D575" s="70" t="str">
        <f>_xlfn.XLOOKUP(B575,Table24[ActionID],Table24[Description],"")</f>
        <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v>
      </c>
      <c r="E575" s="64" t="s">
        <v>1163</v>
      </c>
      <c r="F575" s="65" t="s">
        <v>1447</v>
      </c>
      <c r="G575" s="64" t="s">
        <v>1163</v>
      </c>
      <c r="H575" s="65" t="s">
        <v>1447</v>
      </c>
      <c r="I575" s="63"/>
      <c r="J575" s="63"/>
      <c r="K575" s="63"/>
      <c r="L575" s="63"/>
      <c r="M575" s="63"/>
      <c r="N575" s="63"/>
      <c r="O575" s="63"/>
    </row>
    <row r="576" spans="2:15" ht="15" customHeight="1">
      <c r="B576" s="62" t="s">
        <v>561</v>
      </c>
      <c r="C576" s="63" t="s">
        <v>562</v>
      </c>
      <c r="D576" s="70" t="str">
        <f>_xlfn.XLOOKUP(B576,Table24[ActionID],Table24[Description],"")</f>
        <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v>
      </c>
      <c r="E576" s="64" t="s">
        <v>1163</v>
      </c>
      <c r="F576" s="65" t="s">
        <v>1447</v>
      </c>
      <c r="G576" s="64" t="s">
        <v>1163</v>
      </c>
      <c r="H576" s="65" t="s">
        <v>1447</v>
      </c>
      <c r="I576" s="63"/>
      <c r="J576" s="63"/>
      <c r="K576" s="63"/>
      <c r="L576" s="63"/>
      <c r="M576" s="63"/>
      <c r="N576" s="63"/>
      <c r="O576" s="63"/>
    </row>
    <row r="577" spans="1:15" ht="30" customHeight="1">
      <c r="B577" s="62" t="s">
        <v>564</v>
      </c>
      <c r="C577" s="63" t="s">
        <v>565</v>
      </c>
      <c r="D577" s="70" t="str">
        <f>_xlfn.XLOOKUP(B577,Table24[ActionID],Table24[Description],"")</f>
        <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v>
      </c>
      <c r="E577" s="64" t="s">
        <v>1161</v>
      </c>
      <c r="F577" s="65" t="s">
        <v>1458</v>
      </c>
      <c r="G577" s="64" t="s">
        <v>1161</v>
      </c>
      <c r="H577" s="65" t="s">
        <v>1458</v>
      </c>
      <c r="I577" s="63"/>
      <c r="J577" s="63"/>
      <c r="K577" s="63"/>
      <c r="L577" s="63"/>
      <c r="M577" s="63"/>
      <c r="N577" s="63"/>
      <c r="O577" s="63"/>
    </row>
    <row r="578" spans="1:15" ht="15" customHeight="1"/>
    <row r="579" spans="1:15" ht="15" customHeight="1"/>
    <row r="580" spans="1:15" ht="21" customHeight="1">
      <c r="B580" s="138" t="s">
        <v>1274</v>
      </c>
      <c r="C580" s="138"/>
      <c r="D580" s="138"/>
      <c r="E580" s="138"/>
      <c r="F580" s="138"/>
      <c r="G580" s="138"/>
      <c r="H580" s="138"/>
      <c r="I580" s="138"/>
      <c r="J580" s="138"/>
      <c r="K580" s="138"/>
      <c r="L580" s="138"/>
      <c r="M580" s="138"/>
      <c r="N580" s="138"/>
      <c r="O580" s="138"/>
    </row>
    <row r="581" spans="1:15" ht="15" customHeight="1"/>
    <row r="582" spans="1:15" ht="15" customHeight="1">
      <c r="B582" s="139" t="s">
        <v>1267</v>
      </c>
      <c r="C582" s="139"/>
      <c r="D582" s="139"/>
      <c r="E582" s="139"/>
      <c r="F582" s="139"/>
      <c r="G582" s="139"/>
      <c r="H582" s="139"/>
      <c r="I582" s="139"/>
      <c r="J582" s="139"/>
      <c r="K582" s="139"/>
      <c r="L582" s="139"/>
      <c r="M582" s="139"/>
      <c r="N582" s="139"/>
      <c r="O582" s="139"/>
    </row>
    <row r="583" spans="1:15" ht="63" customHeight="1">
      <c r="B583" s="134" t="str" cm="1">
        <f t="array" ref="B583">_xlfn.TEXTJOIN(", ",TRUE,_xlfn.UNIQUE(_xlfn._xlws.FILTER(Table2[base_indicator_name],(Table2[sector_name]="Biodiversity")*(Table2[risk_component_name]="Vulnerability"))))</f>
        <v>Pesticides, No family farming, No sustainable agricultural practice, Fire, Environmental liabilities, Vegetation loss, Degraded pasture, Mining, Population, Agricultural establishment, Road network, Hydroelectric, Technical guidance, Steering committee and management plan</v>
      </c>
      <c r="C583" s="134"/>
      <c r="D583" s="134"/>
      <c r="E583" s="134"/>
      <c r="F583" s="134"/>
      <c r="G583" s="134"/>
      <c r="H583" s="134"/>
      <c r="I583" s="134"/>
      <c r="J583" s="134"/>
      <c r="K583" s="134"/>
      <c r="L583" s="134"/>
      <c r="M583" s="134"/>
      <c r="N583" s="134"/>
      <c r="O583" s="134"/>
    </row>
    <row r="584" spans="1:15" ht="15" customHeight="1"/>
    <row r="585" spans="1:15" ht="15" customHeight="1">
      <c r="B585" s="135" t="s">
        <v>1268</v>
      </c>
      <c r="C585" s="135"/>
      <c r="D585" s="135"/>
      <c r="E585" s="135"/>
      <c r="F585" s="135"/>
      <c r="G585" s="135"/>
      <c r="H585" s="135"/>
      <c r="I585" s="135"/>
      <c r="J585" s="135"/>
      <c r="K585" s="135"/>
      <c r="L585" s="135"/>
      <c r="M585" s="135"/>
      <c r="N585" s="135"/>
      <c r="O585" s="135"/>
    </row>
    <row r="586" spans="1:15" ht="25.8" customHeight="1">
      <c r="B586" s="136" t="str" cm="1">
        <f t="array" ref="B586">_xlfn.TEXTJOIN(", ",TRUE,_xlfn.UNIQUE(_xlfn._xlws.FILTER(Table2[base_indicator_name],(Table2[sector_name]="Biodiversity")*(Table2[risk_component_name]="Exposure"))))</f>
        <v>Natural coverage, Protected area, Area for conservation</v>
      </c>
      <c r="C586" s="136"/>
      <c r="D586" s="136"/>
      <c r="E586" s="136"/>
      <c r="F586" s="136"/>
      <c r="G586" s="136"/>
      <c r="H586" s="136"/>
      <c r="I586" s="136"/>
      <c r="J586" s="136"/>
      <c r="K586" s="136"/>
      <c r="L586" s="136"/>
      <c r="M586" s="136"/>
      <c r="N586" s="136"/>
      <c r="O586" s="136"/>
    </row>
    <row r="587" spans="1:15" ht="15" customHeight="1"/>
    <row r="588" spans="1:15" ht="22.05" customHeight="1">
      <c r="B588" s="137" t="s">
        <v>1278</v>
      </c>
      <c r="C588" s="137"/>
      <c r="D588" s="137"/>
      <c r="E588" s="137"/>
      <c r="F588" s="137"/>
      <c r="G588" s="137"/>
      <c r="H588" s="137"/>
      <c r="I588" s="137"/>
      <c r="J588" s="137"/>
      <c r="K588" s="137"/>
      <c r="L588" s="137"/>
      <c r="M588" s="137"/>
      <c r="N588" s="137"/>
      <c r="O588" s="137"/>
    </row>
    <row r="589" spans="1:15" ht="15" customHeight="1">
      <c r="B589" s="125" t="s">
        <v>1307</v>
      </c>
      <c r="C589" s="125"/>
      <c r="D589" s="125"/>
      <c r="E589" s="125"/>
      <c r="F589" s="125"/>
      <c r="G589" s="125"/>
      <c r="H589" s="125"/>
      <c r="I589" s="125"/>
      <c r="J589" s="125"/>
      <c r="K589" s="125"/>
      <c r="L589" s="125"/>
      <c r="M589" s="125"/>
      <c r="N589" s="125"/>
      <c r="O589" s="125"/>
    </row>
    <row r="590" spans="1:15" ht="15" customHeight="1">
      <c r="B590" s="56"/>
      <c r="C590" s="56"/>
      <c r="D590" s="56"/>
      <c r="E590" s="56"/>
      <c r="F590" s="56"/>
      <c r="G590" s="56"/>
      <c r="H590" s="56"/>
      <c r="I590" s="56"/>
      <c r="J590" s="56"/>
      <c r="K590" s="56"/>
      <c r="L590" s="56"/>
      <c r="M590" s="56"/>
      <c r="N590" s="56"/>
      <c r="O590" s="56"/>
    </row>
    <row r="591" spans="1:15" ht="22.05" customHeight="1">
      <c r="B591" s="137" t="s">
        <v>1279</v>
      </c>
      <c r="C591" s="137"/>
      <c r="D591" s="137"/>
      <c r="E591" s="137"/>
      <c r="F591" s="137"/>
      <c r="G591" s="137"/>
      <c r="H591" s="137"/>
      <c r="I591" s="137"/>
      <c r="J591" s="137"/>
      <c r="K591" s="137"/>
      <c r="L591" s="137"/>
      <c r="M591" s="137"/>
      <c r="N591" s="137"/>
      <c r="O591" s="137"/>
    </row>
    <row r="592" spans="1:15" ht="34.799999999999997" customHeight="1">
      <c r="A592" s="71" t="s">
        <v>1296</v>
      </c>
      <c r="B592" s="127" t="s">
        <v>1284</v>
      </c>
      <c r="C592" s="127"/>
      <c r="D592" s="127"/>
      <c r="E592" s="127"/>
      <c r="F592" s="127"/>
      <c r="G592" s="127"/>
      <c r="H592" s="127"/>
      <c r="I592" s="127"/>
      <c r="J592" s="127"/>
      <c r="K592" s="127"/>
      <c r="L592" s="127"/>
      <c r="M592" s="127"/>
      <c r="N592" s="127"/>
      <c r="O592" s="127"/>
    </row>
    <row r="593" spans="1:15" ht="30" customHeight="1">
      <c r="B593" s="67" t="s">
        <v>1154</v>
      </c>
      <c r="C593" s="67"/>
      <c r="D593" s="67" t="s">
        <v>1280</v>
      </c>
      <c r="E593" s="67" t="s">
        <v>1281</v>
      </c>
      <c r="F593" s="67"/>
      <c r="G593" s="67"/>
      <c r="H593" s="133" t="s">
        <v>1282</v>
      </c>
      <c r="I593" s="133"/>
      <c r="J593" s="133"/>
      <c r="K593" s="133"/>
      <c r="L593" s="133"/>
      <c r="M593" s="133"/>
      <c r="N593" s="133"/>
      <c r="O593" s="133"/>
    </row>
    <row r="594" spans="1:15" ht="15" customHeight="1">
      <c r="B594" s="63" t="s">
        <v>1424</v>
      </c>
      <c r="C594" s="63"/>
      <c r="D594" s="66">
        <v>2025</v>
      </c>
      <c r="E594" s="65" t="s">
        <v>1425</v>
      </c>
      <c r="F594" s="66"/>
      <c r="G594" s="65"/>
      <c r="H594" s="128" t="s">
        <v>1426</v>
      </c>
      <c r="I594" s="129"/>
      <c r="J594" s="129"/>
      <c r="K594" s="129"/>
      <c r="L594" s="129"/>
      <c r="M594" s="129"/>
      <c r="N594" s="129"/>
      <c r="O594" s="130"/>
    </row>
    <row r="595" spans="1:15" ht="15" customHeight="1">
      <c r="B595" s="63" t="s">
        <v>1427</v>
      </c>
      <c r="C595" s="63"/>
      <c r="D595" s="66">
        <v>2023</v>
      </c>
      <c r="E595" s="65" t="s">
        <v>1428</v>
      </c>
      <c r="F595" s="66"/>
      <c r="G595" s="65"/>
      <c r="H595" s="128" t="s">
        <v>1429</v>
      </c>
      <c r="I595" s="129"/>
      <c r="J595" s="129"/>
      <c r="K595" s="129"/>
      <c r="L595" s="129"/>
      <c r="M595" s="129"/>
      <c r="N595" s="129"/>
      <c r="O595" s="130"/>
    </row>
    <row r="596" spans="1:15" ht="15" customHeight="1">
      <c r="B596" s="63" t="s">
        <v>1430</v>
      </c>
      <c r="C596" s="63"/>
      <c r="D596" s="66">
        <v>2017</v>
      </c>
      <c r="E596" s="65" t="s">
        <v>1431</v>
      </c>
      <c r="F596" s="66"/>
      <c r="G596" s="65"/>
      <c r="H596" s="128" t="s">
        <v>1432</v>
      </c>
      <c r="I596" s="129"/>
      <c r="J596" s="129"/>
      <c r="K596" s="129"/>
      <c r="L596" s="129"/>
      <c r="M596" s="129"/>
      <c r="N596" s="129"/>
      <c r="O596" s="130"/>
    </row>
    <row r="597" spans="1:15" ht="15" customHeight="1">
      <c r="B597" s="63" t="s">
        <v>1433</v>
      </c>
      <c r="C597" s="63"/>
      <c r="D597" s="66">
        <v>2024</v>
      </c>
      <c r="E597" s="65" t="s">
        <v>1434</v>
      </c>
      <c r="F597" s="66"/>
      <c r="G597" s="65"/>
      <c r="H597" s="128" t="s">
        <v>1435</v>
      </c>
      <c r="I597" s="129"/>
      <c r="J597" s="129"/>
      <c r="K597" s="129"/>
      <c r="L597" s="129"/>
      <c r="M597" s="129"/>
      <c r="N597" s="129"/>
      <c r="O597" s="130"/>
    </row>
    <row r="598" spans="1:15" ht="22.05" customHeight="1">
      <c r="B598" s="132" t="s">
        <v>1283</v>
      </c>
      <c r="C598" s="132"/>
      <c r="D598" s="132"/>
      <c r="E598" s="132"/>
      <c r="F598" s="132"/>
      <c r="G598" s="132"/>
      <c r="H598" s="132"/>
      <c r="I598" s="132"/>
      <c r="J598" s="132"/>
      <c r="K598" s="132"/>
      <c r="L598" s="132"/>
      <c r="M598" s="132"/>
      <c r="N598" s="132"/>
      <c r="O598" s="132"/>
    </row>
    <row r="599" spans="1:15" ht="32.549999999999997" customHeight="1">
      <c r="A599" s="71" t="s">
        <v>1297</v>
      </c>
      <c r="B599" s="127" t="s">
        <v>1285</v>
      </c>
      <c r="C599" s="127"/>
      <c r="D599" s="127"/>
      <c r="E599" s="127"/>
      <c r="F599" s="127"/>
      <c r="G599" s="127"/>
      <c r="H599" s="127"/>
      <c r="I599" s="127"/>
      <c r="J599" s="127"/>
      <c r="K599" s="127"/>
      <c r="L599" s="127"/>
      <c r="M599" s="127"/>
      <c r="N599" s="127"/>
      <c r="O599" s="127"/>
    </row>
    <row r="600" spans="1:15" ht="30" customHeight="1">
      <c r="B600" s="67" t="s">
        <v>1154</v>
      </c>
      <c r="C600" s="67"/>
      <c r="D600" s="67" t="s">
        <v>1280</v>
      </c>
      <c r="E600" s="67" t="s">
        <v>1281</v>
      </c>
      <c r="F600" s="67"/>
      <c r="G600" s="67"/>
      <c r="H600" s="133" t="s">
        <v>1282</v>
      </c>
      <c r="I600" s="133"/>
      <c r="J600" s="133"/>
      <c r="K600" s="133"/>
      <c r="L600" s="133"/>
      <c r="M600" s="133"/>
      <c r="N600" s="133"/>
      <c r="O600" s="133"/>
    </row>
    <row r="601" spans="1:15" ht="15" customHeight="1">
      <c r="B601" s="63" t="s">
        <v>1436</v>
      </c>
      <c r="C601" s="63"/>
      <c r="D601" s="66">
        <v>2022</v>
      </c>
      <c r="E601" s="65" t="s">
        <v>1437</v>
      </c>
      <c r="F601" s="66"/>
      <c r="G601" s="65"/>
      <c r="H601" s="128" t="s">
        <v>1438</v>
      </c>
      <c r="I601" s="129"/>
      <c r="J601" s="129"/>
      <c r="K601" s="129"/>
      <c r="L601" s="129"/>
      <c r="M601" s="129"/>
      <c r="N601" s="129"/>
      <c r="O601" s="130"/>
    </row>
    <row r="602" spans="1:15" ht="15" customHeight="1">
      <c r="B602" s="63" t="s">
        <v>1439</v>
      </c>
      <c r="C602" s="63"/>
      <c r="D602" s="66">
        <v>2024</v>
      </c>
      <c r="E602" s="65" t="s">
        <v>1440</v>
      </c>
      <c r="F602" s="66"/>
      <c r="G602" s="65"/>
      <c r="H602" s="128" t="s">
        <v>1441</v>
      </c>
      <c r="I602" s="129"/>
      <c r="J602" s="129"/>
      <c r="K602" s="129"/>
      <c r="L602" s="129"/>
      <c r="M602" s="129"/>
      <c r="N602" s="129"/>
      <c r="O602" s="130"/>
    </row>
    <row r="603" spans="1:15" ht="15" customHeight="1">
      <c r="B603" s="63" t="s">
        <v>1442</v>
      </c>
      <c r="C603" s="63"/>
      <c r="D603" s="66">
        <v>2023</v>
      </c>
      <c r="E603" s="65" t="s">
        <v>1443</v>
      </c>
      <c r="F603" s="66"/>
      <c r="G603" s="65"/>
      <c r="H603" s="128" t="s">
        <v>1444</v>
      </c>
      <c r="I603" s="129"/>
      <c r="J603" s="129"/>
      <c r="K603" s="129"/>
      <c r="L603" s="129"/>
      <c r="M603" s="129"/>
      <c r="N603" s="129"/>
      <c r="O603" s="130"/>
    </row>
    <row r="604" spans="1:15" ht="15" customHeight="1">
      <c r="B604" s="63" t="s">
        <v>1324</v>
      </c>
      <c r="C604" s="63"/>
      <c r="D604" s="66">
        <v>2023</v>
      </c>
      <c r="E604" s="65" t="s">
        <v>1445</v>
      </c>
      <c r="F604" s="66"/>
      <c r="G604" s="65"/>
      <c r="H604" s="128" t="s">
        <v>1446</v>
      </c>
      <c r="I604" s="129"/>
      <c r="J604" s="129"/>
      <c r="K604" s="129"/>
      <c r="L604" s="129"/>
      <c r="M604" s="129"/>
      <c r="N604" s="129"/>
      <c r="O604" s="130"/>
    </row>
    <row r="605" spans="1:15" ht="15" customHeight="1"/>
    <row r="606" spans="1:15" ht="22.05" customHeight="1">
      <c r="B606" s="131" t="s">
        <v>1295</v>
      </c>
      <c r="C606" s="131"/>
      <c r="D606" s="131"/>
      <c r="E606" s="131"/>
      <c r="F606" s="131"/>
      <c r="G606" s="131"/>
      <c r="H606" s="131"/>
      <c r="I606" s="131"/>
      <c r="J606" s="131"/>
      <c r="K606" s="131"/>
      <c r="L606" s="131"/>
      <c r="M606" s="131"/>
      <c r="N606" s="131"/>
      <c r="O606" s="131"/>
    </row>
    <row r="607" spans="1:15" ht="22.05" customHeight="1">
      <c r="B607" s="124" t="s">
        <v>1286</v>
      </c>
      <c r="C607" s="124"/>
      <c r="D607" s="124"/>
      <c r="E607" s="124"/>
      <c r="F607" s="124"/>
      <c r="G607" s="124"/>
      <c r="H607" s="124"/>
      <c r="I607" s="124"/>
      <c r="J607" s="124"/>
      <c r="K607" s="124"/>
      <c r="L607" s="124"/>
      <c r="M607" s="124"/>
      <c r="N607" s="124"/>
      <c r="O607" s="124"/>
    </row>
    <row r="608" spans="1:15" ht="15" customHeight="1">
      <c r="B608" s="125" t="s">
        <v>1308</v>
      </c>
      <c r="C608" s="125"/>
      <c r="D608" s="125"/>
      <c r="E608" s="125"/>
      <c r="F608" s="125"/>
      <c r="G608" s="125"/>
      <c r="H608" s="125"/>
      <c r="I608" s="125"/>
      <c r="J608" s="125"/>
      <c r="K608" s="125"/>
      <c r="L608" s="125"/>
      <c r="M608" s="125"/>
      <c r="N608" s="125"/>
      <c r="O608" s="125"/>
    </row>
    <row r="609" spans="1:15" ht="22.05" customHeight="1">
      <c r="B609" s="124" t="s">
        <v>1288</v>
      </c>
      <c r="C609" s="124"/>
      <c r="D609" s="124"/>
      <c r="E609" s="124"/>
      <c r="F609" s="124"/>
      <c r="G609" s="124"/>
      <c r="H609" s="124"/>
      <c r="I609" s="124"/>
      <c r="J609" s="124"/>
      <c r="K609" s="124"/>
      <c r="L609" s="124"/>
      <c r="M609" s="124"/>
      <c r="N609" s="124"/>
      <c r="O609" s="124"/>
    </row>
    <row r="610" spans="1:15" ht="15" customHeight="1">
      <c r="B610" s="125" t="s">
        <v>1289</v>
      </c>
      <c r="C610" s="125"/>
      <c r="D610" s="125"/>
      <c r="E610" s="125"/>
      <c r="F610" s="125"/>
      <c r="G610" s="125"/>
      <c r="H610" s="125"/>
      <c r="I610" s="125"/>
      <c r="J610" s="125"/>
      <c r="K610" s="125"/>
      <c r="L610" s="125"/>
      <c r="M610" s="125"/>
      <c r="N610" s="125"/>
      <c r="O610" s="125"/>
    </row>
    <row r="611" spans="1:15" ht="22.05" customHeight="1">
      <c r="B611" s="124" t="s">
        <v>1290</v>
      </c>
      <c r="C611" s="124"/>
      <c r="D611" s="124"/>
      <c r="E611" s="124"/>
      <c r="F611" s="124"/>
      <c r="G611" s="124"/>
      <c r="H611" s="124"/>
      <c r="I611" s="124"/>
      <c r="J611" s="124"/>
      <c r="K611" s="124"/>
      <c r="L611" s="124"/>
      <c r="M611" s="124"/>
      <c r="N611" s="124"/>
      <c r="O611" s="124"/>
    </row>
    <row r="612" spans="1:15" ht="15" customHeight="1">
      <c r="B612" s="125" t="s">
        <v>1291</v>
      </c>
      <c r="C612" s="125"/>
      <c r="D612" s="125"/>
      <c r="E612" s="125"/>
      <c r="F612" s="125"/>
      <c r="G612" s="125"/>
      <c r="H612" s="125"/>
      <c r="I612" s="125"/>
      <c r="J612" s="125"/>
      <c r="K612" s="125"/>
      <c r="L612" s="125"/>
      <c r="M612" s="125"/>
      <c r="N612" s="125"/>
      <c r="O612" s="125"/>
    </row>
    <row r="613" spans="1:15" ht="22.05" customHeight="1">
      <c r="B613" s="126" t="s">
        <v>1269</v>
      </c>
      <c r="C613" s="126"/>
      <c r="D613" s="126"/>
      <c r="E613" s="126"/>
      <c r="F613" s="126"/>
      <c r="G613" s="126"/>
      <c r="H613" s="126"/>
      <c r="I613" s="126"/>
      <c r="J613" s="126"/>
      <c r="K613" s="126"/>
      <c r="L613" s="126"/>
      <c r="M613" s="126"/>
      <c r="N613" s="126"/>
      <c r="O613" s="126"/>
    </row>
    <row r="614" spans="1:15" ht="66" customHeight="1">
      <c r="A614" s="71" t="s">
        <v>1298</v>
      </c>
      <c r="B614" s="127" t="s">
        <v>1292</v>
      </c>
      <c r="C614" s="127"/>
      <c r="D614" s="127"/>
      <c r="E614" s="127"/>
      <c r="F614" s="127"/>
      <c r="G614" s="127"/>
      <c r="H614" s="127"/>
      <c r="I614" s="127"/>
      <c r="J614" s="127"/>
      <c r="K614" s="127"/>
      <c r="L614" s="127"/>
      <c r="M614" s="127"/>
      <c r="N614" s="127"/>
      <c r="O614" s="127"/>
    </row>
    <row r="615" spans="1:15" ht="30" customHeight="1">
      <c r="B615" s="68" t="s">
        <v>310</v>
      </c>
      <c r="C615" s="68" t="s">
        <v>311</v>
      </c>
      <c r="D615" s="69" t="s">
        <v>1293</v>
      </c>
      <c r="E615" s="68" t="s">
        <v>33</v>
      </c>
      <c r="F615" s="68" t="s">
        <v>1277</v>
      </c>
      <c r="G615" s="68" t="s">
        <v>71</v>
      </c>
      <c r="H615" s="68" t="s">
        <v>1277</v>
      </c>
      <c r="I615" s="69"/>
      <c r="J615" s="69"/>
      <c r="K615" s="69"/>
      <c r="L615" s="69"/>
      <c r="M615" s="69"/>
      <c r="N615" s="69"/>
      <c r="O615" s="69"/>
    </row>
    <row r="616" spans="1:15" ht="15" customHeight="1">
      <c r="B616" s="62" t="s">
        <v>320</v>
      </c>
      <c r="C616" s="63" t="s">
        <v>321</v>
      </c>
      <c r="D616" s="70" t="str">
        <f>_xlfn.XLOOKUP(B616,Table24[ActionID],Table24[Description],"")</f>
        <v>Strengthen coastal protection infrastructure strategies include the construction of sea walls and protective structures to mitigate the impact of rising sea levels and coastal erosion. This adaptation measure enhances the resilience of coastal areas and protects communities from the impacts of climate change. Crucially, these interventions must be developed through an integrated coastal management framework, prioritizing nature-based solutions where feasible, to avoid negative downstream effects and ensure equitable protection for all vulnerable communities.</v>
      </c>
      <c r="E616" s="64" t="s">
        <v>1163</v>
      </c>
      <c r="F616" s="65" t="s">
        <v>1447</v>
      </c>
      <c r="G616" s="64" t="s">
        <v>1163</v>
      </c>
      <c r="H616" s="65" t="s">
        <v>1447</v>
      </c>
      <c r="I616" s="63"/>
      <c r="J616" s="63"/>
      <c r="K616" s="63"/>
      <c r="L616" s="63"/>
      <c r="M616" s="63"/>
      <c r="N616" s="63"/>
      <c r="O616" s="63"/>
    </row>
    <row r="617" spans="1:15" ht="15" customHeight="1">
      <c r="B617" s="62" t="s">
        <v>329</v>
      </c>
      <c r="C617" s="63" t="s">
        <v>330</v>
      </c>
      <c r="D617" s="70" t="str">
        <f>_xlfn.XLOOKUP(B617,Table24[ActionID],Table24[Description],"")</f>
        <v>"Upgrade urban drainage systems" involves eco-engineering solutions to enhance drainage systems, through capacity upgrade and network expansion. This adaptation measure aims to improve urban resilience by minimizing the impact of extreme weather events such as flooding.</v>
      </c>
      <c r="E617" s="64" t="s">
        <v>1163</v>
      </c>
      <c r="F617" s="65" t="s">
        <v>1447</v>
      </c>
      <c r="G617" s="64" t="s">
        <v>1163</v>
      </c>
      <c r="H617" s="65" t="s">
        <v>1447</v>
      </c>
      <c r="I617" s="63"/>
      <c r="J617" s="63"/>
      <c r="K617" s="63"/>
      <c r="L617" s="63"/>
      <c r="M617" s="63"/>
      <c r="N617" s="63"/>
      <c r="O617" s="63"/>
    </row>
    <row r="618" spans="1:15" ht="30" customHeight="1">
      <c r="B618" s="62" t="s">
        <v>335</v>
      </c>
      <c r="C618" s="63" t="s">
        <v>336</v>
      </c>
      <c r="D618" s="70" t="str">
        <f>_xlfn.XLOOKUP(B618,Table24[ActionID],Table24[Description],"")</f>
        <v>"Build and maintain shelters for critical climate hazards" involves building and maintaining shelters in high-risk areas to protect residents during extreme weather events such as floods, cyclones, storms, landslides, extreme heat events or other critical climate hazards. Shelters should meet resilient design standards, including wind- and flood-resistant construction, and be strategically located to maximize accessibility for vulnerable populations. Where possible, shelters can serve multipurpose roles as schools or community centers. Clear funding mechanisms and defined responsibilities for operations and maintenance are essential to ensure long-term reliability and effectiveness.</v>
      </c>
      <c r="E618" s="64" t="s">
        <v>1163</v>
      </c>
      <c r="F618" s="65" t="s">
        <v>1447</v>
      </c>
      <c r="G618" s="64" t="s">
        <v>1163</v>
      </c>
      <c r="H618" s="65" t="s">
        <v>1447</v>
      </c>
      <c r="I618" s="63"/>
      <c r="J618" s="63"/>
      <c r="K618" s="63"/>
      <c r="L618" s="63"/>
      <c r="M618" s="63"/>
      <c r="N618" s="63"/>
      <c r="O618" s="63"/>
    </row>
    <row r="619" spans="1:15" ht="15" customHeight="1">
      <c r="B619" s="62" t="s">
        <v>341</v>
      </c>
      <c r="C619" s="63" t="s">
        <v>342</v>
      </c>
      <c r="D619" s="70" t="str">
        <f>_xlfn.XLOOKUP(B619,Table24[ActionID],Table24[Description],"")</f>
        <v>"Provide public shading in heat hotspots" involves the implementation of shade structures in public spaces, such as shade sails and canopies, and drought-tolerant trees, contributing to eco-engineering efforts. This adaptation measure enhances outdoor comfort, reduces heat stress, and promotes sustainable urban design.</v>
      </c>
      <c r="E619" s="64" t="s">
        <v>1163</v>
      </c>
      <c r="F619" s="65" t="s">
        <v>1447</v>
      </c>
      <c r="G619" s="64" t="s">
        <v>1163</v>
      </c>
      <c r="H619" s="65" t="s">
        <v>1447</v>
      </c>
      <c r="I619" s="63"/>
      <c r="J619" s="63"/>
      <c r="K619" s="63"/>
      <c r="L619" s="63"/>
      <c r="M619" s="63"/>
      <c r="N619" s="63"/>
      <c r="O619" s="63"/>
    </row>
    <row r="620" spans="1:15" ht="30" customHeight="1">
      <c r="B620" s="62" t="s">
        <v>346</v>
      </c>
      <c r="C620" s="63" t="s">
        <v>347</v>
      </c>
      <c r="D620" s="70" t="str">
        <f>_xlfn.XLOOKUP(B620,Table24[ActionID],Table24[Description],"")</f>
        <v>Introduce reflective coatings, light-colored materials, permeable surfaces and cool roofs in street paving and buildings to reduce heat absorption and mitigate the urban heat island effect. Municipal governments can pilot these approaches in the most heat-exposed areas, integrate them into routine street upgrades and public building refrofits, and assess cost–benefit outcomes to guide broader implementation. These measures improve thermal comfort, reduce energy demand for cooling, and enhance urban resilience to rising temperatures.</v>
      </c>
      <c r="E620" s="64" t="s">
        <v>1163</v>
      </c>
      <c r="F620" s="65" t="s">
        <v>1447</v>
      </c>
      <c r="G620" s="64" t="s">
        <v>1163</v>
      </c>
      <c r="H620" s="65" t="s">
        <v>1447</v>
      </c>
      <c r="I620" s="63"/>
      <c r="J620" s="63"/>
      <c r="K620" s="63"/>
      <c r="L620" s="63"/>
      <c r="M620" s="63"/>
      <c r="N620" s="63"/>
      <c r="O620" s="63"/>
    </row>
    <row r="621" spans="1:15" ht="15" customHeight="1">
      <c r="B621" s="62" t="s">
        <v>349</v>
      </c>
      <c r="C621" s="63" t="s">
        <v>350</v>
      </c>
      <c r="D621" s="70" t="str">
        <f>_xlfn.XLOOKUP(B621,Table24[ActionID],Table24[Description],"")</f>
        <v>Encourages the adoption of water-saving technologies and practices to conserve water resources and strengthen resilience to climate change. This includes measures such as rainwater harvesting, low-flow appliances, leak detection systems, and municipal incentive programs that support households and businesses in reducing consumption. These actions enhance sustainable water use and complement broader eco-engineering and adaptation efforts.</v>
      </c>
      <c r="E621" s="64" t="s">
        <v>1163</v>
      </c>
      <c r="F621" s="65" t="s">
        <v>1447</v>
      </c>
      <c r="G621" s="64" t="s">
        <v>1163</v>
      </c>
      <c r="H621" s="65" t="s">
        <v>1447</v>
      </c>
      <c r="I621" s="63"/>
      <c r="J621" s="63"/>
      <c r="K621" s="63"/>
      <c r="L621" s="63"/>
      <c r="M621" s="63"/>
      <c r="N621" s="63"/>
      <c r="O621" s="63"/>
    </row>
    <row r="622" spans="1:15" ht="15" customHeight="1">
      <c r="B622" s="62" t="s">
        <v>355</v>
      </c>
      <c r="C622" s="63" t="s">
        <v>356</v>
      </c>
      <c r="D622" s="70" t="str">
        <f>_xlfn.XLOOKUP(B622,Table24[ActionID],Table24[Description],"")</f>
        <v>"Watershed Protection and Management" involves the protection and conservation of natural watershed areas to safeguard water quality, biodiversity, and ecosystem services, including measures such as preventing pollution and encrouchment. This initiative aims to ensure sustainable water management and resilience to the impacts of climate change.</v>
      </c>
      <c r="E622" s="64" t="s">
        <v>1161</v>
      </c>
      <c r="F622" s="65" t="s">
        <v>1459</v>
      </c>
      <c r="G622" s="64" t="s">
        <v>1162</v>
      </c>
      <c r="H622" s="65" t="s">
        <v>1459</v>
      </c>
      <c r="I622" s="63"/>
      <c r="J622" s="63"/>
      <c r="K622" s="63"/>
      <c r="L622" s="63"/>
      <c r="M622" s="63"/>
      <c r="N622" s="63"/>
      <c r="O622" s="63"/>
    </row>
    <row r="623" spans="1:15" ht="30" customHeight="1">
      <c r="B623" s="62" t="s">
        <v>360</v>
      </c>
      <c r="C623" s="63" t="s">
        <v>361</v>
      </c>
      <c r="D623" s="70" t="str">
        <f>_xlfn.XLOOKUP(B623,Table24[ActionID],Table24[Description],"")</f>
        <v>"Reform water tariffs to support efficiency and equity" involve pricing structures for water use, encouraging conservation and efficient use of water resources. This initiative aims to promote responsible water consumption and contribute to sustainable water management.</v>
      </c>
      <c r="E623" s="64" t="s">
        <v>1163</v>
      </c>
      <c r="F623" s="65" t="s">
        <v>1447</v>
      </c>
      <c r="G623" s="64" t="s">
        <v>1163</v>
      </c>
      <c r="H623" s="65" t="s">
        <v>1447</v>
      </c>
      <c r="I623" s="63"/>
      <c r="J623" s="63"/>
      <c r="K623" s="63"/>
      <c r="L623" s="63"/>
      <c r="M623" s="63"/>
      <c r="N623" s="63"/>
      <c r="O623" s="63"/>
    </row>
    <row r="624" spans="1:15" ht="30" customHeight="1">
      <c r="B624" s="62" t="s">
        <v>364</v>
      </c>
      <c r="C624" s="63" t="s">
        <v>365</v>
      </c>
      <c r="D624" s="70" t="str">
        <f>_xlfn.XLOOKUP(B624,Table24[ActionID],Table24[Description],"")</f>
        <v>Creation of a program to mitigate the effects of climate tragedies, including financial assistance to affected families, efforts to increase access to affordable hazard insurance, and efforts to secure additional resources for recovery and reconstruction, including partnerships with state and federal government bodies. Recovery and reconstruction measures should include adaptive measures with the emphasis on build back better to withstand future hazards and helping residents retrofit buildings.</v>
      </c>
      <c r="E624" s="64" t="s">
        <v>1163</v>
      </c>
      <c r="F624" s="65" t="s">
        <v>1447</v>
      </c>
      <c r="G624" s="64" t="s">
        <v>1163</v>
      </c>
      <c r="H624" s="65" t="s">
        <v>1447</v>
      </c>
      <c r="I624" s="63"/>
      <c r="J624" s="63"/>
      <c r="K624" s="63"/>
      <c r="L624" s="63"/>
      <c r="M624" s="63"/>
      <c r="N624" s="63"/>
      <c r="O624" s="63"/>
    </row>
    <row r="625" spans="2:15" ht="30" customHeight="1">
      <c r="B625" s="62" t="s">
        <v>369</v>
      </c>
      <c r="C625" s="63" t="s">
        <v>370</v>
      </c>
      <c r="D625" s="70" t="str">
        <f>_xlfn.XLOOKUP(B625,Table24[ActionID],Table24[Description],"")</f>
        <v>Improve the infrastructure of healthcare units to assist people who require medical care due to impacts associated with climate risks (climate victims), such as those affected by heat waves or floods, especially in more vulnerable areas. Develop action plans to prepare the healthcare network for extreme climate-related situations.</v>
      </c>
      <c r="E625" s="64" t="s">
        <v>1163</v>
      </c>
      <c r="F625" s="65" t="s">
        <v>1447</v>
      </c>
      <c r="G625" s="64" t="s">
        <v>1163</v>
      </c>
      <c r="H625" s="65" t="s">
        <v>1447</v>
      </c>
      <c r="I625" s="63"/>
      <c r="J625" s="63"/>
      <c r="K625" s="63"/>
      <c r="L625" s="63"/>
      <c r="M625" s="63"/>
      <c r="N625" s="63"/>
      <c r="O625" s="63"/>
    </row>
    <row r="626" spans="2:15" ht="30" customHeight="1">
      <c r="B626" s="62" t="s">
        <v>375</v>
      </c>
      <c r="C626" s="63" t="s">
        <v>376</v>
      </c>
      <c r="D626" s="70" t="str">
        <f>_xlfn.XLOOKUP(B626,Table24[ActionID],Table24[Description],"")</f>
        <v>Cleaning and unclogging channels in the city to reduce the risk of flooding caused by extreme rainfall events. Installation of eco-barriers to assist in cleaning efforts and raise awareness about solid waste.</v>
      </c>
      <c r="E626" s="64" t="s">
        <v>1163</v>
      </c>
      <c r="F626" s="65" t="s">
        <v>1447</v>
      </c>
      <c r="G626" s="64" t="s">
        <v>1163</v>
      </c>
      <c r="H626" s="65" t="s">
        <v>1447</v>
      </c>
      <c r="I626" s="63"/>
      <c r="J626" s="63"/>
      <c r="K626" s="63"/>
      <c r="L626" s="63"/>
      <c r="M626" s="63"/>
      <c r="N626" s="63"/>
      <c r="O626" s="63"/>
    </row>
    <row r="627" spans="2:15" ht="15" customHeight="1">
      <c r="B627" s="62" t="s">
        <v>379</v>
      </c>
      <c r="C627" s="63" t="s">
        <v>380</v>
      </c>
      <c r="D627" s="70" t="str">
        <f>_xlfn.XLOOKUP(B627,Table24[ActionID],Table24[Description],"")</f>
        <v>Identify and assess the feasibility of suitable areas for the installation of urban gardens and ensure that the sites chosen meet the expectations of the community.</v>
      </c>
      <c r="E627" s="64" t="s">
        <v>1163</v>
      </c>
      <c r="F627" s="65" t="s">
        <v>1447</v>
      </c>
      <c r="G627" s="64" t="s">
        <v>1163</v>
      </c>
      <c r="H627" s="65" t="s">
        <v>1447</v>
      </c>
      <c r="I627" s="63"/>
      <c r="J627" s="63"/>
      <c r="K627" s="63"/>
      <c r="L627" s="63"/>
      <c r="M627" s="63"/>
      <c r="N627" s="63"/>
      <c r="O627" s="63"/>
    </row>
    <row r="628" spans="2:15" ht="45" customHeight="1">
      <c r="B628" s="62" t="s">
        <v>384</v>
      </c>
      <c r="C628" s="63" t="s">
        <v>385</v>
      </c>
      <c r="D628" s="70" t="str">
        <f>_xlfn.XLOOKUP(B628,Table24[ActionID],Table24[Description],"")</f>
        <v>Establish more mechanisms that enable better intersectoral coordination and public participation in climate policy, including the creation of working groups with neighboring municipalities to discuss a common climate agenda.</v>
      </c>
      <c r="E628" s="64" t="s">
        <v>1163</v>
      </c>
      <c r="F628" s="65" t="s">
        <v>1447</v>
      </c>
      <c r="G628" s="64" t="s">
        <v>1163</v>
      </c>
      <c r="H628" s="65" t="s">
        <v>1447</v>
      </c>
      <c r="I628" s="63"/>
      <c r="J628" s="63"/>
      <c r="K628" s="63"/>
      <c r="L628" s="63"/>
      <c r="M628" s="63"/>
      <c r="N628" s="63"/>
      <c r="O628" s="63"/>
    </row>
    <row r="629" spans="2:15" ht="30" customHeight="1">
      <c r="B629" s="62" t="s">
        <v>388</v>
      </c>
      <c r="C629" s="63" t="s">
        <v>389</v>
      </c>
      <c r="D629" s="70" t="str">
        <f>_xlfn.XLOOKUP(B629,Table24[ActionID],Table24[Description],"")</f>
        <v>This action focuses on implementing a series of integrated strategies to enhance environmental conservation and maximize its benefits, such as expanding protected areas, developing management plans for conservation units, and training ecotourism guides to strengthen sustainable tourism.</v>
      </c>
      <c r="E629" s="64" t="s">
        <v>1161</v>
      </c>
      <c r="F629" s="65" t="s">
        <v>1460</v>
      </c>
      <c r="G629" s="64" t="s">
        <v>1161</v>
      </c>
      <c r="H629" s="65" t="s">
        <v>1460</v>
      </c>
      <c r="I629" s="63"/>
      <c r="J629" s="63"/>
      <c r="K629" s="63"/>
      <c r="L629" s="63"/>
      <c r="M629" s="63"/>
      <c r="N629" s="63"/>
      <c r="O629" s="63"/>
    </row>
    <row r="630" spans="2:15" ht="15" customHeight="1">
      <c r="B630" s="62" t="s">
        <v>393</v>
      </c>
      <c r="C630" s="63" t="s">
        <v>394</v>
      </c>
      <c r="D630" s="70" t="str">
        <f>_xlfn.XLOOKUP(B630,Table24[ActionID],Table24[Description],"")</f>
        <v>Creation of a First Response Brigade in rural communities to provide them with training and equipment for fire prevention and firefighting.</v>
      </c>
      <c r="E630" s="64" t="s">
        <v>1162</v>
      </c>
      <c r="F630" s="65" t="s">
        <v>1459</v>
      </c>
      <c r="G630" s="64" t="s">
        <v>1162</v>
      </c>
      <c r="H630" s="65" t="s">
        <v>1459</v>
      </c>
      <c r="I630" s="63"/>
      <c r="J630" s="63"/>
      <c r="K630" s="63"/>
      <c r="L630" s="63"/>
      <c r="M630" s="63"/>
      <c r="N630" s="63"/>
      <c r="O630" s="63"/>
    </row>
    <row r="631" spans="2:15" ht="30" customHeight="1">
      <c r="B631" s="62" t="s">
        <v>398</v>
      </c>
      <c r="C631" s="63" t="s">
        <v>399</v>
      </c>
      <c r="D631" s="70" t="str">
        <f>_xlfn.XLOOKUP(B631,Table24[ActionID],Table24[Description],"")</f>
        <v>Implementation of a hydrological monitoring system with telemetry stations to monitor rainfall, water levels, and meteorological variables in real-time.</v>
      </c>
      <c r="E631" s="64" t="s">
        <v>1163</v>
      </c>
      <c r="F631" s="65" t="s">
        <v>1447</v>
      </c>
      <c r="G631" s="64" t="s">
        <v>1163</v>
      </c>
      <c r="H631" s="65" t="s">
        <v>1447</v>
      </c>
      <c r="I631" s="63"/>
      <c r="J631" s="63"/>
      <c r="K631" s="63"/>
      <c r="L631" s="63"/>
      <c r="M631" s="63"/>
      <c r="N631" s="63"/>
      <c r="O631" s="63"/>
    </row>
    <row r="632" spans="2:15" ht="15" customHeight="1">
      <c r="B632" s="62" t="s">
        <v>404</v>
      </c>
      <c r="C632" s="63" t="s">
        <v>405</v>
      </c>
      <c r="D632" s="70" t="str">
        <f>_xlfn.XLOOKUP(B632,Table24[ActionID],Table24[Description],"")</f>
        <v>Design and implement a comprehensive environmental education plan that fosters climate literacy and awareness across schools, communities, and the media. Municipal governments can organize workshops, awareness campaigns, and nature-based activities such as tree planting to reconnect residents with their environment. The plan should integrate themes of climate change, adaptation, mitigation, and climate justice, with particular attention to youth, women, and vulnerable groups. By embedding equity and inclusion, cities can strengthen long-term engagement and empower communities to take part in climate action.</v>
      </c>
      <c r="E632" s="64" t="s">
        <v>1163</v>
      </c>
      <c r="F632" s="65" t="s">
        <v>1447</v>
      </c>
      <c r="G632" s="64" t="s">
        <v>1163</v>
      </c>
      <c r="H632" s="65" t="s">
        <v>1447</v>
      </c>
      <c r="I632" s="63"/>
      <c r="J632" s="63"/>
      <c r="K632" s="63"/>
      <c r="L632" s="63"/>
      <c r="M632" s="63"/>
      <c r="N632" s="63"/>
      <c r="O632" s="63"/>
    </row>
    <row r="633" spans="2:15" ht="45" customHeight="1">
      <c r="B633" s="62" t="s">
        <v>408</v>
      </c>
      <c r="C633" s="63" t="s">
        <v>409</v>
      </c>
      <c r="D633" s="70" t="str">
        <f>_xlfn.XLOOKUP(B633,Table24[ActionID],Table24[Description],"")</f>
        <v>This action focuses on preparing the municipality to respond to extreme events, aiming to provide a rapid response that minimizes the impacts on the population.</v>
      </c>
      <c r="E633" s="64" t="s">
        <v>1163</v>
      </c>
      <c r="F633" s="65" t="s">
        <v>1447</v>
      </c>
      <c r="G633" s="64" t="s">
        <v>1163</v>
      </c>
      <c r="H633" s="65" t="s">
        <v>1447</v>
      </c>
      <c r="I633" s="63"/>
      <c r="J633" s="63"/>
      <c r="K633" s="63"/>
      <c r="L633" s="63"/>
      <c r="M633" s="63"/>
      <c r="N633" s="63"/>
      <c r="O633" s="63"/>
    </row>
    <row r="634" spans="2:15" ht="45" customHeight="1">
      <c r="B634" s="62" t="s">
        <v>412</v>
      </c>
      <c r="C634" s="63" t="s">
        <v>413</v>
      </c>
      <c r="D634" s="70" t="str">
        <f>_xlfn.XLOOKUP(B634,Table24[ActionID],Table24[Description],"")</f>
        <v>The priority of this action is to build safe housing and implement urban rehabilitation projects for the population living in areas prone to landslides and flooding, as the housing deficit is one of the main factors related to these threats. This will be implemented through the construction of new housing units in safe locations for family resettlement, and infrastructure upgrades like slope stabilization and improved drainage systems within vulnerable communities.</v>
      </c>
      <c r="E634" s="64" t="s">
        <v>1163</v>
      </c>
      <c r="F634" s="65" t="s">
        <v>1447</v>
      </c>
      <c r="G634" s="64" t="s">
        <v>1163</v>
      </c>
      <c r="H634" s="65" t="s">
        <v>1447</v>
      </c>
      <c r="I634" s="63"/>
      <c r="J634" s="63"/>
      <c r="K634" s="63"/>
      <c r="L634" s="63"/>
      <c r="M634" s="63"/>
      <c r="N634" s="63"/>
      <c r="O634" s="63"/>
    </row>
    <row r="635" spans="2:15" ht="30" customHeight="1">
      <c r="B635" s="62" t="s">
        <v>417</v>
      </c>
      <c r="C635" s="63" t="s">
        <v>418</v>
      </c>
      <c r="D635" s="70" t="str">
        <f>_xlfn.XLOOKUP(B635,Table24[ActionID],Table24[Description],"")</f>
        <v>This action aims to expand the procedures related to the existing climate risk forecasting, monitoring, and alert system in the municipality.</v>
      </c>
      <c r="E635" s="64" t="s">
        <v>1163</v>
      </c>
      <c r="F635" s="65" t="s">
        <v>1447</v>
      </c>
      <c r="G635" s="64" t="s">
        <v>1163</v>
      </c>
      <c r="H635" s="65" t="s">
        <v>1447</v>
      </c>
      <c r="I635" s="63"/>
      <c r="J635" s="63"/>
      <c r="K635" s="63"/>
      <c r="L635" s="63"/>
      <c r="M635" s="63"/>
      <c r="N635" s="63"/>
      <c r="O635" s="63"/>
    </row>
    <row r="636" spans="2:15" ht="45" customHeight="1">
      <c r="B636" s="62" t="s">
        <v>423</v>
      </c>
      <c r="C636" s="63" t="s">
        <v>424</v>
      </c>
      <c r="D636" s="70" t="str">
        <f>_xlfn.XLOOKUP(B636,Table24[ActionID],Table24[Description],"")</f>
        <v>This action aims to strengthen the development of the Municipal Risk Reduction Plan (PMRR) in the municipality, as it is a highly relevant tool for managing climate risks, especially river floods and landslides.</v>
      </c>
      <c r="E636" s="64" t="s">
        <v>1163</v>
      </c>
      <c r="F636" s="65" t="s">
        <v>1447</v>
      </c>
      <c r="G636" s="64" t="s">
        <v>1163</v>
      </c>
      <c r="H636" s="65" t="s">
        <v>1447</v>
      </c>
      <c r="I636" s="63"/>
      <c r="J636" s="63"/>
      <c r="K636" s="63"/>
      <c r="L636" s="63"/>
      <c r="M636" s="63"/>
      <c r="N636" s="63"/>
      <c r="O636" s="63"/>
    </row>
    <row r="637" spans="2:15" ht="15" customHeight="1">
      <c r="B637" s="62" t="s">
        <v>427</v>
      </c>
      <c r="C637" s="63" t="s">
        <v>428</v>
      </c>
      <c r="D637" s="70" t="str">
        <f>_xlfn.XLOOKUP(B637,Table24[ActionID],Table24[Description],"")</f>
        <v>Regular upkeep and cleaning of urban drainage systems, including storm drains, sewers, and retention basins, to ensure efficient water flow and prevent blockages that can lead to flooding during heavy rainfall events.</v>
      </c>
      <c r="E637" s="64" t="s">
        <v>1163</v>
      </c>
      <c r="F637" s="65" t="s">
        <v>1447</v>
      </c>
      <c r="G637" s="64" t="s">
        <v>1163</v>
      </c>
      <c r="H637" s="65" t="s">
        <v>1447</v>
      </c>
      <c r="I637" s="63"/>
      <c r="J637" s="63"/>
      <c r="K637" s="63"/>
      <c r="L637" s="63"/>
      <c r="M637" s="63"/>
      <c r="N637" s="63"/>
      <c r="O637" s="63"/>
    </row>
    <row r="638" spans="2:15" ht="15" customHeight="1">
      <c r="B638" s="62" t="s">
        <v>432</v>
      </c>
      <c r="C638" s="63" t="s">
        <v>433</v>
      </c>
      <c r="D638" s="70" t="str">
        <f>_xlfn.XLOOKUP(B638,Table24[ActionID],Table24[Description],"")</f>
        <v>A comprehensive plan outlining a city's strategies and actions to mitigate greenhouse gas emissions and adapt to the impacts of climate change which typically includes an assessment of the city's climate risks and vulnerabilities, setting emission reduction targets, and implementation of actions across various sectors such as energy, transportation, waste management, and urban planning.</v>
      </c>
      <c r="E638" s="64" t="s">
        <v>1163</v>
      </c>
      <c r="F638" s="65" t="s">
        <v>1447</v>
      </c>
      <c r="G638" s="64" t="s">
        <v>1163</v>
      </c>
      <c r="H638" s="65" t="s">
        <v>1447</v>
      </c>
      <c r="I638" s="63"/>
      <c r="J638" s="63"/>
      <c r="K638" s="63"/>
      <c r="L638" s="63"/>
      <c r="M638" s="63"/>
      <c r="N638" s="63"/>
      <c r="O638" s="63"/>
    </row>
    <row r="639" spans="2:15" ht="30" customHeight="1">
      <c r="B639" s="62" t="s">
        <v>436</v>
      </c>
      <c r="C639" s="63" t="s">
        <v>437</v>
      </c>
      <c r="D639" s="70" t="str">
        <f>_xlfn.XLOOKUP(B639,Table24[ActionID],Table24[Description],"")</f>
        <v>Mapping of critical flood-prone areas with the aim of revising and harmonizing legislation related to land use, given the intensification of the impacts of extreme weather events.</v>
      </c>
      <c r="E639" s="64" t="s">
        <v>1163</v>
      </c>
      <c r="F639" s="65" t="s">
        <v>1447</v>
      </c>
      <c r="G639" s="64" t="s">
        <v>1163</v>
      </c>
      <c r="H639" s="65" t="s">
        <v>1447</v>
      </c>
      <c r="I639" s="63"/>
      <c r="J639" s="63"/>
      <c r="K639" s="63"/>
      <c r="L639" s="63"/>
      <c r="M639" s="63"/>
      <c r="N639" s="63"/>
      <c r="O639" s="63"/>
    </row>
    <row r="640" spans="2:15" ht="15" customHeight="1">
      <c r="B640" s="62" t="s">
        <v>440</v>
      </c>
      <c r="C640" s="63" t="s">
        <v>441</v>
      </c>
      <c r="D640" s="70" t="str">
        <f>_xlfn.XLOOKUP(B640,Table24[ActionID],Table24[Description],"")</f>
        <v>Expand and connect urban green spaces and blue-green infrastructure (BGI) in the public realm. Actions include street tree planting, establishing green corridors/greenways, pocket and large parks, and green-blue features (bioswales, rain gardens, permeable surfaces) to manage stormwater, reduce urban heat, enhance biodiversity, and support carbon sequestration. Embedding these measures in urban planning strengthens ecosystem services, resilience, and livability.</v>
      </c>
      <c r="E640" s="64" t="s">
        <v>1162</v>
      </c>
      <c r="F640" s="65" t="s">
        <v>1461</v>
      </c>
      <c r="G640" s="64" t="s">
        <v>1162</v>
      </c>
      <c r="H640" s="65" t="s">
        <v>1461</v>
      </c>
      <c r="I640" s="63"/>
      <c r="J640" s="63"/>
      <c r="K640" s="63"/>
      <c r="L640" s="63"/>
      <c r="M640" s="63"/>
      <c r="N640" s="63"/>
      <c r="O640" s="63"/>
    </row>
    <row r="641" spans="2:15" ht="15" customHeight="1">
      <c r="B641" s="62" t="s">
        <v>444</v>
      </c>
      <c r="C641" s="63" t="s">
        <v>445</v>
      </c>
      <c r="D641" s="70" t="str">
        <f>_xlfn.XLOOKUP(B641,Table24[ActionID],Table24[Description],"")</f>
        <v>A comprehensive project addressing the socio-environmental vulnerability of an informal settlement. It includes relocating residents from flood-prone areas, restoring the environment, and providing infrastructure and social services.</v>
      </c>
      <c r="E641" s="64" t="s">
        <v>1162</v>
      </c>
      <c r="F641" s="65" t="s">
        <v>1461</v>
      </c>
      <c r="G641" s="64" t="s">
        <v>1162</v>
      </c>
      <c r="H641" s="65" t="s">
        <v>1461</v>
      </c>
      <c r="I641" s="63"/>
      <c r="J641" s="63"/>
      <c r="K641" s="63"/>
      <c r="L641" s="63"/>
      <c r="M641" s="63"/>
      <c r="N641" s="63"/>
      <c r="O641" s="63"/>
    </row>
    <row r="642" spans="2:15" ht="15" customHeight="1">
      <c r="B642" s="62" t="s">
        <v>449</v>
      </c>
      <c r="C642" s="63" t="s">
        <v>450</v>
      </c>
      <c r="D642" s="70" t="str">
        <f>_xlfn.XLOOKUP(B642,Table24[ActionID],Table24[Description],"")</f>
        <v>This action focuses on expanding green areas in the city through urban afforestation. This includes planting trees in sidewalks, squares, public buildings, and schools, as well as creating ecological parks to revitalize watercourses and/or restore forests.</v>
      </c>
      <c r="E642" s="64" t="s">
        <v>1162</v>
      </c>
      <c r="F642" s="65" t="s">
        <v>1461</v>
      </c>
      <c r="G642" s="64" t="s">
        <v>1161</v>
      </c>
      <c r="H642" s="65" t="s">
        <v>1461</v>
      </c>
      <c r="I642" s="63"/>
      <c r="J642" s="63"/>
      <c r="K642" s="63"/>
      <c r="L642" s="63"/>
      <c r="M642" s="63"/>
      <c r="N642" s="63"/>
      <c r="O642" s="63"/>
    </row>
    <row r="643" spans="2:15" ht="30" customHeight="1">
      <c r="B643" s="62" t="s">
        <v>453</v>
      </c>
      <c r="C643" s="63" t="s">
        <v>454</v>
      </c>
      <c r="D643" s="70" t="str">
        <f>_xlfn.XLOOKUP(B643,Table24[ActionID],Table24[Description],"")</f>
        <v>Early Warning systems involve the timely detection and communication of potential climate-related hazards, enabling proactive responses to mitigate risks and enhancing community preparedness. This includes intense rains and landslides, using a network of telemetry stations to monitor rainfall and other weather conditions, with clear trigger thresholds to issue public alerts (sirens/alarms, SMS/cell broadcast, radio/PA) in case of potential flooding or landslides.</v>
      </c>
      <c r="E643" s="64" t="s">
        <v>1163</v>
      </c>
      <c r="F643" s="65" t="s">
        <v>1447</v>
      </c>
      <c r="G643" s="64" t="s">
        <v>1163</v>
      </c>
      <c r="H643" s="65" t="s">
        <v>1447</v>
      </c>
      <c r="I643" s="63"/>
      <c r="J643" s="63"/>
      <c r="K643" s="63"/>
      <c r="L643" s="63"/>
      <c r="M643" s="63"/>
      <c r="N643" s="63"/>
      <c r="O643" s="63"/>
    </row>
    <row r="644" spans="2:15" ht="15" customHeight="1">
      <c r="B644" s="62" t="s">
        <v>457</v>
      </c>
      <c r="C644" s="63" t="s">
        <v>458</v>
      </c>
      <c r="D644" s="70" t="str">
        <f>_xlfn.XLOOKUP(B644,Table24[ActionID],Table24[Description],"")</f>
        <v>This action involves stabilizing slopes and maintaining or restoring drainage systems in hillside areas. This helps to prevent landslides and erosion, reducing the risk of disasters.</v>
      </c>
      <c r="E644" s="64" t="s">
        <v>1163</v>
      </c>
      <c r="F644" s="65" t="s">
        <v>1447</v>
      </c>
      <c r="G644" s="64" t="s">
        <v>1163</v>
      </c>
      <c r="H644" s="65" t="s">
        <v>1447</v>
      </c>
      <c r="I644" s="63"/>
      <c r="J644" s="63"/>
      <c r="K644" s="63"/>
      <c r="L644" s="63"/>
      <c r="M644" s="63"/>
      <c r="N644" s="63"/>
      <c r="O644" s="63"/>
    </row>
    <row r="645" spans="2:15" ht="30" customHeight="1">
      <c r="B645" s="62" t="s">
        <v>461</v>
      </c>
      <c r="C645" s="63" t="s">
        <v>462</v>
      </c>
      <c r="D645" s="70" t="str">
        <f>_xlfn.XLOOKUP(B645,Table24[ActionID],Table24[Description],"")</f>
        <v>This action focuses on establishing an epidemiological intelligence center to monitor public health indicators and provide accessible information to the population. This helps in making informed decisions and protecting public health, particularly in relation to climate-sensitive diseases.</v>
      </c>
      <c r="E645" s="64" t="s">
        <v>1163</v>
      </c>
      <c r="F645" s="65" t="s">
        <v>1447</v>
      </c>
      <c r="G645" s="64" t="s">
        <v>1163</v>
      </c>
      <c r="H645" s="65" t="s">
        <v>1447</v>
      </c>
      <c r="I645" s="63"/>
      <c r="J645" s="63"/>
      <c r="K645" s="63"/>
      <c r="L645" s="63"/>
      <c r="M645" s="63"/>
      <c r="N645" s="63"/>
      <c r="O645" s="63"/>
    </row>
    <row r="646" spans="2:15" ht="15" customHeight="1">
      <c r="B646" s="62" t="s">
        <v>466</v>
      </c>
      <c r="C646" s="63" t="s">
        <v>467</v>
      </c>
      <c r="D646" s="70" t="str">
        <f>_xlfn.XLOOKUP(B646,Table24[ActionID],Table24[Description],"")</f>
        <v>This action describes the implementation of an integrated coastal zone management plan to promote sustainable development and address the impacts of climate change in coastal areas. It includes measures to mitigate the impacts of sea-level rise and coastal erosion.</v>
      </c>
      <c r="E646" s="64" t="s">
        <v>1163</v>
      </c>
      <c r="F646" s="65" t="s">
        <v>1447</v>
      </c>
      <c r="G646" s="64" t="s">
        <v>1163</v>
      </c>
      <c r="H646" s="65" t="s">
        <v>1447</v>
      </c>
      <c r="I646" s="63"/>
      <c r="J646" s="63"/>
      <c r="K646" s="63"/>
      <c r="L646" s="63"/>
      <c r="M646" s="63"/>
      <c r="N646" s="63"/>
      <c r="O646" s="63"/>
    </row>
    <row r="647" spans="2:15" ht="60" customHeight="1">
      <c r="B647" s="62" t="s">
        <v>471</v>
      </c>
      <c r="C647" s="63" t="s">
        <v>472</v>
      </c>
      <c r="D647" s="70" t="str">
        <f>_xlfn.XLOOKUP(B647,Table24[ActionID],Table24[Description],"")</f>
        <v>Develop actions aimed at promoting the health of the population exposed to environmental factors related to atmospheric, noise, and sanitation pollutants. Identify and evaluate the acute and chronic risks and effects of exposure to fixed and mobile sources of air, noise, water, and soil pollution, and act in the surveillance of diseases derived from these pollutants through physical units and work groups, especially among the most vulnerable people.</v>
      </c>
      <c r="E647" s="64" t="s">
        <v>1163</v>
      </c>
      <c r="F647" s="65" t="s">
        <v>1447</v>
      </c>
      <c r="G647" s="64" t="s">
        <v>1163</v>
      </c>
      <c r="H647" s="65" t="s">
        <v>1447</v>
      </c>
      <c r="I647" s="63"/>
      <c r="J647" s="63"/>
      <c r="K647" s="63"/>
      <c r="L647" s="63"/>
      <c r="M647" s="63"/>
      <c r="N647" s="63"/>
      <c r="O647" s="63"/>
    </row>
    <row r="648" spans="2:15" ht="15" customHeight="1">
      <c r="B648" s="62" t="s">
        <v>475</v>
      </c>
      <c r="C648" s="63" t="s">
        <v>476</v>
      </c>
      <c r="D648" s="70" t="str">
        <f>_xlfn.XLOOKUP(B648,Table24[ActionID],Table24[Description],"")</f>
        <v>The implementation of green roofs and green walls mitigates urban heat island effects, improves thermal comfort, reduces energy demand in buildings, manages stormwater, and enhances urban livability and biodiversity.</v>
      </c>
      <c r="E648" s="64" t="s">
        <v>1163</v>
      </c>
      <c r="F648" s="65" t="s">
        <v>1447</v>
      </c>
      <c r="G648" s="64" t="s">
        <v>1163</v>
      </c>
      <c r="H648" s="65" t="s">
        <v>1447</v>
      </c>
      <c r="I648" s="63"/>
      <c r="J648" s="63"/>
      <c r="K648" s="63"/>
      <c r="L648" s="63"/>
      <c r="M648" s="63"/>
      <c r="N648" s="63"/>
      <c r="O648" s="63"/>
    </row>
    <row r="649" spans="2:15" ht="30" customHeight="1">
      <c r="B649" s="62" t="s">
        <v>480</v>
      </c>
      <c r="C649" s="63" t="s">
        <v>481</v>
      </c>
      <c r="D649" s="70" t="str">
        <f>_xlfn.XLOOKUP(B649,Table24[ActionID],Table24[Description],"")</f>
        <v>Planned relocation and retreat of people, assets, and activities from coastal hazard zones to reduce exposure and risks caused by sea-level rise and associated coastal hazards.</v>
      </c>
      <c r="E649" s="64" t="s">
        <v>1163</v>
      </c>
      <c r="F649" s="65" t="s">
        <v>1447</v>
      </c>
      <c r="G649" s="64" t="s">
        <v>1163</v>
      </c>
      <c r="H649" s="65" t="s">
        <v>1447</v>
      </c>
      <c r="I649" s="63"/>
      <c r="J649" s="63"/>
      <c r="K649" s="63"/>
      <c r="L649" s="63"/>
      <c r="M649" s="63"/>
      <c r="N649" s="63"/>
      <c r="O649" s="63"/>
    </row>
    <row r="650" spans="2:15" ht="15" customHeight="1">
      <c r="B650" s="62" t="s">
        <v>485</v>
      </c>
      <c r="C650" s="63" t="s">
        <v>486</v>
      </c>
      <c r="D650" s="70" t="str">
        <f>_xlfn.XLOOKUP(B650,Table24[ActionID],Table24[Description],"")</f>
        <v>Restoration and conservation of marine and coastal habitats, such as mangroves, vegetated dunes, seagrasses, coral reefs, and kelp forests, to protect coastal communities, support biodiversity, sequester carbon, and mitigate climate change. Efforts include creating marine protected areas, active restoration of coral reefs, ridge-to-reef management, restoring dunes, planting salinity-tolerant trees, increasing forest cover, detect and manage forest pests.</v>
      </c>
      <c r="E650" s="64" t="s">
        <v>1161</v>
      </c>
      <c r="F650" s="65" t="s">
        <v>1460</v>
      </c>
      <c r="G650" s="64" t="s">
        <v>1161</v>
      </c>
      <c r="H650" s="65" t="s">
        <v>1460</v>
      </c>
      <c r="I650" s="63"/>
      <c r="J650" s="63"/>
      <c r="K650" s="63"/>
      <c r="L650" s="63"/>
      <c r="M650" s="63"/>
      <c r="N650" s="63"/>
      <c r="O650" s="63"/>
    </row>
    <row r="651" spans="2:15" ht="30" customHeight="1">
      <c r="B651" s="62" t="s">
        <v>490</v>
      </c>
      <c r="C651" s="63" t="s">
        <v>491</v>
      </c>
      <c r="D651" s="70" t="str">
        <f>_xlfn.XLOOKUP(B651,Table24[ActionID],Table24[Description],"")</f>
        <v>Reduce pollution, eutrophication, and anthropogenic pressures on natural systems, including marine and terrestrial ecosystems. Efforts include managing runoff, protecting sensitive habitats like the Great Barrier Reef, addressing non-climate drivers, promoting sustainable fisheries harvest, and increasing connectivity between natural areas to enhance ecosystem resilience.</v>
      </c>
      <c r="E651" s="64" t="s">
        <v>1161</v>
      </c>
      <c r="F651" s="65" t="s">
        <v>1459</v>
      </c>
      <c r="G651" s="64" t="s">
        <v>1162</v>
      </c>
      <c r="H651" s="65" t="s">
        <v>1459</v>
      </c>
      <c r="I651" s="63"/>
      <c r="J651" s="63"/>
      <c r="K651" s="63"/>
      <c r="L651" s="63"/>
      <c r="M651" s="63"/>
      <c r="N651" s="63"/>
      <c r="O651" s="63"/>
    </row>
    <row r="652" spans="2:15" ht="15" customHeight="1">
      <c r="B652" s="62" t="s">
        <v>495</v>
      </c>
      <c r="C652" s="63" t="s">
        <v>496</v>
      </c>
      <c r="D652" s="70" t="str">
        <f>_xlfn.XLOOKUP(B652,Table24[ActionID],Table24[Description],"")</f>
        <v>Restoring and sustainably managing marine, coastal, urban, riverine, and wetland ecosystems to protect against climate hazards such as storm surges, floods, and heatwaves. Efforts include agroecology, coastal and marine vegetation and reefs, vegetation corridors, mangrove habitat restoration, urban green space to reduce temperatures. These actions improve biodiversity, store carbon, enhance water quality, and provide socio-economic and cultural co-benefits.</v>
      </c>
      <c r="E652" s="64" t="s">
        <v>1161</v>
      </c>
      <c r="F652" s="65" t="s">
        <v>1461</v>
      </c>
      <c r="G652" s="64" t="s">
        <v>1161</v>
      </c>
      <c r="H652" s="65" t="s">
        <v>1461</v>
      </c>
      <c r="I652" s="63"/>
      <c r="J652" s="63"/>
      <c r="K652" s="63"/>
      <c r="L652" s="63"/>
      <c r="M652" s="63"/>
      <c r="N652" s="63"/>
      <c r="O652" s="63"/>
    </row>
    <row r="653" spans="2:15" ht="15" customHeight="1">
      <c r="B653" s="62" t="s">
        <v>500</v>
      </c>
      <c r="C653" s="63" t="s">
        <v>501</v>
      </c>
      <c r="D653" s="70" t="str">
        <f>_xlfn.XLOOKUP(B653,Table24[ActionID],Table24[Description],"")</f>
        <v>Strengthen and upgrade existing infrastructure, including roads, housing, and energy systems, to improve resilience against climate risks such as floods, droughts, and heatwaves. Efforts include using thermosiphons for permafrost degradation, increasing rooftop albedo (for reflectivity) and shading</v>
      </c>
      <c r="E653" s="64" t="s">
        <v>1163</v>
      </c>
      <c r="F653" s="65" t="s">
        <v>1447</v>
      </c>
      <c r="G653" s="64" t="s">
        <v>1163</v>
      </c>
      <c r="H653" s="65" t="s">
        <v>1447</v>
      </c>
      <c r="I653" s="63"/>
      <c r="J653" s="63"/>
      <c r="K653" s="63"/>
      <c r="L653" s="63"/>
      <c r="M653" s="63"/>
      <c r="N653" s="63"/>
      <c r="O653" s="63"/>
    </row>
    <row r="654" spans="2:15" ht="15" customHeight="1">
      <c r="B654" s="62" t="s">
        <v>505</v>
      </c>
      <c r="C654" s="63" t="s">
        <v>506</v>
      </c>
      <c r="D654" s="70" t="str">
        <f>_xlfn.XLOOKUP(B654,Table24[ActionID],Table24[Description],"")</f>
        <v>The development and implementation of building codes and architectural design regulations aimed at integrating climate adaptation parameters. These codes are focused on reducing risks from climate-induced hazards like floods and landslides. They also support climate-resilient urban development by guiding land use, construction practices, and infrastructure standards. The initiative fosters strategic long-term urban planning to coordinate public and private investments in adaptation, including the creation of safe zones and the transformation of precarious settlements. It ensures that new infrastructure is resilient to climate risks and that urban spaces are safe and sustainable for current and future populations.</v>
      </c>
      <c r="E654" s="64" t="s">
        <v>1163</v>
      </c>
      <c r="F654" s="65" t="s">
        <v>1447</v>
      </c>
      <c r="G654" s="64" t="s">
        <v>1163</v>
      </c>
      <c r="H654" s="65" t="s">
        <v>1447</v>
      </c>
      <c r="I654" s="63"/>
      <c r="J654" s="63"/>
      <c r="K654" s="63"/>
      <c r="L654" s="63"/>
      <c r="M654" s="63"/>
      <c r="N654" s="63"/>
      <c r="O654" s="63"/>
    </row>
    <row r="655" spans="2:15" ht="15" customHeight="1">
      <c r="B655" s="62" t="s">
        <v>509</v>
      </c>
      <c r="C655" s="63" t="s">
        <v>510</v>
      </c>
      <c r="D655" s="70" t="str">
        <f>_xlfn.XLOOKUP(B655,Table24[ActionID],Table24[Description],"")</f>
        <v>Use zoning and land-use planning to regulate coastal development by implementing spatial development strategies that consider environmental vulnerabilities, protect ecosystems, and mitigate risks from flooding, heatwaves, and sea-level rise. This includes ensuring that development is directed away from high-risk areas, integrating climate adaptation considerations into urban planning, and promoting sustainable practices to close adaptation gaps while addressing urban inequality.</v>
      </c>
      <c r="E655" s="64" t="s">
        <v>1163</v>
      </c>
      <c r="F655" s="65" t="s">
        <v>1447</v>
      </c>
      <c r="G655" s="64" t="s">
        <v>1163</v>
      </c>
      <c r="H655" s="65" t="s">
        <v>1447</v>
      </c>
      <c r="I655" s="63"/>
      <c r="J655" s="63"/>
      <c r="K655" s="63"/>
      <c r="L655" s="63"/>
      <c r="M655" s="63"/>
      <c r="N655" s="63"/>
      <c r="O655" s="63"/>
    </row>
    <row r="656" spans="2:15" ht="15" customHeight="1">
      <c r="B656" s="62" t="s">
        <v>513</v>
      </c>
      <c r="C656" s="63" t="s">
        <v>514</v>
      </c>
      <c r="D656" s="70" t="str">
        <f>_xlfn.XLOOKUP(B656,Table24[ActionID],Table24[Description],"")</f>
        <v xml:space="preserve"> Insurance provides financial risk management tools tailored to climate-induced challenges. This includes traditional agricultural insurance to protect farmers from weather-related losses and innovative index-based insurance solutions. Index-based insurance leverages measurable weather indices, such as rainfall or temperature, to trigger payouts automatically when thresholds are reached, bypassing the need for loss verification. These tools help stabilize incomes, encourage investment in climate-resilient practices, and reduce the economic vulnerability of stakeholders in agriculture, aquaculture, and energy sectors. Furthermore, bundled insurance products with additional services like fertilizer or seed access enhance overall resilience, particularly in underserved and rural communities. By mitigating risks associated with droughts, floods, and storms, insurance supports sustainable development and adaptation goals</v>
      </c>
      <c r="E656" s="64" t="s">
        <v>1163</v>
      </c>
      <c r="F656" s="65" t="s">
        <v>1447</v>
      </c>
      <c r="G656" s="64" t="s">
        <v>1163</v>
      </c>
      <c r="H656" s="65" t="s">
        <v>1447</v>
      </c>
      <c r="I656" s="63"/>
      <c r="J656" s="63"/>
      <c r="K656" s="63"/>
      <c r="L656" s="63"/>
      <c r="M656" s="63"/>
      <c r="N656" s="63"/>
      <c r="O656" s="63"/>
    </row>
    <row r="657" spans="2:15" ht="30" customHeight="1">
      <c r="B657" s="62" t="s">
        <v>517</v>
      </c>
      <c r="C657" s="63" t="s">
        <v>518</v>
      </c>
      <c r="D657" s="70" t="str">
        <f>_xlfn.XLOOKUP(B657,Table24[ActionID],Table24[Description],"")</f>
        <v>Promote alternative income opportunities to reduce the vulnerability of communities dependent on fisheries and mariculture. Municipal governments can facilitate training, microcredit programs, and connections to value chains that enable diversification into eco-tourism, agro-processing, crafts, and service sectors. By supporting infrastructure upgrades, skills development, and access to finance, cities can help stabilize incomes, strengthen local economies, and protect livelihoods from the impacts of shifting marine species distributions and climate variability.</v>
      </c>
      <c r="E657" s="64" t="s">
        <v>1163</v>
      </c>
      <c r="F657" s="65" t="s">
        <v>1447</v>
      </c>
      <c r="G657" s="64" t="s">
        <v>1163</v>
      </c>
      <c r="H657" s="65" t="s">
        <v>1447</v>
      </c>
      <c r="I657" s="63"/>
      <c r="J657" s="63"/>
      <c r="K657" s="63"/>
      <c r="L657" s="63"/>
      <c r="M657" s="63"/>
      <c r="N657" s="63"/>
      <c r="O657" s="63"/>
    </row>
    <row r="658" spans="2:15" ht="15" customHeight="1">
      <c r="B658" s="62" t="s">
        <v>522</v>
      </c>
      <c r="C658" s="63" t="s">
        <v>523</v>
      </c>
      <c r="D658" s="70" t="str">
        <f>_xlfn.XLOOKUP(B658,Table24[ActionID],Table24[Description],"")</f>
        <v>Social safety nets encompass adaptive social protection mechanisms to reduce food insecurity and malnutrition, especially for vulnerable populations. These include cash transfers, school feeding programs, public work initiatives, unemployment compensation, land reforms, credit and insurance schemes. Integrated approaches combine climate risk assessments with disaster risk reduction, education, and social equity to enhance resilience to climate stresses.</v>
      </c>
      <c r="E658" s="64" t="s">
        <v>1163</v>
      </c>
      <c r="F658" s="65" t="s">
        <v>1447</v>
      </c>
      <c r="G658" s="64" t="s">
        <v>1163</v>
      </c>
      <c r="H658" s="65" t="s">
        <v>1447</v>
      </c>
      <c r="I658" s="63"/>
      <c r="J658" s="63"/>
      <c r="K658" s="63"/>
      <c r="L658" s="63"/>
      <c r="M658" s="63"/>
      <c r="N658" s="63"/>
      <c r="O658" s="63"/>
    </row>
    <row r="659" spans="2:15" ht="15" customHeight="1">
      <c r="B659" s="62" t="s">
        <v>527</v>
      </c>
      <c r="C659" s="63" t="s">
        <v>528</v>
      </c>
      <c r="D659" s="70" t="str">
        <f>_xlfn.XLOOKUP(B659,Table24[ActionID],Table24[Description],"")</f>
        <v>Enhancing access to health care services, including health and nutrition services, clean water, sanitation, and culturally appropriate mental health resources. Expanding telemedicine capabilities enables efficient health service delivery, particularly for remote and underserved populations. Strengthening basic public health systems and disaster preparedness can rapidly reduce vulnerability to climate-related health risks.</v>
      </c>
      <c r="E659" s="64" t="s">
        <v>1163</v>
      </c>
      <c r="F659" s="65" t="s">
        <v>1447</v>
      </c>
      <c r="G659" s="64" t="s">
        <v>1163</v>
      </c>
      <c r="H659" s="65" t="s">
        <v>1447</v>
      </c>
      <c r="I659" s="63"/>
      <c r="J659" s="63"/>
      <c r="K659" s="63"/>
      <c r="L659" s="63"/>
      <c r="M659" s="63"/>
      <c r="N659" s="63"/>
      <c r="O659" s="63"/>
    </row>
    <row r="660" spans="2:15" ht="30" customHeight="1">
      <c r="B660" s="62" t="s">
        <v>531</v>
      </c>
      <c r="C660" s="63" t="s">
        <v>532</v>
      </c>
      <c r="D660" s="70" t="str">
        <f>_xlfn.XLOOKUP(B660,Table24[ActionID],Table24[Description],"")</f>
        <v>Support the adoption of climate-smart agricultural and aquaculture practices by creating enabling conditions for farmers and fishers. Municipal governments can promote improved breeds, feed, and fertilizers, enhance irrigation efficiency, and foster aquaculture resilience through extension services, research partnerships, and targeted procurement. By offering incentives, technical assistance, and facilitating access to innovation and finance, cities can help producers adopt agroecological systems, diversify crops, and strengthen sustainable practices that build resilience to climate impacts.</v>
      </c>
      <c r="E660" s="64" t="s">
        <v>1162</v>
      </c>
      <c r="F660" s="65" t="s">
        <v>1459</v>
      </c>
      <c r="G660" s="64" t="s">
        <v>1163</v>
      </c>
      <c r="H660" s="65" t="s">
        <v>1447</v>
      </c>
      <c r="I660" s="63"/>
      <c r="J660" s="63"/>
      <c r="K660" s="63"/>
      <c r="L660" s="63"/>
      <c r="M660" s="63"/>
      <c r="N660" s="63"/>
      <c r="O660" s="63"/>
    </row>
    <row r="661" spans="2:15" ht="30" customHeight="1">
      <c r="B661" s="62" t="s">
        <v>535</v>
      </c>
      <c r="C661" s="63" t="s">
        <v>536</v>
      </c>
      <c r="D661" s="70" t="str">
        <f>_xlfn.XLOOKUP(B661,Table24[ActionID],Table24[Description],"")</f>
        <v>Strengthen local food systems by improving storage and distribution infrastructure to reduce losses and enhance resilience to climate impacts. Municipal governments can invest in public facilities such as cool storage units, silos, and warehouses, while upgrading logistics to handle perishable goods more efficiently. By supporting local markets, optimizing distribution networks, and facilitating access to reliable storage for producers and vendors, cities can improve food security, reduce waste, and ensure stable food availability during crises and extreme events.</v>
      </c>
      <c r="E661" s="64" t="s">
        <v>1163</v>
      </c>
      <c r="F661" s="65" t="s">
        <v>1447</v>
      </c>
      <c r="G661" s="64" t="s">
        <v>1163</v>
      </c>
      <c r="H661" s="65" t="s">
        <v>1447</v>
      </c>
      <c r="I661" s="63"/>
      <c r="J661" s="63"/>
      <c r="K661" s="63"/>
      <c r="L661" s="63"/>
      <c r="M661" s="63"/>
      <c r="N661" s="63"/>
      <c r="O661" s="63"/>
    </row>
    <row r="662" spans="2:15" ht="45" customHeight="1">
      <c r="B662" s="62" t="s">
        <v>539</v>
      </c>
      <c r="C662" s="63" t="s">
        <v>540</v>
      </c>
      <c r="D662" s="70" t="str">
        <f>_xlfn.XLOOKUP(B662,Table24[ActionID],Table24[Description],"")</f>
        <v>Increase resilience through improved food production, distribution, and consumption practices. Actions include enhancing agricultural techniques, adopting water-saving technologies, implementing low-cost storage solutions, and promoting plant-based diets. Policymakers can encourage these behaviors with appropriate pricing policies, sustainable agriculture initiatives, and support for disadvantaged groups. The action emphasizes shifting to healthier diets, reducing overconsumption, and supporting local food systems to mitigate greenhouse gas emissions and ensure food security under climate change.</v>
      </c>
      <c r="E662" s="64" t="s">
        <v>1163</v>
      </c>
      <c r="F662" s="65" t="s">
        <v>1447</v>
      </c>
      <c r="G662" s="64" t="s">
        <v>1163</v>
      </c>
      <c r="H662" s="65" t="s">
        <v>1447</v>
      </c>
      <c r="I662" s="63"/>
      <c r="J662" s="63"/>
      <c r="K662" s="63"/>
      <c r="L662" s="63"/>
      <c r="M662" s="63"/>
      <c r="N662" s="63"/>
      <c r="O662" s="63"/>
    </row>
    <row r="663" spans="2:15" ht="15" customHeight="1">
      <c r="B663" s="62" t="s">
        <v>543</v>
      </c>
      <c r="C663" s="63" t="s">
        <v>544</v>
      </c>
      <c r="D663" s="70" t="str">
        <f>_xlfn.XLOOKUP(B663,Table24[ActionID],Table24[Description],"")</f>
        <v>Implementation of water harvesting and storage solutions, such as on-farm ponds, water body revitalization, rain gardens, bioswales, retention ponds, pumped storage, and water storage tanks. These measures aim to mitigate climate-induced impacts by improving water management, reducing stormwater runoff, improving water quality, and supporting agriculture and energy production in changing climate scenarios. Water reservoirs and multipurpose dams offer additional benefits by addressing water scarcity and managing risks associated with natural disasters. These adaptation strategies contribute to sustainable water use and resilience to climate-related challenges.</v>
      </c>
      <c r="E663" s="64" t="s">
        <v>1163</v>
      </c>
      <c r="F663" s="65" t="s">
        <v>1447</v>
      </c>
      <c r="G663" s="64" t="s">
        <v>1163</v>
      </c>
      <c r="H663" s="65" t="s">
        <v>1447</v>
      </c>
      <c r="I663" s="63"/>
      <c r="J663" s="63"/>
      <c r="K663" s="63"/>
      <c r="L663" s="63"/>
      <c r="M663" s="63"/>
      <c r="N663" s="63"/>
      <c r="O663" s="63"/>
    </row>
    <row r="664" spans="2:15" ht="15" customHeight="1">
      <c r="B664" s="62" t="s">
        <v>547</v>
      </c>
      <c r="C664" s="63" t="s">
        <v>548</v>
      </c>
      <c r="D664" s="70" t="str">
        <f>_xlfn.XLOOKUP(B664,Table24[ActionID],Table24[Description],"")</f>
        <v>Implementing advanced irrigation techniques such as precision and drip irrigation to enhance water use efficiency in agriculture. Managed Aquifer Recharge (MAR) is applied to replenish groundwater supplies using stormwater, treated wastewater, or other sources. These actions are complemented by cooperative policies across multiple sectors to ensure sustainable water resource management, equitable access, and regional collaboration. Additionally, promoting changes in water consumption patterns, such as reducing waste and improving efficiency in urban and agricultural water use, supports resilience against water scarcity and enhances adaptive capacity in vulnerable regions. These efforts collectively aim to address the growing demand for freshwater in the face of climate change and ensure long-term sustainability.</v>
      </c>
      <c r="E664" s="64" t="s">
        <v>1163</v>
      </c>
      <c r="F664" s="65" t="s">
        <v>1447</v>
      </c>
      <c r="G664" s="64" t="s">
        <v>1163</v>
      </c>
      <c r="H664" s="65" t="s">
        <v>1447</v>
      </c>
      <c r="I664" s="63"/>
      <c r="J664" s="63"/>
      <c r="K664" s="63"/>
      <c r="L664" s="63"/>
      <c r="M664" s="63"/>
      <c r="N664" s="63"/>
      <c r="O664" s="63"/>
    </row>
    <row r="665" spans="2:15" ht="15" customHeight="1">
      <c r="B665" s="62" t="s">
        <v>552</v>
      </c>
      <c r="C665" s="63" t="s">
        <v>553</v>
      </c>
      <c r="D665" s="70" t="str">
        <f>_xlfn.XLOOKUP(B665,Table24[ActionID],Table24[Description],"")</f>
        <v>Implementing sustainable water supply systems by constructing irrigation infrastructure, promoting inter-basin water transfers, utilizing nature-based solutions (NBS) such as rain gardens, bioswales, and wetlands, and integrating advanced techniques like water reuse and water upgrading. Water reuse involves treating and recycling wastewater for non-potable or potable purposes, while water upgrading focuses on improving the quality of available water for diverse uses. These approaches enhance stormwater infiltration, improve urban water management, increase drought resilience, and support groundwater recharge. They provide energy-efficient and economical water solutions while maintaining sustainable urban development.</v>
      </c>
      <c r="E665" s="64" t="s">
        <v>1163</v>
      </c>
      <c r="F665" s="65" t="s">
        <v>1447</v>
      </c>
      <c r="G665" s="64" t="s">
        <v>1163</v>
      </c>
      <c r="H665" s="65" t="s">
        <v>1447</v>
      </c>
      <c r="I665" s="63"/>
      <c r="J665" s="63"/>
      <c r="K665" s="63"/>
      <c r="L665" s="63"/>
      <c r="M665" s="63"/>
      <c r="N665" s="63"/>
      <c r="O665" s="63"/>
    </row>
    <row r="666" spans="2:15" ht="30" customHeight="1">
      <c r="B666" s="62" t="s">
        <v>556</v>
      </c>
      <c r="C666" s="63" t="s">
        <v>557</v>
      </c>
      <c r="D666" s="70" t="str">
        <f>_xlfn.XLOOKUP(B666,Table24[ActionID],Table24[Description],"")</f>
        <v>Facilitating mobility of fishing fleets and workers to adapt to shifting marine species distributions caused by climate change. This includes enabling seasonal or temporary migration to align with the availability of resources, improving infrastructure and technology to support mobility, and fostering flexible governance to manage transboundary resources sustainably. These actions aim to maintain livelihoods and reduce economic impacts of climate variability.</v>
      </c>
      <c r="E666" s="64" t="s">
        <v>1163</v>
      </c>
      <c r="F666" s="65" t="s">
        <v>1447</v>
      </c>
      <c r="G666" s="64" t="s">
        <v>1163</v>
      </c>
      <c r="H666" s="65" t="s">
        <v>1447</v>
      </c>
      <c r="I666" s="63"/>
      <c r="J666" s="63"/>
      <c r="K666" s="63"/>
      <c r="L666" s="63"/>
      <c r="M666" s="63"/>
      <c r="N666" s="63"/>
      <c r="O666" s="63"/>
    </row>
    <row r="667" spans="2:15" ht="15" customHeight="1">
      <c r="B667" s="62" t="s">
        <v>561</v>
      </c>
      <c r="C667" s="63" t="s">
        <v>562</v>
      </c>
      <c r="D667" s="70" t="str">
        <f>_xlfn.XLOOKUP(B667,Table24[ActionID],Table24[Description],"")</f>
        <v>Enhancing cooperative governance through transboundary fishing agreements and inclusive ocean governance. This involves participatory approaches, structured decision-making tools, and decentralized frameworks that couple top-down management with community-driven initiatives. Additional strategies include collective water management systems to optimize resource use under climate-induced variability, indigenous water-sharing systems rooted in traditional practices to ensure sustainable and equitable resource allocation, and enforcing the land rights of Indigenous populations to protect biodiversity and cultural heritage. Adaptive co-management in Arctic fisheries integrates local and scientific knowledge to address climate impacts on marine resources. The international compact on migration fosters orderly and safe migration as an adaptive response to climate risks, and policies for adaptive governance promote ecosystem-based solutions, legal frameworks, and institutional adaptations to enhance resilience to climate change. These combined measures address geopolitical complexities, ensure equitable resource distribution, and strengthen resilience to climate-induced hazards.</v>
      </c>
      <c r="E667" s="64" t="s">
        <v>1163</v>
      </c>
      <c r="F667" s="65" t="s">
        <v>1447</v>
      </c>
      <c r="G667" s="64" t="s">
        <v>1163</v>
      </c>
      <c r="H667" s="65" t="s">
        <v>1447</v>
      </c>
      <c r="I667" s="63"/>
      <c r="J667" s="63"/>
      <c r="K667" s="63"/>
      <c r="L667" s="63"/>
      <c r="M667" s="63"/>
      <c r="N667" s="63"/>
      <c r="O667" s="63"/>
    </row>
    <row r="668" spans="2:15" ht="30" customHeight="1">
      <c r="B668" s="62" t="s">
        <v>564</v>
      </c>
      <c r="C668" s="63" t="s">
        <v>565</v>
      </c>
      <c r="D668" s="70" t="str">
        <f>_xlfn.XLOOKUP(B668,Table24[ActionID],Table24[Description],"")</f>
        <v>Resettlement of communities from flood-prone areas and rural–urban migration as a strategy to mitigate vulnerabilities caused by climate change. This includes addressing urbanization challenges, such as unplanned development, water insecurity, and socioeconomic disparities, while providing equitable opportunities for migrants in urban centers. Measures include enhancing urban planning, water resource management, and social support systems for displaced populations.</v>
      </c>
      <c r="E668" s="64" t="s">
        <v>1163</v>
      </c>
      <c r="F668" s="65" t="s">
        <v>1447</v>
      </c>
      <c r="G668" s="64" t="s">
        <v>1163</v>
      </c>
      <c r="H668" s="65" t="s">
        <v>1447</v>
      </c>
      <c r="I668" s="63"/>
      <c r="J668" s="63"/>
      <c r="K668" s="63"/>
      <c r="L668" s="63"/>
      <c r="M668" s="63"/>
      <c r="N668" s="63"/>
      <c r="O668" s="63"/>
    </row>
    <row r="669" spans="2:15" ht="15" customHeight="1"/>
    <row r="670" spans="2:15" ht="15" customHeight="1"/>
  </sheetData>
  <mergeCells count="185">
    <mergeCell ref="B1:O1"/>
    <mergeCell ref="B2:O2"/>
    <mergeCell ref="B4:O4"/>
    <mergeCell ref="B68:O68"/>
    <mergeCell ref="B125:O125"/>
    <mergeCell ref="B127:O127"/>
    <mergeCell ref="B137:O137"/>
    <mergeCell ref="H138:O138"/>
    <mergeCell ref="H139:O139"/>
    <mergeCell ref="H140:O140"/>
    <mergeCell ref="H141:O141"/>
    <mergeCell ref="H142:O142"/>
    <mergeCell ref="B128:O128"/>
    <mergeCell ref="B130:O130"/>
    <mergeCell ref="B131:O131"/>
    <mergeCell ref="B133:O133"/>
    <mergeCell ref="B134:O134"/>
    <mergeCell ref="B136:O136"/>
    <mergeCell ref="H149:O149"/>
    <mergeCell ref="B151:O151"/>
    <mergeCell ref="B152:O152"/>
    <mergeCell ref="B153:O153"/>
    <mergeCell ref="B154:O154"/>
    <mergeCell ref="B155:O155"/>
    <mergeCell ref="B143:O143"/>
    <mergeCell ref="B144:O144"/>
    <mergeCell ref="H145:O145"/>
    <mergeCell ref="H146:O146"/>
    <mergeCell ref="H147:O147"/>
    <mergeCell ref="H148:O148"/>
    <mergeCell ref="B219:O219"/>
    <mergeCell ref="B221:O221"/>
    <mergeCell ref="B222:O222"/>
    <mergeCell ref="B224:O224"/>
    <mergeCell ref="B225:O225"/>
    <mergeCell ref="B227:O227"/>
    <mergeCell ref="B156:O156"/>
    <mergeCell ref="B157:O157"/>
    <mergeCell ref="B158:O158"/>
    <mergeCell ref="B159:O159"/>
    <mergeCell ref="B216:O216"/>
    <mergeCell ref="B218:O218"/>
    <mergeCell ref="B234:O234"/>
    <mergeCell ref="B235:O235"/>
    <mergeCell ref="H236:O236"/>
    <mergeCell ref="H237:O237"/>
    <mergeCell ref="H238:O238"/>
    <mergeCell ref="H239:O239"/>
    <mergeCell ref="B228:O228"/>
    <mergeCell ref="H229:O229"/>
    <mergeCell ref="H230:O230"/>
    <mergeCell ref="H231:O231"/>
    <mergeCell ref="H232:O232"/>
    <mergeCell ref="H233:O233"/>
    <mergeCell ref="B247:O247"/>
    <mergeCell ref="B248:O248"/>
    <mergeCell ref="B249:O249"/>
    <mergeCell ref="B250:O250"/>
    <mergeCell ref="B307:O307"/>
    <mergeCell ref="B309:O309"/>
    <mergeCell ref="H240:O240"/>
    <mergeCell ref="B242:O242"/>
    <mergeCell ref="B243:O243"/>
    <mergeCell ref="B244:O244"/>
    <mergeCell ref="B245:O245"/>
    <mergeCell ref="B246:O246"/>
    <mergeCell ref="B319:O319"/>
    <mergeCell ref="H320:O320"/>
    <mergeCell ref="H321:O321"/>
    <mergeCell ref="H322:O322"/>
    <mergeCell ref="H323:O323"/>
    <mergeCell ref="H324:O324"/>
    <mergeCell ref="B310:O310"/>
    <mergeCell ref="B312:O312"/>
    <mergeCell ref="B313:O313"/>
    <mergeCell ref="B315:O315"/>
    <mergeCell ref="B316:O316"/>
    <mergeCell ref="B318:O318"/>
    <mergeCell ref="H331:O331"/>
    <mergeCell ref="B333:O333"/>
    <mergeCell ref="B334:O334"/>
    <mergeCell ref="B335:O335"/>
    <mergeCell ref="B336:O336"/>
    <mergeCell ref="B337:O337"/>
    <mergeCell ref="B325:O325"/>
    <mergeCell ref="B326:O326"/>
    <mergeCell ref="H327:O327"/>
    <mergeCell ref="H328:O328"/>
    <mergeCell ref="H329:O329"/>
    <mergeCell ref="H330:O330"/>
    <mergeCell ref="B401:O401"/>
    <mergeCell ref="B403:O403"/>
    <mergeCell ref="B404:O404"/>
    <mergeCell ref="B406:O406"/>
    <mergeCell ref="B407:O407"/>
    <mergeCell ref="B409:O409"/>
    <mergeCell ref="B338:O338"/>
    <mergeCell ref="B339:O339"/>
    <mergeCell ref="B340:O340"/>
    <mergeCell ref="B341:O341"/>
    <mergeCell ref="B398:O398"/>
    <mergeCell ref="B400:O400"/>
    <mergeCell ref="B416:O416"/>
    <mergeCell ref="B417:O417"/>
    <mergeCell ref="H418:O418"/>
    <mergeCell ref="H419:O419"/>
    <mergeCell ref="H420:O420"/>
    <mergeCell ref="H421:O421"/>
    <mergeCell ref="B410:O410"/>
    <mergeCell ref="H411:O411"/>
    <mergeCell ref="H412:O412"/>
    <mergeCell ref="H413:O413"/>
    <mergeCell ref="H414:O414"/>
    <mergeCell ref="H415:O415"/>
    <mergeCell ref="B429:O429"/>
    <mergeCell ref="B430:O430"/>
    <mergeCell ref="B431:O431"/>
    <mergeCell ref="B432:O432"/>
    <mergeCell ref="B489:O489"/>
    <mergeCell ref="B491:O491"/>
    <mergeCell ref="H422:O422"/>
    <mergeCell ref="B424:O424"/>
    <mergeCell ref="B425:O425"/>
    <mergeCell ref="B426:O426"/>
    <mergeCell ref="B427:O427"/>
    <mergeCell ref="B428:O428"/>
    <mergeCell ref="B501:O501"/>
    <mergeCell ref="H502:O502"/>
    <mergeCell ref="H503:O503"/>
    <mergeCell ref="H504:O504"/>
    <mergeCell ref="H505:O505"/>
    <mergeCell ref="H506:O506"/>
    <mergeCell ref="B492:O492"/>
    <mergeCell ref="B494:O494"/>
    <mergeCell ref="B495:O495"/>
    <mergeCell ref="B497:O497"/>
    <mergeCell ref="B498:O498"/>
    <mergeCell ref="B500:O500"/>
    <mergeCell ref="H513:O513"/>
    <mergeCell ref="B515:O515"/>
    <mergeCell ref="B516:O516"/>
    <mergeCell ref="B517:O517"/>
    <mergeCell ref="B518:O518"/>
    <mergeCell ref="B519:O519"/>
    <mergeCell ref="B507:O507"/>
    <mergeCell ref="B508:O508"/>
    <mergeCell ref="H509:O509"/>
    <mergeCell ref="H510:O510"/>
    <mergeCell ref="H511:O511"/>
    <mergeCell ref="H512:O512"/>
    <mergeCell ref="B585:O585"/>
    <mergeCell ref="B586:O586"/>
    <mergeCell ref="B588:O588"/>
    <mergeCell ref="B589:O589"/>
    <mergeCell ref="B591:O591"/>
    <mergeCell ref="B520:O520"/>
    <mergeCell ref="B521:O521"/>
    <mergeCell ref="B522:O522"/>
    <mergeCell ref="B523:O523"/>
    <mergeCell ref="B580:O580"/>
    <mergeCell ref="B582:O582"/>
    <mergeCell ref="B611:O611"/>
    <mergeCell ref="B612:O612"/>
    <mergeCell ref="B613:O613"/>
    <mergeCell ref="B614:O614"/>
    <mergeCell ref="B11:O11"/>
    <mergeCell ref="H604:O604"/>
    <mergeCell ref="B606:O606"/>
    <mergeCell ref="B607:O607"/>
    <mergeCell ref="B608:O608"/>
    <mergeCell ref="B609:O609"/>
    <mergeCell ref="B610:O610"/>
    <mergeCell ref="B598:O598"/>
    <mergeCell ref="B599:O599"/>
    <mergeCell ref="H600:O600"/>
    <mergeCell ref="H601:O601"/>
    <mergeCell ref="H602:O602"/>
    <mergeCell ref="H603:O603"/>
    <mergeCell ref="B592:O592"/>
    <mergeCell ref="H593:O593"/>
    <mergeCell ref="H594:O594"/>
    <mergeCell ref="H595:O595"/>
    <mergeCell ref="H596:O596"/>
    <mergeCell ref="H597:O597"/>
    <mergeCell ref="B583:O583"/>
  </mergeCells>
  <dataValidations count="1">
    <dataValidation type="list" allowBlank="1" showInputMessage="1" showErrorMessage="1" errorTitle="Invalid assessment" error="Select one of the four approved effectiveness classes." sqref="E161:E213 G161:G213 E252:E304 G252:G304 E343:E395 G343:G395 E434:E486 G434:G486 E525:E577 G525:G577 E616:E668 G616:G668" xr:uid="{34EFCC54-6930-4C65-B033-A382BDA006EF}">
      <formula1>$B$6:$B$9</formula1>
    </dataValidation>
  </dataValidations>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5F0AE-6CBA-4D6C-9B21-C8D35989A98E}">
  <sheetPr>
    <tabColor rgb="FFFFFF00"/>
  </sheetPr>
  <dimension ref="B2:H445"/>
  <sheetViews>
    <sheetView showGridLines="0" zoomScale="25" zoomScaleNormal="25" workbookViewId="0">
      <selection activeCell="L90" sqref="L90"/>
    </sheetView>
  </sheetViews>
  <sheetFormatPr baseColWidth="10" defaultRowHeight="15"/>
  <cols>
    <col min="1" max="1" width="4.5" customWidth="1"/>
    <col min="2" max="2" width="30" customWidth="1"/>
    <col min="3" max="4" width="33.296875" customWidth="1"/>
    <col min="5" max="5" width="25" customWidth="1"/>
    <col min="6" max="6" width="33.296875" customWidth="1"/>
    <col min="7" max="7" width="41.69921875" customWidth="1"/>
    <col min="8" max="8" width="81.3984375" customWidth="1"/>
    <col min="9" max="9" width="24.69921875" customWidth="1"/>
    <col min="10" max="10" width="15.296875" customWidth="1"/>
    <col min="12" max="12" width="49" customWidth="1"/>
  </cols>
  <sheetData>
    <row r="2" spans="2:8" ht="21">
      <c r="B2" s="176" t="s">
        <v>853</v>
      </c>
      <c r="C2" s="176"/>
      <c r="D2" s="176"/>
      <c r="E2" s="176"/>
      <c r="F2" s="176"/>
      <c r="G2" s="176"/>
      <c r="H2" s="176"/>
    </row>
    <row r="3" spans="2:8">
      <c r="B3" s="31" t="s">
        <v>854</v>
      </c>
      <c r="C3" s="32"/>
      <c r="D3" s="32"/>
      <c r="E3" s="32"/>
      <c r="F3" s="32"/>
      <c r="G3" s="32"/>
      <c r="H3" s="32"/>
    </row>
    <row r="5" spans="2:8">
      <c r="B5" s="33" t="s">
        <v>855</v>
      </c>
      <c r="C5" s="33" t="s">
        <v>863</v>
      </c>
      <c r="D5" s="33" t="s">
        <v>864</v>
      </c>
      <c r="E5" s="33" t="s">
        <v>865</v>
      </c>
      <c r="F5" s="33" t="s">
        <v>866</v>
      </c>
      <c r="G5" s="33" t="s">
        <v>867</v>
      </c>
      <c r="H5" s="33" t="s">
        <v>868</v>
      </c>
    </row>
    <row r="6" spans="2:8">
      <c r="B6" s="6" t="s">
        <v>830</v>
      </c>
      <c r="C6" s="19">
        <f t="shared" ref="C6:H6" si="0">C26</f>
        <v>1</v>
      </c>
      <c r="D6" s="19">
        <f t="shared" si="0"/>
        <v>1</v>
      </c>
      <c r="E6" s="20">
        <f t="shared" si="0"/>
        <v>3</v>
      </c>
      <c r="F6" s="19">
        <f t="shared" si="0"/>
        <v>2</v>
      </c>
      <c r="G6" s="19">
        <f t="shared" si="0"/>
        <v>11</v>
      </c>
      <c r="H6" s="19">
        <f t="shared" si="0"/>
        <v>35</v>
      </c>
    </row>
    <row r="7" spans="2:8">
      <c r="B7" s="6" t="s">
        <v>831</v>
      </c>
      <c r="C7" s="19">
        <f t="shared" ref="C7:H7" si="1">C69</f>
        <v>1</v>
      </c>
      <c r="D7" s="20">
        <f t="shared" si="1"/>
        <v>1</v>
      </c>
      <c r="E7" s="19">
        <f t="shared" si="1"/>
        <v>3</v>
      </c>
      <c r="F7" s="19">
        <f t="shared" si="1"/>
        <v>2</v>
      </c>
      <c r="G7" s="19">
        <f t="shared" si="1"/>
        <v>14</v>
      </c>
      <c r="H7" s="19">
        <f t="shared" si="1"/>
        <v>56</v>
      </c>
    </row>
    <row r="8" spans="2:8">
      <c r="B8" s="6" t="s">
        <v>834</v>
      </c>
      <c r="C8" s="19">
        <f t="shared" ref="C8:H8" si="2">C132</f>
        <v>1</v>
      </c>
      <c r="D8" s="19">
        <f t="shared" si="2"/>
        <v>4</v>
      </c>
      <c r="E8" s="19">
        <f t="shared" si="2"/>
        <v>3</v>
      </c>
      <c r="F8" s="19">
        <f t="shared" si="2"/>
        <v>2</v>
      </c>
      <c r="G8" s="19">
        <f t="shared" si="2"/>
        <v>10</v>
      </c>
      <c r="H8" s="19">
        <f t="shared" si="2"/>
        <v>57</v>
      </c>
    </row>
    <row r="9" spans="2:8">
      <c r="B9" s="6" t="s">
        <v>835</v>
      </c>
      <c r="C9" s="19">
        <f t="shared" ref="C9:H9" si="3">C196</f>
        <v>1</v>
      </c>
      <c r="D9" s="19">
        <f t="shared" si="3"/>
        <v>2</v>
      </c>
      <c r="E9" s="19">
        <f t="shared" si="3"/>
        <v>3</v>
      </c>
      <c r="F9" s="19">
        <f t="shared" si="3"/>
        <v>3</v>
      </c>
      <c r="G9" s="19">
        <f t="shared" si="3"/>
        <v>8</v>
      </c>
      <c r="H9" s="19">
        <f t="shared" si="3"/>
        <v>54</v>
      </c>
    </row>
    <row r="10" spans="2:8">
      <c r="B10" s="6" t="s">
        <v>838</v>
      </c>
      <c r="C10" s="19">
        <f t="shared" ref="C10:H10" si="4">C259</f>
        <v>1</v>
      </c>
      <c r="D10" s="19">
        <f t="shared" si="4"/>
        <v>1</v>
      </c>
      <c r="E10" s="19">
        <f t="shared" si="4"/>
        <v>3</v>
      </c>
      <c r="F10" s="19">
        <f t="shared" si="4"/>
        <v>4</v>
      </c>
      <c r="G10" s="19">
        <f t="shared" si="4"/>
        <v>7</v>
      </c>
      <c r="H10" s="19">
        <f t="shared" si="4"/>
        <v>21</v>
      </c>
    </row>
    <row r="11" spans="2:8">
      <c r="B11" s="6" t="s">
        <v>832</v>
      </c>
      <c r="C11" s="19">
        <f t="shared" ref="C11:H11" si="5">C287</f>
        <v>1</v>
      </c>
      <c r="D11" s="19">
        <f t="shared" si="5"/>
        <v>2</v>
      </c>
      <c r="E11" s="19">
        <f t="shared" si="5"/>
        <v>3</v>
      </c>
      <c r="F11" s="19">
        <f t="shared" si="5"/>
        <v>2</v>
      </c>
      <c r="G11" s="19" t="str">
        <f t="shared" si="5"/>
        <v>-</v>
      </c>
      <c r="H11" s="19">
        <f t="shared" si="5"/>
        <v>21</v>
      </c>
    </row>
    <row r="12" spans="2:8">
      <c r="B12" s="6" t="s">
        <v>833</v>
      </c>
      <c r="C12" s="19">
        <f t="shared" ref="C12:H12" si="6">C315</f>
        <v>1</v>
      </c>
      <c r="D12" s="19">
        <f t="shared" si="6"/>
        <v>3</v>
      </c>
      <c r="E12" s="19">
        <f t="shared" si="6"/>
        <v>3</v>
      </c>
      <c r="F12" s="19">
        <f t="shared" si="6"/>
        <v>5</v>
      </c>
      <c r="G12" s="19">
        <f t="shared" si="6"/>
        <v>2</v>
      </c>
      <c r="H12" s="19">
        <f t="shared" si="6"/>
        <v>54</v>
      </c>
    </row>
    <row r="13" spans="2:8">
      <c r="B13" s="6" t="s">
        <v>836</v>
      </c>
      <c r="C13" s="19">
        <f t="shared" ref="C13:H13" si="7">C376</f>
        <v>1</v>
      </c>
      <c r="D13" s="19">
        <f t="shared" si="7"/>
        <v>3</v>
      </c>
      <c r="E13" s="19">
        <f t="shared" si="7"/>
        <v>3</v>
      </c>
      <c r="F13" s="19" t="str">
        <f t="shared" si="7"/>
        <v>-</v>
      </c>
      <c r="G13" s="19" t="str">
        <f t="shared" si="7"/>
        <v>-</v>
      </c>
      <c r="H13" s="20">
        <f t="shared" si="7"/>
        <v>18</v>
      </c>
    </row>
    <row r="14" spans="2:8">
      <c r="B14" s="6" t="s">
        <v>837</v>
      </c>
      <c r="C14" s="19">
        <f t="shared" ref="C14:H14" si="8">C401</f>
        <v>1</v>
      </c>
      <c r="D14" s="19">
        <f t="shared" si="8"/>
        <v>5</v>
      </c>
      <c r="E14" s="19">
        <f t="shared" si="8"/>
        <v>3</v>
      </c>
      <c r="F14" s="19" t="str">
        <f t="shared" si="8"/>
        <v>-</v>
      </c>
      <c r="G14" s="19" t="str">
        <f t="shared" si="8"/>
        <v>-</v>
      </c>
      <c r="H14" s="19">
        <f t="shared" si="8"/>
        <v>43</v>
      </c>
    </row>
    <row r="15" spans="2:8">
      <c r="B15" s="34" t="s">
        <v>829</v>
      </c>
      <c r="C15" s="35">
        <f t="shared" ref="C15:H15" si="9">SUM(C6:C14)</f>
        <v>9</v>
      </c>
      <c r="D15" s="35">
        <f t="shared" si="9"/>
        <v>22</v>
      </c>
      <c r="E15" s="35">
        <f t="shared" si="9"/>
        <v>27</v>
      </c>
      <c r="F15" s="35">
        <f t="shared" si="9"/>
        <v>20</v>
      </c>
      <c r="G15" s="35">
        <f t="shared" si="9"/>
        <v>52</v>
      </c>
      <c r="H15" s="35">
        <f t="shared" si="9"/>
        <v>359</v>
      </c>
    </row>
    <row r="17" spans="2:8">
      <c r="B17" s="39" t="s">
        <v>1191</v>
      </c>
      <c r="C17" s="38" t="e">
        <f>ROWS(#REF!)</f>
        <v>#REF!</v>
      </c>
    </row>
    <row r="19" spans="2:8">
      <c r="B19" s="36" t="s">
        <v>1190</v>
      </c>
      <c r="C19" s="37" t="e">
        <f t="shared" ref="C19:H19" si="10">$C$17*C15</f>
        <v>#REF!</v>
      </c>
      <c r="D19" s="37" t="e">
        <f t="shared" si="10"/>
        <v>#REF!</v>
      </c>
      <c r="E19" s="37" t="e">
        <f t="shared" si="10"/>
        <v>#REF!</v>
      </c>
      <c r="F19" s="37" t="e">
        <f t="shared" si="10"/>
        <v>#REF!</v>
      </c>
      <c r="G19" s="37" t="e">
        <f t="shared" si="10"/>
        <v>#REF!</v>
      </c>
      <c r="H19" s="37" t="e">
        <f t="shared" si="10"/>
        <v>#REF!</v>
      </c>
    </row>
    <row r="23" spans="2:8" ht="15.6" thickBot="1"/>
    <row r="24" spans="2:8" ht="22.05" customHeight="1">
      <c r="C24" s="173" t="s">
        <v>869</v>
      </c>
      <c r="D24" s="174"/>
      <c r="E24" s="174"/>
      <c r="F24" s="174"/>
      <c r="G24" s="174"/>
      <c r="H24" s="175"/>
    </row>
    <row r="25" spans="2:8">
      <c r="C25" s="7"/>
      <c r="D25" s="8"/>
      <c r="E25" s="8"/>
      <c r="F25" s="8"/>
      <c r="G25" s="8"/>
      <c r="H25" s="9"/>
    </row>
    <row r="26" spans="2:8">
      <c r="C26" s="10" cm="1">
        <f t="array" ref="C26">IFERROR(ROWS(_xlfn.UNIQUE(_xlfn._xlws.FILTER(C28:C62,C28:C62&lt;&gt;""))),"-")</f>
        <v>1</v>
      </c>
      <c r="D26" s="11" cm="1">
        <f t="array" ref="D26">IFERROR(ROWS(_xlfn.UNIQUE(_xlfn._xlws.FILTER(D28:D62,D28:D62&lt;&gt;""))),"-")</f>
        <v>1</v>
      </c>
      <c r="E26" s="11" cm="1">
        <f t="array" ref="E26">IFERROR(ROWS(_xlfn.UNIQUE(_xlfn._xlws.FILTER(E28:E62,E28:E62&lt;&gt;""))),"-")</f>
        <v>3</v>
      </c>
      <c r="F26" s="11" cm="1">
        <f t="array" ref="F26">IFERROR(ROWS(_xlfn.UNIQUE(_xlfn._xlws.FILTER(F28:F62,F28:F62&lt;&gt;""))),"-")</f>
        <v>2</v>
      </c>
      <c r="G26" s="11" cm="1">
        <f t="array" ref="G26">IFERROR(ROWS(_xlfn.UNIQUE(_xlfn._xlws.FILTER(G28:G62,G28:G62&lt;&gt;""))),"-")</f>
        <v>11</v>
      </c>
      <c r="H26" s="12">
        <f>COUNTA(H28:H62)</f>
        <v>35</v>
      </c>
    </row>
    <row r="27" spans="2:8">
      <c r="C27" s="14" t="s">
        <v>771</v>
      </c>
      <c r="D27" s="15" t="s">
        <v>772</v>
      </c>
      <c r="E27" s="15" t="s">
        <v>773</v>
      </c>
      <c r="F27" s="15" t="s">
        <v>774</v>
      </c>
      <c r="G27" s="15" t="s">
        <v>775</v>
      </c>
      <c r="H27" s="16" t="s">
        <v>776</v>
      </c>
    </row>
    <row r="28" spans="2:8">
      <c r="C28" s="170" t="s">
        <v>777</v>
      </c>
      <c r="D28" s="170" t="s">
        <v>778</v>
      </c>
      <c r="E28" s="172" t="s">
        <v>959</v>
      </c>
      <c r="F28" s="170" t="s">
        <v>960</v>
      </c>
      <c r="G28" s="170" t="s">
        <v>781</v>
      </c>
      <c r="H28" s="8" t="s">
        <v>782</v>
      </c>
    </row>
    <row r="29" spans="2:8">
      <c r="C29" s="170"/>
      <c r="D29" s="170"/>
      <c r="E29" s="172"/>
      <c r="F29" s="170"/>
      <c r="G29" s="170"/>
      <c r="H29" s="8" t="s">
        <v>783</v>
      </c>
    </row>
    <row r="30" spans="2:8">
      <c r="C30" s="170"/>
      <c r="D30" s="170"/>
      <c r="E30" s="172"/>
      <c r="F30" s="170"/>
      <c r="G30" s="170"/>
      <c r="H30" s="8" t="s">
        <v>784</v>
      </c>
    </row>
    <row r="31" spans="2:8">
      <c r="C31" s="170"/>
      <c r="D31" s="170"/>
      <c r="E31" s="172"/>
      <c r="F31" s="170"/>
      <c r="G31" s="170" t="s">
        <v>785</v>
      </c>
      <c r="H31" s="8" t="s">
        <v>786</v>
      </c>
    </row>
    <row r="32" spans="2:8">
      <c r="C32" s="170"/>
      <c r="D32" s="170"/>
      <c r="E32" s="172"/>
      <c r="F32" s="170"/>
      <c r="G32" s="170"/>
      <c r="H32" s="8" t="s">
        <v>787</v>
      </c>
    </row>
    <row r="33" spans="3:8">
      <c r="C33" s="170"/>
      <c r="D33" s="170"/>
      <c r="E33" s="172"/>
      <c r="F33" s="170"/>
      <c r="G33" s="170" t="s">
        <v>961</v>
      </c>
      <c r="H33" s="8" t="s">
        <v>788</v>
      </c>
    </row>
    <row r="34" spans="3:8">
      <c r="C34" s="170"/>
      <c r="D34" s="170"/>
      <c r="E34" s="172"/>
      <c r="F34" s="170"/>
      <c r="G34" s="170"/>
      <c r="H34" s="8" t="s">
        <v>790</v>
      </c>
    </row>
    <row r="35" spans="3:8">
      <c r="C35" s="170"/>
      <c r="D35" s="170"/>
      <c r="E35" s="172"/>
      <c r="F35" s="170"/>
      <c r="G35" s="170" t="s">
        <v>789</v>
      </c>
      <c r="H35" s="8" t="s">
        <v>791</v>
      </c>
    </row>
    <row r="36" spans="3:8">
      <c r="C36" s="170"/>
      <c r="D36" s="170"/>
      <c r="E36" s="172"/>
      <c r="F36" s="170"/>
      <c r="G36" s="170"/>
      <c r="H36" s="8" t="s">
        <v>792</v>
      </c>
    </row>
    <row r="37" spans="3:8">
      <c r="C37" s="170"/>
      <c r="D37" s="170"/>
      <c r="E37" s="172"/>
      <c r="F37" s="170"/>
      <c r="G37" s="170"/>
      <c r="H37" s="8" t="s">
        <v>793</v>
      </c>
    </row>
    <row r="38" spans="3:8">
      <c r="C38" s="170"/>
      <c r="D38" s="170"/>
      <c r="E38" s="172"/>
      <c r="F38" s="170"/>
      <c r="G38" s="170"/>
      <c r="H38" s="8" t="s">
        <v>794</v>
      </c>
    </row>
    <row r="39" spans="3:8">
      <c r="C39" s="170"/>
      <c r="D39" s="170"/>
      <c r="E39" s="170"/>
      <c r="F39" s="169" t="s">
        <v>962</v>
      </c>
      <c r="G39" s="169" t="s">
        <v>796</v>
      </c>
      <c r="H39" s="29" t="s">
        <v>797</v>
      </c>
    </row>
    <row r="40" spans="3:8">
      <c r="C40" s="170"/>
      <c r="D40" s="170"/>
      <c r="E40" s="170"/>
      <c r="F40" s="170"/>
      <c r="G40" s="170"/>
      <c r="H40" s="8" t="s">
        <v>798</v>
      </c>
    </row>
    <row r="41" spans="3:8">
      <c r="C41" s="170"/>
      <c r="D41" s="170"/>
      <c r="E41" s="170"/>
      <c r="F41" s="170"/>
      <c r="G41" s="170"/>
      <c r="H41" s="8" t="s">
        <v>799</v>
      </c>
    </row>
    <row r="42" spans="3:8">
      <c r="C42" s="170"/>
      <c r="D42" s="170"/>
      <c r="E42" s="170"/>
      <c r="F42" s="170"/>
      <c r="G42" s="170"/>
      <c r="H42" s="8" t="s">
        <v>800</v>
      </c>
    </row>
    <row r="43" spans="3:8">
      <c r="C43" s="170"/>
      <c r="D43" s="170"/>
      <c r="E43" s="170"/>
      <c r="F43" s="170"/>
      <c r="G43" s="170" t="s">
        <v>801</v>
      </c>
      <c r="H43" s="8" t="s">
        <v>802</v>
      </c>
    </row>
    <row r="44" spans="3:8">
      <c r="C44" s="170"/>
      <c r="D44" s="170"/>
      <c r="E44" s="170"/>
      <c r="F44" s="170"/>
      <c r="G44" s="170"/>
      <c r="H44" s="8" t="s">
        <v>803</v>
      </c>
    </row>
    <row r="45" spans="3:8">
      <c r="C45" s="170"/>
      <c r="D45" s="170"/>
      <c r="E45" s="170"/>
      <c r="F45" s="170"/>
      <c r="G45" s="170"/>
      <c r="H45" s="8" t="s">
        <v>804</v>
      </c>
    </row>
    <row r="46" spans="3:8">
      <c r="C46" s="170"/>
      <c r="D46" s="170"/>
      <c r="E46" s="170"/>
      <c r="F46" s="170"/>
      <c r="G46" s="170"/>
      <c r="H46" s="8" t="s">
        <v>805</v>
      </c>
    </row>
    <row r="47" spans="3:8">
      <c r="C47" s="170"/>
      <c r="D47" s="170"/>
      <c r="E47" s="170"/>
      <c r="F47" s="170"/>
      <c r="G47" s="170" t="s">
        <v>806</v>
      </c>
      <c r="H47" s="8" t="s">
        <v>807</v>
      </c>
    </row>
    <row r="48" spans="3:8">
      <c r="C48" s="170"/>
      <c r="D48" s="170"/>
      <c r="E48" s="170"/>
      <c r="F48" s="170"/>
      <c r="G48" s="170"/>
      <c r="H48" s="8" t="s">
        <v>808</v>
      </c>
    </row>
    <row r="49" spans="3:8">
      <c r="C49" s="170"/>
      <c r="D49" s="170"/>
      <c r="E49" s="170"/>
      <c r="F49" s="170"/>
      <c r="G49" s="170"/>
      <c r="H49" s="8" t="s">
        <v>809</v>
      </c>
    </row>
    <row r="50" spans="3:8">
      <c r="C50" s="170"/>
      <c r="D50" s="170"/>
      <c r="E50" s="170"/>
      <c r="F50" s="170"/>
      <c r="G50" s="170" t="s">
        <v>810</v>
      </c>
      <c r="H50" s="8" t="s">
        <v>811</v>
      </c>
    </row>
    <row r="51" spans="3:8">
      <c r="C51" s="170"/>
      <c r="D51" s="170"/>
      <c r="E51" s="170"/>
      <c r="F51" s="170"/>
      <c r="G51" s="170"/>
      <c r="H51" s="8" t="s">
        <v>812</v>
      </c>
    </row>
    <row r="52" spans="3:8">
      <c r="C52" s="170"/>
      <c r="D52" s="170"/>
      <c r="E52" s="170"/>
      <c r="F52" s="170"/>
      <c r="G52" s="170" t="s">
        <v>813</v>
      </c>
      <c r="H52" s="8" t="s">
        <v>814</v>
      </c>
    </row>
    <row r="53" spans="3:8">
      <c r="C53" s="170"/>
      <c r="D53" s="170"/>
      <c r="E53" s="170"/>
      <c r="F53" s="170"/>
      <c r="G53" s="170"/>
      <c r="H53" s="8" t="s">
        <v>815</v>
      </c>
    </row>
    <row r="54" spans="3:8">
      <c r="C54" s="170"/>
      <c r="D54" s="170"/>
      <c r="E54" s="146" t="s">
        <v>963</v>
      </c>
      <c r="F54" s="147"/>
      <c r="G54" s="8" t="s">
        <v>817</v>
      </c>
      <c r="H54" s="8" t="s">
        <v>818</v>
      </c>
    </row>
    <row r="55" spans="3:8">
      <c r="C55" s="170"/>
      <c r="D55" s="170"/>
      <c r="E55" s="151"/>
      <c r="F55" s="153"/>
      <c r="G55" s="170" t="s">
        <v>819</v>
      </c>
      <c r="H55" s="8" t="s">
        <v>820</v>
      </c>
    </row>
    <row r="56" spans="3:8">
      <c r="C56" s="170"/>
      <c r="D56" s="170"/>
      <c r="E56" s="151"/>
      <c r="F56" s="153"/>
      <c r="G56" s="170"/>
      <c r="H56" s="8" t="s">
        <v>821</v>
      </c>
    </row>
    <row r="57" spans="3:8">
      <c r="C57" s="170"/>
      <c r="D57" s="170"/>
      <c r="E57" s="151"/>
      <c r="F57" s="153"/>
      <c r="G57" s="170"/>
      <c r="H57" s="8" t="s">
        <v>822</v>
      </c>
    </row>
    <row r="58" spans="3:8">
      <c r="C58" s="170"/>
      <c r="D58" s="170"/>
      <c r="E58" s="151"/>
      <c r="F58" s="153"/>
      <c r="G58" s="170"/>
      <c r="H58" s="8" t="s">
        <v>823</v>
      </c>
    </row>
    <row r="59" spans="3:8">
      <c r="C59" s="170"/>
      <c r="D59" s="170"/>
      <c r="E59" s="151"/>
      <c r="F59" s="153"/>
      <c r="G59" s="170"/>
      <c r="H59" s="8" t="s">
        <v>824</v>
      </c>
    </row>
    <row r="60" spans="3:8">
      <c r="C60" s="170"/>
      <c r="D60" s="170"/>
      <c r="E60" s="151"/>
      <c r="F60" s="153"/>
      <c r="G60" s="170"/>
      <c r="H60" s="8" t="s">
        <v>825</v>
      </c>
    </row>
    <row r="61" spans="3:8">
      <c r="C61" s="170"/>
      <c r="D61" s="170"/>
      <c r="E61" s="148"/>
      <c r="F61" s="149"/>
      <c r="G61" s="170"/>
      <c r="H61" s="8" t="s">
        <v>826</v>
      </c>
    </row>
    <row r="62" spans="3:8">
      <c r="C62" s="170"/>
      <c r="D62" s="170"/>
      <c r="E62" s="155" t="s">
        <v>964</v>
      </c>
      <c r="F62" s="156"/>
      <c r="G62" s="157"/>
      <c r="H62" s="8" t="s">
        <v>827</v>
      </c>
    </row>
    <row r="63" spans="3:8">
      <c r="C63" s="13"/>
      <c r="D63" s="13"/>
      <c r="E63" s="13"/>
      <c r="F63" s="13"/>
      <c r="G63" s="13"/>
      <c r="H63" s="13"/>
    </row>
    <row r="67" spans="3:8" ht="22.05" customHeight="1">
      <c r="C67" s="171" t="s">
        <v>870</v>
      </c>
      <c r="D67" s="171"/>
      <c r="E67" s="171"/>
      <c r="F67" s="171"/>
      <c r="G67" s="171"/>
      <c r="H67" s="171"/>
    </row>
    <row r="69" spans="3:8">
      <c r="C69" s="17" cm="1">
        <f t="array" ref="C69">IFERROR(ROWS(_xlfn.UNIQUE(_xlfn._xlws.FILTER(C71:C126,C71:C126&lt;&gt;""))),"-")</f>
        <v>1</v>
      </c>
      <c r="D69" s="17" cm="1">
        <f t="array" ref="D69">IFERROR(ROWS(_xlfn.UNIQUE(_xlfn._xlws.FILTER(D71:D126,D71:D126&lt;&gt;""))),"-")</f>
        <v>1</v>
      </c>
      <c r="E69" s="17" cm="1">
        <f t="array" ref="E69">IFERROR(ROWS(_xlfn.UNIQUE(_xlfn._xlws.FILTER(E71:E126,E71:E126&lt;&gt;""))),"-")</f>
        <v>3</v>
      </c>
      <c r="F69" s="17" cm="1">
        <f t="array" ref="F69">IFERROR(ROWS(_xlfn.UNIQUE(_xlfn._xlws.FILTER(F71:F126,F71:F126&lt;&gt;""))),"-")</f>
        <v>2</v>
      </c>
      <c r="G69" s="17" cm="1">
        <f t="array" ref="G69">IFERROR(ROWS(_xlfn.UNIQUE(_xlfn._xlws.FILTER(G71:G126,G71:G126&lt;&gt;""))),"-")</f>
        <v>14</v>
      </c>
      <c r="H69" s="17">
        <f>COUNTA(H71:H126)</f>
        <v>56</v>
      </c>
    </row>
    <row r="70" spans="3:8">
      <c r="C70" s="18" t="s">
        <v>771</v>
      </c>
      <c r="D70" s="18" t="s">
        <v>772</v>
      </c>
      <c r="E70" s="18" t="s">
        <v>773</v>
      </c>
      <c r="F70" s="18" t="s">
        <v>774</v>
      </c>
      <c r="G70" s="18" t="s">
        <v>775</v>
      </c>
      <c r="H70" s="18" t="s">
        <v>776</v>
      </c>
    </row>
    <row r="71" spans="3:8">
      <c r="C71" s="167" t="s">
        <v>839</v>
      </c>
      <c r="D71" s="167" t="s">
        <v>965</v>
      </c>
      <c r="E71" s="167" t="s">
        <v>779</v>
      </c>
      <c r="F71" s="167" t="s">
        <v>780</v>
      </c>
      <c r="G71" s="167" t="s">
        <v>878</v>
      </c>
      <c r="H71" s="8" t="s">
        <v>879</v>
      </c>
    </row>
    <row r="72" spans="3:8">
      <c r="C72" s="168"/>
      <c r="D72" s="168"/>
      <c r="E72" s="168"/>
      <c r="F72" s="168"/>
      <c r="G72" s="168"/>
      <c r="H72" s="8" t="s">
        <v>880</v>
      </c>
    </row>
    <row r="73" spans="3:8">
      <c r="C73" s="168"/>
      <c r="D73" s="168"/>
      <c r="E73" s="168"/>
      <c r="F73" s="168"/>
      <c r="G73" s="169"/>
      <c r="H73" s="8" t="s">
        <v>842</v>
      </c>
    </row>
    <row r="74" spans="3:8">
      <c r="C74" s="168"/>
      <c r="D74" s="168"/>
      <c r="E74" s="168"/>
      <c r="F74" s="168"/>
      <c r="G74" s="167" t="s">
        <v>881</v>
      </c>
      <c r="H74" s="8" t="s">
        <v>882</v>
      </c>
    </row>
    <row r="75" spans="3:8" ht="13.2" customHeight="1">
      <c r="C75" s="168"/>
      <c r="D75" s="168"/>
      <c r="E75" s="168"/>
      <c r="F75" s="168"/>
      <c r="G75" s="168"/>
      <c r="H75" s="8" t="s">
        <v>883</v>
      </c>
    </row>
    <row r="76" spans="3:8">
      <c r="C76" s="168"/>
      <c r="D76" s="168"/>
      <c r="E76" s="168"/>
      <c r="F76" s="168"/>
      <c r="G76" s="168"/>
      <c r="H76" s="8" t="s">
        <v>884</v>
      </c>
    </row>
    <row r="77" spans="3:8">
      <c r="C77" s="168"/>
      <c r="D77" s="168"/>
      <c r="E77" s="168"/>
      <c r="F77" s="168"/>
      <c r="G77" s="169"/>
      <c r="H77" s="8" t="s">
        <v>885</v>
      </c>
    </row>
    <row r="78" spans="3:8" ht="13.2" customHeight="1">
      <c r="C78" s="168"/>
      <c r="D78" s="168"/>
      <c r="E78" s="168"/>
      <c r="F78" s="168"/>
      <c r="G78" s="167" t="s">
        <v>886</v>
      </c>
      <c r="H78" s="8" t="s">
        <v>887</v>
      </c>
    </row>
    <row r="79" spans="3:8">
      <c r="C79" s="168"/>
      <c r="D79" s="168"/>
      <c r="E79" s="168"/>
      <c r="F79" s="168"/>
      <c r="G79" s="168"/>
      <c r="H79" s="8" t="s">
        <v>888</v>
      </c>
    </row>
    <row r="80" spans="3:8">
      <c r="C80" s="168"/>
      <c r="D80" s="168"/>
      <c r="E80" s="168"/>
      <c r="F80" s="168"/>
      <c r="G80" s="168"/>
      <c r="H80" s="8" t="s">
        <v>889</v>
      </c>
    </row>
    <row r="81" spans="3:8">
      <c r="C81" s="168"/>
      <c r="D81" s="168"/>
      <c r="E81" s="168"/>
      <c r="F81" s="169"/>
      <c r="G81" s="169"/>
      <c r="H81" s="8" t="s">
        <v>890</v>
      </c>
    </row>
    <row r="82" spans="3:8">
      <c r="C82" s="168"/>
      <c r="D82" s="168"/>
      <c r="E82" s="168"/>
      <c r="F82" s="167" t="s">
        <v>795</v>
      </c>
      <c r="G82" s="167" t="s">
        <v>840</v>
      </c>
      <c r="H82" s="8" t="s">
        <v>891</v>
      </c>
    </row>
    <row r="83" spans="3:8">
      <c r="C83" s="168"/>
      <c r="D83" s="168"/>
      <c r="E83" s="168"/>
      <c r="F83" s="168"/>
      <c r="G83" s="168"/>
      <c r="H83" s="8" t="s">
        <v>892</v>
      </c>
    </row>
    <row r="84" spans="3:8">
      <c r="C84" s="168"/>
      <c r="D84" s="168"/>
      <c r="E84" s="168"/>
      <c r="F84" s="168"/>
      <c r="G84" s="168"/>
      <c r="H84" s="8" t="s">
        <v>966</v>
      </c>
    </row>
    <row r="85" spans="3:8">
      <c r="C85" s="168"/>
      <c r="D85" s="168"/>
      <c r="E85" s="168"/>
      <c r="F85" s="168"/>
      <c r="G85" s="168"/>
      <c r="H85" s="8" t="s">
        <v>893</v>
      </c>
    </row>
    <row r="86" spans="3:8">
      <c r="C86" s="168"/>
      <c r="D86" s="168"/>
      <c r="E86" s="168"/>
      <c r="F86" s="168"/>
      <c r="G86" s="168"/>
      <c r="H86" s="8" t="s">
        <v>967</v>
      </c>
    </row>
    <row r="87" spans="3:8">
      <c r="C87" s="168"/>
      <c r="D87" s="168"/>
      <c r="E87" s="168"/>
      <c r="F87" s="168"/>
      <c r="G87" s="169"/>
      <c r="H87" s="8" t="s">
        <v>894</v>
      </c>
    </row>
    <row r="88" spans="3:8">
      <c r="C88" s="168"/>
      <c r="D88" s="168"/>
      <c r="E88" s="168"/>
      <c r="F88" s="168"/>
      <c r="G88" s="167" t="s">
        <v>895</v>
      </c>
      <c r="H88" s="8" t="s">
        <v>896</v>
      </c>
    </row>
    <row r="89" spans="3:8">
      <c r="C89" s="168"/>
      <c r="D89" s="168"/>
      <c r="E89" s="168"/>
      <c r="F89" s="168"/>
      <c r="G89" s="168"/>
      <c r="H89" s="8" t="s">
        <v>897</v>
      </c>
    </row>
    <row r="90" spans="3:8">
      <c r="C90" s="168"/>
      <c r="D90" s="168"/>
      <c r="E90" s="169"/>
      <c r="F90" s="169"/>
      <c r="G90" s="169"/>
      <c r="H90" s="8" t="s">
        <v>898</v>
      </c>
    </row>
    <row r="91" spans="3:8">
      <c r="C91" s="168"/>
      <c r="D91" s="168"/>
      <c r="E91" s="146" t="s">
        <v>816</v>
      </c>
      <c r="F91" s="147"/>
      <c r="G91" s="167" t="s">
        <v>899</v>
      </c>
      <c r="H91" s="8" t="s">
        <v>900</v>
      </c>
    </row>
    <row r="92" spans="3:8">
      <c r="C92" s="168"/>
      <c r="D92" s="168"/>
      <c r="E92" s="148"/>
      <c r="F92" s="149"/>
      <c r="G92" s="169"/>
      <c r="H92" s="8" t="s">
        <v>901</v>
      </c>
    </row>
    <row r="93" spans="3:8">
      <c r="C93" s="168"/>
      <c r="D93" s="168"/>
      <c r="E93" s="21" t="s">
        <v>902</v>
      </c>
      <c r="F93" s="24"/>
      <c r="G93" s="25"/>
      <c r="H93" s="8" t="s">
        <v>903</v>
      </c>
    </row>
    <row r="94" spans="3:8">
      <c r="C94" s="168"/>
      <c r="D94" s="168"/>
      <c r="E94" s="167" t="s">
        <v>779</v>
      </c>
      <c r="F94" s="167" t="s">
        <v>780</v>
      </c>
      <c r="G94" s="167" t="s">
        <v>904</v>
      </c>
      <c r="H94" s="8" t="s">
        <v>905</v>
      </c>
    </row>
    <row r="95" spans="3:8">
      <c r="C95" s="168"/>
      <c r="D95" s="168"/>
      <c r="E95" s="168"/>
      <c r="F95" s="168"/>
      <c r="G95" s="168"/>
      <c r="H95" s="8" t="s">
        <v>906</v>
      </c>
    </row>
    <row r="96" spans="3:8">
      <c r="C96" s="168"/>
      <c r="D96" s="168"/>
      <c r="E96" s="168"/>
      <c r="F96" s="168"/>
      <c r="G96" s="168"/>
      <c r="H96" s="8" t="s">
        <v>907</v>
      </c>
    </row>
    <row r="97" spans="3:8">
      <c r="C97" s="168"/>
      <c r="D97" s="168"/>
      <c r="E97" s="168"/>
      <c r="F97" s="168"/>
      <c r="G97" s="168"/>
      <c r="H97" s="8" t="s">
        <v>908</v>
      </c>
    </row>
    <row r="98" spans="3:8">
      <c r="C98" s="168"/>
      <c r="D98" s="168"/>
      <c r="E98" s="168"/>
      <c r="F98" s="168"/>
      <c r="G98" s="168"/>
      <c r="H98" s="8" t="s">
        <v>909</v>
      </c>
    </row>
    <row r="99" spans="3:8">
      <c r="C99" s="168"/>
      <c r="D99" s="168"/>
      <c r="E99" s="168"/>
      <c r="F99" s="168"/>
      <c r="G99" s="169"/>
      <c r="H99" s="8" t="s">
        <v>910</v>
      </c>
    </row>
    <row r="100" spans="3:8">
      <c r="C100" s="168"/>
      <c r="D100" s="168"/>
      <c r="E100" s="168"/>
      <c r="F100" s="168"/>
      <c r="G100" s="167" t="s">
        <v>911</v>
      </c>
      <c r="H100" s="8" t="s">
        <v>968</v>
      </c>
    </row>
    <row r="101" spans="3:8">
      <c r="C101" s="168"/>
      <c r="D101" s="168"/>
      <c r="E101" s="168"/>
      <c r="F101" s="168"/>
      <c r="G101" s="168"/>
      <c r="H101" s="8" t="s">
        <v>912</v>
      </c>
    </row>
    <row r="102" spans="3:8">
      <c r="C102" s="168"/>
      <c r="D102" s="168"/>
      <c r="E102" s="168"/>
      <c r="F102" s="168"/>
      <c r="G102" s="168"/>
      <c r="H102" s="8" t="s">
        <v>969</v>
      </c>
    </row>
    <row r="103" spans="3:8">
      <c r="C103" s="168"/>
      <c r="D103" s="168"/>
      <c r="E103" s="168"/>
      <c r="F103" s="168"/>
      <c r="G103" s="168"/>
      <c r="H103" s="8" t="s">
        <v>913</v>
      </c>
    </row>
    <row r="104" spans="3:8">
      <c r="C104" s="168"/>
      <c r="D104" s="168"/>
      <c r="E104" s="168"/>
      <c r="F104" s="169"/>
      <c r="G104" s="169"/>
      <c r="H104" s="8" t="s">
        <v>914</v>
      </c>
    </row>
    <row r="105" spans="3:8">
      <c r="C105" s="168"/>
      <c r="D105" s="168"/>
      <c r="E105" s="168"/>
      <c r="F105" s="167" t="s">
        <v>795</v>
      </c>
      <c r="G105" s="167" t="s">
        <v>840</v>
      </c>
      <c r="H105" s="8" t="s">
        <v>915</v>
      </c>
    </row>
    <row r="106" spans="3:8">
      <c r="C106" s="168"/>
      <c r="D106" s="168"/>
      <c r="E106" s="168"/>
      <c r="F106" s="168"/>
      <c r="G106" s="168"/>
      <c r="H106" s="8" t="s">
        <v>916</v>
      </c>
    </row>
    <row r="107" spans="3:8">
      <c r="C107" s="168"/>
      <c r="D107" s="168"/>
      <c r="E107" s="168"/>
      <c r="F107" s="168"/>
      <c r="G107" s="168"/>
      <c r="H107" s="8" t="s">
        <v>917</v>
      </c>
    </row>
    <row r="108" spans="3:8">
      <c r="C108" s="168"/>
      <c r="D108" s="168"/>
      <c r="E108" s="168"/>
      <c r="F108" s="168"/>
      <c r="G108" s="168"/>
      <c r="H108" s="8" t="s">
        <v>918</v>
      </c>
    </row>
    <row r="109" spans="3:8">
      <c r="C109" s="168"/>
      <c r="D109" s="168"/>
      <c r="E109" s="168"/>
      <c r="F109" s="168"/>
      <c r="G109" s="168"/>
      <c r="H109" s="8" t="s">
        <v>919</v>
      </c>
    </row>
    <row r="110" spans="3:8">
      <c r="C110" s="168"/>
      <c r="D110" s="168"/>
      <c r="E110" s="168"/>
      <c r="F110" s="168"/>
      <c r="G110" s="169"/>
      <c r="H110" s="8" t="s">
        <v>920</v>
      </c>
    </row>
    <row r="111" spans="3:8">
      <c r="C111" s="168"/>
      <c r="D111" s="168"/>
      <c r="E111" s="168"/>
      <c r="F111" s="168"/>
      <c r="G111" s="167" t="s">
        <v>921</v>
      </c>
      <c r="H111" s="8" t="s">
        <v>922</v>
      </c>
    </row>
    <row r="112" spans="3:8">
      <c r="C112" s="168"/>
      <c r="D112" s="168"/>
      <c r="E112" s="168"/>
      <c r="F112" s="168"/>
      <c r="G112" s="168"/>
      <c r="H112" s="8" t="s">
        <v>923</v>
      </c>
    </row>
    <row r="113" spans="3:8">
      <c r="C113" s="168"/>
      <c r="D113" s="168"/>
      <c r="E113" s="168"/>
      <c r="F113" s="168"/>
      <c r="G113" s="168"/>
      <c r="H113" s="8" t="s">
        <v>924</v>
      </c>
    </row>
    <row r="114" spans="3:8">
      <c r="C114" s="168"/>
      <c r="D114" s="168"/>
      <c r="E114" s="168"/>
      <c r="F114" s="168"/>
      <c r="G114" s="169"/>
      <c r="H114" s="8" t="s">
        <v>925</v>
      </c>
    </row>
    <row r="115" spans="3:8">
      <c r="C115" s="168"/>
      <c r="D115" s="168"/>
      <c r="E115" s="168"/>
      <c r="F115" s="168"/>
      <c r="G115" s="170" t="s">
        <v>926</v>
      </c>
      <c r="H115" s="8" t="s">
        <v>927</v>
      </c>
    </row>
    <row r="116" spans="3:8">
      <c r="C116" s="168"/>
      <c r="D116" s="168"/>
      <c r="E116" s="168"/>
      <c r="F116" s="168"/>
      <c r="G116" s="170"/>
      <c r="H116" s="8" t="s">
        <v>928</v>
      </c>
    </row>
    <row r="117" spans="3:8">
      <c r="C117" s="168"/>
      <c r="D117" s="168"/>
      <c r="E117" s="168"/>
      <c r="F117" s="168"/>
      <c r="G117" s="167" t="s">
        <v>929</v>
      </c>
      <c r="H117" s="8" t="s">
        <v>930</v>
      </c>
    </row>
    <row r="118" spans="3:8">
      <c r="C118" s="168"/>
      <c r="D118" s="168"/>
      <c r="E118" s="168"/>
      <c r="F118" s="168"/>
      <c r="G118" s="168"/>
      <c r="H118" s="8" t="s">
        <v>931</v>
      </c>
    </row>
    <row r="119" spans="3:8">
      <c r="C119" s="168"/>
      <c r="D119" s="168"/>
      <c r="E119" s="169"/>
      <c r="F119" s="169"/>
      <c r="G119" s="169"/>
      <c r="H119" s="8" t="s">
        <v>932</v>
      </c>
    </row>
    <row r="120" spans="3:8" ht="22.05" customHeight="1">
      <c r="C120" s="168"/>
      <c r="D120" s="168"/>
      <c r="E120" s="146" t="s">
        <v>816</v>
      </c>
      <c r="F120" s="147"/>
      <c r="G120" s="8" t="s">
        <v>933</v>
      </c>
      <c r="H120" s="8" t="s">
        <v>934</v>
      </c>
    </row>
    <row r="121" spans="3:8">
      <c r="C121" s="168"/>
      <c r="D121" s="168"/>
      <c r="E121" s="151"/>
      <c r="F121" s="153"/>
      <c r="G121" s="170" t="s">
        <v>935</v>
      </c>
      <c r="H121" s="8" t="s">
        <v>936</v>
      </c>
    </row>
    <row r="122" spans="3:8">
      <c r="C122" s="168"/>
      <c r="D122" s="168"/>
      <c r="E122" s="151"/>
      <c r="F122" s="153"/>
      <c r="G122" s="170"/>
      <c r="H122" s="8" t="s">
        <v>937</v>
      </c>
    </row>
    <row r="123" spans="3:8">
      <c r="C123" s="168"/>
      <c r="D123" s="168"/>
      <c r="E123" s="151"/>
      <c r="F123" s="153"/>
      <c r="G123" s="167" t="s">
        <v>938</v>
      </c>
      <c r="H123" s="8" t="s">
        <v>939</v>
      </c>
    </row>
    <row r="124" spans="3:8">
      <c r="C124" s="168"/>
      <c r="D124" s="168"/>
      <c r="E124" s="148"/>
      <c r="F124" s="149"/>
      <c r="G124" s="169"/>
      <c r="H124" s="8" t="s">
        <v>940</v>
      </c>
    </row>
    <row r="125" spans="3:8">
      <c r="C125" s="168"/>
      <c r="D125" s="168"/>
      <c r="E125" s="146" t="s">
        <v>902</v>
      </c>
      <c r="F125" s="150"/>
      <c r="G125" s="147"/>
      <c r="H125" s="8" t="s">
        <v>941</v>
      </c>
    </row>
    <row r="126" spans="3:8">
      <c r="C126" s="169"/>
      <c r="D126" s="169"/>
      <c r="E126" s="148"/>
      <c r="F126" s="154"/>
      <c r="G126" s="149"/>
      <c r="H126" s="8" t="s">
        <v>942</v>
      </c>
    </row>
    <row r="127" spans="3:8" ht="13.2" customHeight="1"/>
    <row r="130" spans="3:8" ht="17.399999999999999">
      <c r="C130" s="171" t="s">
        <v>871</v>
      </c>
      <c r="D130" s="171"/>
      <c r="E130" s="171"/>
      <c r="F130" s="171"/>
      <c r="G130" s="171"/>
      <c r="H130" s="171"/>
    </row>
    <row r="132" spans="3:8">
      <c r="C132" s="17" cm="1">
        <f t="array" ref="C132">IFERROR(ROWS(_xlfn.UNIQUE(_xlfn._xlws.FILTER(C134:C190,C134:C190&lt;&gt;""))),"-")</f>
        <v>1</v>
      </c>
      <c r="D132" s="17" cm="1">
        <f t="array" ref="D132">IFERROR(ROWS(_xlfn.UNIQUE(_xlfn._xlws.FILTER(D134:D190,D134:D190&lt;&gt;""))),"-")</f>
        <v>4</v>
      </c>
      <c r="E132" s="17" cm="1">
        <f t="array" ref="E132">IFERROR(ROWS(_xlfn.UNIQUE(_xlfn._xlws.FILTER(E134:E190,E134:E190&lt;&gt;""))),"-")</f>
        <v>3</v>
      </c>
      <c r="F132" s="17" cm="1">
        <f t="array" ref="F132">IFERROR(ROWS(_xlfn.UNIQUE(_xlfn._xlws.FILTER(F134:F190,F134:F190&lt;&gt;""))),"-")</f>
        <v>2</v>
      </c>
      <c r="G132" s="17" cm="1">
        <f t="array" ref="G132">IFERROR(ROWS(_xlfn.UNIQUE(_xlfn._xlws.FILTER(G134:G190,G134:G190&lt;&gt;""))),"-")</f>
        <v>10</v>
      </c>
      <c r="H132" s="17">
        <f>COUNTA(H134:H190)</f>
        <v>57</v>
      </c>
    </row>
    <row r="133" spans="3:8">
      <c r="C133" s="18" t="s">
        <v>771</v>
      </c>
      <c r="D133" s="18" t="s">
        <v>772</v>
      </c>
      <c r="E133" s="18" t="s">
        <v>773</v>
      </c>
      <c r="F133" s="18" t="s">
        <v>774</v>
      </c>
      <c r="G133" s="18" t="s">
        <v>775</v>
      </c>
      <c r="H133" s="18" t="s">
        <v>776</v>
      </c>
    </row>
    <row r="134" spans="3:8">
      <c r="C134" s="167" t="s">
        <v>843</v>
      </c>
      <c r="D134" s="167" t="s">
        <v>1001</v>
      </c>
      <c r="E134" s="167" t="s">
        <v>959</v>
      </c>
      <c r="F134" s="167" t="s">
        <v>960</v>
      </c>
      <c r="G134" s="170" t="s">
        <v>1002</v>
      </c>
      <c r="H134" s="8" t="s">
        <v>1003</v>
      </c>
    </row>
    <row r="135" spans="3:8" ht="13.2" customHeight="1">
      <c r="C135" s="168"/>
      <c r="D135" s="168"/>
      <c r="E135" s="168"/>
      <c r="F135" s="168"/>
      <c r="G135" s="170"/>
      <c r="H135" s="8" t="s">
        <v>1004</v>
      </c>
    </row>
    <row r="136" spans="3:8">
      <c r="C136" s="168"/>
      <c r="D136" s="168"/>
      <c r="E136" s="168"/>
      <c r="F136" s="168"/>
      <c r="G136" s="170" t="s">
        <v>1005</v>
      </c>
      <c r="H136" s="8" t="s">
        <v>1006</v>
      </c>
    </row>
    <row r="137" spans="3:8">
      <c r="C137" s="168"/>
      <c r="D137" s="168"/>
      <c r="E137" s="168"/>
      <c r="F137" s="168"/>
      <c r="G137" s="170"/>
      <c r="H137" s="8" t="s">
        <v>1007</v>
      </c>
    </row>
    <row r="138" spans="3:8" ht="13.2" customHeight="1">
      <c r="C138" s="168"/>
      <c r="D138" s="168"/>
      <c r="E138" s="168"/>
      <c r="F138" s="168"/>
      <c r="G138" s="170" t="s">
        <v>1008</v>
      </c>
      <c r="H138" s="8" t="s">
        <v>1009</v>
      </c>
    </row>
    <row r="139" spans="3:8">
      <c r="C139" s="168"/>
      <c r="D139" s="168"/>
      <c r="E139" s="168"/>
      <c r="F139" s="169"/>
      <c r="G139" s="170"/>
      <c r="H139" s="8" t="s">
        <v>1010</v>
      </c>
    </row>
    <row r="140" spans="3:8">
      <c r="C140" s="168"/>
      <c r="D140" s="168"/>
      <c r="E140" s="168"/>
      <c r="F140" s="167" t="s">
        <v>962</v>
      </c>
      <c r="G140" s="170" t="s">
        <v>1011</v>
      </c>
      <c r="H140" s="8" t="s">
        <v>1012</v>
      </c>
    </row>
    <row r="141" spans="3:8">
      <c r="C141" s="168"/>
      <c r="D141" s="168"/>
      <c r="E141" s="169"/>
      <c r="F141" s="169"/>
      <c r="G141" s="170"/>
      <c r="H141" s="8" t="s">
        <v>844</v>
      </c>
    </row>
    <row r="142" spans="3:8" ht="22.05" customHeight="1">
      <c r="C142" s="168"/>
      <c r="D142" s="168"/>
      <c r="E142" s="146" t="s">
        <v>963</v>
      </c>
      <c r="F142" s="147"/>
      <c r="G142" s="8" t="s">
        <v>850</v>
      </c>
      <c r="H142" s="8" t="s">
        <v>1013</v>
      </c>
    </row>
    <row r="143" spans="3:8">
      <c r="C143" s="168"/>
      <c r="D143" s="168"/>
      <c r="E143" s="151"/>
      <c r="F143" s="153"/>
      <c r="G143" s="167" t="s">
        <v>1014</v>
      </c>
      <c r="H143" s="8" t="s">
        <v>1015</v>
      </c>
    </row>
    <row r="144" spans="3:8">
      <c r="C144" s="168"/>
      <c r="D144" s="168"/>
      <c r="E144" s="151"/>
      <c r="F144" s="153"/>
      <c r="G144" s="168"/>
      <c r="H144" s="8" t="s">
        <v>1016</v>
      </c>
    </row>
    <row r="145" spans="3:8">
      <c r="C145" s="168"/>
      <c r="D145" s="168"/>
      <c r="E145" s="151"/>
      <c r="F145" s="153"/>
      <c r="G145" s="168"/>
      <c r="H145" s="8" t="s">
        <v>1017</v>
      </c>
    </row>
    <row r="146" spans="3:8">
      <c r="C146" s="168"/>
      <c r="D146" s="168"/>
      <c r="E146" s="151"/>
      <c r="F146" s="153"/>
      <c r="G146" s="168"/>
      <c r="H146" s="8" t="s">
        <v>1018</v>
      </c>
    </row>
    <row r="147" spans="3:8">
      <c r="C147" s="168"/>
      <c r="D147" s="168"/>
      <c r="E147" s="148"/>
      <c r="F147" s="149"/>
      <c r="G147" s="169"/>
      <c r="H147" s="8" t="s">
        <v>1019</v>
      </c>
    </row>
    <row r="148" spans="3:8">
      <c r="C148" s="168"/>
      <c r="D148" s="168"/>
      <c r="E148" s="146" t="s">
        <v>992</v>
      </c>
      <c r="F148" s="150"/>
      <c r="G148" s="147"/>
      <c r="H148" s="8" t="s">
        <v>1020</v>
      </c>
    </row>
    <row r="149" spans="3:8">
      <c r="C149" s="168"/>
      <c r="D149" s="168"/>
      <c r="E149" s="151"/>
      <c r="F149" s="152"/>
      <c r="G149" s="153"/>
      <c r="H149" s="8" t="s">
        <v>1021</v>
      </c>
    </row>
    <row r="150" spans="3:8">
      <c r="C150" s="168"/>
      <c r="D150" s="169"/>
      <c r="E150" s="148"/>
      <c r="F150" s="154"/>
      <c r="G150" s="149"/>
      <c r="H150" s="8" t="s">
        <v>1022</v>
      </c>
    </row>
    <row r="151" spans="3:8">
      <c r="C151" s="168"/>
      <c r="D151" s="167" t="s">
        <v>1023</v>
      </c>
      <c r="E151" s="167" t="s">
        <v>959</v>
      </c>
      <c r="F151" s="167" t="s">
        <v>960</v>
      </c>
      <c r="G151" s="170" t="s">
        <v>1002</v>
      </c>
      <c r="H151" s="8" t="s">
        <v>1024</v>
      </c>
    </row>
    <row r="152" spans="3:8">
      <c r="C152" s="168"/>
      <c r="D152" s="168"/>
      <c r="E152" s="168"/>
      <c r="F152" s="168"/>
      <c r="G152" s="170"/>
      <c r="H152" s="8" t="s">
        <v>1004</v>
      </c>
    </row>
    <row r="153" spans="3:8">
      <c r="C153" s="168"/>
      <c r="D153" s="168"/>
      <c r="E153" s="168"/>
      <c r="F153" s="168"/>
      <c r="G153" s="8" t="s">
        <v>1005</v>
      </c>
      <c r="H153" s="8" t="s">
        <v>1007</v>
      </c>
    </row>
    <row r="154" spans="3:8">
      <c r="C154" s="168"/>
      <c r="D154" s="168"/>
      <c r="E154" s="168"/>
      <c r="F154" s="169"/>
      <c r="G154" s="8" t="s">
        <v>1025</v>
      </c>
      <c r="H154" s="8" t="s">
        <v>1026</v>
      </c>
    </row>
    <row r="155" spans="3:8">
      <c r="C155" s="168"/>
      <c r="D155" s="168"/>
      <c r="E155" s="169"/>
      <c r="F155" s="8" t="s">
        <v>962</v>
      </c>
      <c r="G155" s="8" t="s">
        <v>1011</v>
      </c>
      <c r="H155" s="8" t="s">
        <v>1012</v>
      </c>
    </row>
    <row r="156" spans="3:8">
      <c r="C156" s="168"/>
      <c r="D156" s="168"/>
      <c r="E156" s="146" t="s">
        <v>963</v>
      </c>
      <c r="F156" s="147"/>
      <c r="G156" s="8" t="s">
        <v>850</v>
      </c>
      <c r="H156" s="8" t="s">
        <v>1013</v>
      </c>
    </row>
    <row r="157" spans="3:8">
      <c r="C157" s="168"/>
      <c r="D157" s="168"/>
      <c r="E157" s="151"/>
      <c r="F157" s="153"/>
      <c r="G157" s="167" t="s">
        <v>1014</v>
      </c>
      <c r="H157" s="8" t="s">
        <v>1015</v>
      </c>
    </row>
    <row r="158" spans="3:8" ht="13.2" customHeight="1">
      <c r="C158" s="168"/>
      <c r="D158" s="168"/>
      <c r="E158" s="151"/>
      <c r="F158" s="153"/>
      <c r="G158" s="168"/>
      <c r="H158" s="8" t="s">
        <v>1027</v>
      </c>
    </row>
    <row r="159" spans="3:8">
      <c r="C159" s="168"/>
      <c r="D159" s="168"/>
      <c r="E159" s="151"/>
      <c r="F159" s="153"/>
      <c r="G159" s="168"/>
      <c r="H159" s="8" t="s">
        <v>1028</v>
      </c>
    </row>
    <row r="160" spans="3:8">
      <c r="C160" s="168"/>
      <c r="D160" s="168"/>
      <c r="E160" s="148"/>
      <c r="F160" s="149"/>
      <c r="G160" s="169"/>
      <c r="H160" s="8" t="s">
        <v>1029</v>
      </c>
    </row>
    <row r="161" spans="3:8">
      <c r="C161" s="168"/>
      <c r="D161" s="168"/>
      <c r="E161" s="146" t="s">
        <v>992</v>
      </c>
      <c r="F161" s="150"/>
      <c r="G161" s="147"/>
      <c r="H161" s="8" t="s">
        <v>1020</v>
      </c>
    </row>
    <row r="162" spans="3:8">
      <c r="C162" s="168"/>
      <c r="D162" s="168"/>
      <c r="E162" s="151"/>
      <c r="F162" s="152"/>
      <c r="G162" s="153"/>
      <c r="H162" s="8" t="s">
        <v>1021</v>
      </c>
    </row>
    <row r="163" spans="3:8">
      <c r="C163" s="168"/>
      <c r="D163" s="169"/>
      <c r="E163" s="148"/>
      <c r="F163" s="154"/>
      <c r="G163" s="149"/>
      <c r="H163" s="8" t="s">
        <v>1022</v>
      </c>
    </row>
    <row r="164" spans="3:8">
      <c r="C164" s="168"/>
      <c r="D164" s="167" t="s">
        <v>1030</v>
      </c>
      <c r="E164" s="167" t="s">
        <v>959</v>
      </c>
      <c r="F164" s="167" t="s">
        <v>960</v>
      </c>
      <c r="G164" s="170" t="s">
        <v>1002</v>
      </c>
      <c r="H164" s="8" t="s">
        <v>1024</v>
      </c>
    </row>
    <row r="165" spans="3:8">
      <c r="C165" s="168"/>
      <c r="D165" s="168"/>
      <c r="E165" s="168"/>
      <c r="F165" s="168"/>
      <c r="G165" s="170"/>
      <c r="H165" s="8" t="s">
        <v>1004</v>
      </c>
    </row>
    <row r="166" spans="3:8" ht="13.2" customHeight="1">
      <c r="C166" s="168"/>
      <c r="D166" s="168"/>
      <c r="E166" s="168"/>
      <c r="F166" s="169"/>
      <c r="G166" s="8" t="s">
        <v>1031</v>
      </c>
      <c r="H166" s="8" t="s">
        <v>1032</v>
      </c>
    </row>
    <row r="167" spans="3:8">
      <c r="C167" s="168"/>
      <c r="D167" s="168"/>
      <c r="E167" s="169"/>
      <c r="F167" s="8" t="s">
        <v>962</v>
      </c>
      <c r="G167" s="8" t="s">
        <v>1011</v>
      </c>
      <c r="H167" s="8" t="s">
        <v>1012</v>
      </c>
    </row>
    <row r="168" spans="3:8">
      <c r="C168" s="168"/>
      <c r="D168" s="168"/>
      <c r="E168" s="146" t="s">
        <v>963</v>
      </c>
      <c r="F168" s="147"/>
      <c r="G168" s="8" t="s">
        <v>850</v>
      </c>
      <c r="H168" s="8" t="s">
        <v>1013</v>
      </c>
    </row>
    <row r="169" spans="3:8" ht="13.2" customHeight="1">
      <c r="C169" s="168"/>
      <c r="D169" s="168"/>
      <c r="E169" s="151"/>
      <c r="F169" s="153"/>
      <c r="G169" s="167" t="s">
        <v>1014</v>
      </c>
      <c r="H169" s="8" t="s">
        <v>1015</v>
      </c>
    </row>
    <row r="170" spans="3:8">
      <c r="C170" s="168"/>
      <c r="D170" s="168"/>
      <c r="E170" s="148"/>
      <c r="F170" s="149"/>
      <c r="G170" s="169"/>
      <c r="H170" s="8" t="s">
        <v>1028</v>
      </c>
    </row>
    <row r="171" spans="3:8">
      <c r="C171" s="168"/>
      <c r="D171" s="168"/>
      <c r="E171" s="146" t="s">
        <v>992</v>
      </c>
      <c r="F171" s="150"/>
      <c r="G171" s="147"/>
      <c r="H171" s="8" t="s">
        <v>1020</v>
      </c>
    </row>
    <row r="172" spans="3:8">
      <c r="C172" s="168"/>
      <c r="D172" s="168"/>
      <c r="E172" s="151"/>
      <c r="F172" s="152"/>
      <c r="G172" s="153"/>
      <c r="H172" s="8" t="s">
        <v>1021</v>
      </c>
    </row>
    <row r="173" spans="3:8">
      <c r="C173" s="168"/>
      <c r="D173" s="169"/>
      <c r="E173" s="148"/>
      <c r="F173" s="154"/>
      <c r="G173" s="149"/>
      <c r="H173" s="8" t="s">
        <v>1022</v>
      </c>
    </row>
    <row r="174" spans="3:8">
      <c r="C174" s="168"/>
      <c r="D174" s="167" t="s">
        <v>1033</v>
      </c>
      <c r="E174" s="167" t="s">
        <v>959</v>
      </c>
      <c r="F174" s="167" t="s">
        <v>960</v>
      </c>
      <c r="G174" s="167" t="s">
        <v>1002</v>
      </c>
      <c r="H174" s="8" t="s">
        <v>1024</v>
      </c>
    </row>
    <row r="175" spans="3:8" ht="22.05" customHeight="1">
      <c r="C175" s="168"/>
      <c r="D175" s="168"/>
      <c r="E175" s="168"/>
      <c r="F175" s="168"/>
      <c r="G175" s="168"/>
      <c r="H175" s="8" t="s">
        <v>1034</v>
      </c>
    </row>
    <row r="176" spans="3:8">
      <c r="C176" s="168"/>
      <c r="D176" s="168"/>
      <c r="E176" s="168"/>
      <c r="F176" s="168"/>
      <c r="G176" s="168"/>
      <c r="H176" s="8" t="s">
        <v>1035</v>
      </c>
    </row>
    <row r="177" spans="3:8">
      <c r="C177" s="168"/>
      <c r="D177" s="168"/>
      <c r="E177" s="168"/>
      <c r="F177" s="168"/>
      <c r="G177" s="169"/>
      <c r="H177" s="8" t="s">
        <v>1036</v>
      </c>
    </row>
    <row r="178" spans="3:8">
      <c r="C178" s="168"/>
      <c r="D178" s="168"/>
      <c r="E178" s="168"/>
      <c r="F178" s="169"/>
      <c r="G178" s="8" t="s">
        <v>1037</v>
      </c>
      <c r="H178" s="8" t="s">
        <v>1038</v>
      </c>
    </row>
    <row r="179" spans="3:8">
      <c r="C179" s="168"/>
      <c r="D179" s="168"/>
      <c r="E179" s="169"/>
      <c r="F179" s="8" t="s">
        <v>962</v>
      </c>
      <c r="G179" s="8" t="s">
        <v>1011</v>
      </c>
      <c r="H179" s="8" t="s">
        <v>1039</v>
      </c>
    </row>
    <row r="180" spans="3:8">
      <c r="C180" s="168"/>
      <c r="D180" s="168"/>
      <c r="E180" s="146" t="s">
        <v>963</v>
      </c>
      <c r="F180" s="147"/>
      <c r="G180" s="8" t="s">
        <v>818</v>
      </c>
      <c r="H180" s="8" t="s">
        <v>818</v>
      </c>
    </row>
    <row r="181" spans="3:8">
      <c r="C181" s="168"/>
      <c r="D181" s="168"/>
      <c r="E181" s="151"/>
      <c r="F181" s="153"/>
      <c r="G181" s="8" t="s">
        <v>850</v>
      </c>
      <c r="H181" s="8" t="s">
        <v>1013</v>
      </c>
    </row>
    <row r="182" spans="3:8">
      <c r="C182" s="168"/>
      <c r="D182" s="168"/>
      <c r="E182" s="151"/>
      <c r="F182" s="153"/>
      <c r="G182" s="167" t="s">
        <v>1014</v>
      </c>
      <c r="H182" s="8" t="s">
        <v>1027</v>
      </c>
    </row>
    <row r="183" spans="3:8">
      <c r="C183" s="168"/>
      <c r="D183" s="168"/>
      <c r="E183" s="151"/>
      <c r="F183" s="153"/>
      <c r="G183" s="168"/>
      <c r="H183" s="8" t="s">
        <v>1017</v>
      </c>
    </row>
    <row r="184" spans="3:8">
      <c r="C184" s="168"/>
      <c r="D184" s="168"/>
      <c r="E184" s="148"/>
      <c r="F184" s="149"/>
      <c r="G184" s="169"/>
      <c r="H184" s="8" t="s">
        <v>1019</v>
      </c>
    </row>
    <row r="185" spans="3:8">
      <c r="C185" s="168"/>
      <c r="D185" s="168"/>
      <c r="E185" s="146" t="s">
        <v>992</v>
      </c>
      <c r="F185" s="150"/>
      <c r="G185" s="147"/>
      <c r="H185" s="8" t="s">
        <v>1040</v>
      </c>
    </row>
    <row r="186" spans="3:8">
      <c r="C186" s="168"/>
      <c r="D186" s="168"/>
      <c r="E186" s="151"/>
      <c r="F186" s="152"/>
      <c r="G186" s="153"/>
      <c r="H186" s="8" t="s">
        <v>1041</v>
      </c>
    </row>
    <row r="187" spans="3:8">
      <c r="C187" s="168"/>
      <c r="D187" s="168"/>
      <c r="E187" s="151"/>
      <c r="F187" s="152"/>
      <c r="G187" s="153"/>
      <c r="H187" s="8" t="s">
        <v>1042</v>
      </c>
    </row>
    <row r="188" spans="3:8">
      <c r="C188" s="168"/>
      <c r="D188" s="168"/>
      <c r="E188" s="151"/>
      <c r="F188" s="152"/>
      <c r="G188" s="153"/>
      <c r="H188" s="8" t="s">
        <v>1043</v>
      </c>
    </row>
    <row r="189" spans="3:8">
      <c r="C189" s="168"/>
      <c r="D189" s="168"/>
      <c r="E189" s="151"/>
      <c r="F189" s="152"/>
      <c r="G189" s="153"/>
      <c r="H189" s="8" t="s">
        <v>1044</v>
      </c>
    </row>
    <row r="190" spans="3:8">
      <c r="C190" s="169"/>
      <c r="D190" s="169"/>
      <c r="E190" s="148"/>
      <c r="F190" s="154"/>
      <c r="G190" s="149"/>
      <c r="H190" s="8" t="s">
        <v>1022</v>
      </c>
    </row>
    <row r="194" spans="3:8" ht="17.399999999999999">
      <c r="C194" s="171" t="s">
        <v>872</v>
      </c>
      <c r="D194" s="171"/>
      <c r="E194" s="171"/>
      <c r="F194" s="171"/>
      <c r="G194" s="171"/>
      <c r="H194" s="171"/>
    </row>
    <row r="196" spans="3:8">
      <c r="C196" s="17" cm="1">
        <f t="array" ref="C196">IFERROR(ROWS(_xlfn.UNIQUE(_xlfn._xlws.FILTER(C198:C253,C198:C253&lt;&gt;""))),"-")</f>
        <v>1</v>
      </c>
      <c r="D196" s="17" cm="1">
        <f t="array" ref="D196">IFERROR(ROWS(_xlfn.UNIQUE(_xlfn._xlws.FILTER(D198:D253,D198:D253&lt;&gt;""))),"-")</f>
        <v>2</v>
      </c>
      <c r="E196" s="17" cm="1">
        <f t="array" ref="E196">IFERROR(ROWS(_xlfn.UNIQUE(_xlfn._xlws.FILTER(E198:E253,E198:E253&lt;&gt;""))),"-")</f>
        <v>3</v>
      </c>
      <c r="F196" s="17" cm="1">
        <f t="array" ref="F196">IFERROR(ROWS(_xlfn.UNIQUE(_xlfn._xlws.FILTER(F198:F253,F198:F253&lt;&gt;""))),"-")</f>
        <v>3</v>
      </c>
      <c r="G196" s="17" cm="1">
        <f t="array" ref="G196">IFERROR(ROWS(_xlfn.UNIQUE(_xlfn._xlws.FILTER(G198:G253,G198:G253&lt;&gt;""))),"-")</f>
        <v>8</v>
      </c>
      <c r="H196" s="17">
        <f>COUNTA(H198:H253)</f>
        <v>54</v>
      </c>
    </row>
    <row r="197" spans="3:8" ht="22.05" customHeight="1">
      <c r="C197" s="18" t="s">
        <v>771</v>
      </c>
      <c r="D197" s="18" t="s">
        <v>772</v>
      </c>
      <c r="E197" s="18" t="s">
        <v>773</v>
      </c>
      <c r="F197" s="18" t="s">
        <v>774</v>
      </c>
      <c r="G197" s="18" t="s">
        <v>775</v>
      </c>
      <c r="H197" s="18" t="s">
        <v>776</v>
      </c>
    </row>
    <row r="198" spans="3:8" ht="13.2" customHeight="1">
      <c r="C198" s="167" t="s">
        <v>1045</v>
      </c>
      <c r="D198" s="167" t="s">
        <v>1046</v>
      </c>
      <c r="E198" s="167" t="s">
        <v>959</v>
      </c>
      <c r="F198" s="167" t="s">
        <v>962</v>
      </c>
      <c r="G198" s="167" t="s">
        <v>1047</v>
      </c>
      <c r="H198" s="8" t="s">
        <v>1048</v>
      </c>
    </row>
    <row r="199" spans="3:8">
      <c r="C199" s="168"/>
      <c r="D199" s="168"/>
      <c r="E199" s="168"/>
      <c r="F199" s="168"/>
      <c r="G199" s="168"/>
      <c r="H199" s="8" t="s">
        <v>1049</v>
      </c>
    </row>
    <row r="200" spans="3:8">
      <c r="C200" s="168"/>
      <c r="D200" s="168"/>
      <c r="E200" s="168"/>
      <c r="F200" s="168"/>
      <c r="G200" s="168"/>
      <c r="H200" s="8" t="s">
        <v>1050</v>
      </c>
    </row>
    <row r="201" spans="3:8">
      <c r="C201" s="168"/>
      <c r="D201" s="168"/>
      <c r="E201" s="168"/>
      <c r="F201" s="168"/>
      <c r="G201" s="169"/>
      <c r="H201" s="8" t="s">
        <v>1051</v>
      </c>
    </row>
    <row r="202" spans="3:8">
      <c r="C202" s="168"/>
      <c r="D202" s="168"/>
      <c r="E202" s="168"/>
      <c r="F202" s="168"/>
      <c r="G202" s="167" t="s">
        <v>1052</v>
      </c>
      <c r="H202" s="8" t="s">
        <v>1053</v>
      </c>
    </row>
    <row r="203" spans="3:8">
      <c r="C203" s="168"/>
      <c r="D203" s="168"/>
      <c r="E203" s="168"/>
      <c r="F203" s="168"/>
      <c r="G203" s="168"/>
      <c r="H203" s="8" t="s">
        <v>1054</v>
      </c>
    </row>
    <row r="204" spans="3:8">
      <c r="C204" s="168"/>
      <c r="D204" s="168"/>
      <c r="E204" s="168"/>
      <c r="F204" s="168"/>
      <c r="G204" s="168"/>
      <c r="H204" s="8" t="s">
        <v>847</v>
      </c>
    </row>
    <row r="205" spans="3:8">
      <c r="C205" s="168"/>
      <c r="D205" s="168"/>
      <c r="E205" s="168"/>
      <c r="F205" s="168"/>
      <c r="G205" s="168"/>
      <c r="H205" s="8" t="s">
        <v>1055</v>
      </c>
    </row>
    <row r="206" spans="3:8" ht="13.2" customHeight="1">
      <c r="C206" s="168"/>
      <c r="D206" s="168"/>
      <c r="E206" s="168"/>
      <c r="F206" s="168"/>
      <c r="G206" s="168"/>
      <c r="H206" s="8" t="s">
        <v>1056</v>
      </c>
    </row>
    <row r="207" spans="3:8">
      <c r="C207" s="168"/>
      <c r="D207" s="168"/>
      <c r="E207" s="168"/>
      <c r="F207" s="168"/>
      <c r="G207" s="168"/>
      <c r="H207" s="8" t="s">
        <v>1057</v>
      </c>
    </row>
    <row r="208" spans="3:8">
      <c r="C208" s="168"/>
      <c r="D208" s="168"/>
      <c r="E208" s="168"/>
      <c r="F208" s="168"/>
      <c r="G208" s="169"/>
      <c r="H208" s="8" t="s">
        <v>1058</v>
      </c>
    </row>
    <row r="209" spans="3:8" ht="13.2" customHeight="1">
      <c r="C209" s="168"/>
      <c r="D209" s="168"/>
      <c r="E209" s="168"/>
      <c r="F209" s="168"/>
      <c r="G209" s="167" t="s">
        <v>1059</v>
      </c>
      <c r="H209" s="8" t="s">
        <v>1060</v>
      </c>
    </row>
    <row r="210" spans="3:8">
      <c r="C210" s="168"/>
      <c r="D210" s="168"/>
      <c r="E210" s="168"/>
      <c r="F210" s="168"/>
      <c r="G210" s="168"/>
      <c r="H210" s="8" t="s">
        <v>1061</v>
      </c>
    </row>
    <row r="211" spans="3:8">
      <c r="C211" s="168"/>
      <c r="D211" s="168"/>
      <c r="E211" s="168"/>
      <c r="F211" s="168"/>
      <c r="G211" s="168"/>
      <c r="H211" s="8" t="s">
        <v>1062</v>
      </c>
    </row>
    <row r="212" spans="3:8">
      <c r="C212" s="168"/>
      <c r="D212" s="168"/>
      <c r="E212" s="168"/>
      <c r="F212" s="168"/>
      <c r="G212" s="168"/>
      <c r="H212" s="8" t="s">
        <v>1063</v>
      </c>
    </row>
    <row r="213" spans="3:8" ht="22.05" customHeight="1">
      <c r="C213" s="168"/>
      <c r="D213" s="168"/>
      <c r="E213" s="168"/>
      <c r="F213" s="168"/>
      <c r="G213" s="168"/>
      <c r="H213" s="8" t="s">
        <v>1064</v>
      </c>
    </row>
    <row r="214" spans="3:8">
      <c r="C214" s="168"/>
      <c r="D214" s="168"/>
      <c r="E214" s="168"/>
      <c r="F214" s="169"/>
      <c r="G214" s="169"/>
      <c r="H214" s="8" t="s">
        <v>1065</v>
      </c>
    </row>
    <row r="215" spans="3:8">
      <c r="C215" s="168"/>
      <c r="D215" s="168"/>
      <c r="E215" s="168"/>
      <c r="F215" s="167" t="s">
        <v>960</v>
      </c>
      <c r="G215" s="167" t="s">
        <v>1066</v>
      </c>
      <c r="H215" s="8" t="s">
        <v>1067</v>
      </c>
    </row>
    <row r="216" spans="3:8">
      <c r="C216" s="168"/>
      <c r="D216" s="168"/>
      <c r="E216" s="168"/>
      <c r="F216" s="168"/>
      <c r="G216" s="168"/>
      <c r="H216" s="8" t="s">
        <v>1068</v>
      </c>
    </row>
    <row r="217" spans="3:8">
      <c r="C217" s="168"/>
      <c r="D217" s="168"/>
      <c r="E217" s="168"/>
      <c r="F217" s="168"/>
      <c r="G217" s="168"/>
      <c r="H217" s="8" t="s">
        <v>1069</v>
      </c>
    </row>
    <row r="218" spans="3:8">
      <c r="C218" s="168"/>
      <c r="D218" s="168"/>
      <c r="E218" s="168"/>
      <c r="F218" s="168"/>
      <c r="G218" s="169"/>
      <c r="H218" s="8" t="s">
        <v>1070</v>
      </c>
    </row>
    <row r="219" spans="3:8">
      <c r="C219" s="168"/>
      <c r="D219" s="168"/>
      <c r="E219" s="168"/>
      <c r="F219" s="168"/>
      <c r="G219" s="167" t="s">
        <v>1071</v>
      </c>
      <c r="H219" s="8" t="s">
        <v>846</v>
      </c>
    </row>
    <row r="220" spans="3:8">
      <c r="C220" s="168"/>
      <c r="D220" s="168"/>
      <c r="E220" s="168"/>
      <c r="F220" s="168"/>
      <c r="G220" s="168"/>
      <c r="H220" s="8" t="s">
        <v>1072</v>
      </c>
    </row>
    <row r="221" spans="3:8">
      <c r="C221" s="168"/>
      <c r="D221" s="168"/>
      <c r="E221" s="168"/>
      <c r="F221" s="168"/>
      <c r="G221" s="168"/>
      <c r="H221" s="8" t="s">
        <v>1073</v>
      </c>
    </row>
    <row r="222" spans="3:8">
      <c r="C222" s="168"/>
      <c r="D222" s="168"/>
      <c r="E222" s="169"/>
      <c r="F222" s="169"/>
      <c r="G222" s="169"/>
      <c r="H222" s="8" t="s">
        <v>1074</v>
      </c>
    </row>
    <row r="223" spans="3:8">
      <c r="C223" s="168"/>
      <c r="D223" s="168"/>
      <c r="E223" s="170" t="s">
        <v>963</v>
      </c>
      <c r="F223" s="158"/>
      <c r="G223" s="8" t="s">
        <v>1075</v>
      </c>
      <c r="H223" s="8" t="s">
        <v>1076</v>
      </c>
    </row>
    <row r="224" spans="3:8">
      <c r="C224" s="168"/>
      <c r="D224" s="168"/>
      <c r="E224" s="170"/>
      <c r="F224" s="159"/>
      <c r="G224" s="8" t="s">
        <v>1077</v>
      </c>
      <c r="H224" s="8" t="s">
        <v>1078</v>
      </c>
    </row>
    <row r="225" spans="3:8">
      <c r="C225" s="168"/>
      <c r="D225" s="169"/>
      <c r="E225" s="8" t="s">
        <v>964</v>
      </c>
      <c r="F225" s="8" t="s">
        <v>1079</v>
      </c>
      <c r="G225" s="8"/>
      <c r="H225" s="8"/>
    </row>
    <row r="226" spans="3:8">
      <c r="C226" s="168"/>
      <c r="D226" s="167" t="s">
        <v>1080</v>
      </c>
      <c r="E226" s="167" t="s">
        <v>959</v>
      </c>
      <c r="F226" s="167" t="s">
        <v>962</v>
      </c>
      <c r="G226" s="167" t="s">
        <v>1047</v>
      </c>
      <c r="H226" s="8" t="s">
        <v>1048</v>
      </c>
    </row>
    <row r="227" spans="3:8">
      <c r="C227" s="168"/>
      <c r="D227" s="168"/>
      <c r="E227" s="168"/>
      <c r="F227" s="168"/>
      <c r="G227" s="168"/>
      <c r="H227" s="8" t="s">
        <v>1049</v>
      </c>
    </row>
    <row r="228" spans="3:8" ht="13.2" customHeight="1">
      <c r="C228" s="168"/>
      <c r="D228" s="168"/>
      <c r="E228" s="168"/>
      <c r="F228" s="168"/>
      <c r="G228" s="168"/>
      <c r="H228" s="8" t="s">
        <v>1050</v>
      </c>
    </row>
    <row r="229" spans="3:8">
      <c r="C229" s="168"/>
      <c r="D229" s="168"/>
      <c r="E229" s="168"/>
      <c r="F229" s="168"/>
      <c r="G229" s="169"/>
      <c r="H229" s="8" t="s">
        <v>1051</v>
      </c>
    </row>
    <row r="230" spans="3:8">
      <c r="C230" s="168"/>
      <c r="D230" s="168"/>
      <c r="E230" s="168"/>
      <c r="F230" s="168"/>
      <c r="G230" s="167" t="s">
        <v>1081</v>
      </c>
      <c r="H230" s="8" t="s">
        <v>1053</v>
      </c>
    </row>
    <row r="231" spans="3:8">
      <c r="C231" s="168"/>
      <c r="D231" s="168"/>
      <c r="E231" s="168"/>
      <c r="F231" s="168"/>
      <c r="G231" s="168"/>
      <c r="H231" s="8" t="s">
        <v>1054</v>
      </c>
    </row>
    <row r="232" spans="3:8">
      <c r="C232" s="168"/>
      <c r="D232" s="168"/>
      <c r="E232" s="168"/>
      <c r="F232" s="168"/>
      <c r="G232" s="168"/>
      <c r="H232" s="8" t="s">
        <v>847</v>
      </c>
    </row>
    <row r="233" spans="3:8">
      <c r="C233" s="168"/>
      <c r="D233" s="168"/>
      <c r="E233" s="168"/>
      <c r="F233" s="168"/>
      <c r="G233" s="168"/>
      <c r="H233" s="8" t="s">
        <v>1082</v>
      </c>
    </row>
    <row r="234" spans="3:8">
      <c r="C234" s="168"/>
      <c r="D234" s="168"/>
      <c r="E234" s="168"/>
      <c r="F234" s="168"/>
      <c r="G234" s="168"/>
      <c r="H234" s="8" t="s">
        <v>1083</v>
      </c>
    </row>
    <row r="235" spans="3:8">
      <c r="C235" s="168"/>
      <c r="D235" s="168"/>
      <c r="E235" s="168"/>
      <c r="F235" s="168"/>
      <c r="G235" s="168"/>
      <c r="H235" s="8" t="s">
        <v>1084</v>
      </c>
    </row>
    <row r="236" spans="3:8" ht="13.2" customHeight="1">
      <c r="C236" s="168"/>
      <c r="D236" s="168"/>
      <c r="E236" s="168"/>
      <c r="F236" s="168"/>
      <c r="G236" s="169"/>
      <c r="H236" s="8" t="s">
        <v>1085</v>
      </c>
    </row>
    <row r="237" spans="3:8">
      <c r="C237" s="168"/>
      <c r="D237" s="168"/>
      <c r="E237" s="168"/>
      <c r="F237" s="168"/>
      <c r="G237" s="167" t="s">
        <v>1059</v>
      </c>
      <c r="H237" s="8" t="s">
        <v>1060</v>
      </c>
    </row>
    <row r="238" spans="3:8">
      <c r="C238" s="168"/>
      <c r="D238" s="168"/>
      <c r="E238" s="168"/>
      <c r="F238" s="168"/>
      <c r="G238" s="168"/>
      <c r="H238" s="8" t="s">
        <v>1061</v>
      </c>
    </row>
    <row r="239" spans="3:8" ht="13.2" customHeight="1">
      <c r="C239" s="168"/>
      <c r="D239" s="168"/>
      <c r="E239" s="168"/>
      <c r="F239" s="168"/>
      <c r="G239" s="168"/>
      <c r="H239" s="8" t="s">
        <v>1062</v>
      </c>
    </row>
    <row r="240" spans="3:8">
      <c r="C240" s="168"/>
      <c r="D240" s="168"/>
      <c r="E240" s="168"/>
      <c r="F240" s="168"/>
      <c r="G240" s="168"/>
      <c r="H240" s="8" t="s">
        <v>1063</v>
      </c>
    </row>
    <row r="241" spans="3:8">
      <c r="C241" s="168"/>
      <c r="D241" s="168"/>
      <c r="E241" s="168"/>
      <c r="F241" s="168"/>
      <c r="G241" s="168"/>
      <c r="H241" s="8" t="s">
        <v>1064</v>
      </c>
    </row>
    <row r="242" spans="3:8">
      <c r="C242" s="168"/>
      <c r="D242" s="168"/>
      <c r="E242" s="168"/>
      <c r="F242" s="169"/>
      <c r="G242" s="169"/>
      <c r="H242" s="8" t="s">
        <v>1065</v>
      </c>
    </row>
    <row r="243" spans="3:8">
      <c r="C243" s="168"/>
      <c r="D243" s="168"/>
      <c r="E243" s="168"/>
      <c r="F243" s="167" t="s">
        <v>960</v>
      </c>
      <c r="G243" s="167" t="s">
        <v>1066</v>
      </c>
      <c r="H243" s="8" t="s">
        <v>1067</v>
      </c>
    </row>
    <row r="244" spans="3:8">
      <c r="C244" s="168"/>
      <c r="D244" s="168"/>
      <c r="E244" s="168"/>
      <c r="F244" s="168"/>
      <c r="G244" s="168"/>
      <c r="H244" s="8" t="s">
        <v>1068</v>
      </c>
    </row>
    <row r="245" spans="3:8">
      <c r="C245" s="168"/>
      <c r="D245" s="168"/>
      <c r="E245" s="168"/>
      <c r="F245" s="168"/>
      <c r="G245" s="168"/>
      <c r="H245" s="8" t="s">
        <v>1069</v>
      </c>
    </row>
    <row r="246" spans="3:8">
      <c r="C246" s="168"/>
      <c r="D246" s="168"/>
      <c r="E246" s="168"/>
      <c r="F246" s="168"/>
      <c r="G246" s="169"/>
      <c r="H246" s="8" t="s">
        <v>1070</v>
      </c>
    </row>
    <row r="247" spans="3:8">
      <c r="C247" s="168"/>
      <c r="D247" s="168"/>
      <c r="E247" s="168"/>
      <c r="F247" s="168"/>
      <c r="G247" s="167" t="s">
        <v>1071</v>
      </c>
      <c r="H247" s="8" t="s">
        <v>846</v>
      </c>
    </row>
    <row r="248" spans="3:8">
      <c r="C248" s="168"/>
      <c r="D248" s="168"/>
      <c r="E248" s="168"/>
      <c r="F248" s="168"/>
      <c r="G248" s="168"/>
      <c r="H248" s="8" t="s">
        <v>1072</v>
      </c>
    </row>
    <row r="249" spans="3:8">
      <c r="C249" s="168"/>
      <c r="D249" s="168"/>
      <c r="E249" s="168"/>
      <c r="F249" s="168"/>
      <c r="G249" s="168"/>
      <c r="H249" s="8" t="s">
        <v>1073</v>
      </c>
    </row>
    <row r="250" spans="3:8">
      <c r="C250" s="168"/>
      <c r="D250" s="168"/>
      <c r="E250" s="169"/>
      <c r="F250" s="169"/>
      <c r="G250" s="169"/>
      <c r="H250" s="8" t="s">
        <v>1074</v>
      </c>
    </row>
    <row r="251" spans="3:8">
      <c r="C251" s="168"/>
      <c r="D251" s="168"/>
      <c r="E251" s="146" t="s">
        <v>963</v>
      </c>
      <c r="F251" s="147"/>
      <c r="G251" s="8" t="s">
        <v>1075</v>
      </c>
      <c r="H251" s="8" t="s">
        <v>1076</v>
      </c>
    </row>
    <row r="252" spans="3:8">
      <c r="C252" s="168"/>
      <c r="D252" s="168"/>
      <c r="E252" s="148"/>
      <c r="F252" s="149"/>
      <c r="G252" s="8" t="s">
        <v>1077</v>
      </c>
      <c r="H252" s="8" t="s">
        <v>1078</v>
      </c>
    </row>
    <row r="253" spans="3:8">
      <c r="C253" s="169"/>
      <c r="D253" s="169"/>
      <c r="E253" s="8" t="s">
        <v>964</v>
      </c>
      <c r="F253" s="27" t="s">
        <v>1079</v>
      </c>
      <c r="G253" s="28"/>
      <c r="H253" s="8"/>
    </row>
    <row r="255" spans="3:8" ht="13.2" customHeight="1"/>
    <row r="257" spans="3:8" ht="17.399999999999999">
      <c r="C257" s="171" t="s">
        <v>873</v>
      </c>
      <c r="D257" s="171"/>
      <c r="E257" s="171"/>
      <c r="F257" s="171"/>
      <c r="G257" s="171"/>
      <c r="H257" s="171"/>
    </row>
    <row r="259" spans="3:8">
      <c r="C259" s="17" cm="1">
        <f t="array" ref="C259">IFERROR(ROWS(_xlfn.UNIQUE(_xlfn._xlws.FILTER(C261:C281,C261:C281&lt;&gt;""))),"-")</f>
        <v>1</v>
      </c>
      <c r="D259" s="17" cm="1">
        <f t="array" ref="D259">IFERROR(ROWS(_xlfn.UNIQUE(_xlfn._xlws.FILTER(D261:D281,D261:D281&lt;&gt;""))),"-")</f>
        <v>1</v>
      </c>
      <c r="E259" s="17" cm="1">
        <f t="array" ref="E259">IFERROR(ROWS(_xlfn.UNIQUE(_xlfn._xlws.FILTER(E261:E281,E261:E281&lt;&gt;""))),"-")</f>
        <v>3</v>
      </c>
      <c r="F259" s="17" cm="1">
        <f t="array" ref="F259">IFERROR(ROWS(_xlfn.UNIQUE(_xlfn._xlws.FILTER(F261:F281,F261:F281&lt;&gt;""))),"-")</f>
        <v>4</v>
      </c>
      <c r="G259" s="17" cm="1">
        <f t="array" ref="G259">IFERROR(ROWS(_xlfn.UNIQUE(_xlfn._xlws.FILTER(G261:G281,G261:G281&lt;&gt;""))),"-")</f>
        <v>7</v>
      </c>
      <c r="H259" s="17">
        <f>COUNTA(H261:H281)</f>
        <v>21</v>
      </c>
    </row>
    <row r="260" spans="3:8">
      <c r="C260" s="18" t="s">
        <v>771</v>
      </c>
      <c r="D260" s="18" t="s">
        <v>772</v>
      </c>
      <c r="E260" s="18" t="s">
        <v>773</v>
      </c>
      <c r="F260" s="18" t="s">
        <v>774</v>
      </c>
      <c r="G260" s="18" t="s">
        <v>775</v>
      </c>
      <c r="H260" s="18" t="s">
        <v>776</v>
      </c>
    </row>
    <row r="261" spans="3:8">
      <c r="C261" s="167" t="s">
        <v>1112</v>
      </c>
      <c r="D261" s="167" t="s">
        <v>1113</v>
      </c>
      <c r="E261" s="167" t="s">
        <v>959</v>
      </c>
      <c r="F261" s="167" t="s">
        <v>960</v>
      </c>
      <c r="G261" s="167" t="s">
        <v>1114</v>
      </c>
      <c r="H261" s="8" t="s">
        <v>1115</v>
      </c>
    </row>
    <row r="262" spans="3:8">
      <c r="C262" s="168"/>
      <c r="D262" s="168"/>
      <c r="E262" s="168"/>
      <c r="F262" s="168"/>
      <c r="G262" s="168"/>
      <c r="H262" s="8" t="s">
        <v>1116</v>
      </c>
    </row>
    <row r="263" spans="3:8" ht="13.2" customHeight="1">
      <c r="C263" s="168"/>
      <c r="D263" s="168"/>
      <c r="E263" s="168"/>
      <c r="F263" s="168"/>
      <c r="G263" s="168"/>
      <c r="H263" s="8" t="s">
        <v>1117</v>
      </c>
    </row>
    <row r="264" spans="3:8">
      <c r="C264" s="168"/>
      <c r="D264" s="168"/>
      <c r="E264" s="168"/>
      <c r="F264" s="168"/>
      <c r="G264" s="169"/>
      <c r="H264" s="8" t="s">
        <v>1118</v>
      </c>
    </row>
    <row r="265" spans="3:8" ht="13.2" customHeight="1">
      <c r="C265" s="168"/>
      <c r="D265" s="168"/>
      <c r="E265" s="168"/>
      <c r="F265" s="168"/>
      <c r="G265" s="167" t="s">
        <v>848</v>
      </c>
      <c r="H265" s="8" t="s">
        <v>849</v>
      </c>
    </row>
    <row r="266" spans="3:8">
      <c r="C266" s="168"/>
      <c r="D266" s="168"/>
      <c r="E266" s="168"/>
      <c r="F266" s="168"/>
      <c r="G266" s="168"/>
      <c r="H266" s="8" t="s">
        <v>1119</v>
      </c>
    </row>
    <row r="267" spans="3:8">
      <c r="C267" s="168"/>
      <c r="D267" s="168"/>
      <c r="E267" s="168"/>
      <c r="F267" s="168"/>
      <c r="G267" s="168"/>
      <c r="H267" s="8" t="s">
        <v>1120</v>
      </c>
    </row>
    <row r="268" spans="3:8">
      <c r="C268" s="168"/>
      <c r="D268" s="168"/>
      <c r="E268" s="168"/>
      <c r="F268" s="168"/>
      <c r="G268" s="169"/>
      <c r="H268" s="8" t="s">
        <v>1016</v>
      </c>
    </row>
    <row r="269" spans="3:8">
      <c r="C269" s="168"/>
      <c r="D269" s="168"/>
      <c r="E269" s="168"/>
      <c r="F269" s="168"/>
      <c r="G269" s="170" t="s">
        <v>1121</v>
      </c>
      <c r="H269" s="8" t="s">
        <v>818</v>
      </c>
    </row>
    <row r="270" spans="3:8" ht="22.05" customHeight="1">
      <c r="C270" s="168"/>
      <c r="D270" s="168"/>
      <c r="E270" s="168"/>
      <c r="F270" s="168"/>
      <c r="G270" s="170"/>
      <c r="H270" s="8" t="s">
        <v>940</v>
      </c>
    </row>
    <row r="271" spans="3:8" ht="13.2" customHeight="1">
      <c r="C271" s="168"/>
      <c r="D271" s="168"/>
      <c r="E271" s="168"/>
      <c r="F271" s="168"/>
      <c r="G271" s="170" t="s">
        <v>845</v>
      </c>
      <c r="H271" s="8" t="s">
        <v>1122</v>
      </c>
    </row>
    <row r="272" spans="3:8">
      <c r="C272" s="168"/>
      <c r="D272" s="168"/>
      <c r="E272" s="168"/>
      <c r="F272" s="169"/>
      <c r="G272" s="170"/>
      <c r="H272" s="8" t="s">
        <v>1123</v>
      </c>
    </row>
    <row r="273" spans="3:8">
      <c r="C273" s="168"/>
      <c r="D273" s="168"/>
      <c r="E273" s="168"/>
      <c r="F273" s="170" t="s">
        <v>962</v>
      </c>
      <c r="G273" s="170" t="s">
        <v>1124</v>
      </c>
      <c r="H273" s="8" t="s">
        <v>841</v>
      </c>
    </row>
    <row r="274" spans="3:8">
      <c r="C274" s="168"/>
      <c r="D274" s="168"/>
      <c r="E274" s="169"/>
      <c r="F274" s="170"/>
      <c r="G274" s="170"/>
      <c r="H274" s="8" t="s">
        <v>851</v>
      </c>
    </row>
    <row r="275" spans="3:8">
      <c r="C275" s="168"/>
      <c r="D275" s="168"/>
      <c r="E275" s="167" t="s">
        <v>963</v>
      </c>
      <c r="F275" s="167" t="s">
        <v>963</v>
      </c>
      <c r="G275" s="167" t="s">
        <v>1125</v>
      </c>
      <c r="H275" s="8" t="s">
        <v>1126</v>
      </c>
    </row>
    <row r="276" spans="3:8">
      <c r="C276" s="168"/>
      <c r="D276" s="168"/>
      <c r="E276" s="168"/>
      <c r="F276" s="168"/>
      <c r="G276" s="168"/>
      <c r="H276" s="8" t="s">
        <v>1127</v>
      </c>
    </row>
    <row r="277" spans="3:8">
      <c r="C277" s="168"/>
      <c r="D277" s="168"/>
      <c r="E277" s="169"/>
      <c r="F277" s="169"/>
      <c r="G277" s="169"/>
      <c r="H277" s="8" t="s">
        <v>1128</v>
      </c>
    </row>
    <row r="278" spans="3:8">
      <c r="C278" s="168"/>
      <c r="D278" s="168"/>
      <c r="E278" s="167" t="s">
        <v>992</v>
      </c>
      <c r="F278" s="167" t="s">
        <v>992</v>
      </c>
      <c r="G278" s="167" t="s">
        <v>1129</v>
      </c>
      <c r="H278" s="8" t="s">
        <v>1130</v>
      </c>
    </row>
    <row r="279" spans="3:8">
      <c r="C279" s="168"/>
      <c r="D279" s="168"/>
      <c r="E279" s="168"/>
      <c r="F279" s="168"/>
      <c r="G279" s="168"/>
      <c r="H279" s="8" t="s">
        <v>1131</v>
      </c>
    </row>
    <row r="280" spans="3:8">
      <c r="C280" s="168"/>
      <c r="D280" s="168"/>
      <c r="E280" s="168"/>
      <c r="F280" s="168"/>
      <c r="G280" s="168"/>
      <c r="H280" s="8" t="s">
        <v>1132</v>
      </c>
    </row>
    <row r="281" spans="3:8">
      <c r="C281" s="169"/>
      <c r="D281" s="169"/>
      <c r="E281" s="169"/>
      <c r="F281" s="169"/>
      <c r="G281" s="169"/>
      <c r="H281" s="8" t="s">
        <v>1133</v>
      </c>
    </row>
    <row r="285" spans="3:8" ht="17.399999999999999">
      <c r="C285" s="171" t="s">
        <v>874</v>
      </c>
      <c r="D285" s="171"/>
      <c r="E285" s="171"/>
      <c r="F285" s="171"/>
      <c r="G285" s="171"/>
      <c r="H285" s="171"/>
    </row>
    <row r="287" spans="3:8">
      <c r="C287" s="17" cm="1">
        <f t="array" ref="C287">IFERROR(ROWS(_xlfn.UNIQUE(_xlfn._xlws.FILTER(C289:C309,C289:C309&lt;&gt;""))),"-")</f>
        <v>1</v>
      </c>
      <c r="D287" s="17" cm="1">
        <f t="array" ref="D287">IFERROR(ROWS(_xlfn.UNIQUE(_xlfn._xlws.FILTER(D289:D309,D289:D309&lt;&gt;""))),"-")</f>
        <v>2</v>
      </c>
      <c r="E287" s="17" cm="1">
        <f t="array" ref="E287">IFERROR(ROWS(_xlfn.UNIQUE(_xlfn._xlws.FILTER(E289:E309,E289:E309&lt;&gt;""))),"-")</f>
        <v>3</v>
      </c>
      <c r="F287" s="17" cm="1">
        <f t="array" ref="F287">IFERROR(ROWS(_xlfn.UNIQUE(_xlfn._xlws.FILTER(F289:F309,F289:F309&lt;&gt;""))),"-")</f>
        <v>2</v>
      </c>
      <c r="G287" s="17" t="str" cm="1">
        <f t="array" ref="G287">IFERROR(ROWS(_xlfn.UNIQUE(_xlfn._xlws.FILTER(G289:G309,G289:G309&lt;&gt;""))),"-")</f>
        <v>-</v>
      </c>
      <c r="H287" s="17">
        <f>COUNTA(H289:H309)</f>
        <v>21</v>
      </c>
    </row>
    <row r="288" spans="3:8">
      <c r="C288" s="18" t="s">
        <v>771</v>
      </c>
      <c r="D288" s="18" t="s">
        <v>772</v>
      </c>
      <c r="E288" s="18" t="s">
        <v>773</v>
      </c>
      <c r="F288" s="18" t="s">
        <v>774</v>
      </c>
      <c r="G288" s="18" t="s">
        <v>775</v>
      </c>
      <c r="H288" s="18" t="s">
        <v>776</v>
      </c>
    </row>
    <row r="289" spans="3:8">
      <c r="C289" s="167" t="s">
        <v>852</v>
      </c>
      <c r="D289" s="146" t="s">
        <v>943</v>
      </c>
      <c r="E289" s="150"/>
      <c r="F289" s="150"/>
      <c r="G289" s="147"/>
      <c r="H289" s="8" t="s">
        <v>944</v>
      </c>
    </row>
    <row r="290" spans="3:8">
      <c r="C290" s="168"/>
      <c r="D290" s="151"/>
      <c r="E290" s="152"/>
      <c r="F290" s="152"/>
      <c r="G290" s="153"/>
      <c r="H290" s="8" t="s">
        <v>945</v>
      </c>
    </row>
    <row r="291" spans="3:8">
      <c r="C291" s="168"/>
      <c r="D291" s="151"/>
      <c r="E291" s="152"/>
      <c r="F291" s="152"/>
      <c r="G291" s="153"/>
      <c r="H291" s="8" t="s">
        <v>946</v>
      </c>
    </row>
    <row r="292" spans="3:8">
      <c r="C292" s="168"/>
      <c r="D292" s="148"/>
      <c r="E292" s="154"/>
      <c r="F292" s="154"/>
      <c r="G292" s="149"/>
      <c r="H292" s="8" t="s">
        <v>947</v>
      </c>
    </row>
    <row r="293" spans="3:8">
      <c r="C293" s="168"/>
      <c r="D293" s="167" t="s">
        <v>970</v>
      </c>
      <c r="E293" s="167" t="s">
        <v>959</v>
      </c>
      <c r="F293" s="146" t="s">
        <v>960</v>
      </c>
      <c r="G293" s="147"/>
      <c r="H293" s="8" t="s">
        <v>948</v>
      </c>
    </row>
    <row r="294" spans="3:8">
      <c r="C294" s="168"/>
      <c r="D294" s="168"/>
      <c r="E294" s="168"/>
      <c r="F294" s="151"/>
      <c r="G294" s="153"/>
      <c r="H294" s="8" t="s">
        <v>949</v>
      </c>
    </row>
    <row r="295" spans="3:8" ht="22.05" customHeight="1">
      <c r="C295" s="168"/>
      <c r="D295" s="168"/>
      <c r="E295" s="168"/>
      <c r="F295" s="151"/>
      <c r="G295" s="153"/>
      <c r="H295" s="8" t="s">
        <v>950</v>
      </c>
    </row>
    <row r="296" spans="3:8">
      <c r="C296" s="168"/>
      <c r="D296" s="168"/>
      <c r="E296" s="168"/>
      <c r="F296" s="148"/>
      <c r="G296" s="149"/>
      <c r="H296" s="8" t="s">
        <v>951</v>
      </c>
    </row>
    <row r="297" spans="3:8">
      <c r="C297" s="168"/>
      <c r="D297" s="168"/>
      <c r="E297" s="168"/>
      <c r="F297" s="146" t="s">
        <v>962</v>
      </c>
      <c r="G297" s="147"/>
      <c r="H297" s="8" t="s">
        <v>952</v>
      </c>
    </row>
    <row r="298" spans="3:8">
      <c r="C298" s="168"/>
      <c r="D298" s="168"/>
      <c r="E298" s="168"/>
      <c r="F298" s="151"/>
      <c r="G298" s="153"/>
      <c r="H298" s="8" t="s">
        <v>953</v>
      </c>
    </row>
    <row r="299" spans="3:8">
      <c r="C299" s="168"/>
      <c r="D299" s="168"/>
      <c r="E299" s="168"/>
      <c r="F299" s="151"/>
      <c r="G299" s="153"/>
      <c r="H299" s="8" t="s">
        <v>954</v>
      </c>
    </row>
    <row r="300" spans="3:8">
      <c r="C300" s="168"/>
      <c r="D300" s="168"/>
      <c r="E300" s="168"/>
      <c r="F300" s="151"/>
      <c r="G300" s="153"/>
      <c r="H300" s="8" t="s">
        <v>955</v>
      </c>
    </row>
    <row r="301" spans="3:8">
      <c r="C301" s="168"/>
      <c r="D301" s="168"/>
      <c r="E301" s="168"/>
      <c r="F301" s="151"/>
      <c r="G301" s="153"/>
      <c r="H301" s="8" t="s">
        <v>971</v>
      </c>
    </row>
    <row r="302" spans="3:8">
      <c r="C302" s="168"/>
      <c r="D302" s="168"/>
      <c r="E302" s="168"/>
      <c r="F302" s="151"/>
      <c r="G302" s="153"/>
      <c r="H302" s="8" t="s">
        <v>956</v>
      </c>
    </row>
    <row r="303" spans="3:8">
      <c r="C303" s="168"/>
      <c r="D303" s="168"/>
      <c r="E303" s="169"/>
      <c r="F303" s="148"/>
      <c r="G303" s="149"/>
      <c r="H303" s="8" t="s">
        <v>957</v>
      </c>
    </row>
    <row r="304" spans="3:8">
      <c r="C304" s="168"/>
      <c r="D304" s="168"/>
      <c r="E304" s="170" t="s">
        <v>963</v>
      </c>
      <c r="F304" s="161"/>
      <c r="G304" s="162"/>
      <c r="H304" s="8" t="s">
        <v>818</v>
      </c>
    </row>
    <row r="305" spans="3:8">
      <c r="C305" s="168"/>
      <c r="D305" s="168"/>
      <c r="E305" s="170"/>
      <c r="F305" s="165"/>
      <c r="G305" s="166"/>
      <c r="H305" s="8" t="s">
        <v>958</v>
      </c>
    </row>
    <row r="306" spans="3:8">
      <c r="C306" s="168"/>
      <c r="D306" s="168"/>
      <c r="E306" s="167" t="s">
        <v>972</v>
      </c>
      <c r="F306" s="161"/>
      <c r="G306" s="162"/>
      <c r="H306" s="8" t="s">
        <v>944</v>
      </c>
    </row>
    <row r="307" spans="3:8">
      <c r="C307" s="168"/>
      <c r="D307" s="168"/>
      <c r="E307" s="168"/>
      <c r="F307" s="163"/>
      <c r="G307" s="164"/>
      <c r="H307" s="8" t="s">
        <v>945</v>
      </c>
    </row>
    <row r="308" spans="3:8">
      <c r="C308" s="168"/>
      <c r="D308" s="168"/>
      <c r="E308" s="168"/>
      <c r="F308" s="163"/>
      <c r="G308" s="164"/>
      <c r="H308" s="8" t="s">
        <v>946</v>
      </c>
    </row>
    <row r="309" spans="3:8">
      <c r="C309" s="169"/>
      <c r="D309" s="169"/>
      <c r="E309" s="169"/>
      <c r="F309" s="165"/>
      <c r="G309" s="166"/>
      <c r="H309" s="8" t="s">
        <v>947</v>
      </c>
    </row>
    <row r="313" spans="3:8" ht="17.399999999999999">
      <c r="C313" s="171" t="s">
        <v>875</v>
      </c>
      <c r="D313" s="171"/>
      <c r="E313" s="171"/>
      <c r="F313" s="171"/>
      <c r="G313" s="171"/>
      <c r="H313" s="171"/>
    </row>
    <row r="315" spans="3:8">
      <c r="C315" s="17" cm="1">
        <f t="array" ref="C315">IFERROR(ROWS(_xlfn.UNIQUE(_xlfn._xlws.FILTER(C317:C370,C317:C370&lt;&gt;""))),"-")</f>
        <v>1</v>
      </c>
      <c r="D315" s="17" cm="1">
        <f t="array" ref="D315">IFERROR(ROWS(_xlfn.UNIQUE(_xlfn._xlws.FILTER(D317:D370,D317:D370&lt;&gt;""))),"-")</f>
        <v>3</v>
      </c>
      <c r="E315" s="17" cm="1">
        <f t="array" ref="E315">IFERROR(ROWS(_xlfn.UNIQUE(_xlfn._xlws.FILTER(E317:E370,E317:E370&lt;&gt;""))),"-")</f>
        <v>3</v>
      </c>
      <c r="F315" s="17" cm="1">
        <f t="array" ref="F315">IFERROR(ROWS(_xlfn.UNIQUE(_xlfn._xlws.FILTER(F317:F370,F317:F370&lt;&gt;""))),"-")</f>
        <v>5</v>
      </c>
      <c r="G315" s="17" cm="1">
        <f t="array" ref="G315">IFERROR(ROWS(_xlfn.UNIQUE(_xlfn._xlws.FILTER(G317:G370,G317:G370&lt;&gt;""))),"-")</f>
        <v>2</v>
      </c>
      <c r="H315" s="17">
        <f>COUNTA(H317:H370)</f>
        <v>54</v>
      </c>
    </row>
    <row r="316" spans="3:8">
      <c r="C316" s="18" t="s">
        <v>771</v>
      </c>
      <c r="D316" s="18" t="s">
        <v>772</v>
      </c>
      <c r="E316" s="18" t="s">
        <v>773</v>
      </c>
      <c r="F316" s="18" t="s">
        <v>774</v>
      </c>
      <c r="G316" s="18" t="s">
        <v>775</v>
      </c>
      <c r="H316" s="18" t="s">
        <v>776</v>
      </c>
    </row>
    <row r="317" spans="3:8">
      <c r="C317" s="167" t="s">
        <v>856</v>
      </c>
      <c r="D317" s="167" t="s">
        <v>973</v>
      </c>
      <c r="E317" s="167" t="s">
        <v>959</v>
      </c>
      <c r="F317" s="167" t="s">
        <v>960</v>
      </c>
      <c r="G317" s="158"/>
      <c r="H317" s="8" t="s">
        <v>974</v>
      </c>
    </row>
    <row r="318" spans="3:8">
      <c r="C318" s="168"/>
      <c r="D318" s="168"/>
      <c r="E318" s="168"/>
      <c r="F318" s="168"/>
      <c r="G318" s="160"/>
      <c r="H318" s="8" t="s">
        <v>975</v>
      </c>
    </row>
    <row r="319" spans="3:8">
      <c r="C319" s="168"/>
      <c r="D319" s="168"/>
      <c r="E319" s="168"/>
      <c r="F319" s="169"/>
      <c r="G319" s="159"/>
      <c r="H319" s="8" t="s">
        <v>976</v>
      </c>
    </row>
    <row r="320" spans="3:8">
      <c r="C320" s="168"/>
      <c r="D320" s="168"/>
      <c r="E320" s="168"/>
      <c r="F320" s="167" t="s">
        <v>962</v>
      </c>
      <c r="G320" s="167" t="s">
        <v>858</v>
      </c>
      <c r="H320" s="8" t="s">
        <v>977</v>
      </c>
    </row>
    <row r="321" spans="3:8">
      <c r="C321" s="168"/>
      <c r="D321" s="168"/>
      <c r="E321" s="168"/>
      <c r="F321" s="168"/>
      <c r="G321" s="168"/>
      <c r="H321" s="8" t="s">
        <v>978</v>
      </c>
    </row>
    <row r="322" spans="3:8">
      <c r="C322" s="168"/>
      <c r="D322" s="168"/>
      <c r="E322" s="168"/>
      <c r="F322" s="168"/>
      <c r="G322" s="169"/>
      <c r="H322" s="8" t="s">
        <v>979</v>
      </c>
    </row>
    <row r="323" spans="3:8">
      <c r="C323" s="168"/>
      <c r="D323" s="168"/>
      <c r="E323" s="168"/>
      <c r="F323" s="168"/>
      <c r="G323" s="167" t="s">
        <v>859</v>
      </c>
      <c r="H323" s="8" t="s">
        <v>980</v>
      </c>
    </row>
    <row r="324" spans="3:8">
      <c r="C324" s="168"/>
      <c r="D324" s="168"/>
      <c r="E324" s="168"/>
      <c r="F324" s="168"/>
      <c r="G324" s="168"/>
      <c r="H324" s="8" t="s">
        <v>981</v>
      </c>
    </row>
    <row r="325" spans="3:8">
      <c r="C325" s="168"/>
      <c r="D325" s="168"/>
      <c r="E325" s="168"/>
      <c r="F325" s="168"/>
      <c r="G325" s="168"/>
      <c r="H325" s="8" t="s">
        <v>982</v>
      </c>
    </row>
    <row r="326" spans="3:8">
      <c r="C326" s="168"/>
      <c r="D326" s="168"/>
      <c r="E326" s="168"/>
      <c r="F326" s="168"/>
      <c r="G326" s="168"/>
      <c r="H326" s="8" t="s">
        <v>983</v>
      </c>
    </row>
    <row r="327" spans="3:8">
      <c r="C327" s="168"/>
      <c r="D327" s="168"/>
      <c r="E327" s="168"/>
      <c r="F327" s="168"/>
      <c r="G327" s="168"/>
      <c r="H327" s="8" t="s">
        <v>984</v>
      </c>
    </row>
    <row r="328" spans="3:8">
      <c r="C328" s="168"/>
      <c r="D328" s="168"/>
      <c r="E328" s="168"/>
      <c r="F328" s="168"/>
      <c r="G328" s="168"/>
      <c r="H328" s="8" t="s">
        <v>985</v>
      </c>
    </row>
    <row r="329" spans="3:8">
      <c r="C329" s="168"/>
      <c r="D329" s="168"/>
      <c r="E329" s="168"/>
      <c r="F329" s="168"/>
      <c r="G329" s="168"/>
      <c r="H329" s="8" t="s">
        <v>986</v>
      </c>
    </row>
    <row r="330" spans="3:8">
      <c r="C330" s="168"/>
      <c r="D330" s="168"/>
      <c r="E330" s="168"/>
      <c r="F330" s="168"/>
      <c r="G330" s="168"/>
      <c r="H330" s="8" t="s">
        <v>987</v>
      </c>
    </row>
    <row r="331" spans="3:8">
      <c r="C331" s="168"/>
      <c r="D331" s="168"/>
      <c r="E331" s="168"/>
      <c r="F331" s="168"/>
      <c r="G331" s="168"/>
      <c r="H331" s="8" t="s">
        <v>988</v>
      </c>
    </row>
    <row r="332" spans="3:8">
      <c r="C332" s="168"/>
      <c r="D332" s="168"/>
      <c r="E332" s="169"/>
      <c r="F332" s="169"/>
      <c r="G332" s="169"/>
      <c r="H332" s="8" t="s">
        <v>989</v>
      </c>
    </row>
    <row r="333" spans="3:8">
      <c r="C333" s="168"/>
      <c r="D333" s="168"/>
      <c r="E333" s="170" t="s">
        <v>963</v>
      </c>
      <c r="F333" s="161"/>
      <c r="G333" s="162"/>
      <c r="H333" s="8" t="s">
        <v>990</v>
      </c>
    </row>
    <row r="334" spans="3:8">
      <c r="C334" s="168"/>
      <c r="D334" s="168"/>
      <c r="E334" s="170"/>
      <c r="F334" s="165"/>
      <c r="G334" s="166"/>
      <c r="H334" s="8" t="s">
        <v>991</v>
      </c>
    </row>
    <row r="335" spans="3:8">
      <c r="C335" s="168"/>
      <c r="D335" s="168"/>
      <c r="E335" s="170" t="s">
        <v>992</v>
      </c>
      <c r="F335" s="170" t="s">
        <v>857</v>
      </c>
      <c r="G335" s="158"/>
      <c r="H335" s="8" t="s">
        <v>993</v>
      </c>
    </row>
    <row r="336" spans="3:8">
      <c r="C336" s="168"/>
      <c r="D336" s="169"/>
      <c r="E336" s="170"/>
      <c r="F336" s="170"/>
      <c r="G336" s="159"/>
      <c r="H336" s="8" t="s">
        <v>994</v>
      </c>
    </row>
    <row r="337" spans="3:8">
      <c r="C337" s="168"/>
      <c r="D337" s="167" t="s">
        <v>995</v>
      </c>
      <c r="E337" s="167" t="s">
        <v>959</v>
      </c>
      <c r="F337" s="167" t="s">
        <v>960</v>
      </c>
      <c r="G337" s="158"/>
      <c r="H337" s="8" t="s">
        <v>974</v>
      </c>
    </row>
    <row r="338" spans="3:8">
      <c r="C338" s="168"/>
      <c r="D338" s="168"/>
      <c r="E338" s="168"/>
      <c r="F338" s="168"/>
      <c r="G338" s="160"/>
      <c r="H338" s="8" t="s">
        <v>975</v>
      </c>
    </row>
    <row r="339" spans="3:8">
      <c r="C339" s="168"/>
      <c r="D339" s="168"/>
      <c r="E339" s="168"/>
      <c r="F339" s="169"/>
      <c r="G339" s="159"/>
      <c r="H339" s="8" t="s">
        <v>976</v>
      </c>
    </row>
    <row r="340" spans="3:8">
      <c r="C340" s="168"/>
      <c r="D340" s="168"/>
      <c r="E340" s="168"/>
      <c r="F340" s="167" t="s">
        <v>962</v>
      </c>
      <c r="G340" s="170" t="s">
        <v>858</v>
      </c>
      <c r="H340" s="8" t="s">
        <v>977</v>
      </c>
    </row>
    <row r="341" spans="3:8">
      <c r="C341" s="168"/>
      <c r="D341" s="168"/>
      <c r="E341" s="168"/>
      <c r="F341" s="168"/>
      <c r="G341" s="170"/>
      <c r="H341" s="8" t="s">
        <v>978</v>
      </c>
    </row>
    <row r="342" spans="3:8">
      <c r="C342" s="168"/>
      <c r="D342" s="168"/>
      <c r="E342" s="168"/>
      <c r="F342" s="168"/>
      <c r="G342" s="167" t="s">
        <v>859</v>
      </c>
      <c r="H342" s="8" t="s">
        <v>980</v>
      </c>
    </row>
    <row r="343" spans="3:8">
      <c r="C343" s="168"/>
      <c r="D343" s="168"/>
      <c r="E343" s="168"/>
      <c r="F343" s="168"/>
      <c r="G343" s="168"/>
      <c r="H343" s="8" t="s">
        <v>981</v>
      </c>
    </row>
    <row r="344" spans="3:8">
      <c r="C344" s="168"/>
      <c r="D344" s="168"/>
      <c r="E344" s="168"/>
      <c r="F344" s="168"/>
      <c r="G344" s="168"/>
      <c r="H344" s="8" t="s">
        <v>982</v>
      </c>
    </row>
    <row r="345" spans="3:8">
      <c r="C345" s="168"/>
      <c r="D345" s="168"/>
      <c r="E345" s="168"/>
      <c r="F345" s="168"/>
      <c r="G345" s="168"/>
      <c r="H345" s="8" t="s">
        <v>983</v>
      </c>
    </row>
    <row r="346" spans="3:8">
      <c r="C346" s="168"/>
      <c r="D346" s="168"/>
      <c r="E346" s="168"/>
      <c r="F346" s="168"/>
      <c r="G346" s="168"/>
      <c r="H346" s="8" t="s">
        <v>984</v>
      </c>
    </row>
    <row r="347" spans="3:8">
      <c r="C347" s="168"/>
      <c r="D347" s="168"/>
      <c r="E347" s="168"/>
      <c r="F347" s="168"/>
      <c r="G347" s="168"/>
      <c r="H347" s="8" t="s">
        <v>985</v>
      </c>
    </row>
    <row r="348" spans="3:8">
      <c r="C348" s="168"/>
      <c r="D348" s="168"/>
      <c r="E348" s="168"/>
      <c r="F348" s="168"/>
      <c r="G348" s="168"/>
      <c r="H348" s="8" t="s">
        <v>986</v>
      </c>
    </row>
    <row r="349" spans="3:8">
      <c r="C349" s="168"/>
      <c r="D349" s="168"/>
      <c r="E349" s="168"/>
      <c r="F349" s="168"/>
      <c r="G349" s="168"/>
      <c r="H349" s="8" t="s">
        <v>987</v>
      </c>
    </row>
    <row r="350" spans="3:8">
      <c r="C350" s="168"/>
      <c r="D350" s="168"/>
      <c r="E350" s="168"/>
      <c r="F350" s="168"/>
      <c r="G350" s="168"/>
      <c r="H350" s="8" t="s">
        <v>988</v>
      </c>
    </row>
    <row r="351" spans="3:8">
      <c r="C351" s="168"/>
      <c r="D351" s="168"/>
      <c r="E351" s="168"/>
      <c r="F351" s="168"/>
      <c r="G351" s="168"/>
      <c r="H351" s="8" t="s">
        <v>989</v>
      </c>
    </row>
    <row r="352" spans="3:8">
      <c r="C352" s="168"/>
      <c r="D352" s="168"/>
      <c r="E352" s="169"/>
      <c r="F352" s="169"/>
      <c r="G352" s="169"/>
      <c r="H352" s="8" t="s">
        <v>996</v>
      </c>
    </row>
    <row r="353" spans="3:8">
      <c r="C353" s="168"/>
      <c r="D353" s="168"/>
      <c r="E353" s="170" t="s">
        <v>963</v>
      </c>
      <c r="F353" s="161"/>
      <c r="G353" s="162"/>
      <c r="H353" s="8" t="s">
        <v>990</v>
      </c>
    </row>
    <row r="354" spans="3:8">
      <c r="C354" s="168"/>
      <c r="D354" s="168"/>
      <c r="E354" s="170"/>
      <c r="F354" s="165"/>
      <c r="G354" s="166"/>
      <c r="H354" s="8" t="s">
        <v>991</v>
      </c>
    </row>
    <row r="355" spans="3:8">
      <c r="C355" s="168"/>
      <c r="D355" s="169"/>
      <c r="E355" s="8" t="s">
        <v>992</v>
      </c>
      <c r="F355" s="8" t="s">
        <v>860</v>
      </c>
      <c r="G355" s="8"/>
      <c r="H355" s="8" t="s">
        <v>997</v>
      </c>
    </row>
    <row r="356" spans="3:8">
      <c r="C356" s="168"/>
      <c r="D356" s="167" t="s">
        <v>998</v>
      </c>
      <c r="E356" s="167" t="s">
        <v>959</v>
      </c>
      <c r="F356" s="170" t="s">
        <v>960</v>
      </c>
      <c r="G356" s="158"/>
      <c r="H356" s="8" t="s">
        <v>974</v>
      </c>
    </row>
    <row r="357" spans="3:8">
      <c r="C357" s="168"/>
      <c r="D357" s="168"/>
      <c r="E357" s="168"/>
      <c r="F357" s="170"/>
      <c r="G357" s="159"/>
      <c r="H357" s="8" t="s">
        <v>976</v>
      </c>
    </row>
    <row r="358" spans="3:8">
      <c r="C358" s="168"/>
      <c r="D358" s="168"/>
      <c r="E358" s="168"/>
      <c r="F358" s="167" t="s">
        <v>962</v>
      </c>
      <c r="G358" s="167" t="s">
        <v>859</v>
      </c>
      <c r="H358" s="8" t="s">
        <v>980</v>
      </c>
    </row>
    <row r="359" spans="3:8">
      <c r="C359" s="168"/>
      <c r="D359" s="168"/>
      <c r="E359" s="168"/>
      <c r="F359" s="168"/>
      <c r="G359" s="168"/>
      <c r="H359" s="8" t="s">
        <v>981</v>
      </c>
    </row>
    <row r="360" spans="3:8">
      <c r="C360" s="168"/>
      <c r="D360" s="168"/>
      <c r="E360" s="168"/>
      <c r="F360" s="168"/>
      <c r="G360" s="168"/>
      <c r="H360" s="8" t="s">
        <v>982</v>
      </c>
    </row>
    <row r="361" spans="3:8">
      <c r="C361" s="168"/>
      <c r="D361" s="168"/>
      <c r="E361" s="168"/>
      <c r="F361" s="168"/>
      <c r="G361" s="168"/>
      <c r="H361" s="8" t="s">
        <v>983</v>
      </c>
    </row>
    <row r="362" spans="3:8">
      <c r="C362" s="168"/>
      <c r="D362" s="168"/>
      <c r="E362" s="168"/>
      <c r="F362" s="168"/>
      <c r="G362" s="168"/>
      <c r="H362" s="8" t="s">
        <v>984</v>
      </c>
    </row>
    <row r="363" spans="3:8">
      <c r="C363" s="168"/>
      <c r="D363" s="168"/>
      <c r="E363" s="168"/>
      <c r="F363" s="168"/>
      <c r="G363" s="168"/>
      <c r="H363" s="8" t="s">
        <v>985</v>
      </c>
    </row>
    <row r="364" spans="3:8">
      <c r="C364" s="168"/>
      <c r="D364" s="168"/>
      <c r="E364" s="168"/>
      <c r="F364" s="168"/>
      <c r="G364" s="168"/>
      <c r="H364" s="8" t="s">
        <v>986</v>
      </c>
    </row>
    <row r="365" spans="3:8">
      <c r="C365" s="168"/>
      <c r="D365" s="168"/>
      <c r="E365" s="168"/>
      <c r="F365" s="168"/>
      <c r="G365" s="168"/>
      <c r="H365" s="8" t="s">
        <v>987</v>
      </c>
    </row>
    <row r="366" spans="3:8">
      <c r="C366" s="168"/>
      <c r="D366" s="168"/>
      <c r="E366" s="168"/>
      <c r="F366" s="168"/>
      <c r="G366" s="168"/>
      <c r="H366" s="8" t="s">
        <v>988</v>
      </c>
    </row>
    <row r="367" spans="3:8">
      <c r="C367" s="168"/>
      <c r="D367" s="168"/>
      <c r="E367" s="169"/>
      <c r="F367" s="169"/>
      <c r="G367" s="169"/>
      <c r="H367" s="8" t="s">
        <v>989</v>
      </c>
    </row>
    <row r="368" spans="3:8">
      <c r="C368" s="168"/>
      <c r="D368" s="168"/>
      <c r="E368" s="146" t="s">
        <v>963</v>
      </c>
      <c r="F368" s="150"/>
      <c r="G368" s="147"/>
      <c r="H368" s="8" t="s">
        <v>990</v>
      </c>
    </row>
    <row r="369" spans="3:8">
      <c r="C369" s="168"/>
      <c r="D369" s="168"/>
      <c r="E369" s="148"/>
      <c r="F369" s="154"/>
      <c r="G369" s="149"/>
      <c r="H369" s="8" t="s">
        <v>991</v>
      </c>
    </row>
    <row r="370" spans="3:8">
      <c r="C370" s="169"/>
      <c r="D370" s="169"/>
      <c r="E370" s="8" t="s">
        <v>992</v>
      </c>
      <c r="F370" s="8" t="s">
        <v>999</v>
      </c>
      <c r="G370" s="8"/>
      <c r="H370" s="8" t="s">
        <v>1000</v>
      </c>
    </row>
    <row r="374" spans="3:8" ht="17.399999999999999">
      <c r="C374" s="171" t="s">
        <v>876</v>
      </c>
      <c r="D374" s="171"/>
      <c r="E374" s="171"/>
      <c r="F374" s="171"/>
      <c r="G374" s="171"/>
      <c r="H374" s="171"/>
    </row>
    <row r="376" spans="3:8">
      <c r="C376" s="17" cm="1">
        <f t="array" ref="C376">IFERROR(ROWS(_xlfn.UNIQUE(_xlfn._xlws.FILTER(C378:C395,C378:C395&lt;&gt;""))),"-")</f>
        <v>1</v>
      </c>
      <c r="D376" s="17" cm="1">
        <f t="array" ref="D376">IFERROR(ROWS(_xlfn.UNIQUE(_xlfn._xlws.FILTER(D378:D395,D378:D395&lt;&gt;""))),"-")</f>
        <v>3</v>
      </c>
      <c r="E376" s="17" cm="1">
        <f t="array" ref="E376">IFERROR(ROWS(_xlfn.UNIQUE(_xlfn._xlws.FILTER(E378:E395,E378:E395&lt;&gt;""))),"-")</f>
        <v>3</v>
      </c>
      <c r="F376" s="17" t="str" cm="1">
        <f t="array" ref="F376">IFERROR(ROWS(_xlfn.UNIQUE(_xlfn._xlws.FILTER(F378:F395,F378:F395&lt;&gt;""))),"-")</f>
        <v>-</v>
      </c>
      <c r="G376" s="17" t="str" cm="1">
        <f t="array" ref="G376">IFERROR(ROWS(_xlfn.UNIQUE(_xlfn._xlws.FILTER(G378:G395,G378:G395&lt;&gt;""))),"-")</f>
        <v>-</v>
      </c>
      <c r="H376" s="17">
        <f>COUNTA(H378:H395)</f>
        <v>18</v>
      </c>
    </row>
    <row r="377" spans="3:8">
      <c r="C377" s="18" t="s">
        <v>771</v>
      </c>
      <c r="D377" s="18" t="s">
        <v>772</v>
      </c>
      <c r="E377" s="18" t="s">
        <v>773</v>
      </c>
      <c r="F377" s="18" t="s">
        <v>774</v>
      </c>
      <c r="G377" s="18" t="s">
        <v>775</v>
      </c>
      <c r="H377" s="18" t="s">
        <v>776</v>
      </c>
    </row>
    <row r="378" spans="3:8">
      <c r="C378" s="167" t="s">
        <v>861</v>
      </c>
      <c r="D378" s="167" t="s">
        <v>1086</v>
      </c>
      <c r="E378" s="146" t="s">
        <v>959</v>
      </c>
      <c r="F378" s="150"/>
      <c r="G378" s="147"/>
      <c r="H378" s="8" t="s">
        <v>1087</v>
      </c>
    </row>
    <row r="379" spans="3:8">
      <c r="C379" s="168"/>
      <c r="D379" s="168"/>
      <c r="E379" s="151"/>
      <c r="F379" s="152"/>
      <c r="G379" s="153"/>
      <c r="H379" s="8" t="s">
        <v>1110</v>
      </c>
    </row>
    <row r="380" spans="3:8">
      <c r="C380" s="168"/>
      <c r="D380" s="168"/>
      <c r="E380" s="148"/>
      <c r="F380" s="154"/>
      <c r="G380" s="149"/>
      <c r="H380" s="8" t="s">
        <v>1090</v>
      </c>
    </row>
    <row r="381" spans="3:8">
      <c r="C381" s="168"/>
      <c r="D381" s="168"/>
      <c r="E381" s="155" t="s">
        <v>963</v>
      </c>
      <c r="F381" s="156"/>
      <c r="G381" s="157"/>
      <c r="H381" s="8" t="s">
        <v>1111</v>
      </c>
    </row>
    <row r="382" spans="3:8">
      <c r="C382" s="168"/>
      <c r="D382" s="168"/>
      <c r="E382" s="146" t="s">
        <v>992</v>
      </c>
      <c r="F382" s="150"/>
      <c r="G382" s="147"/>
      <c r="H382" s="8" t="s">
        <v>1093</v>
      </c>
    </row>
    <row r="383" spans="3:8">
      <c r="C383" s="168"/>
      <c r="D383" s="168"/>
      <c r="E383" s="151"/>
      <c r="F383" s="152"/>
      <c r="G383" s="153"/>
      <c r="H383" s="8" t="s">
        <v>1094</v>
      </c>
    </row>
    <row r="384" spans="3:8">
      <c r="C384" s="168"/>
      <c r="D384" s="169"/>
      <c r="E384" s="148"/>
      <c r="F384" s="154"/>
      <c r="G384" s="149"/>
      <c r="H384" s="8" t="s">
        <v>1095</v>
      </c>
    </row>
    <row r="385" spans="3:8">
      <c r="C385" s="168"/>
      <c r="D385" s="167" t="s">
        <v>1096</v>
      </c>
      <c r="E385" s="146" t="s">
        <v>959</v>
      </c>
      <c r="F385" s="150"/>
      <c r="G385" s="147"/>
      <c r="H385" s="8" t="s">
        <v>1097</v>
      </c>
    </row>
    <row r="386" spans="3:8">
      <c r="C386" s="168"/>
      <c r="D386" s="168"/>
      <c r="E386" s="151"/>
      <c r="F386" s="152"/>
      <c r="G386" s="153"/>
      <c r="H386" s="8" t="s">
        <v>1110</v>
      </c>
    </row>
    <row r="387" spans="3:8">
      <c r="C387" s="168"/>
      <c r="D387" s="168"/>
      <c r="E387" s="148"/>
      <c r="F387" s="154"/>
      <c r="G387" s="149"/>
      <c r="H387" s="8" t="s">
        <v>1090</v>
      </c>
    </row>
    <row r="388" spans="3:8">
      <c r="C388" s="168"/>
      <c r="D388" s="168"/>
      <c r="E388" s="155" t="s">
        <v>963</v>
      </c>
      <c r="F388" s="156"/>
      <c r="G388" s="157"/>
      <c r="H388" s="8" t="s">
        <v>1111</v>
      </c>
    </row>
    <row r="389" spans="3:8">
      <c r="C389" s="168"/>
      <c r="D389" s="168"/>
      <c r="E389" s="146" t="s">
        <v>992</v>
      </c>
      <c r="F389" s="150"/>
      <c r="G389" s="147"/>
      <c r="H389" s="8" t="s">
        <v>1099</v>
      </c>
    </row>
    <row r="390" spans="3:8">
      <c r="C390" s="168"/>
      <c r="D390" s="169"/>
      <c r="E390" s="148"/>
      <c r="F390" s="154"/>
      <c r="G390" s="149"/>
      <c r="H390" s="8" t="s">
        <v>1100</v>
      </c>
    </row>
    <row r="391" spans="3:8">
      <c r="C391" s="168"/>
      <c r="D391" s="167" t="s">
        <v>1101</v>
      </c>
      <c r="E391" s="146" t="s">
        <v>959</v>
      </c>
      <c r="F391" s="150"/>
      <c r="G391" s="147"/>
      <c r="H391" s="8" t="s">
        <v>1110</v>
      </c>
    </row>
    <row r="392" spans="3:8">
      <c r="C392" s="168"/>
      <c r="D392" s="168"/>
      <c r="E392" s="148"/>
      <c r="F392" s="154"/>
      <c r="G392" s="149"/>
      <c r="H392" s="8" t="s">
        <v>1090</v>
      </c>
    </row>
    <row r="393" spans="3:8">
      <c r="C393" s="168"/>
      <c r="D393" s="168"/>
      <c r="E393" s="155" t="s">
        <v>963</v>
      </c>
      <c r="F393" s="156"/>
      <c r="G393" s="157"/>
      <c r="H393" s="8" t="s">
        <v>1111</v>
      </c>
    </row>
    <row r="394" spans="3:8">
      <c r="C394" s="168"/>
      <c r="D394" s="168"/>
      <c r="E394" s="146" t="s">
        <v>992</v>
      </c>
      <c r="F394" s="150"/>
      <c r="G394" s="147"/>
      <c r="H394" s="8" t="s">
        <v>1102</v>
      </c>
    </row>
    <row r="395" spans="3:8">
      <c r="C395" s="169"/>
      <c r="D395" s="169"/>
      <c r="E395" s="148"/>
      <c r="F395" s="154"/>
      <c r="G395" s="149"/>
      <c r="H395" s="8" t="s">
        <v>1103</v>
      </c>
    </row>
    <row r="399" spans="3:8" ht="17.399999999999999">
      <c r="C399" s="171" t="s">
        <v>877</v>
      </c>
      <c r="D399" s="171"/>
      <c r="E399" s="171"/>
      <c r="F399" s="171"/>
      <c r="G399" s="171"/>
      <c r="H399" s="171"/>
    </row>
    <row r="401" spans="3:8">
      <c r="C401" s="17" cm="1">
        <f t="array" ref="C401">IFERROR(ROWS(_xlfn.UNIQUE(_xlfn._xlws.FILTER(C403:C445,C403:C445&lt;&gt;""))),"-")</f>
        <v>1</v>
      </c>
      <c r="D401" s="17" cm="1">
        <f t="array" ref="D401">IFERROR(ROWS(_xlfn.UNIQUE(_xlfn._xlws.FILTER(D403:D445,D403:D445&lt;&gt;""))),"-")</f>
        <v>5</v>
      </c>
      <c r="E401" s="17" cm="1">
        <f t="array" ref="E401">IFERROR(ROWS(_xlfn.UNIQUE(_xlfn._xlws.FILTER(E403:E445,E403:E445&lt;&gt;""))),"-")</f>
        <v>3</v>
      </c>
      <c r="F401" s="17" t="str" cm="1">
        <f t="array" ref="F401">IFERROR(ROWS(_xlfn.UNIQUE(_xlfn._xlws.FILTER(F403:F445,F403:F445&lt;&gt;""))),"-")</f>
        <v>-</v>
      </c>
      <c r="G401" s="17" t="str" cm="1">
        <f t="array" ref="G401">IFERROR(ROWS(_xlfn.UNIQUE(_xlfn._xlws.FILTER(G403:G445,G403:G445&lt;&gt;""))),"-")</f>
        <v>-</v>
      </c>
      <c r="H401" s="17">
        <f>COUNTA(H403:H445)</f>
        <v>43</v>
      </c>
    </row>
    <row r="402" spans="3:8">
      <c r="C402" s="18" t="s">
        <v>771</v>
      </c>
      <c r="D402" s="18" t="s">
        <v>772</v>
      </c>
      <c r="E402" s="18" t="s">
        <v>773</v>
      </c>
      <c r="F402" s="18" t="s">
        <v>774</v>
      </c>
      <c r="G402" s="18" t="s">
        <v>775</v>
      </c>
      <c r="H402" s="18" t="s">
        <v>776</v>
      </c>
    </row>
    <row r="403" spans="3:8">
      <c r="C403" s="167" t="s">
        <v>862</v>
      </c>
      <c r="D403" s="167" t="s">
        <v>1086</v>
      </c>
      <c r="E403" s="146" t="s">
        <v>959</v>
      </c>
      <c r="F403" s="150"/>
      <c r="G403" s="147"/>
      <c r="H403" s="8" t="s">
        <v>1087</v>
      </c>
    </row>
    <row r="404" spans="3:8">
      <c r="C404" s="168"/>
      <c r="D404" s="168"/>
      <c r="E404" s="151"/>
      <c r="F404" s="152"/>
      <c r="G404" s="153"/>
      <c r="H404" s="8" t="s">
        <v>1088</v>
      </c>
    </row>
    <row r="405" spans="3:8">
      <c r="C405" s="168"/>
      <c r="D405" s="168"/>
      <c r="E405" s="151"/>
      <c r="F405" s="152"/>
      <c r="G405" s="153"/>
      <c r="H405" s="8" t="s">
        <v>1089</v>
      </c>
    </row>
    <row r="406" spans="3:8">
      <c r="C406" s="168"/>
      <c r="D406" s="168"/>
      <c r="E406" s="148"/>
      <c r="F406" s="154"/>
      <c r="G406" s="149"/>
      <c r="H406" s="8" t="s">
        <v>1090</v>
      </c>
    </row>
    <row r="407" spans="3:8">
      <c r="C407" s="168"/>
      <c r="D407" s="168"/>
      <c r="E407" s="146" t="s">
        <v>963</v>
      </c>
      <c r="F407" s="150"/>
      <c r="G407" s="147"/>
      <c r="H407" s="8" t="s">
        <v>1091</v>
      </c>
    </row>
    <row r="408" spans="3:8">
      <c r="C408" s="168"/>
      <c r="D408" s="168"/>
      <c r="E408" s="148"/>
      <c r="F408" s="154"/>
      <c r="G408" s="149"/>
      <c r="H408" s="8" t="s">
        <v>1092</v>
      </c>
    </row>
    <row r="409" spans="3:8">
      <c r="C409" s="168"/>
      <c r="D409" s="168"/>
      <c r="E409" s="146" t="s">
        <v>992</v>
      </c>
      <c r="F409" s="150"/>
      <c r="G409" s="147"/>
      <c r="H409" s="8" t="s">
        <v>1093</v>
      </c>
    </row>
    <row r="410" spans="3:8">
      <c r="C410" s="168"/>
      <c r="D410" s="168"/>
      <c r="E410" s="151"/>
      <c r="F410" s="152"/>
      <c r="G410" s="153"/>
      <c r="H410" s="8" t="s">
        <v>1094</v>
      </c>
    </row>
    <row r="411" spans="3:8">
      <c r="C411" s="168"/>
      <c r="D411" s="169"/>
      <c r="E411" s="148"/>
      <c r="F411" s="154"/>
      <c r="G411" s="149"/>
      <c r="H411" s="8" t="s">
        <v>1095</v>
      </c>
    </row>
    <row r="412" spans="3:8">
      <c r="C412" s="168"/>
      <c r="D412" s="167" t="s">
        <v>1096</v>
      </c>
      <c r="E412" s="146" t="s">
        <v>959</v>
      </c>
      <c r="F412" s="150"/>
      <c r="G412" s="147"/>
      <c r="H412" s="8" t="s">
        <v>1097</v>
      </c>
    </row>
    <row r="413" spans="3:8">
      <c r="C413" s="168"/>
      <c r="D413" s="168"/>
      <c r="E413" s="151"/>
      <c r="F413" s="152"/>
      <c r="G413" s="153"/>
      <c r="H413" s="8" t="s">
        <v>1088</v>
      </c>
    </row>
    <row r="414" spans="3:8">
      <c r="C414" s="168"/>
      <c r="D414" s="168"/>
      <c r="E414" s="151"/>
      <c r="F414" s="152"/>
      <c r="G414" s="153"/>
      <c r="H414" s="8" t="s">
        <v>1089</v>
      </c>
    </row>
    <row r="415" spans="3:8">
      <c r="C415" s="168"/>
      <c r="D415" s="168"/>
      <c r="E415" s="148"/>
      <c r="F415" s="154"/>
      <c r="G415" s="149"/>
      <c r="H415" s="8" t="s">
        <v>1090</v>
      </c>
    </row>
    <row r="416" spans="3:8">
      <c r="C416" s="168"/>
      <c r="D416" s="168"/>
      <c r="E416" s="146" t="s">
        <v>963</v>
      </c>
      <c r="F416" s="150"/>
      <c r="G416" s="147"/>
      <c r="H416" s="8" t="s">
        <v>1091</v>
      </c>
    </row>
    <row r="417" spans="3:8">
      <c r="C417" s="168"/>
      <c r="D417" s="168"/>
      <c r="E417" s="148"/>
      <c r="F417" s="154"/>
      <c r="G417" s="149"/>
      <c r="H417" s="8" t="s">
        <v>1092</v>
      </c>
    </row>
    <row r="418" spans="3:8">
      <c r="C418" s="168"/>
      <c r="D418" s="168"/>
      <c r="E418" s="146" t="s">
        <v>992</v>
      </c>
      <c r="F418" s="150"/>
      <c r="G418" s="147"/>
      <c r="H418" s="8" t="s">
        <v>1098</v>
      </c>
    </row>
    <row r="419" spans="3:8">
      <c r="C419" s="168"/>
      <c r="D419" s="168"/>
      <c r="E419" s="151"/>
      <c r="F419" s="152"/>
      <c r="G419" s="153"/>
      <c r="H419" s="8" t="s">
        <v>1099</v>
      </c>
    </row>
    <row r="420" spans="3:8">
      <c r="C420" s="168"/>
      <c r="D420" s="169"/>
      <c r="E420" s="148"/>
      <c r="F420" s="154"/>
      <c r="G420" s="149"/>
      <c r="H420" s="8" t="s">
        <v>1100</v>
      </c>
    </row>
    <row r="421" spans="3:8">
      <c r="C421" s="168"/>
      <c r="D421" s="167" t="s">
        <v>1101</v>
      </c>
      <c r="E421" s="146" t="s">
        <v>959</v>
      </c>
      <c r="F421" s="150"/>
      <c r="G421" s="147"/>
      <c r="H421" s="8" t="s">
        <v>1088</v>
      </c>
    </row>
    <row r="422" spans="3:8">
      <c r="C422" s="168"/>
      <c r="D422" s="168"/>
      <c r="E422" s="151"/>
      <c r="F422" s="152"/>
      <c r="G422" s="153"/>
      <c r="H422" s="8" t="s">
        <v>1089</v>
      </c>
    </row>
    <row r="423" spans="3:8">
      <c r="C423" s="168"/>
      <c r="D423" s="168"/>
      <c r="E423" s="148"/>
      <c r="F423" s="154"/>
      <c r="G423" s="149"/>
      <c r="H423" s="8" t="s">
        <v>1090</v>
      </c>
    </row>
    <row r="424" spans="3:8">
      <c r="C424" s="168"/>
      <c r="D424" s="168"/>
      <c r="E424" s="146" t="s">
        <v>963</v>
      </c>
      <c r="F424" s="150"/>
      <c r="G424" s="147"/>
      <c r="H424" s="8" t="s">
        <v>1091</v>
      </c>
    </row>
    <row r="425" spans="3:8">
      <c r="C425" s="168"/>
      <c r="D425" s="168"/>
      <c r="E425" s="148"/>
      <c r="F425" s="154"/>
      <c r="G425" s="149"/>
      <c r="H425" s="8" t="s">
        <v>1092</v>
      </c>
    </row>
    <row r="426" spans="3:8">
      <c r="C426" s="168"/>
      <c r="D426" s="168"/>
      <c r="E426" s="146" t="s">
        <v>992</v>
      </c>
      <c r="F426" s="150"/>
      <c r="G426" s="147"/>
      <c r="H426" s="8" t="s">
        <v>1102</v>
      </c>
    </row>
    <row r="427" spans="3:8">
      <c r="C427" s="168"/>
      <c r="D427" s="169"/>
      <c r="E427" s="148"/>
      <c r="F427" s="154"/>
      <c r="G427" s="149"/>
      <c r="H427" s="8" t="s">
        <v>1103</v>
      </c>
    </row>
    <row r="428" spans="3:8">
      <c r="C428" s="168"/>
      <c r="D428" s="167" t="s">
        <v>1104</v>
      </c>
      <c r="E428" s="146" t="s">
        <v>959</v>
      </c>
      <c r="F428" s="150"/>
      <c r="G428" s="147"/>
      <c r="H428" s="8" t="s">
        <v>1105</v>
      </c>
    </row>
    <row r="429" spans="3:8">
      <c r="C429" s="168"/>
      <c r="D429" s="168"/>
      <c r="E429" s="151"/>
      <c r="F429" s="152"/>
      <c r="G429" s="153"/>
      <c r="H429" s="8" t="s">
        <v>1088</v>
      </c>
    </row>
    <row r="430" spans="3:8">
      <c r="C430" s="168"/>
      <c r="D430" s="168"/>
      <c r="E430" s="151"/>
      <c r="F430" s="152"/>
      <c r="G430" s="153"/>
      <c r="H430" s="8" t="s">
        <v>1089</v>
      </c>
    </row>
    <row r="431" spans="3:8">
      <c r="C431" s="168"/>
      <c r="D431" s="168"/>
      <c r="E431" s="148"/>
      <c r="F431" s="154"/>
      <c r="G431" s="149"/>
      <c r="H431" s="8" t="s">
        <v>1090</v>
      </c>
    </row>
    <row r="432" spans="3:8">
      <c r="C432" s="168"/>
      <c r="D432" s="168"/>
      <c r="E432" s="146" t="s">
        <v>963</v>
      </c>
      <c r="F432" s="150"/>
      <c r="G432" s="147"/>
      <c r="H432" s="8" t="s">
        <v>1091</v>
      </c>
    </row>
    <row r="433" spans="3:8">
      <c r="C433" s="168"/>
      <c r="D433" s="168"/>
      <c r="E433" s="148"/>
      <c r="F433" s="154"/>
      <c r="G433" s="149"/>
      <c r="H433" s="8" t="s">
        <v>1092</v>
      </c>
    </row>
    <row r="434" spans="3:8">
      <c r="C434" s="168"/>
      <c r="D434" s="168"/>
      <c r="E434" s="146" t="s">
        <v>992</v>
      </c>
      <c r="F434" s="150"/>
      <c r="G434" s="147"/>
      <c r="H434" s="8" t="s">
        <v>1098</v>
      </c>
    </row>
    <row r="435" spans="3:8">
      <c r="C435" s="168"/>
      <c r="D435" s="168"/>
      <c r="E435" s="151"/>
      <c r="F435" s="152"/>
      <c r="G435" s="153"/>
      <c r="H435" s="8" t="s">
        <v>1099</v>
      </c>
    </row>
    <row r="436" spans="3:8">
      <c r="C436" s="168"/>
      <c r="D436" s="169"/>
      <c r="E436" s="148"/>
      <c r="F436" s="154"/>
      <c r="G436" s="149"/>
      <c r="H436" s="8" t="s">
        <v>1095</v>
      </c>
    </row>
    <row r="437" spans="3:8">
      <c r="C437" s="168"/>
      <c r="D437" s="167" t="s">
        <v>1106</v>
      </c>
      <c r="E437" s="146" t="s">
        <v>959</v>
      </c>
      <c r="F437" s="150"/>
      <c r="G437" s="147"/>
      <c r="H437" s="8" t="s">
        <v>1107</v>
      </c>
    </row>
    <row r="438" spans="3:8">
      <c r="C438" s="168"/>
      <c r="D438" s="168"/>
      <c r="E438" s="151"/>
      <c r="F438" s="152"/>
      <c r="G438" s="153"/>
      <c r="H438" s="8" t="s">
        <v>1088</v>
      </c>
    </row>
    <row r="439" spans="3:8">
      <c r="C439" s="168"/>
      <c r="D439" s="168"/>
      <c r="E439" s="151"/>
      <c r="F439" s="152"/>
      <c r="G439" s="153"/>
      <c r="H439" s="8" t="s">
        <v>1089</v>
      </c>
    </row>
    <row r="440" spans="3:8">
      <c r="C440" s="168"/>
      <c r="D440" s="168"/>
      <c r="E440" s="148"/>
      <c r="F440" s="154"/>
      <c r="G440" s="149"/>
      <c r="H440" s="8" t="s">
        <v>1090</v>
      </c>
    </row>
    <row r="441" spans="3:8">
      <c r="C441" s="168"/>
      <c r="D441" s="168"/>
      <c r="E441" s="146" t="s">
        <v>963</v>
      </c>
      <c r="F441" s="150"/>
      <c r="G441" s="147"/>
      <c r="H441" s="8" t="s">
        <v>1091</v>
      </c>
    </row>
    <row r="442" spans="3:8">
      <c r="C442" s="168"/>
      <c r="D442" s="168"/>
      <c r="E442" s="148"/>
      <c r="F442" s="154"/>
      <c r="G442" s="149"/>
      <c r="H442" s="8" t="s">
        <v>1092</v>
      </c>
    </row>
    <row r="443" spans="3:8">
      <c r="C443" s="168"/>
      <c r="D443" s="168"/>
      <c r="E443" s="146" t="s">
        <v>992</v>
      </c>
      <c r="F443" s="150"/>
      <c r="G443" s="147"/>
      <c r="H443" s="8" t="s">
        <v>1108</v>
      </c>
    </row>
    <row r="444" spans="3:8">
      <c r="C444" s="168"/>
      <c r="D444" s="168"/>
      <c r="E444" s="151"/>
      <c r="F444" s="152"/>
      <c r="G444" s="153"/>
      <c r="H444" s="8" t="s">
        <v>1102</v>
      </c>
    </row>
    <row r="445" spans="3:8">
      <c r="C445" s="169"/>
      <c r="D445" s="169"/>
      <c r="E445" s="148"/>
      <c r="F445" s="154"/>
      <c r="G445" s="149"/>
      <c r="H445" s="8" t="s">
        <v>1109</v>
      </c>
    </row>
  </sheetData>
  <mergeCells count="196">
    <mergeCell ref="C24:H24"/>
    <mergeCell ref="G33:G34"/>
    <mergeCell ref="G35:G38"/>
    <mergeCell ref="G39:G42"/>
    <mergeCell ref="G43:G46"/>
    <mergeCell ref="B2:H2"/>
    <mergeCell ref="C198:C253"/>
    <mergeCell ref="D198:D225"/>
    <mergeCell ref="D226:D253"/>
    <mergeCell ref="C134:C190"/>
    <mergeCell ref="D134:D150"/>
    <mergeCell ref="D151:D163"/>
    <mergeCell ref="G123:G124"/>
    <mergeCell ref="C130:H130"/>
    <mergeCell ref="C67:H67"/>
    <mergeCell ref="E54:F61"/>
    <mergeCell ref="E62:G62"/>
    <mergeCell ref="E91:F92"/>
    <mergeCell ref="E120:F124"/>
    <mergeCell ref="E125:G126"/>
    <mergeCell ref="E168:F170"/>
    <mergeCell ref="E171:G173"/>
    <mergeCell ref="G47:G49"/>
    <mergeCell ref="G50:G51"/>
    <mergeCell ref="G52:G53"/>
    <mergeCell ref="G55:G61"/>
    <mergeCell ref="F82:F90"/>
    <mergeCell ref="F94:F104"/>
    <mergeCell ref="F105:F119"/>
    <mergeCell ref="G71:G73"/>
    <mergeCell ref="C28:C62"/>
    <mergeCell ref="D28:D62"/>
    <mergeCell ref="E28:E53"/>
    <mergeCell ref="F28:F38"/>
    <mergeCell ref="F39:F53"/>
    <mergeCell ref="G28:G30"/>
    <mergeCell ref="G31:G32"/>
    <mergeCell ref="G74:G77"/>
    <mergeCell ref="G78:G81"/>
    <mergeCell ref="G82:G87"/>
    <mergeCell ref="G88:G90"/>
    <mergeCell ref="G91:G92"/>
    <mergeCell ref="G94:G99"/>
    <mergeCell ref="C71:C126"/>
    <mergeCell ref="D71:D126"/>
    <mergeCell ref="E71:E90"/>
    <mergeCell ref="E94:E119"/>
    <mergeCell ref="F71:F81"/>
    <mergeCell ref="C403:C445"/>
    <mergeCell ref="D403:D411"/>
    <mergeCell ref="D412:D420"/>
    <mergeCell ref="D421:D427"/>
    <mergeCell ref="D428:D436"/>
    <mergeCell ref="D437:D445"/>
    <mergeCell ref="E403:G406"/>
    <mergeCell ref="E407:G408"/>
    <mergeCell ref="E409:G411"/>
    <mergeCell ref="E437:G440"/>
    <mergeCell ref="E441:G442"/>
    <mergeCell ref="E443:G445"/>
    <mergeCell ref="E412:G415"/>
    <mergeCell ref="E416:G417"/>
    <mergeCell ref="E418:G420"/>
    <mergeCell ref="E421:G423"/>
    <mergeCell ref="E424:G425"/>
    <mergeCell ref="E426:G427"/>
    <mergeCell ref="E428:G431"/>
    <mergeCell ref="E432:G433"/>
    <mergeCell ref="E434:G436"/>
    <mergeCell ref="E180:F184"/>
    <mergeCell ref="E185:G190"/>
    <mergeCell ref="G100:G104"/>
    <mergeCell ref="G105:G110"/>
    <mergeCell ref="G111:G114"/>
    <mergeCell ref="G115:G116"/>
    <mergeCell ref="G117:G119"/>
    <mergeCell ref="G121:G122"/>
    <mergeCell ref="E161:G163"/>
    <mergeCell ref="E156:F160"/>
    <mergeCell ref="E148:G150"/>
    <mergeCell ref="E142:F147"/>
    <mergeCell ref="G157:G160"/>
    <mergeCell ref="C257:H257"/>
    <mergeCell ref="C261:C281"/>
    <mergeCell ref="G169:G170"/>
    <mergeCell ref="G174:G177"/>
    <mergeCell ref="G182:G184"/>
    <mergeCell ref="C194:H194"/>
    <mergeCell ref="G134:G135"/>
    <mergeCell ref="G136:G137"/>
    <mergeCell ref="G138:G139"/>
    <mergeCell ref="G140:G141"/>
    <mergeCell ref="G143:G147"/>
    <mergeCell ref="G151:G152"/>
    <mergeCell ref="E174:E179"/>
    <mergeCell ref="F134:F139"/>
    <mergeCell ref="F140:F141"/>
    <mergeCell ref="F151:F154"/>
    <mergeCell ref="F164:F166"/>
    <mergeCell ref="F174:F178"/>
    <mergeCell ref="D164:D173"/>
    <mergeCell ref="D174:D190"/>
    <mergeCell ref="E134:E141"/>
    <mergeCell ref="E151:E155"/>
    <mergeCell ref="E164:E167"/>
    <mergeCell ref="G164:G165"/>
    <mergeCell ref="G198:G201"/>
    <mergeCell ref="G202:G208"/>
    <mergeCell ref="G209:G214"/>
    <mergeCell ref="G215:G218"/>
    <mergeCell ref="G219:G222"/>
    <mergeCell ref="G226:G229"/>
    <mergeCell ref="E198:E222"/>
    <mergeCell ref="E223:E224"/>
    <mergeCell ref="E226:E250"/>
    <mergeCell ref="F198:F214"/>
    <mergeCell ref="F215:F222"/>
    <mergeCell ref="F226:F242"/>
    <mergeCell ref="F243:F250"/>
    <mergeCell ref="G230:G236"/>
    <mergeCell ref="G237:G242"/>
    <mergeCell ref="G243:G246"/>
    <mergeCell ref="G247:G250"/>
    <mergeCell ref="F223:F224"/>
    <mergeCell ref="D261:D281"/>
    <mergeCell ref="E261:E274"/>
    <mergeCell ref="E275:E277"/>
    <mergeCell ref="E278:E281"/>
    <mergeCell ref="G278:G281"/>
    <mergeCell ref="C285:H285"/>
    <mergeCell ref="C289:C309"/>
    <mergeCell ref="D293:D309"/>
    <mergeCell ref="E293:E303"/>
    <mergeCell ref="F293:G296"/>
    <mergeCell ref="F317:F319"/>
    <mergeCell ref="F320:F332"/>
    <mergeCell ref="F335:F336"/>
    <mergeCell ref="F261:F272"/>
    <mergeCell ref="F273:F274"/>
    <mergeCell ref="F275:F277"/>
    <mergeCell ref="F278:F281"/>
    <mergeCell ref="G261:G264"/>
    <mergeCell ref="G265:G268"/>
    <mergeCell ref="G269:G270"/>
    <mergeCell ref="G271:G272"/>
    <mergeCell ref="G273:G274"/>
    <mergeCell ref="G275:G277"/>
    <mergeCell ref="F304:G305"/>
    <mergeCell ref="C399:H399"/>
    <mergeCell ref="G323:G332"/>
    <mergeCell ref="G340:G341"/>
    <mergeCell ref="G342:G352"/>
    <mergeCell ref="F333:G334"/>
    <mergeCell ref="C374:H374"/>
    <mergeCell ref="C378:C395"/>
    <mergeCell ref="D378:D384"/>
    <mergeCell ref="D385:D390"/>
    <mergeCell ref="D391:D395"/>
    <mergeCell ref="F337:F339"/>
    <mergeCell ref="F340:F352"/>
    <mergeCell ref="F356:F357"/>
    <mergeCell ref="F358:F367"/>
    <mergeCell ref="C317:C370"/>
    <mergeCell ref="D317:D336"/>
    <mergeCell ref="D337:D355"/>
    <mergeCell ref="D356:D370"/>
    <mergeCell ref="E317:E332"/>
    <mergeCell ref="E333:E334"/>
    <mergeCell ref="E353:E354"/>
    <mergeCell ref="E335:E336"/>
    <mergeCell ref="E337:E352"/>
    <mergeCell ref="E356:E367"/>
    <mergeCell ref="E251:F252"/>
    <mergeCell ref="D289:G292"/>
    <mergeCell ref="E368:G369"/>
    <mergeCell ref="E394:G395"/>
    <mergeCell ref="E393:G393"/>
    <mergeCell ref="E391:G392"/>
    <mergeCell ref="E389:G390"/>
    <mergeCell ref="E388:G388"/>
    <mergeCell ref="E385:G387"/>
    <mergeCell ref="E382:G384"/>
    <mergeCell ref="E381:G381"/>
    <mergeCell ref="E378:G380"/>
    <mergeCell ref="G335:G336"/>
    <mergeCell ref="G337:G339"/>
    <mergeCell ref="F306:G309"/>
    <mergeCell ref="G356:G357"/>
    <mergeCell ref="F353:G354"/>
    <mergeCell ref="G317:G319"/>
    <mergeCell ref="G320:G322"/>
    <mergeCell ref="F297:G303"/>
    <mergeCell ref="G358:G367"/>
    <mergeCell ref="E304:E305"/>
    <mergeCell ref="E306:E309"/>
    <mergeCell ref="C313:H31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B2603-20F9-43F9-B779-5B8C553DA708}">
  <sheetPr>
    <tabColor theme="5"/>
  </sheetPr>
  <dimension ref="A1"/>
  <sheetViews>
    <sheetView workbookViewId="0">
      <selection activeCell="L21" sqref="L21"/>
    </sheetView>
  </sheetViews>
  <sheetFormatPr baseColWidth="10"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1C47A-D293-456B-BB3C-B50DA8E0F3EF}">
  <sheetPr>
    <tabColor theme="5"/>
    <outlinePr summaryBelow="0" summaryRight="0"/>
  </sheetPr>
  <dimension ref="A1:J55"/>
  <sheetViews>
    <sheetView zoomScaleNormal="100" workbookViewId="0">
      <pane ySplit="2" topLeftCell="A40" activePane="bottomLeft" state="frozen"/>
      <selection activeCell="B22" sqref="B22:B56"/>
      <selection pane="bottomLeft" activeCell="A2" sqref="A2:C50"/>
    </sheetView>
  </sheetViews>
  <sheetFormatPr baseColWidth="10" defaultColWidth="12.59765625" defaultRowHeight="15.75" customHeight="1"/>
  <cols>
    <col min="2" max="3" width="37.59765625" customWidth="1"/>
    <col min="4" max="4" width="27.09765625" customWidth="1"/>
    <col min="5" max="5" width="13.796875" customWidth="1"/>
    <col min="6" max="6" width="23.59765625" customWidth="1"/>
    <col min="7" max="7" width="37.59765625" customWidth="1"/>
    <col min="8" max="8" width="22.796875" customWidth="1"/>
    <col min="9" max="9" width="25.8984375" customWidth="1"/>
    <col min="10" max="10" width="37.59765625" customWidth="1"/>
  </cols>
  <sheetData>
    <row r="1" spans="1:10" ht="15.75" customHeight="1">
      <c r="F1" s="26" t="s">
        <v>1134</v>
      </c>
      <c r="H1" s="26" t="s">
        <v>1135</v>
      </c>
    </row>
    <row r="2" spans="1:10" ht="22.5" customHeight="1">
      <c r="A2" s="22" t="s">
        <v>310</v>
      </c>
      <c r="B2" s="22" t="s">
        <v>311</v>
      </c>
      <c r="C2" s="22" t="s">
        <v>312</v>
      </c>
      <c r="D2" s="22" t="s">
        <v>313</v>
      </c>
      <c r="E2" s="22" t="s">
        <v>314</v>
      </c>
      <c r="F2" s="22" t="s">
        <v>315</v>
      </c>
      <c r="G2" s="22" t="s">
        <v>316</v>
      </c>
      <c r="H2" s="22" t="s">
        <v>317</v>
      </c>
      <c r="I2" s="22" t="s">
        <v>318</v>
      </c>
      <c r="J2" s="22" t="s">
        <v>319</v>
      </c>
    </row>
    <row r="3" spans="1:10" ht="22.5" hidden="1" customHeight="1">
      <c r="A3" s="2" t="s">
        <v>320</v>
      </c>
      <c r="B3" s="2" t="s">
        <v>321</v>
      </c>
      <c r="C3" s="2" t="s">
        <v>322</v>
      </c>
      <c r="D3" s="2" t="s">
        <v>323</v>
      </c>
      <c r="E3" s="2" t="s">
        <v>324</v>
      </c>
      <c r="F3" s="2" t="s">
        <v>325</v>
      </c>
      <c r="G3" s="2" t="s">
        <v>326</v>
      </c>
      <c r="H3" s="2" t="s">
        <v>325</v>
      </c>
      <c r="I3" s="2" t="s">
        <v>327</v>
      </c>
      <c r="J3" s="2" t="s">
        <v>328</v>
      </c>
    </row>
    <row r="4" spans="1:10" ht="22.5" hidden="1" customHeight="1">
      <c r="A4" s="2" t="s">
        <v>329</v>
      </c>
      <c r="B4" s="2" t="s">
        <v>330</v>
      </c>
      <c r="C4" s="2" t="s">
        <v>331</v>
      </c>
      <c r="D4" s="2" t="s">
        <v>323</v>
      </c>
      <c r="E4" s="2" t="s">
        <v>324</v>
      </c>
      <c r="F4" s="2" t="s">
        <v>325</v>
      </c>
      <c r="G4" s="2" t="s">
        <v>332</v>
      </c>
      <c r="H4" s="2" t="s">
        <v>333</v>
      </c>
      <c r="I4" s="2" t="s">
        <v>327</v>
      </c>
      <c r="J4" s="2" t="s">
        <v>334</v>
      </c>
    </row>
    <row r="5" spans="1:10" ht="22.5" hidden="1" customHeight="1">
      <c r="A5" s="2" t="s">
        <v>335</v>
      </c>
      <c r="B5" s="2" t="s">
        <v>336</v>
      </c>
      <c r="C5" s="2" t="s">
        <v>337</v>
      </c>
      <c r="D5" s="2" t="s">
        <v>338</v>
      </c>
      <c r="E5" s="2" t="s">
        <v>324</v>
      </c>
      <c r="F5" s="2" t="s">
        <v>325</v>
      </c>
      <c r="G5" s="2" t="s">
        <v>332</v>
      </c>
      <c r="H5" s="2" t="s">
        <v>339</v>
      </c>
      <c r="I5" s="2" t="s">
        <v>340</v>
      </c>
      <c r="J5" s="2" t="s">
        <v>334</v>
      </c>
    </row>
    <row r="6" spans="1:10" ht="22.5" hidden="1" customHeight="1">
      <c r="A6" s="2" t="s">
        <v>341</v>
      </c>
      <c r="B6" s="2" t="s">
        <v>342</v>
      </c>
      <c r="C6" s="2" t="s">
        <v>343</v>
      </c>
      <c r="D6" s="2" t="s">
        <v>344</v>
      </c>
      <c r="E6" s="2" t="s">
        <v>324</v>
      </c>
      <c r="F6" s="2" t="s">
        <v>325</v>
      </c>
      <c r="G6" s="2" t="s">
        <v>332</v>
      </c>
      <c r="H6" s="2" t="s">
        <v>339</v>
      </c>
      <c r="I6" s="2" t="s">
        <v>340</v>
      </c>
      <c r="J6" s="2" t="s">
        <v>345</v>
      </c>
    </row>
    <row r="7" spans="1:10" ht="22.5" hidden="1" customHeight="1">
      <c r="A7" s="2" t="s">
        <v>346</v>
      </c>
      <c r="B7" s="2" t="s">
        <v>347</v>
      </c>
      <c r="C7" s="2" t="s">
        <v>348</v>
      </c>
      <c r="D7" s="2" t="s">
        <v>323</v>
      </c>
      <c r="E7" s="2" t="s">
        <v>324</v>
      </c>
      <c r="F7" s="2" t="s">
        <v>325</v>
      </c>
      <c r="G7" s="2" t="s">
        <v>332</v>
      </c>
      <c r="H7" s="2" t="s">
        <v>339</v>
      </c>
      <c r="I7" s="2" t="s">
        <v>327</v>
      </c>
      <c r="J7" s="2" t="s">
        <v>345</v>
      </c>
    </row>
    <row r="8" spans="1:10" ht="22.5" customHeight="1">
      <c r="A8" s="2" t="s">
        <v>349</v>
      </c>
      <c r="B8" s="2" t="s">
        <v>350</v>
      </c>
      <c r="C8" s="2" t="s">
        <v>351</v>
      </c>
      <c r="D8" s="2" t="s">
        <v>352</v>
      </c>
      <c r="E8" s="2" t="s">
        <v>324</v>
      </c>
      <c r="F8" s="2" t="s">
        <v>325</v>
      </c>
      <c r="G8" s="2" t="s">
        <v>353</v>
      </c>
      <c r="H8" s="2" t="s">
        <v>339</v>
      </c>
      <c r="I8" s="2" t="s">
        <v>327</v>
      </c>
      <c r="J8" s="2" t="s">
        <v>354</v>
      </c>
    </row>
    <row r="9" spans="1:10" ht="22.5" customHeight="1">
      <c r="A9" s="2" t="s">
        <v>355</v>
      </c>
      <c r="B9" s="2" t="s">
        <v>356</v>
      </c>
      <c r="C9" s="2" t="s">
        <v>357</v>
      </c>
      <c r="D9" s="2" t="s">
        <v>344</v>
      </c>
      <c r="E9" s="2" t="s">
        <v>324</v>
      </c>
      <c r="F9" s="2" t="s">
        <v>325</v>
      </c>
      <c r="G9" s="2" t="s">
        <v>358</v>
      </c>
      <c r="H9" s="2" t="s">
        <v>339</v>
      </c>
      <c r="I9" s="2" t="s">
        <v>340</v>
      </c>
      <c r="J9" s="2" t="s">
        <v>359</v>
      </c>
    </row>
    <row r="10" spans="1:10" ht="22.5" customHeight="1">
      <c r="A10" s="2" t="s">
        <v>360</v>
      </c>
      <c r="B10" s="2" t="s">
        <v>361</v>
      </c>
      <c r="C10" s="2" t="s">
        <v>362</v>
      </c>
      <c r="D10" s="2" t="s">
        <v>363</v>
      </c>
      <c r="E10" s="2" t="s">
        <v>324</v>
      </c>
      <c r="F10" s="2" t="s">
        <v>325</v>
      </c>
      <c r="G10" s="2" t="s">
        <v>358</v>
      </c>
      <c r="H10" s="2" t="s">
        <v>339</v>
      </c>
      <c r="I10" s="2" t="s">
        <v>327</v>
      </c>
      <c r="J10" s="2" t="s">
        <v>359</v>
      </c>
    </row>
    <row r="11" spans="1:10" ht="22.5" hidden="1" customHeight="1">
      <c r="A11" s="2" t="s">
        <v>364</v>
      </c>
      <c r="B11" s="2" t="s">
        <v>365</v>
      </c>
      <c r="C11" s="2" t="s">
        <v>366</v>
      </c>
      <c r="D11" s="2" t="s">
        <v>352</v>
      </c>
      <c r="E11" s="2" t="s">
        <v>324</v>
      </c>
      <c r="F11" s="2" t="s">
        <v>333</v>
      </c>
      <c r="G11" s="2" t="s">
        <v>367</v>
      </c>
      <c r="H11" s="2" t="s">
        <v>333</v>
      </c>
      <c r="I11" s="2" t="s">
        <v>340</v>
      </c>
      <c r="J11" s="2" t="s">
        <v>368</v>
      </c>
    </row>
    <row r="12" spans="1:10" ht="22.5" hidden="1" customHeight="1">
      <c r="A12" s="2" t="s">
        <v>369</v>
      </c>
      <c r="B12" s="2" t="s">
        <v>370</v>
      </c>
      <c r="C12" s="2" t="s">
        <v>371</v>
      </c>
      <c r="D12" s="2" t="s">
        <v>338</v>
      </c>
      <c r="E12" s="2" t="s">
        <v>324</v>
      </c>
      <c r="F12" s="2" t="s">
        <v>325</v>
      </c>
      <c r="G12" s="2" t="s">
        <v>372</v>
      </c>
      <c r="H12" s="2" t="s">
        <v>325</v>
      </c>
      <c r="I12" s="2" t="s">
        <v>373</v>
      </c>
      <c r="J12" s="2" t="s">
        <v>374</v>
      </c>
    </row>
    <row r="13" spans="1:10" ht="22.5" hidden="1" customHeight="1">
      <c r="A13" s="2" t="s">
        <v>375</v>
      </c>
      <c r="B13" s="2" t="s">
        <v>376</v>
      </c>
      <c r="C13" s="2" t="s">
        <v>377</v>
      </c>
      <c r="D13" s="2" t="s">
        <v>323</v>
      </c>
      <c r="E13" s="2" t="s">
        <v>324</v>
      </c>
      <c r="F13" s="2" t="s">
        <v>333</v>
      </c>
      <c r="G13" s="2" t="s">
        <v>378</v>
      </c>
      <c r="H13" s="2" t="s">
        <v>333</v>
      </c>
      <c r="I13" s="2" t="s">
        <v>340</v>
      </c>
      <c r="J13" s="2" t="s">
        <v>334</v>
      </c>
    </row>
    <row r="14" spans="1:10" ht="22.5" hidden="1" customHeight="1">
      <c r="A14" s="2" t="s">
        <v>379</v>
      </c>
      <c r="B14" s="2" t="s">
        <v>380</v>
      </c>
      <c r="C14" s="2" t="s">
        <v>381</v>
      </c>
      <c r="D14" s="2" t="s">
        <v>344</v>
      </c>
      <c r="E14" s="2" t="s">
        <v>324</v>
      </c>
      <c r="F14" s="2" t="s">
        <v>333</v>
      </c>
      <c r="G14" s="2" t="s">
        <v>382</v>
      </c>
      <c r="H14" s="2" t="s">
        <v>339</v>
      </c>
      <c r="I14" s="2" t="s">
        <v>340</v>
      </c>
      <c r="J14" s="2" t="s">
        <v>383</v>
      </c>
    </row>
    <row r="15" spans="1:10" ht="22.5" hidden="1" customHeight="1">
      <c r="A15" s="2" t="s">
        <v>384</v>
      </c>
      <c r="B15" s="2" t="s">
        <v>385</v>
      </c>
      <c r="C15" s="2" t="s">
        <v>386</v>
      </c>
      <c r="D15" s="2" t="s">
        <v>387</v>
      </c>
      <c r="E15" s="2" t="s">
        <v>324</v>
      </c>
      <c r="F15" s="2" t="s">
        <v>333</v>
      </c>
      <c r="G15" s="2" t="s">
        <v>332</v>
      </c>
      <c r="H15" s="2" t="s">
        <v>339</v>
      </c>
      <c r="I15" s="2" t="s">
        <v>340</v>
      </c>
      <c r="J15" s="2" t="s">
        <v>368</v>
      </c>
    </row>
    <row r="16" spans="1:10" ht="22.5" hidden="1" customHeight="1">
      <c r="A16" s="2" t="s">
        <v>388</v>
      </c>
      <c r="B16" s="2" t="s">
        <v>389</v>
      </c>
      <c r="C16" s="2" t="s">
        <v>390</v>
      </c>
      <c r="D16" s="2" t="s">
        <v>344</v>
      </c>
      <c r="E16" s="2" t="s">
        <v>324</v>
      </c>
      <c r="F16" s="2" t="s">
        <v>325</v>
      </c>
      <c r="G16" s="2" t="s">
        <v>391</v>
      </c>
      <c r="H16" s="2" t="s">
        <v>333</v>
      </c>
      <c r="I16" s="2" t="s">
        <v>327</v>
      </c>
      <c r="J16" s="2" t="s">
        <v>392</v>
      </c>
    </row>
    <row r="17" spans="1:10" ht="22.5" hidden="1" customHeight="1">
      <c r="A17" s="2" t="s">
        <v>393</v>
      </c>
      <c r="B17" s="2" t="s">
        <v>394</v>
      </c>
      <c r="C17" s="2" t="s">
        <v>395</v>
      </c>
      <c r="D17" s="23" t="s">
        <v>338</v>
      </c>
      <c r="E17" s="2" t="s">
        <v>324</v>
      </c>
      <c r="F17" s="2" t="s">
        <v>333</v>
      </c>
      <c r="G17" s="2" t="s">
        <v>396</v>
      </c>
      <c r="H17" s="2" t="s">
        <v>339</v>
      </c>
      <c r="I17" s="2" t="s">
        <v>340</v>
      </c>
      <c r="J17" s="2" t="s">
        <v>397</v>
      </c>
    </row>
    <row r="18" spans="1:10" ht="22.5" hidden="1" customHeight="1">
      <c r="A18" s="2" t="s">
        <v>398</v>
      </c>
      <c r="B18" s="2" t="s">
        <v>399</v>
      </c>
      <c r="C18" s="2" t="s">
        <v>400</v>
      </c>
      <c r="D18" s="2" t="s">
        <v>401</v>
      </c>
      <c r="E18" s="2" t="s">
        <v>324</v>
      </c>
      <c r="F18" s="2" t="s">
        <v>325</v>
      </c>
      <c r="G18" s="2" t="s">
        <v>402</v>
      </c>
      <c r="H18" s="2" t="s">
        <v>339</v>
      </c>
      <c r="I18" s="2" t="s">
        <v>340</v>
      </c>
      <c r="J18" s="2" t="s">
        <v>403</v>
      </c>
    </row>
    <row r="19" spans="1:10" ht="22.5" hidden="1" customHeight="1">
      <c r="A19" s="2" t="s">
        <v>404</v>
      </c>
      <c r="B19" s="2" t="s">
        <v>405</v>
      </c>
      <c r="C19" s="2" t="s">
        <v>406</v>
      </c>
      <c r="D19" s="2" t="s">
        <v>407</v>
      </c>
      <c r="E19" s="2" t="s">
        <v>324</v>
      </c>
      <c r="F19" s="2" t="s">
        <v>333</v>
      </c>
      <c r="G19" s="2" t="s">
        <v>372</v>
      </c>
      <c r="H19" s="2" t="s">
        <v>339</v>
      </c>
      <c r="I19" s="2" t="s">
        <v>340</v>
      </c>
      <c r="J19" s="2" t="s">
        <v>368</v>
      </c>
    </row>
    <row r="20" spans="1:10" ht="22.5" hidden="1" customHeight="1">
      <c r="A20" s="2" t="s">
        <v>408</v>
      </c>
      <c r="B20" s="2" t="s">
        <v>409</v>
      </c>
      <c r="C20" s="2" t="s">
        <v>410</v>
      </c>
      <c r="D20" s="2" t="s">
        <v>407</v>
      </c>
      <c r="E20" s="2" t="s">
        <v>324</v>
      </c>
      <c r="F20" s="2" t="s">
        <v>325</v>
      </c>
      <c r="G20" s="2" t="s">
        <v>411</v>
      </c>
      <c r="H20" s="2" t="s">
        <v>325</v>
      </c>
      <c r="I20" s="2" t="s">
        <v>327</v>
      </c>
      <c r="J20" s="2" t="s">
        <v>368</v>
      </c>
    </row>
    <row r="21" spans="1:10" ht="22.5" hidden="1" customHeight="1">
      <c r="A21" s="2" t="s">
        <v>412</v>
      </c>
      <c r="B21" s="2" t="s">
        <v>413</v>
      </c>
      <c r="C21" s="2" t="s">
        <v>414</v>
      </c>
      <c r="D21" s="2" t="s">
        <v>323</v>
      </c>
      <c r="E21" s="2" t="s">
        <v>324</v>
      </c>
      <c r="F21" s="2" t="s">
        <v>325</v>
      </c>
      <c r="G21" s="2" t="s">
        <v>415</v>
      </c>
      <c r="H21" s="2" t="s">
        <v>325</v>
      </c>
      <c r="I21" s="2" t="s">
        <v>373</v>
      </c>
      <c r="J21" s="2" t="s">
        <v>416</v>
      </c>
    </row>
    <row r="22" spans="1:10" ht="22.5" hidden="1" customHeight="1">
      <c r="A22" s="2" t="s">
        <v>417</v>
      </c>
      <c r="B22" s="2" t="s">
        <v>418</v>
      </c>
      <c r="C22" s="2" t="s">
        <v>419</v>
      </c>
      <c r="D22" s="2" t="s">
        <v>420</v>
      </c>
      <c r="E22" s="2" t="s">
        <v>324</v>
      </c>
      <c r="F22" s="2" t="s">
        <v>325</v>
      </c>
      <c r="G22" s="2" t="s">
        <v>421</v>
      </c>
      <c r="H22" s="2" t="s">
        <v>333</v>
      </c>
      <c r="I22" s="2" t="s">
        <v>327</v>
      </c>
      <c r="J22" s="2" t="s">
        <v>422</v>
      </c>
    </row>
    <row r="23" spans="1:10" ht="22.5" hidden="1" customHeight="1">
      <c r="A23" s="2" t="s">
        <v>423</v>
      </c>
      <c r="B23" s="2" t="s">
        <v>424</v>
      </c>
      <c r="C23" s="2" t="s">
        <v>425</v>
      </c>
      <c r="D23" s="2" t="s">
        <v>407</v>
      </c>
      <c r="E23" s="2" t="s">
        <v>324</v>
      </c>
      <c r="F23" s="2" t="s">
        <v>325</v>
      </c>
      <c r="G23" s="2" t="s">
        <v>372</v>
      </c>
      <c r="H23" s="2" t="s">
        <v>339</v>
      </c>
      <c r="I23" s="2" t="s">
        <v>340</v>
      </c>
      <c r="J23" s="2" t="s">
        <v>426</v>
      </c>
    </row>
    <row r="24" spans="1:10" ht="22.5" hidden="1" customHeight="1">
      <c r="A24" s="2" t="s">
        <v>427</v>
      </c>
      <c r="B24" s="2" t="s">
        <v>428</v>
      </c>
      <c r="C24" s="2" t="s">
        <v>429</v>
      </c>
      <c r="D24" s="2" t="s">
        <v>323</v>
      </c>
      <c r="E24" s="2" t="s">
        <v>324</v>
      </c>
      <c r="F24" s="2" t="s">
        <v>333</v>
      </c>
      <c r="G24" s="2" t="s">
        <v>430</v>
      </c>
      <c r="H24" s="2" t="s">
        <v>333</v>
      </c>
      <c r="I24" s="2" t="s">
        <v>327</v>
      </c>
      <c r="J24" s="2" t="s">
        <v>431</v>
      </c>
    </row>
    <row r="25" spans="1:10" ht="22.5" hidden="1" customHeight="1">
      <c r="A25" s="2" t="s">
        <v>432</v>
      </c>
      <c r="B25" s="2" t="s">
        <v>433</v>
      </c>
      <c r="C25" s="2" t="s">
        <v>434</v>
      </c>
      <c r="D25" s="2" t="s">
        <v>407</v>
      </c>
      <c r="E25" s="2" t="s">
        <v>324</v>
      </c>
      <c r="F25" s="2" t="s">
        <v>333</v>
      </c>
      <c r="G25" s="2" t="s">
        <v>435</v>
      </c>
      <c r="H25" s="2" t="s">
        <v>339</v>
      </c>
      <c r="I25" s="2" t="s">
        <v>340</v>
      </c>
      <c r="J25" s="2" t="s">
        <v>368</v>
      </c>
    </row>
    <row r="26" spans="1:10" ht="22.5" hidden="1" customHeight="1">
      <c r="A26" s="2" t="s">
        <v>436</v>
      </c>
      <c r="B26" s="2" t="s">
        <v>437</v>
      </c>
      <c r="C26" s="2" t="s">
        <v>438</v>
      </c>
      <c r="D26" s="2" t="s">
        <v>407</v>
      </c>
      <c r="E26" s="2" t="s">
        <v>324</v>
      </c>
      <c r="F26" s="2" t="s">
        <v>333</v>
      </c>
      <c r="G26" s="2" t="s">
        <v>439</v>
      </c>
      <c r="H26" s="2" t="s">
        <v>339</v>
      </c>
      <c r="I26" s="2" t="s">
        <v>340</v>
      </c>
      <c r="J26" s="2" t="s">
        <v>334</v>
      </c>
    </row>
    <row r="27" spans="1:10" ht="22.5" hidden="1" customHeight="1">
      <c r="A27" s="2" t="s">
        <v>440</v>
      </c>
      <c r="B27" s="2" t="s">
        <v>441</v>
      </c>
      <c r="C27" s="2" t="s">
        <v>442</v>
      </c>
      <c r="D27" s="2" t="s">
        <v>344</v>
      </c>
      <c r="E27" s="2" t="s">
        <v>324</v>
      </c>
      <c r="F27" s="2" t="s">
        <v>333</v>
      </c>
      <c r="G27" s="2" t="s">
        <v>443</v>
      </c>
      <c r="H27" s="2" t="s">
        <v>333</v>
      </c>
      <c r="I27" s="2" t="s">
        <v>340</v>
      </c>
      <c r="J27" s="2" t="s">
        <v>383</v>
      </c>
    </row>
    <row r="28" spans="1:10" ht="22.5" hidden="1" customHeight="1">
      <c r="A28" s="2" t="s">
        <v>444</v>
      </c>
      <c r="B28" s="2" t="s">
        <v>445</v>
      </c>
      <c r="C28" s="2" t="s">
        <v>446</v>
      </c>
      <c r="D28" s="2" t="s">
        <v>344</v>
      </c>
      <c r="E28" s="2" t="s">
        <v>324</v>
      </c>
      <c r="F28" s="2" t="s">
        <v>325</v>
      </c>
      <c r="G28" s="2" t="s">
        <v>447</v>
      </c>
      <c r="H28" s="2" t="s">
        <v>333</v>
      </c>
      <c r="I28" s="2" t="s">
        <v>327</v>
      </c>
      <c r="J28" s="2" t="s">
        <v>448</v>
      </c>
    </row>
    <row r="29" spans="1:10" ht="22.5" hidden="1" customHeight="1">
      <c r="A29" s="2" t="s">
        <v>449</v>
      </c>
      <c r="B29" s="2" t="s">
        <v>450</v>
      </c>
      <c r="C29" s="2" t="s">
        <v>451</v>
      </c>
      <c r="D29" s="2" t="s">
        <v>344</v>
      </c>
      <c r="E29" s="2" t="s">
        <v>324</v>
      </c>
      <c r="F29" s="2" t="s">
        <v>325</v>
      </c>
      <c r="G29" s="2" t="s">
        <v>452</v>
      </c>
      <c r="H29" s="2" t="s">
        <v>333</v>
      </c>
      <c r="I29" s="2" t="s">
        <v>327</v>
      </c>
      <c r="J29" s="2" t="s">
        <v>345</v>
      </c>
    </row>
    <row r="30" spans="1:10" ht="22.5" hidden="1" customHeight="1">
      <c r="A30" s="2" t="s">
        <v>453</v>
      </c>
      <c r="B30" s="2" t="s">
        <v>454</v>
      </c>
      <c r="C30" s="2" t="s">
        <v>455</v>
      </c>
      <c r="D30" s="2" t="s">
        <v>338</v>
      </c>
      <c r="E30" s="2" t="s">
        <v>324</v>
      </c>
      <c r="F30" s="2" t="s">
        <v>325</v>
      </c>
      <c r="G30" s="2" t="s">
        <v>402</v>
      </c>
      <c r="H30" s="2" t="s">
        <v>333</v>
      </c>
      <c r="I30" s="2" t="s">
        <v>327</v>
      </c>
      <c r="J30" s="2" t="s">
        <v>456</v>
      </c>
    </row>
    <row r="31" spans="1:10" ht="22.5" hidden="1" customHeight="1">
      <c r="A31" s="2" t="s">
        <v>457</v>
      </c>
      <c r="B31" s="2" t="s">
        <v>458</v>
      </c>
      <c r="C31" s="2" t="s">
        <v>459</v>
      </c>
      <c r="D31" s="2" t="s">
        <v>323</v>
      </c>
      <c r="E31" s="2" t="s">
        <v>324</v>
      </c>
      <c r="F31" s="2" t="s">
        <v>333</v>
      </c>
      <c r="G31" s="2" t="s">
        <v>402</v>
      </c>
      <c r="H31" s="2" t="s">
        <v>333</v>
      </c>
      <c r="I31" s="2" t="s">
        <v>327</v>
      </c>
      <c r="J31" s="2" t="s">
        <v>460</v>
      </c>
    </row>
    <row r="32" spans="1:10" ht="22.5" hidden="1" customHeight="1">
      <c r="A32" s="2" t="s">
        <v>461</v>
      </c>
      <c r="B32" s="2" t="s">
        <v>462</v>
      </c>
      <c r="C32" s="2" t="s">
        <v>463</v>
      </c>
      <c r="D32" s="2" t="s">
        <v>401</v>
      </c>
      <c r="E32" s="2" t="s">
        <v>324</v>
      </c>
      <c r="F32" s="2" t="s">
        <v>333</v>
      </c>
      <c r="G32" s="2" t="s">
        <v>464</v>
      </c>
      <c r="H32" s="2" t="s">
        <v>333</v>
      </c>
      <c r="I32" s="2" t="s">
        <v>327</v>
      </c>
      <c r="J32" s="2" t="s">
        <v>465</v>
      </c>
    </row>
    <row r="33" spans="1:10" ht="22.5" hidden="1" customHeight="1">
      <c r="A33" s="2" t="s">
        <v>466</v>
      </c>
      <c r="B33" s="2" t="s">
        <v>467</v>
      </c>
      <c r="C33" s="2" t="s">
        <v>468</v>
      </c>
      <c r="D33" s="2" t="s">
        <v>407</v>
      </c>
      <c r="E33" s="2" t="s">
        <v>324</v>
      </c>
      <c r="F33" s="2" t="s">
        <v>325</v>
      </c>
      <c r="G33" s="2" t="s">
        <v>469</v>
      </c>
      <c r="H33" s="2" t="s">
        <v>333</v>
      </c>
      <c r="I33" s="2" t="s">
        <v>327</v>
      </c>
      <c r="J33" s="2" t="s">
        <v>470</v>
      </c>
    </row>
    <row r="34" spans="1:10" ht="22.5" customHeight="1">
      <c r="A34" s="2" t="s">
        <v>471</v>
      </c>
      <c r="B34" s="2" t="s">
        <v>472</v>
      </c>
      <c r="C34" s="2" t="s">
        <v>473</v>
      </c>
      <c r="D34" s="2" t="s">
        <v>401</v>
      </c>
      <c r="E34" s="2" t="s">
        <v>324</v>
      </c>
      <c r="G34" s="2" t="s">
        <v>332</v>
      </c>
      <c r="H34" s="2" t="s">
        <v>333</v>
      </c>
      <c r="I34" s="2" t="s">
        <v>327</v>
      </c>
      <c r="J34" s="2" t="s">
        <v>474</v>
      </c>
    </row>
    <row r="35" spans="1:10" ht="22.5" hidden="1" customHeight="1">
      <c r="A35" s="2" t="s">
        <v>475</v>
      </c>
      <c r="B35" s="2" t="s">
        <v>476</v>
      </c>
      <c r="C35" s="2" t="s">
        <v>477</v>
      </c>
      <c r="D35" s="2" t="s">
        <v>344</v>
      </c>
      <c r="E35" s="2" t="s">
        <v>324</v>
      </c>
      <c r="G35" s="2" t="s">
        <v>478</v>
      </c>
      <c r="H35" s="2" t="s">
        <v>325</v>
      </c>
      <c r="I35" s="2" t="s">
        <v>327</v>
      </c>
      <c r="J35" s="2" t="s">
        <v>479</v>
      </c>
    </row>
    <row r="36" spans="1:10" ht="22.5" hidden="1" customHeight="1">
      <c r="A36" s="2" t="s">
        <v>480</v>
      </c>
      <c r="B36" s="2" t="s">
        <v>481</v>
      </c>
      <c r="C36" s="2" t="s">
        <v>482</v>
      </c>
      <c r="D36" s="2" t="s">
        <v>407</v>
      </c>
      <c r="E36" s="2" t="s">
        <v>324</v>
      </c>
      <c r="F36" s="2" t="s">
        <v>325</v>
      </c>
      <c r="G36" s="2" t="s">
        <v>483</v>
      </c>
      <c r="H36" s="2" t="s">
        <v>325</v>
      </c>
      <c r="I36" s="2" t="s">
        <v>373</v>
      </c>
      <c r="J36" s="2" t="s">
        <v>484</v>
      </c>
    </row>
    <row r="37" spans="1:10" ht="22.5" hidden="1" customHeight="1">
      <c r="A37" s="2" t="s">
        <v>485</v>
      </c>
      <c r="B37" s="2" t="s">
        <v>486</v>
      </c>
      <c r="C37" s="2" t="s">
        <v>487</v>
      </c>
      <c r="D37" s="2" t="s">
        <v>344</v>
      </c>
      <c r="E37" s="2" t="s">
        <v>324</v>
      </c>
      <c r="F37" s="2" t="s">
        <v>325</v>
      </c>
      <c r="G37" s="2" t="s">
        <v>488</v>
      </c>
      <c r="H37" s="2" t="s">
        <v>333</v>
      </c>
      <c r="I37" s="2" t="s">
        <v>327</v>
      </c>
      <c r="J37" s="2" t="s">
        <v>489</v>
      </c>
    </row>
    <row r="38" spans="1:10" ht="22.5" hidden="1" customHeight="1">
      <c r="A38" s="2" t="s">
        <v>490</v>
      </c>
      <c r="B38" s="2" t="s">
        <v>491</v>
      </c>
      <c r="C38" s="2" t="s">
        <v>492</v>
      </c>
      <c r="D38" s="2" t="s">
        <v>344</v>
      </c>
      <c r="E38" s="2" t="s">
        <v>324</v>
      </c>
      <c r="F38" s="2" t="s">
        <v>325</v>
      </c>
      <c r="G38" s="2" t="s">
        <v>493</v>
      </c>
      <c r="H38" s="2" t="s">
        <v>333</v>
      </c>
      <c r="I38" s="2" t="s">
        <v>327</v>
      </c>
      <c r="J38" s="2" t="s">
        <v>494</v>
      </c>
    </row>
    <row r="39" spans="1:10" ht="22.5" hidden="1" customHeight="1">
      <c r="A39" s="2" t="s">
        <v>495</v>
      </c>
      <c r="B39" s="2" t="s">
        <v>496</v>
      </c>
      <c r="C39" s="2" t="s">
        <v>497</v>
      </c>
      <c r="D39" s="2" t="s">
        <v>344</v>
      </c>
      <c r="E39" s="2" t="s">
        <v>324</v>
      </c>
      <c r="F39" s="2" t="s">
        <v>325</v>
      </c>
      <c r="G39" s="2" t="s">
        <v>498</v>
      </c>
      <c r="H39" s="2" t="s">
        <v>333</v>
      </c>
      <c r="I39" s="2" t="s">
        <v>327</v>
      </c>
      <c r="J39" s="2" t="s">
        <v>499</v>
      </c>
    </row>
    <row r="40" spans="1:10" ht="22.5" hidden="1" customHeight="1">
      <c r="A40" s="2" t="s">
        <v>500</v>
      </c>
      <c r="B40" s="2" t="s">
        <v>501</v>
      </c>
      <c r="C40" s="2" t="s">
        <v>502</v>
      </c>
      <c r="D40" s="2" t="s">
        <v>323</v>
      </c>
      <c r="E40" s="2" t="s">
        <v>324</v>
      </c>
      <c r="F40" s="2" t="s">
        <v>325</v>
      </c>
      <c r="G40" s="2" t="s">
        <v>503</v>
      </c>
      <c r="H40" s="2" t="s">
        <v>325</v>
      </c>
      <c r="I40" s="2" t="s">
        <v>327</v>
      </c>
      <c r="J40" s="2" t="s">
        <v>504</v>
      </c>
    </row>
    <row r="41" spans="1:10" ht="22.5" hidden="1" customHeight="1">
      <c r="A41" s="2" t="s">
        <v>505</v>
      </c>
      <c r="B41" s="2" t="s">
        <v>506</v>
      </c>
      <c r="C41" s="2" t="s">
        <v>507</v>
      </c>
      <c r="D41" s="2" t="s">
        <v>363</v>
      </c>
      <c r="E41" s="2" t="s">
        <v>324</v>
      </c>
      <c r="F41" s="2" t="s">
        <v>325</v>
      </c>
      <c r="G41" s="2" t="s">
        <v>508</v>
      </c>
      <c r="H41" s="2" t="s">
        <v>333</v>
      </c>
      <c r="I41" s="2" t="s">
        <v>327</v>
      </c>
      <c r="J41" s="2" t="s">
        <v>448</v>
      </c>
    </row>
    <row r="42" spans="1:10" ht="22.5" hidden="1" customHeight="1">
      <c r="A42" s="2" t="s">
        <v>509</v>
      </c>
      <c r="B42" s="2" t="s">
        <v>510</v>
      </c>
      <c r="C42" s="2" t="s">
        <v>511</v>
      </c>
      <c r="D42" s="2" t="s">
        <v>363</v>
      </c>
      <c r="E42" s="2" t="s">
        <v>324</v>
      </c>
      <c r="F42" s="2" t="s">
        <v>333</v>
      </c>
      <c r="G42" s="2" t="s">
        <v>512</v>
      </c>
      <c r="H42" s="2" t="s">
        <v>333</v>
      </c>
      <c r="I42" s="2" t="s">
        <v>327</v>
      </c>
      <c r="J42" s="2" t="s">
        <v>470</v>
      </c>
    </row>
    <row r="43" spans="1:10" ht="22.5" hidden="1" customHeight="1">
      <c r="A43" s="2" t="s">
        <v>513</v>
      </c>
      <c r="B43" s="2" t="s">
        <v>514</v>
      </c>
      <c r="C43" s="2" t="s">
        <v>515</v>
      </c>
      <c r="D43" s="2" t="s">
        <v>352</v>
      </c>
      <c r="E43" s="2" t="s">
        <v>324</v>
      </c>
      <c r="F43" s="2" t="s">
        <v>333</v>
      </c>
      <c r="G43" s="2" t="s">
        <v>516</v>
      </c>
      <c r="H43" s="2" t="s">
        <v>333</v>
      </c>
      <c r="I43" s="2" t="s">
        <v>340</v>
      </c>
      <c r="J43" s="2" t="s">
        <v>403</v>
      </c>
    </row>
    <row r="44" spans="1:10" ht="22.5" hidden="1" customHeight="1">
      <c r="A44" s="2" t="s">
        <v>517</v>
      </c>
      <c r="B44" s="2" t="s">
        <v>518</v>
      </c>
      <c r="C44" s="2" t="s">
        <v>519</v>
      </c>
      <c r="D44" s="2" t="s">
        <v>352</v>
      </c>
      <c r="E44" s="2" t="s">
        <v>324</v>
      </c>
      <c r="F44" s="2" t="s">
        <v>325</v>
      </c>
      <c r="G44" s="2" t="s">
        <v>520</v>
      </c>
      <c r="H44" s="2" t="s">
        <v>333</v>
      </c>
      <c r="I44" s="2" t="s">
        <v>340</v>
      </c>
      <c r="J44" s="2" t="s">
        <v>521</v>
      </c>
    </row>
    <row r="45" spans="1:10" ht="22.5" hidden="1" customHeight="1">
      <c r="A45" s="2" t="s">
        <v>522</v>
      </c>
      <c r="B45" s="2" t="s">
        <v>523</v>
      </c>
      <c r="C45" s="2" t="s">
        <v>524</v>
      </c>
      <c r="D45" s="2" t="s">
        <v>352</v>
      </c>
      <c r="E45" s="2" t="s">
        <v>324</v>
      </c>
      <c r="F45" s="2" t="s">
        <v>325</v>
      </c>
      <c r="G45" s="2" t="s">
        <v>525</v>
      </c>
      <c r="H45" s="2" t="s">
        <v>333</v>
      </c>
      <c r="I45" s="2" t="s">
        <v>327</v>
      </c>
      <c r="J45" s="2" t="s">
        <v>526</v>
      </c>
    </row>
    <row r="46" spans="1:10" ht="22.5" hidden="1" customHeight="1">
      <c r="A46" s="2" t="s">
        <v>527</v>
      </c>
      <c r="B46" s="2" t="s">
        <v>528</v>
      </c>
      <c r="C46" s="2" t="s">
        <v>529</v>
      </c>
      <c r="D46" s="2" t="s">
        <v>352</v>
      </c>
      <c r="E46" s="2" t="s">
        <v>324</v>
      </c>
      <c r="F46" s="2" t="s">
        <v>325</v>
      </c>
      <c r="G46" s="2" t="s">
        <v>530</v>
      </c>
      <c r="H46" s="2" t="s">
        <v>333</v>
      </c>
      <c r="I46" s="2" t="s">
        <v>327</v>
      </c>
      <c r="J46" s="2" t="s">
        <v>504</v>
      </c>
    </row>
    <row r="47" spans="1:10" ht="22.5" hidden="1" customHeight="1">
      <c r="A47" s="2" t="s">
        <v>531</v>
      </c>
      <c r="B47" s="2" t="s">
        <v>532</v>
      </c>
      <c r="C47" s="2" t="s">
        <v>533</v>
      </c>
      <c r="D47" s="2" t="s">
        <v>352</v>
      </c>
      <c r="E47" s="2" t="s">
        <v>324</v>
      </c>
      <c r="F47" s="2" t="s">
        <v>325</v>
      </c>
      <c r="G47" s="2" t="s">
        <v>411</v>
      </c>
      <c r="H47" s="2" t="s">
        <v>333</v>
      </c>
      <c r="I47" s="2" t="s">
        <v>327</v>
      </c>
      <c r="J47" s="2" t="s">
        <v>534</v>
      </c>
    </row>
    <row r="48" spans="1:10" ht="22.5" hidden="1" customHeight="1">
      <c r="A48" s="2" t="s">
        <v>535</v>
      </c>
      <c r="B48" s="2" t="s">
        <v>536</v>
      </c>
      <c r="C48" s="2" t="s">
        <v>537</v>
      </c>
      <c r="D48" s="2" t="s">
        <v>323</v>
      </c>
      <c r="E48" s="2" t="s">
        <v>324</v>
      </c>
      <c r="F48" s="2" t="s">
        <v>325</v>
      </c>
      <c r="G48" s="2" t="s">
        <v>538</v>
      </c>
      <c r="H48" s="2" t="s">
        <v>333</v>
      </c>
      <c r="I48" s="2" t="s">
        <v>327</v>
      </c>
      <c r="J48" s="2" t="s">
        <v>526</v>
      </c>
    </row>
    <row r="49" spans="1:10" ht="22.5" hidden="1" customHeight="1">
      <c r="A49" s="2" t="s">
        <v>539</v>
      </c>
      <c r="B49" s="2" t="s">
        <v>540</v>
      </c>
      <c r="C49" s="2" t="s">
        <v>541</v>
      </c>
      <c r="D49" s="2" t="s">
        <v>352</v>
      </c>
      <c r="E49" s="2" t="s">
        <v>324</v>
      </c>
      <c r="F49" s="2" t="s">
        <v>325</v>
      </c>
      <c r="G49" s="2" t="s">
        <v>411</v>
      </c>
      <c r="H49" s="2" t="s">
        <v>333</v>
      </c>
      <c r="I49" s="2" t="s">
        <v>327</v>
      </c>
      <c r="J49" s="2" t="s">
        <v>542</v>
      </c>
    </row>
    <row r="50" spans="1:10" ht="22.5" customHeight="1">
      <c r="A50" s="2" t="s">
        <v>543</v>
      </c>
      <c r="B50" s="2" t="s">
        <v>544</v>
      </c>
      <c r="C50" s="23" t="s">
        <v>545</v>
      </c>
      <c r="D50" s="2" t="s">
        <v>323</v>
      </c>
      <c r="E50" s="2" t="s">
        <v>324</v>
      </c>
      <c r="F50" s="2" t="s">
        <v>325</v>
      </c>
      <c r="G50" s="2" t="s">
        <v>546</v>
      </c>
      <c r="H50" s="2" t="s">
        <v>333</v>
      </c>
      <c r="I50" s="2" t="s">
        <v>327</v>
      </c>
      <c r="J50" s="2" t="s">
        <v>403</v>
      </c>
    </row>
    <row r="51" spans="1:10" ht="22.5" customHeight="1">
      <c r="A51" s="2" t="s">
        <v>547</v>
      </c>
      <c r="B51" s="2" t="s">
        <v>548</v>
      </c>
      <c r="C51" s="2" t="s">
        <v>549</v>
      </c>
      <c r="D51" s="2" t="s">
        <v>323</v>
      </c>
      <c r="E51" s="2" t="s">
        <v>324</v>
      </c>
      <c r="F51" s="2" t="s">
        <v>325</v>
      </c>
      <c r="G51" s="2" t="s">
        <v>550</v>
      </c>
      <c r="H51" s="2" t="s">
        <v>333</v>
      </c>
      <c r="I51" s="2" t="s">
        <v>327</v>
      </c>
      <c r="J51" s="2" t="s">
        <v>551</v>
      </c>
    </row>
    <row r="52" spans="1:10" ht="22.5" customHeight="1">
      <c r="A52" s="2" t="s">
        <v>552</v>
      </c>
      <c r="B52" s="2" t="s">
        <v>553</v>
      </c>
      <c r="C52" s="2" t="s">
        <v>554</v>
      </c>
      <c r="D52" s="2" t="s">
        <v>323</v>
      </c>
      <c r="E52" s="2" t="s">
        <v>324</v>
      </c>
      <c r="F52" s="2" t="s">
        <v>325</v>
      </c>
      <c r="G52" s="2" t="s">
        <v>555</v>
      </c>
      <c r="H52" s="2" t="s">
        <v>333</v>
      </c>
      <c r="I52" s="2" t="s">
        <v>327</v>
      </c>
      <c r="J52" s="2" t="s">
        <v>403</v>
      </c>
    </row>
    <row r="53" spans="1:10" ht="22.5" hidden="1" customHeight="1">
      <c r="A53" s="2" t="s">
        <v>556</v>
      </c>
      <c r="B53" s="2" t="s">
        <v>557</v>
      </c>
      <c r="C53" s="2" t="s">
        <v>558</v>
      </c>
      <c r="D53" s="2" t="s">
        <v>387</v>
      </c>
      <c r="E53" s="2" t="s">
        <v>324</v>
      </c>
      <c r="F53" s="2" t="s">
        <v>325</v>
      </c>
      <c r="G53" s="2" t="s">
        <v>559</v>
      </c>
      <c r="H53" s="2" t="s">
        <v>333</v>
      </c>
      <c r="I53" s="2" t="s">
        <v>327</v>
      </c>
      <c r="J53" s="2" t="s">
        <v>560</v>
      </c>
    </row>
    <row r="54" spans="1:10" ht="22.5" hidden="1" customHeight="1">
      <c r="A54" s="2" t="s">
        <v>561</v>
      </c>
      <c r="B54" s="2" t="s">
        <v>562</v>
      </c>
      <c r="C54" s="2" t="s">
        <v>563</v>
      </c>
      <c r="D54" s="2" t="s">
        <v>387</v>
      </c>
      <c r="E54" s="2" t="s">
        <v>324</v>
      </c>
      <c r="F54" s="2" t="s">
        <v>325</v>
      </c>
      <c r="G54" s="2" t="s">
        <v>520</v>
      </c>
      <c r="H54" s="2" t="s">
        <v>333</v>
      </c>
      <c r="I54" s="2" t="s">
        <v>327</v>
      </c>
      <c r="J54" s="2" t="s">
        <v>521</v>
      </c>
    </row>
    <row r="55" spans="1:10" ht="22.5" hidden="1" customHeight="1">
      <c r="A55" s="2" t="s">
        <v>564</v>
      </c>
      <c r="B55" s="2" t="s">
        <v>565</v>
      </c>
      <c r="C55" s="2" t="s">
        <v>566</v>
      </c>
      <c r="D55" s="2" t="s">
        <v>407</v>
      </c>
      <c r="E55" s="2" t="s">
        <v>324</v>
      </c>
      <c r="F55" s="2" t="s">
        <v>333</v>
      </c>
      <c r="G55" s="2" t="s">
        <v>567</v>
      </c>
      <c r="H55" s="2" t="s">
        <v>325</v>
      </c>
      <c r="I55" s="2" t="s">
        <v>327</v>
      </c>
      <c r="J55" s="2" t="s">
        <v>568</v>
      </c>
    </row>
  </sheetData>
  <pageMargins left="0.511811024" right="0.511811024" top="0.78740157499999996" bottom="0.78740157499999996" header="0.31496062000000002" footer="0.31496062000000002"/>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outlinePr summaryBelow="0" summaryRight="0"/>
  </sheetPr>
  <dimension ref="A1:B13"/>
  <sheetViews>
    <sheetView workbookViewId="0">
      <selection activeCell="B22" sqref="B22:B56"/>
    </sheetView>
  </sheetViews>
  <sheetFormatPr baseColWidth="10" defaultColWidth="12.59765625" defaultRowHeight="15.75" customHeight="1"/>
  <cols>
    <col min="1" max="1" width="21.3984375" customWidth="1"/>
    <col min="2" max="2" width="33.59765625" customWidth="1"/>
  </cols>
  <sheetData>
    <row r="1" spans="1:2" ht="22.5" customHeight="1">
      <c r="A1" s="1" t="s">
        <v>0</v>
      </c>
      <c r="B1" s="1" t="s">
        <v>1</v>
      </c>
    </row>
    <row r="2" spans="1:2" ht="22.5" customHeight="1">
      <c r="A2" s="2" t="s">
        <v>2</v>
      </c>
      <c r="B2" s="2" t="s">
        <v>3</v>
      </c>
    </row>
    <row r="3" spans="1:2" ht="22.5" customHeight="1">
      <c r="A3" s="2" t="s">
        <v>4</v>
      </c>
      <c r="B3" s="2" t="s">
        <v>5</v>
      </c>
    </row>
    <row r="4" spans="1:2" ht="22.5" customHeight="1">
      <c r="A4" s="2" t="s">
        <v>4</v>
      </c>
      <c r="B4" s="2" t="s">
        <v>6</v>
      </c>
    </row>
    <row r="5" spans="1:2" ht="22.5" customHeight="1">
      <c r="A5" s="2" t="s">
        <v>7</v>
      </c>
      <c r="B5" s="2" t="s">
        <v>8</v>
      </c>
    </row>
    <row r="6" spans="1:2" ht="22.5" customHeight="1">
      <c r="A6" s="2" t="s">
        <v>7</v>
      </c>
      <c r="B6" s="2" t="s">
        <v>9</v>
      </c>
    </row>
    <row r="7" spans="1:2" ht="22.5" customHeight="1">
      <c r="A7" s="2" t="s">
        <v>10</v>
      </c>
      <c r="B7" s="2" t="s">
        <v>11</v>
      </c>
    </row>
    <row r="8" spans="1:2" ht="22.5" customHeight="1">
      <c r="A8" s="2" t="s">
        <v>10</v>
      </c>
      <c r="B8" s="2" t="s">
        <v>12</v>
      </c>
    </row>
    <row r="9" spans="1:2" ht="22.5" customHeight="1">
      <c r="A9" s="2" t="s">
        <v>10</v>
      </c>
      <c r="B9" s="2" t="s">
        <v>13</v>
      </c>
    </row>
    <row r="10" spans="1:2" ht="22.5" customHeight="1">
      <c r="A10" s="2" t="s">
        <v>10</v>
      </c>
      <c r="B10" s="2" t="s">
        <v>14</v>
      </c>
    </row>
    <row r="11" spans="1:2" ht="22.5" customHeight="1">
      <c r="A11" s="2" t="s">
        <v>15</v>
      </c>
      <c r="B11" s="2" t="s">
        <v>16</v>
      </c>
    </row>
    <row r="12" spans="1:2" ht="22.5" customHeight="1">
      <c r="A12" s="2" t="s">
        <v>15</v>
      </c>
      <c r="B12" s="2" t="s">
        <v>17</v>
      </c>
    </row>
    <row r="13" spans="1:2" ht="22.5" customHeight="1">
      <c r="A13" s="2" t="s">
        <v>18</v>
      </c>
      <c r="B13" s="2" t="s">
        <v>19</v>
      </c>
    </row>
  </sheetData>
  <pageMargins left="0.511811024" right="0.511811024" top="0.78740157499999996" bottom="0.78740157499999996" header="0.31496062000000002" footer="0.31496062000000002"/>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outlinePr summaryBelow="0" summaryRight="0"/>
  </sheetPr>
  <dimension ref="A1:O246"/>
  <sheetViews>
    <sheetView zoomScale="40" zoomScaleNormal="40" workbookViewId="0">
      <pane ySplit="1" topLeftCell="A204" activePane="bottomLeft" state="frozen"/>
      <selection activeCell="B22" sqref="B22:B56"/>
      <selection pane="bottomLeft" sqref="A1:O246"/>
    </sheetView>
  </sheetViews>
  <sheetFormatPr baseColWidth="10" defaultColWidth="12.59765625" defaultRowHeight="15.75" customHeight="1"/>
  <cols>
    <col min="2" max="2" width="15" customWidth="1"/>
    <col min="4" max="4" width="16.796875" customWidth="1"/>
    <col min="5" max="5" width="19.3984375" customWidth="1"/>
    <col min="6" max="6" width="22.09765625" customWidth="1"/>
    <col min="7" max="7" width="19" customWidth="1"/>
    <col min="8" max="8" width="21.8984375" customWidth="1"/>
    <col min="9" max="9" width="19" customWidth="1"/>
    <col min="10" max="10" width="37.59765625" customWidth="1"/>
    <col min="11" max="11" width="19" customWidth="1"/>
    <col min="12" max="12" width="32.59765625" customWidth="1"/>
    <col min="13" max="13" width="18.296875" customWidth="1"/>
    <col min="14" max="14" width="32.59765625" customWidth="1"/>
    <col min="15" max="15" width="20.3984375" customWidth="1"/>
  </cols>
  <sheetData>
    <row r="1" spans="1:15" ht="22.5" customHeight="1">
      <c r="A1" s="22" t="s">
        <v>20</v>
      </c>
      <c r="B1" s="22" t="s">
        <v>0</v>
      </c>
      <c r="C1" s="22" t="s">
        <v>21</v>
      </c>
      <c r="D1" s="22" t="s">
        <v>1</v>
      </c>
      <c r="E1" s="22" t="s">
        <v>22</v>
      </c>
      <c r="F1" s="22" t="s">
        <v>23</v>
      </c>
      <c r="G1" s="22" t="s">
        <v>24</v>
      </c>
      <c r="H1" s="22" t="s">
        <v>25</v>
      </c>
      <c r="I1" s="22" t="s">
        <v>26</v>
      </c>
      <c r="J1" s="22" t="s">
        <v>27</v>
      </c>
      <c r="K1" s="22" t="s">
        <v>28</v>
      </c>
      <c r="L1" s="22" t="s">
        <v>29</v>
      </c>
      <c r="M1" s="22" t="s">
        <v>30</v>
      </c>
      <c r="N1" s="22" t="s">
        <v>31</v>
      </c>
      <c r="O1" s="22" t="s">
        <v>32</v>
      </c>
    </row>
    <row r="2" spans="1:15" ht="22.5" customHeight="1">
      <c r="A2" s="2">
        <v>1</v>
      </c>
      <c r="B2" s="2" t="s">
        <v>2</v>
      </c>
      <c r="C2" s="2">
        <v>2</v>
      </c>
      <c r="D2" s="2" t="s">
        <v>3</v>
      </c>
      <c r="E2" s="2">
        <v>3</v>
      </c>
      <c r="F2" s="2" t="s">
        <v>33</v>
      </c>
      <c r="G2" s="2">
        <v>6</v>
      </c>
      <c r="H2" s="2" t="s">
        <v>34</v>
      </c>
      <c r="I2" s="2">
        <v>8</v>
      </c>
      <c r="J2" s="2" t="s">
        <v>35</v>
      </c>
      <c r="K2" s="2">
        <v>19</v>
      </c>
      <c r="L2" s="2" t="s">
        <v>36</v>
      </c>
      <c r="M2" s="2">
        <v>19</v>
      </c>
      <c r="N2" s="2" t="s">
        <v>36</v>
      </c>
      <c r="O2" s="2">
        <v>6</v>
      </c>
    </row>
    <row r="3" spans="1:15" ht="22.5" customHeight="1">
      <c r="A3" s="2">
        <v>1</v>
      </c>
      <c r="B3" s="2" t="s">
        <v>2</v>
      </c>
      <c r="C3" s="2">
        <v>2</v>
      </c>
      <c r="D3" s="2" t="s">
        <v>3</v>
      </c>
      <c r="E3" s="2">
        <v>3</v>
      </c>
      <c r="F3" s="2" t="s">
        <v>33</v>
      </c>
      <c r="G3" s="2">
        <v>6</v>
      </c>
      <c r="H3" s="2" t="s">
        <v>34</v>
      </c>
      <c r="I3" s="2">
        <v>8</v>
      </c>
      <c r="J3" s="2" t="s">
        <v>35</v>
      </c>
      <c r="K3" s="2">
        <v>20</v>
      </c>
      <c r="L3" s="2" t="s">
        <v>37</v>
      </c>
      <c r="M3" s="2">
        <v>20</v>
      </c>
      <c r="N3" s="2" t="s">
        <v>37</v>
      </c>
      <c r="O3" s="2">
        <v>6</v>
      </c>
    </row>
    <row r="4" spans="1:15" ht="22.5" customHeight="1">
      <c r="A4" s="2">
        <v>1</v>
      </c>
      <c r="B4" s="2" t="s">
        <v>2</v>
      </c>
      <c r="C4" s="2">
        <v>2</v>
      </c>
      <c r="D4" s="2" t="s">
        <v>3</v>
      </c>
      <c r="E4" s="2">
        <v>3</v>
      </c>
      <c r="F4" s="2" t="s">
        <v>33</v>
      </c>
      <c r="G4" s="2">
        <v>6</v>
      </c>
      <c r="H4" s="2" t="s">
        <v>34</v>
      </c>
      <c r="I4" s="2">
        <v>8</v>
      </c>
      <c r="J4" s="2" t="s">
        <v>35</v>
      </c>
      <c r="K4" s="2">
        <v>21</v>
      </c>
      <c r="L4" s="2" t="s">
        <v>38</v>
      </c>
      <c r="M4" s="2">
        <v>21</v>
      </c>
      <c r="N4" s="2" t="s">
        <v>38</v>
      </c>
      <c r="O4" s="2">
        <v>6</v>
      </c>
    </row>
    <row r="5" spans="1:15" ht="22.5" customHeight="1">
      <c r="A5" s="2">
        <v>1</v>
      </c>
      <c r="B5" s="2" t="s">
        <v>2</v>
      </c>
      <c r="C5" s="2">
        <v>2</v>
      </c>
      <c r="D5" s="2" t="s">
        <v>3</v>
      </c>
      <c r="E5" s="2">
        <v>3</v>
      </c>
      <c r="F5" s="2" t="s">
        <v>33</v>
      </c>
      <c r="G5" s="2">
        <v>6</v>
      </c>
      <c r="H5" s="2" t="s">
        <v>34</v>
      </c>
      <c r="I5" s="2">
        <v>9</v>
      </c>
      <c r="J5" s="2" t="s">
        <v>39</v>
      </c>
      <c r="K5" s="2">
        <v>22</v>
      </c>
      <c r="L5" s="2" t="s">
        <v>40</v>
      </c>
      <c r="M5" s="2">
        <v>22</v>
      </c>
      <c r="N5" s="2" t="s">
        <v>40</v>
      </c>
      <c r="O5" s="2">
        <v>6</v>
      </c>
    </row>
    <row r="6" spans="1:15" ht="22.5" customHeight="1">
      <c r="A6" s="2">
        <v>1</v>
      </c>
      <c r="B6" s="2" t="s">
        <v>2</v>
      </c>
      <c r="C6" s="2">
        <v>2</v>
      </c>
      <c r="D6" s="2" t="s">
        <v>3</v>
      </c>
      <c r="E6" s="2">
        <v>3</v>
      </c>
      <c r="F6" s="2" t="s">
        <v>33</v>
      </c>
      <c r="G6" s="2">
        <v>6</v>
      </c>
      <c r="H6" s="2" t="s">
        <v>34</v>
      </c>
      <c r="I6" s="2">
        <v>9</v>
      </c>
      <c r="J6" s="2" t="s">
        <v>39</v>
      </c>
      <c r="K6" s="2">
        <v>23</v>
      </c>
      <c r="L6" s="2" t="s">
        <v>41</v>
      </c>
      <c r="M6" s="2">
        <v>23</v>
      </c>
      <c r="N6" s="2" t="s">
        <v>41</v>
      </c>
      <c r="O6" s="2">
        <v>6</v>
      </c>
    </row>
    <row r="7" spans="1:15" ht="22.5" customHeight="1">
      <c r="A7" s="2">
        <v>1</v>
      </c>
      <c r="B7" s="2" t="s">
        <v>2</v>
      </c>
      <c r="C7" s="2">
        <v>2</v>
      </c>
      <c r="D7" s="2" t="s">
        <v>3</v>
      </c>
      <c r="E7" s="2">
        <v>3</v>
      </c>
      <c r="F7" s="2" t="s">
        <v>33</v>
      </c>
      <c r="G7" s="2">
        <v>6</v>
      </c>
      <c r="H7" s="2" t="s">
        <v>34</v>
      </c>
      <c r="I7" s="2">
        <v>10</v>
      </c>
      <c r="J7" s="2" t="s">
        <v>42</v>
      </c>
      <c r="K7" s="2">
        <v>24</v>
      </c>
      <c r="L7" s="2" t="s">
        <v>43</v>
      </c>
      <c r="M7" s="2">
        <v>24</v>
      </c>
      <c r="N7" s="2" t="s">
        <v>43</v>
      </c>
      <c r="O7" s="2">
        <v>6</v>
      </c>
    </row>
    <row r="8" spans="1:15" ht="22.5" customHeight="1">
      <c r="A8" s="2">
        <v>1</v>
      </c>
      <c r="B8" s="2" t="s">
        <v>2</v>
      </c>
      <c r="C8" s="2">
        <v>2</v>
      </c>
      <c r="D8" s="2" t="s">
        <v>3</v>
      </c>
      <c r="E8" s="2">
        <v>3</v>
      </c>
      <c r="F8" s="2" t="s">
        <v>33</v>
      </c>
      <c r="G8" s="2">
        <v>6</v>
      </c>
      <c r="H8" s="2" t="s">
        <v>34</v>
      </c>
      <c r="I8" s="2">
        <v>10</v>
      </c>
      <c r="J8" s="2" t="s">
        <v>42</v>
      </c>
      <c r="K8" s="2">
        <v>25</v>
      </c>
      <c r="L8" s="2" t="s">
        <v>44</v>
      </c>
      <c r="M8" s="2">
        <v>25</v>
      </c>
      <c r="N8" s="2" t="s">
        <v>44</v>
      </c>
      <c r="O8" s="2">
        <v>6</v>
      </c>
    </row>
    <row r="9" spans="1:15" ht="22.5" customHeight="1">
      <c r="A9" s="2">
        <v>1</v>
      </c>
      <c r="B9" s="2" t="s">
        <v>2</v>
      </c>
      <c r="C9" s="2">
        <v>2</v>
      </c>
      <c r="D9" s="2" t="s">
        <v>3</v>
      </c>
      <c r="E9" s="2">
        <v>3</v>
      </c>
      <c r="F9" s="2" t="s">
        <v>33</v>
      </c>
      <c r="G9" s="2">
        <v>6</v>
      </c>
      <c r="H9" s="2" t="s">
        <v>34</v>
      </c>
      <c r="I9" s="2">
        <v>11</v>
      </c>
      <c r="J9" s="2" t="s">
        <v>45</v>
      </c>
      <c r="K9" s="2">
        <v>26</v>
      </c>
      <c r="L9" s="2" t="s">
        <v>46</v>
      </c>
      <c r="M9" s="2">
        <v>26</v>
      </c>
      <c r="N9" s="2" t="s">
        <v>46</v>
      </c>
      <c r="O9" s="2">
        <v>6</v>
      </c>
    </row>
    <row r="10" spans="1:15" ht="22.5" customHeight="1">
      <c r="A10" s="2">
        <v>1</v>
      </c>
      <c r="B10" s="2" t="s">
        <v>2</v>
      </c>
      <c r="C10" s="2">
        <v>2</v>
      </c>
      <c r="D10" s="2" t="s">
        <v>3</v>
      </c>
      <c r="E10" s="2">
        <v>3</v>
      </c>
      <c r="F10" s="2" t="s">
        <v>33</v>
      </c>
      <c r="G10" s="2">
        <v>6</v>
      </c>
      <c r="H10" s="2" t="s">
        <v>34</v>
      </c>
      <c r="I10" s="2">
        <v>11</v>
      </c>
      <c r="J10" s="2" t="s">
        <v>45</v>
      </c>
      <c r="K10" s="2">
        <v>27</v>
      </c>
      <c r="L10" s="2" t="s">
        <v>47</v>
      </c>
      <c r="M10" s="2">
        <v>27</v>
      </c>
      <c r="N10" s="2" t="s">
        <v>47</v>
      </c>
      <c r="O10" s="2">
        <v>6</v>
      </c>
    </row>
    <row r="11" spans="1:15" ht="22.5" customHeight="1">
      <c r="A11" s="2">
        <v>1</v>
      </c>
      <c r="B11" s="2" t="s">
        <v>2</v>
      </c>
      <c r="C11" s="2">
        <v>2</v>
      </c>
      <c r="D11" s="2" t="s">
        <v>3</v>
      </c>
      <c r="E11" s="2">
        <v>3</v>
      </c>
      <c r="F11" s="2" t="s">
        <v>33</v>
      </c>
      <c r="G11" s="2">
        <v>6</v>
      </c>
      <c r="H11" s="2" t="s">
        <v>34</v>
      </c>
      <c r="I11" s="2">
        <v>11</v>
      </c>
      <c r="J11" s="2" t="s">
        <v>45</v>
      </c>
      <c r="K11" s="2">
        <v>28</v>
      </c>
      <c r="L11" s="2" t="s">
        <v>48</v>
      </c>
      <c r="M11" s="2">
        <v>28</v>
      </c>
      <c r="N11" s="2" t="s">
        <v>48</v>
      </c>
      <c r="O11" s="2">
        <v>6</v>
      </c>
    </row>
    <row r="12" spans="1:15" ht="22.5" customHeight="1">
      <c r="A12" s="2">
        <v>1</v>
      </c>
      <c r="B12" s="2" t="s">
        <v>2</v>
      </c>
      <c r="C12" s="2">
        <v>2</v>
      </c>
      <c r="D12" s="2" t="s">
        <v>3</v>
      </c>
      <c r="E12" s="2">
        <v>3</v>
      </c>
      <c r="F12" s="2" t="s">
        <v>33</v>
      </c>
      <c r="G12" s="2">
        <v>6</v>
      </c>
      <c r="H12" s="2" t="s">
        <v>34</v>
      </c>
      <c r="I12" s="2">
        <v>11</v>
      </c>
      <c r="J12" s="2" t="s">
        <v>45</v>
      </c>
      <c r="K12" s="2">
        <v>29</v>
      </c>
      <c r="L12" s="2" t="s">
        <v>49</v>
      </c>
      <c r="M12" s="2">
        <v>29</v>
      </c>
      <c r="N12" s="2" t="s">
        <v>49</v>
      </c>
      <c r="O12" s="2">
        <v>6</v>
      </c>
    </row>
    <row r="13" spans="1:15" ht="22.5" customHeight="1">
      <c r="A13" s="2">
        <v>1</v>
      </c>
      <c r="B13" s="2" t="s">
        <v>2</v>
      </c>
      <c r="C13" s="2">
        <v>2</v>
      </c>
      <c r="D13" s="2" t="s">
        <v>3</v>
      </c>
      <c r="E13" s="2">
        <v>3</v>
      </c>
      <c r="F13" s="2" t="s">
        <v>33</v>
      </c>
      <c r="G13" s="2">
        <v>7</v>
      </c>
      <c r="H13" s="2" t="s">
        <v>50</v>
      </c>
      <c r="I13" s="2">
        <v>12</v>
      </c>
      <c r="J13" s="2" t="s">
        <v>51</v>
      </c>
      <c r="K13" s="2">
        <v>30</v>
      </c>
      <c r="L13" s="2" t="s">
        <v>52</v>
      </c>
      <c r="M13" s="2">
        <v>30</v>
      </c>
      <c r="N13" s="2" t="s">
        <v>52</v>
      </c>
      <c r="O13" s="2">
        <v>6</v>
      </c>
    </row>
    <row r="14" spans="1:15" ht="22.5" customHeight="1">
      <c r="A14" s="2">
        <v>1</v>
      </c>
      <c r="B14" s="2" t="s">
        <v>2</v>
      </c>
      <c r="C14" s="2">
        <v>2</v>
      </c>
      <c r="D14" s="2" t="s">
        <v>3</v>
      </c>
      <c r="E14" s="2">
        <v>3</v>
      </c>
      <c r="F14" s="2" t="s">
        <v>33</v>
      </c>
      <c r="G14" s="2">
        <v>7</v>
      </c>
      <c r="H14" s="2" t="s">
        <v>50</v>
      </c>
      <c r="I14" s="2">
        <v>12</v>
      </c>
      <c r="J14" s="2" t="s">
        <v>51</v>
      </c>
      <c r="K14" s="2">
        <v>31</v>
      </c>
      <c r="L14" s="2" t="s">
        <v>53</v>
      </c>
      <c r="M14" s="2">
        <v>31</v>
      </c>
      <c r="N14" s="2" t="s">
        <v>53</v>
      </c>
      <c r="O14" s="2">
        <v>6</v>
      </c>
    </row>
    <row r="15" spans="1:15" ht="22.5" customHeight="1">
      <c r="A15" s="2">
        <v>1</v>
      </c>
      <c r="B15" s="2" t="s">
        <v>2</v>
      </c>
      <c r="C15" s="2">
        <v>2</v>
      </c>
      <c r="D15" s="2" t="s">
        <v>3</v>
      </c>
      <c r="E15" s="2">
        <v>3</v>
      </c>
      <c r="F15" s="2" t="s">
        <v>33</v>
      </c>
      <c r="G15" s="2">
        <v>7</v>
      </c>
      <c r="H15" s="2" t="s">
        <v>50</v>
      </c>
      <c r="I15" s="2">
        <v>12</v>
      </c>
      <c r="J15" s="2" t="s">
        <v>51</v>
      </c>
      <c r="K15" s="2">
        <v>32</v>
      </c>
      <c r="L15" s="2" t="s">
        <v>54</v>
      </c>
      <c r="M15" s="2">
        <v>32</v>
      </c>
      <c r="N15" s="2" t="s">
        <v>54</v>
      </c>
      <c r="O15" s="2">
        <v>6</v>
      </c>
    </row>
    <row r="16" spans="1:15" ht="22.5" customHeight="1">
      <c r="A16" s="2">
        <v>1</v>
      </c>
      <c r="B16" s="2" t="s">
        <v>2</v>
      </c>
      <c r="C16" s="2">
        <v>2</v>
      </c>
      <c r="D16" s="2" t="s">
        <v>3</v>
      </c>
      <c r="E16" s="2">
        <v>3</v>
      </c>
      <c r="F16" s="2" t="s">
        <v>33</v>
      </c>
      <c r="G16" s="2">
        <v>7</v>
      </c>
      <c r="H16" s="2" t="s">
        <v>50</v>
      </c>
      <c r="I16" s="2">
        <v>12</v>
      </c>
      <c r="J16" s="2" t="s">
        <v>51</v>
      </c>
      <c r="K16" s="2">
        <v>33</v>
      </c>
      <c r="L16" s="2" t="s">
        <v>55</v>
      </c>
      <c r="M16" s="2">
        <v>33</v>
      </c>
      <c r="N16" s="2" t="s">
        <v>55</v>
      </c>
      <c r="O16" s="2">
        <v>6</v>
      </c>
    </row>
    <row r="17" spans="1:15" ht="22.5" customHeight="1">
      <c r="A17" s="2">
        <v>1</v>
      </c>
      <c r="B17" s="2" t="s">
        <v>2</v>
      </c>
      <c r="C17" s="2">
        <v>2</v>
      </c>
      <c r="D17" s="2" t="s">
        <v>3</v>
      </c>
      <c r="E17" s="2">
        <v>3</v>
      </c>
      <c r="F17" s="2" t="s">
        <v>33</v>
      </c>
      <c r="G17" s="2">
        <v>7</v>
      </c>
      <c r="H17" s="2" t="s">
        <v>50</v>
      </c>
      <c r="I17" s="2">
        <v>13</v>
      </c>
      <c r="J17" s="2" t="s">
        <v>56</v>
      </c>
      <c r="K17" s="2">
        <v>34</v>
      </c>
      <c r="L17" s="2" t="s">
        <v>57</v>
      </c>
      <c r="M17" s="2">
        <v>34</v>
      </c>
      <c r="N17" s="2" t="s">
        <v>57</v>
      </c>
      <c r="O17" s="2">
        <v>6</v>
      </c>
    </row>
    <row r="18" spans="1:15" ht="22.5" customHeight="1">
      <c r="A18" s="2">
        <v>1</v>
      </c>
      <c r="B18" s="2" t="s">
        <v>2</v>
      </c>
      <c r="C18" s="2">
        <v>2</v>
      </c>
      <c r="D18" s="2" t="s">
        <v>3</v>
      </c>
      <c r="E18" s="2">
        <v>3</v>
      </c>
      <c r="F18" s="2" t="s">
        <v>33</v>
      </c>
      <c r="G18" s="2">
        <v>7</v>
      </c>
      <c r="H18" s="2" t="s">
        <v>50</v>
      </c>
      <c r="I18" s="2">
        <v>13</v>
      </c>
      <c r="J18" s="2" t="s">
        <v>56</v>
      </c>
      <c r="K18" s="2">
        <v>35</v>
      </c>
      <c r="L18" s="2" t="s">
        <v>58</v>
      </c>
      <c r="M18" s="2">
        <v>35</v>
      </c>
      <c r="N18" s="2" t="s">
        <v>58</v>
      </c>
      <c r="O18" s="2">
        <v>6</v>
      </c>
    </row>
    <row r="19" spans="1:15" ht="22.5" customHeight="1">
      <c r="A19" s="2">
        <v>1</v>
      </c>
      <c r="B19" s="2" t="s">
        <v>2</v>
      </c>
      <c r="C19" s="2">
        <v>2</v>
      </c>
      <c r="D19" s="2" t="s">
        <v>3</v>
      </c>
      <c r="E19" s="2">
        <v>3</v>
      </c>
      <c r="F19" s="2" t="s">
        <v>33</v>
      </c>
      <c r="G19" s="2">
        <v>7</v>
      </c>
      <c r="H19" s="2" t="s">
        <v>50</v>
      </c>
      <c r="I19" s="2">
        <v>13</v>
      </c>
      <c r="J19" s="2" t="s">
        <v>56</v>
      </c>
      <c r="K19" s="2">
        <v>36</v>
      </c>
      <c r="L19" s="2" t="s">
        <v>59</v>
      </c>
      <c r="M19" s="2">
        <v>36</v>
      </c>
      <c r="N19" s="2" t="s">
        <v>59</v>
      </c>
      <c r="O19" s="2">
        <v>6</v>
      </c>
    </row>
    <row r="20" spans="1:15" ht="22.5" customHeight="1">
      <c r="A20" s="2">
        <v>1</v>
      </c>
      <c r="B20" s="2" t="s">
        <v>2</v>
      </c>
      <c r="C20" s="2">
        <v>2</v>
      </c>
      <c r="D20" s="2" t="s">
        <v>3</v>
      </c>
      <c r="E20" s="2">
        <v>3</v>
      </c>
      <c r="F20" s="2" t="s">
        <v>33</v>
      </c>
      <c r="G20" s="2">
        <v>7</v>
      </c>
      <c r="H20" s="2" t="s">
        <v>50</v>
      </c>
      <c r="I20" s="2">
        <v>13</v>
      </c>
      <c r="J20" s="2" t="s">
        <v>56</v>
      </c>
      <c r="K20" s="2">
        <v>37</v>
      </c>
      <c r="L20" s="2" t="s">
        <v>60</v>
      </c>
      <c r="M20" s="2">
        <v>37</v>
      </c>
      <c r="N20" s="2" t="s">
        <v>60</v>
      </c>
      <c r="O20" s="2">
        <v>6</v>
      </c>
    </row>
    <row r="21" spans="1:15" ht="22.5" customHeight="1">
      <c r="A21" s="2">
        <v>1</v>
      </c>
      <c r="B21" s="2" t="s">
        <v>2</v>
      </c>
      <c r="C21" s="2">
        <v>2</v>
      </c>
      <c r="D21" s="2" t="s">
        <v>3</v>
      </c>
      <c r="E21" s="2">
        <v>3</v>
      </c>
      <c r="F21" s="2" t="s">
        <v>33</v>
      </c>
      <c r="G21" s="2">
        <v>7</v>
      </c>
      <c r="H21" s="2" t="s">
        <v>50</v>
      </c>
      <c r="I21" s="2">
        <v>14</v>
      </c>
      <c r="J21" s="2" t="s">
        <v>61</v>
      </c>
      <c r="K21" s="2">
        <v>38</v>
      </c>
      <c r="L21" s="2" t="s">
        <v>62</v>
      </c>
      <c r="M21" s="2">
        <v>38</v>
      </c>
      <c r="N21" s="2" t="s">
        <v>62</v>
      </c>
      <c r="O21" s="2">
        <v>6</v>
      </c>
    </row>
    <row r="22" spans="1:15" ht="22.5" customHeight="1">
      <c r="A22" s="2">
        <v>1</v>
      </c>
      <c r="B22" s="2" t="s">
        <v>2</v>
      </c>
      <c r="C22" s="2">
        <v>2</v>
      </c>
      <c r="D22" s="2" t="s">
        <v>3</v>
      </c>
      <c r="E22" s="2">
        <v>3</v>
      </c>
      <c r="F22" s="2" t="s">
        <v>33</v>
      </c>
      <c r="G22" s="2">
        <v>7</v>
      </c>
      <c r="H22" s="2" t="s">
        <v>50</v>
      </c>
      <c r="I22" s="2">
        <v>14</v>
      </c>
      <c r="J22" s="2" t="s">
        <v>61</v>
      </c>
      <c r="K22" s="2">
        <v>39</v>
      </c>
      <c r="L22" s="2" t="s">
        <v>63</v>
      </c>
      <c r="M22" s="2">
        <v>39</v>
      </c>
      <c r="N22" s="2" t="s">
        <v>63</v>
      </c>
      <c r="O22" s="2">
        <v>6</v>
      </c>
    </row>
    <row r="23" spans="1:15" ht="22.5" customHeight="1">
      <c r="A23" s="2">
        <v>1</v>
      </c>
      <c r="B23" s="2" t="s">
        <v>2</v>
      </c>
      <c r="C23" s="2">
        <v>2</v>
      </c>
      <c r="D23" s="2" t="s">
        <v>3</v>
      </c>
      <c r="E23" s="2">
        <v>3</v>
      </c>
      <c r="F23" s="2" t="s">
        <v>33</v>
      </c>
      <c r="G23" s="2">
        <v>7</v>
      </c>
      <c r="H23" s="2" t="s">
        <v>50</v>
      </c>
      <c r="I23" s="2">
        <v>14</v>
      </c>
      <c r="J23" s="2" t="s">
        <v>61</v>
      </c>
      <c r="K23" s="2">
        <v>40</v>
      </c>
      <c r="L23" s="2" t="s">
        <v>64</v>
      </c>
      <c r="M23" s="2">
        <v>40</v>
      </c>
      <c r="N23" s="2" t="s">
        <v>64</v>
      </c>
      <c r="O23" s="2">
        <v>6</v>
      </c>
    </row>
    <row r="24" spans="1:15" ht="22.5" customHeight="1">
      <c r="A24" s="2">
        <v>1</v>
      </c>
      <c r="B24" s="2" t="s">
        <v>2</v>
      </c>
      <c r="C24" s="2">
        <v>2</v>
      </c>
      <c r="D24" s="2" t="s">
        <v>3</v>
      </c>
      <c r="E24" s="2">
        <v>3</v>
      </c>
      <c r="F24" s="2" t="s">
        <v>33</v>
      </c>
      <c r="G24" s="2">
        <v>7</v>
      </c>
      <c r="H24" s="2" t="s">
        <v>50</v>
      </c>
      <c r="I24" s="2">
        <v>15</v>
      </c>
      <c r="J24" s="2" t="s">
        <v>65</v>
      </c>
      <c r="K24" s="2">
        <v>41</v>
      </c>
      <c r="L24" s="2" t="s">
        <v>66</v>
      </c>
      <c r="M24" s="2">
        <v>41</v>
      </c>
      <c r="N24" s="2" t="s">
        <v>66</v>
      </c>
      <c r="O24" s="2">
        <v>6</v>
      </c>
    </row>
    <row r="25" spans="1:15" ht="22.5" customHeight="1">
      <c r="A25" s="2">
        <v>1</v>
      </c>
      <c r="B25" s="2" t="s">
        <v>2</v>
      </c>
      <c r="C25" s="2">
        <v>2</v>
      </c>
      <c r="D25" s="2" t="s">
        <v>3</v>
      </c>
      <c r="E25" s="2">
        <v>3</v>
      </c>
      <c r="F25" s="2" t="s">
        <v>33</v>
      </c>
      <c r="G25" s="2">
        <v>7</v>
      </c>
      <c r="H25" s="2" t="s">
        <v>50</v>
      </c>
      <c r="I25" s="2">
        <v>15</v>
      </c>
      <c r="J25" s="2" t="s">
        <v>65</v>
      </c>
      <c r="K25" s="2">
        <v>42</v>
      </c>
      <c r="L25" s="2" t="s">
        <v>67</v>
      </c>
      <c r="M25" s="2">
        <v>42</v>
      </c>
      <c r="N25" s="2" t="s">
        <v>67</v>
      </c>
      <c r="O25" s="2">
        <v>6</v>
      </c>
    </row>
    <row r="26" spans="1:15" ht="22.5" customHeight="1">
      <c r="A26" s="2">
        <v>1</v>
      </c>
      <c r="B26" s="2" t="s">
        <v>2</v>
      </c>
      <c r="C26" s="2">
        <v>2</v>
      </c>
      <c r="D26" s="2" t="s">
        <v>3</v>
      </c>
      <c r="E26" s="2">
        <v>3</v>
      </c>
      <c r="F26" s="2" t="s">
        <v>33</v>
      </c>
      <c r="G26" s="2">
        <v>7</v>
      </c>
      <c r="H26" s="2" t="s">
        <v>50</v>
      </c>
      <c r="I26" s="2">
        <v>16</v>
      </c>
      <c r="J26" s="2" t="s">
        <v>68</v>
      </c>
      <c r="K26" s="2">
        <v>43</v>
      </c>
      <c r="L26" s="2" t="s">
        <v>69</v>
      </c>
      <c r="M26" s="2">
        <v>43</v>
      </c>
      <c r="N26" s="2" t="s">
        <v>69</v>
      </c>
      <c r="O26" s="2">
        <v>6</v>
      </c>
    </row>
    <row r="27" spans="1:15" ht="22.5" customHeight="1">
      <c r="A27" s="2">
        <v>1</v>
      </c>
      <c r="B27" s="2" t="s">
        <v>2</v>
      </c>
      <c r="C27" s="2">
        <v>2</v>
      </c>
      <c r="D27" s="2" t="s">
        <v>3</v>
      </c>
      <c r="E27" s="2">
        <v>3</v>
      </c>
      <c r="F27" s="2" t="s">
        <v>33</v>
      </c>
      <c r="G27" s="2">
        <v>7</v>
      </c>
      <c r="H27" s="2" t="s">
        <v>50</v>
      </c>
      <c r="I27" s="2">
        <v>16</v>
      </c>
      <c r="J27" s="2" t="s">
        <v>68</v>
      </c>
      <c r="K27" s="2">
        <v>44</v>
      </c>
      <c r="L27" s="2" t="s">
        <v>70</v>
      </c>
      <c r="M27" s="2">
        <v>44</v>
      </c>
      <c r="N27" s="2" t="s">
        <v>70</v>
      </c>
      <c r="O27" s="2">
        <v>6</v>
      </c>
    </row>
    <row r="28" spans="1:15" ht="22.5" customHeight="1">
      <c r="A28" s="2">
        <v>1</v>
      </c>
      <c r="B28" s="2" t="s">
        <v>2</v>
      </c>
      <c r="C28" s="2">
        <v>2</v>
      </c>
      <c r="D28" s="2" t="s">
        <v>3</v>
      </c>
      <c r="E28" s="2">
        <v>4</v>
      </c>
      <c r="F28" s="2" t="s">
        <v>71</v>
      </c>
      <c r="G28" s="2">
        <v>17</v>
      </c>
      <c r="H28" s="2" t="s">
        <v>72</v>
      </c>
      <c r="I28" s="2">
        <v>45</v>
      </c>
      <c r="J28" s="2" t="s">
        <v>73</v>
      </c>
      <c r="M28" s="2">
        <v>45</v>
      </c>
      <c r="N28" s="2" t="s">
        <v>73</v>
      </c>
      <c r="O28" s="2">
        <v>5</v>
      </c>
    </row>
    <row r="29" spans="1:15" ht="22.5" customHeight="1">
      <c r="A29" s="2">
        <v>1</v>
      </c>
      <c r="B29" s="2" t="s">
        <v>2</v>
      </c>
      <c r="C29" s="2">
        <v>2</v>
      </c>
      <c r="D29" s="2" t="s">
        <v>3</v>
      </c>
      <c r="E29" s="2">
        <v>4</v>
      </c>
      <c r="F29" s="2" t="s">
        <v>71</v>
      </c>
      <c r="G29" s="2">
        <v>18</v>
      </c>
      <c r="H29" s="2" t="s">
        <v>74</v>
      </c>
      <c r="I29" s="2">
        <v>46</v>
      </c>
      <c r="J29" s="2" t="s">
        <v>75</v>
      </c>
      <c r="M29" s="2">
        <v>46</v>
      </c>
      <c r="N29" s="2" t="s">
        <v>75</v>
      </c>
      <c r="O29" s="2">
        <v>5</v>
      </c>
    </row>
    <row r="30" spans="1:15" ht="22.5" customHeight="1">
      <c r="A30" s="2">
        <v>1</v>
      </c>
      <c r="B30" s="2" t="s">
        <v>2</v>
      </c>
      <c r="C30" s="2">
        <v>2</v>
      </c>
      <c r="D30" s="2" t="s">
        <v>3</v>
      </c>
      <c r="E30" s="2">
        <v>4</v>
      </c>
      <c r="F30" s="2" t="s">
        <v>71</v>
      </c>
      <c r="G30" s="2">
        <v>18</v>
      </c>
      <c r="H30" s="2" t="s">
        <v>74</v>
      </c>
      <c r="I30" s="2">
        <v>47</v>
      </c>
      <c r="J30" s="2" t="s">
        <v>76</v>
      </c>
      <c r="M30" s="2">
        <v>47</v>
      </c>
      <c r="N30" s="2" t="s">
        <v>77</v>
      </c>
      <c r="O30" s="2">
        <v>5</v>
      </c>
    </row>
    <row r="31" spans="1:15" ht="22.5" customHeight="1">
      <c r="A31" s="2">
        <v>1</v>
      </c>
      <c r="B31" s="2" t="s">
        <v>2</v>
      </c>
      <c r="C31" s="2">
        <v>2</v>
      </c>
      <c r="D31" s="2" t="s">
        <v>3</v>
      </c>
      <c r="E31" s="2">
        <v>4</v>
      </c>
      <c r="F31" s="2" t="s">
        <v>71</v>
      </c>
      <c r="G31" s="2">
        <v>18</v>
      </c>
      <c r="H31" s="2" t="s">
        <v>74</v>
      </c>
      <c r="I31" s="2">
        <v>48</v>
      </c>
      <c r="J31" s="2" t="s">
        <v>78</v>
      </c>
      <c r="M31" s="2">
        <v>48</v>
      </c>
      <c r="N31" s="2" t="s">
        <v>79</v>
      </c>
      <c r="O31" s="2">
        <v>5</v>
      </c>
    </row>
    <row r="32" spans="1:15" ht="22.5" customHeight="1">
      <c r="A32" s="2">
        <v>1</v>
      </c>
      <c r="B32" s="2" t="s">
        <v>2</v>
      </c>
      <c r="C32" s="2">
        <v>2</v>
      </c>
      <c r="D32" s="2" t="s">
        <v>3</v>
      </c>
      <c r="E32" s="2">
        <v>4</v>
      </c>
      <c r="F32" s="2" t="s">
        <v>71</v>
      </c>
      <c r="G32" s="2">
        <v>18</v>
      </c>
      <c r="H32" s="2" t="s">
        <v>74</v>
      </c>
      <c r="I32" s="2">
        <v>49</v>
      </c>
      <c r="J32" s="2" t="s">
        <v>80</v>
      </c>
      <c r="M32" s="2">
        <v>49</v>
      </c>
      <c r="N32" s="2" t="s">
        <v>81</v>
      </c>
      <c r="O32" s="2">
        <v>5</v>
      </c>
    </row>
    <row r="33" spans="1:15" ht="22.5" customHeight="1">
      <c r="A33" s="2">
        <v>1</v>
      </c>
      <c r="B33" s="2" t="s">
        <v>2</v>
      </c>
      <c r="C33" s="2">
        <v>2</v>
      </c>
      <c r="D33" s="2" t="s">
        <v>3</v>
      </c>
      <c r="E33" s="2">
        <v>4</v>
      </c>
      <c r="F33" s="2" t="s">
        <v>71</v>
      </c>
      <c r="G33" s="2">
        <v>18</v>
      </c>
      <c r="H33" s="2" t="s">
        <v>74</v>
      </c>
      <c r="I33" s="2">
        <v>50</v>
      </c>
      <c r="J33" s="2" t="s">
        <v>82</v>
      </c>
      <c r="M33" s="2">
        <v>50</v>
      </c>
      <c r="N33" s="2" t="s">
        <v>82</v>
      </c>
      <c r="O33" s="2">
        <v>5</v>
      </c>
    </row>
    <row r="34" spans="1:15" ht="22.5" customHeight="1">
      <c r="A34" s="2">
        <v>1</v>
      </c>
      <c r="B34" s="2" t="s">
        <v>2</v>
      </c>
      <c r="C34" s="2">
        <v>2</v>
      </c>
      <c r="D34" s="2" t="s">
        <v>3</v>
      </c>
      <c r="E34" s="2">
        <v>4</v>
      </c>
      <c r="F34" s="2" t="s">
        <v>71</v>
      </c>
      <c r="G34" s="2">
        <v>18</v>
      </c>
      <c r="H34" s="2" t="s">
        <v>74</v>
      </c>
      <c r="I34" s="2">
        <v>51</v>
      </c>
      <c r="J34" s="2" t="s">
        <v>83</v>
      </c>
      <c r="M34" s="2">
        <v>51</v>
      </c>
      <c r="N34" s="2" t="s">
        <v>83</v>
      </c>
      <c r="O34" s="2">
        <v>5</v>
      </c>
    </row>
    <row r="35" spans="1:15" ht="22.5" customHeight="1">
      <c r="A35" s="2">
        <v>1</v>
      </c>
      <c r="B35" s="2" t="s">
        <v>2</v>
      </c>
      <c r="C35" s="2">
        <v>2</v>
      </c>
      <c r="D35" s="2" t="s">
        <v>3</v>
      </c>
      <c r="E35" s="2">
        <v>4</v>
      </c>
      <c r="F35" s="2" t="s">
        <v>71</v>
      </c>
      <c r="G35" s="2">
        <v>18</v>
      </c>
      <c r="H35" s="2" t="s">
        <v>74</v>
      </c>
      <c r="I35" s="2">
        <v>52</v>
      </c>
      <c r="J35" s="2" t="s">
        <v>84</v>
      </c>
      <c r="M35" s="2">
        <v>52</v>
      </c>
      <c r="N35" s="2" t="s">
        <v>84</v>
      </c>
      <c r="O35" s="2">
        <v>5</v>
      </c>
    </row>
    <row r="36" spans="1:15" ht="22.5" customHeight="1">
      <c r="A36" s="2">
        <v>1</v>
      </c>
      <c r="B36" s="2" t="s">
        <v>2</v>
      </c>
      <c r="C36" s="2">
        <v>2</v>
      </c>
      <c r="D36" s="2" t="s">
        <v>3</v>
      </c>
      <c r="E36" s="2">
        <v>5</v>
      </c>
      <c r="F36" s="2" t="s">
        <v>85</v>
      </c>
      <c r="M36" s="2">
        <v>5</v>
      </c>
      <c r="N36" s="2" t="s">
        <v>86</v>
      </c>
      <c r="O36" s="2">
        <v>3</v>
      </c>
    </row>
    <row r="37" spans="1:15" ht="22.5" customHeight="1">
      <c r="A37" s="2">
        <v>5000</v>
      </c>
      <c r="B37" s="2" t="s">
        <v>4</v>
      </c>
      <c r="C37" s="2">
        <v>5001</v>
      </c>
      <c r="D37" s="2" t="s">
        <v>5</v>
      </c>
      <c r="E37" s="2">
        <v>5002</v>
      </c>
      <c r="F37" s="2" t="s">
        <v>33</v>
      </c>
      <c r="G37" s="2">
        <v>5005</v>
      </c>
      <c r="H37" s="2" t="s">
        <v>34</v>
      </c>
      <c r="I37" s="2">
        <v>5007</v>
      </c>
      <c r="J37" s="2" t="s">
        <v>87</v>
      </c>
      <c r="K37" s="2">
        <v>5016</v>
      </c>
      <c r="L37" s="2" t="s">
        <v>88</v>
      </c>
      <c r="M37" s="2">
        <v>5016</v>
      </c>
      <c r="N37" s="2" t="s">
        <v>88</v>
      </c>
      <c r="O37" s="2">
        <v>6</v>
      </c>
    </row>
    <row r="38" spans="1:15" ht="22.5" customHeight="1">
      <c r="A38" s="2">
        <v>5000</v>
      </c>
      <c r="B38" s="2" t="s">
        <v>4</v>
      </c>
      <c r="C38" s="2">
        <v>5001</v>
      </c>
      <c r="D38" s="2" t="s">
        <v>5</v>
      </c>
      <c r="E38" s="2">
        <v>5002</v>
      </c>
      <c r="F38" s="2" t="s">
        <v>33</v>
      </c>
      <c r="G38" s="2">
        <v>5005</v>
      </c>
      <c r="H38" s="2" t="s">
        <v>34</v>
      </c>
      <c r="I38" s="2">
        <v>5007</v>
      </c>
      <c r="J38" s="2" t="s">
        <v>87</v>
      </c>
      <c r="K38" s="2">
        <v>5017</v>
      </c>
      <c r="L38" s="2" t="s">
        <v>89</v>
      </c>
      <c r="M38" s="2">
        <v>5017</v>
      </c>
      <c r="N38" s="2" t="s">
        <v>89</v>
      </c>
      <c r="O38" s="2">
        <v>6</v>
      </c>
    </row>
    <row r="39" spans="1:15" ht="22.5" customHeight="1">
      <c r="A39" s="2">
        <v>5000</v>
      </c>
      <c r="B39" s="2" t="s">
        <v>4</v>
      </c>
      <c r="C39" s="2">
        <v>5001</v>
      </c>
      <c r="D39" s="2" t="s">
        <v>5</v>
      </c>
      <c r="E39" s="2">
        <v>5002</v>
      </c>
      <c r="F39" s="2" t="s">
        <v>33</v>
      </c>
      <c r="G39" s="2">
        <v>5005</v>
      </c>
      <c r="H39" s="2" t="s">
        <v>34</v>
      </c>
      <c r="I39" s="2">
        <v>5007</v>
      </c>
      <c r="J39" s="2" t="s">
        <v>87</v>
      </c>
      <c r="K39" s="2">
        <v>5018</v>
      </c>
      <c r="L39" s="2" t="s">
        <v>90</v>
      </c>
      <c r="M39" s="2">
        <v>5018</v>
      </c>
      <c r="N39" s="2" t="s">
        <v>90</v>
      </c>
      <c r="O39" s="2">
        <v>6</v>
      </c>
    </row>
    <row r="40" spans="1:15" ht="22.5" customHeight="1">
      <c r="A40" s="2">
        <v>5000</v>
      </c>
      <c r="B40" s="2" t="s">
        <v>4</v>
      </c>
      <c r="C40" s="2">
        <v>5001</v>
      </c>
      <c r="D40" s="2" t="s">
        <v>5</v>
      </c>
      <c r="E40" s="2">
        <v>5002</v>
      </c>
      <c r="F40" s="2" t="s">
        <v>33</v>
      </c>
      <c r="G40" s="2">
        <v>5005</v>
      </c>
      <c r="H40" s="2" t="s">
        <v>34</v>
      </c>
      <c r="I40" s="2">
        <v>5007</v>
      </c>
      <c r="J40" s="2" t="s">
        <v>87</v>
      </c>
      <c r="K40" s="2">
        <v>5019</v>
      </c>
      <c r="L40" s="2" t="s">
        <v>91</v>
      </c>
      <c r="M40" s="2">
        <v>5019</v>
      </c>
      <c r="N40" s="2" t="s">
        <v>92</v>
      </c>
      <c r="O40" s="2">
        <v>6</v>
      </c>
    </row>
    <row r="41" spans="1:15" ht="22.5" customHeight="1">
      <c r="A41" s="2">
        <v>5000</v>
      </c>
      <c r="B41" s="2" t="s">
        <v>4</v>
      </c>
      <c r="C41" s="2">
        <v>5001</v>
      </c>
      <c r="D41" s="2" t="s">
        <v>5</v>
      </c>
      <c r="E41" s="2">
        <v>5002</v>
      </c>
      <c r="F41" s="2" t="s">
        <v>33</v>
      </c>
      <c r="G41" s="2">
        <v>5005</v>
      </c>
      <c r="H41" s="2" t="s">
        <v>34</v>
      </c>
      <c r="I41" s="2">
        <v>5007</v>
      </c>
      <c r="J41" s="2" t="s">
        <v>87</v>
      </c>
      <c r="K41" s="2">
        <v>5020</v>
      </c>
      <c r="L41" s="2" t="s">
        <v>93</v>
      </c>
      <c r="M41" s="2">
        <v>5020</v>
      </c>
      <c r="N41" s="2" t="s">
        <v>93</v>
      </c>
      <c r="O41" s="2">
        <v>6</v>
      </c>
    </row>
    <row r="42" spans="1:15" ht="22.5" customHeight="1">
      <c r="A42" s="2">
        <v>5000</v>
      </c>
      <c r="B42" s="2" t="s">
        <v>4</v>
      </c>
      <c r="C42" s="2">
        <v>5001</v>
      </c>
      <c r="D42" s="2" t="s">
        <v>5</v>
      </c>
      <c r="E42" s="2">
        <v>5002</v>
      </c>
      <c r="F42" s="2" t="s">
        <v>33</v>
      </c>
      <c r="G42" s="2">
        <v>5005</v>
      </c>
      <c r="H42" s="2" t="s">
        <v>34</v>
      </c>
      <c r="I42" s="2">
        <v>5008</v>
      </c>
      <c r="J42" s="2" t="s">
        <v>94</v>
      </c>
      <c r="K42" s="2">
        <v>5021</v>
      </c>
      <c r="L42" s="2" t="s">
        <v>95</v>
      </c>
      <c r="M42" s="2">
        <v>5021</v>
      </c>
      <c r="N42" s="2" t="s">
        <v>96</v>
      </c>
      <c r="O42" s="2">
        <v>6</v>
      </c>
    </row>
    <row r="43" spans="1:15" ht="22.5" customHeight="1">
      <c r="A43" s="2">
        <v>5000</v>
      </c>
      <c r="B43" s="2" t="s">
        <v>4</v>
      </c>
      <c r="C43" s="2">
        <v>5001</v>
      </c>
      <c r="D43" s="2" t="s">
        <v>5</v>
      </c>
      <c r="E43" s="2">
        <v>5002</v>
      </c>
      <c r="F43" s="2" t="s">
        <v>33</v>
      </c>
      <c r="G43" s="2">
        <v>5005</v>
      </c>
      <c r="H43" s="2" t="s">
        <v>34</v>
      </c>
      <c r="I43" s="2">
        <v>5008</v>
      </c>
      <c r="J43" s="2" t="s">
        <v>94</v>
      </c>
      <c r="K43" s="2">
        <v>5022</v>
      </c>
      <c r="L43" s="2" t="s">
        <v>97</v>
      </c>
      <c r="M43" s="2">
        <v>5022</v>
      </c>
      <c r="N43" s="2" t="s">
        <v>97</v>
      </c>
      <c r="O43" s="2">
        <v>6</v>
      </c>
    </row>
    <row r="44" spans="1:15" ht="22.5" customHeight="1">
      <c r="A44" s="2">
        <v>5000</v>
      </c>
      <c r="B44" s="2" t="s">
        <v>4</v>
      </c>
      <c r="C44" s="2">
        <v>5001</v>
      </c>
      <c r="D44" s="2" t="s">
        <v>5</v>
      </c>
      <c r="E44" s="2">
        <v>5002</v>
      </c>
      <c r="F44" s="2" t="s">
        <v>33</v>
      </c>
      <c r="G44" s="2">
        <v>5005</v>
      </c>
      <c r="H44" s="2" t="s">
        <v>34</v>
      </c>
      <c r="I44" s="2">
        <v>5008</v>
      </c>
      <c r="J44" s="2" t="s">
        <v>94</v>
      </c>
      <c r="K44" s="2">
        <v>5023</v>
      </c>
      <c r="L44" s="2" t="s">
        <v>98</v>
      </c>
      <c r="M44" s="2">
        <v>5023</v>
      </c>
      <c r="N44" s="2" t="s">
        <v>98</v>
      </c>
      <c r="O44" s="2">
        <v>6</v>
      </c>
    </row>
    <row r="45" spans="1:15" ht="22.5" customHeight="1">
      <c r="A45" s="2">
        <v>5000</v>
      </c>
      <c r="B45" s="2" t="s">
        <v>4</v>
      </c>
      <c r="C45" s="2">
        <v>5001</v>
      </c>
      <c r="D45" s="2" t="s">
        <v>5</v>
      </c>
      <c r="E45" s="2">
        <v>5002</v>
      </c>
      <c r="F45" s="2" t="s">
        <v>33</v>
      </c>
      <c r="G45" s="2">
        <v>5005</v>
      </c>
      <c r="H45" s="2" t="s">
        <v>34</v>
      </c>
      <c r="I45" s="2">
        <v>5008</v>
      </c>
      <c r="J45" s="2" t="s">
        <v>94</v>
      </c>
      <c r="K45" s="2">
        <v>5024</v>
      </c>
      <c r="L45" s="2" t="s">
        <v>99</v>
      </c>
      <c r="M45" s="2">
        <v>5024</v>
      </c>
      <c r="N45" s="2" t="s">
        <v>99</v>
      </c>
      <c r="O45" s="2">
        <v>6</v>
      </c>
    </row>
    <row r="46" spans="1:15" ht="22.5" customHeight="1">
      <c r="A46" s="2">
        <v>5000</v>
      </c>
      <c r="B46" s="2" t="s">
        <v>4</v>
      </c>
      <c r="C46" s="2">
        <v>5001</v>
      </c>
      <c r="D46" s="2" t="s">
        <v>5</v>
      </c>
      <c r="E46" s="2">
        <v>5002</v>
      </c>
      <c r="F46" s="2" t="s">
        <v>33</v>
      </c>
      <c r="G46" s="2">
        <v>5005</v>
      </c>
      <c r="H46" s="2" t="s">
        <v>34</v>
      </c>
      <c r="I46" s="2">
        <v>5008</v>
      </c>
      <c r="J46" s="2" t="s">
        <v>94</v>
      </c>
      <c r="K46" s="2">
        <v>5025</v>
      </c>
      <c r="L46" s="2" t="s">
        <v>100</v>
      </c>
      <c r="M46" s="2">
        <v>5025</v>
      </c>
      <c r="N46" s="2" t="s">
        <v>101</v>
      </c>
      <c r="O46" s="2">
        <v>6</v>
      </c>
    </row>
    <row r="47" spans="1:15" ht="22.5" customHeight="1">
      <c r="A47" s="2">
        <v>5000</v>
      </c>
      <c r="B47" s="2" t="s">
        <v>4</v>
      </c>
      <c r="C47" s="2">
        <v>5001</v>
      </c>
      <c r="D47" s="2" t="s">
        <v>5</v>
      </c>
      <c r="E47" s="2">
        <v>5002</v>
      </c>
      <c r="F47" s="2" t="s">
        <v>33</v>
      </c>
      <c r="G47" s="2">
        <v>5006</v>
      </c>
      <c r="H47" s="2" t="s">
        <v>50</v>
      </c>
      <c r="I47" s="2">
        <v>5009</v>
      </c>
      <c r="J47" s="2" t="s">
        <v>102</v>
      </c>
      <c r="K47" s="2">
        <v>5026</v>
      </c>
      <c r="L47" s="2" t="s">
        <v>103</v>
      </c>
      <c r="M47" s="2">
        <v>5026</v>
      </c>
      <c r="N47" s="2" t="s">
        <v>103</v>
      </c>
      <c r="O47" s="2">
        <v>6</v>
      </c>
    </row>
    <row r="48" spans="1:15" ht="22.5" customHeight="1">
      <c r="A48" s="2">
        <v>5000</v>
      </c>
      <c r="B48" s="2" t="s">
        <v>4</v>
      </c>
      <c r="C48" s="2">
        <v>5001</v>
      </c>
      <c r="D48" s="2" t="s">
        <v>5</v>
      </c>
      <c r="E48" s="2">
        <v>5002</v>
      </c>
      <c r="F48" s="2" t="s">
        <v>33</v>
      </c>
      <c r="G48" s="2">
        <v>5006</v>
      </c>
      <c r="H48" s="2" t="s">
        <v>50</v>
      </c>
      <c r="I48" s="2">
        <v>5009</v>
      </c>
      <c r="J48" s="2" t="s">
        <v>102</v>
      </c>
      <c r="K48" s="2">
        <v>5027</v>
      </c>
      <c r="L48" s="2" t="s">
        <v>104</v>
      </c>
      <c r="M48" s="2">
        <v>5027</v>
      </c>
      <c r="N48" s="2" t="s">
        <v>104</v>
      </c>
      <c r="O48" s="2">
        <v>6</v>
      </c>
    </row>
    <row r="49" spans="1:15" ht="22.5" customHeight="1">
      <c r="A49" s="2">
        <v>5000</v>
      </c>
      <c r="B49" s="2" t="s">
        <v>4</v>
      </c>
      <c r="C49" s="2">
        <v>5001</v>
      </c>
      <c r="D49" s="2" t="s">
        <v>5</v>
      </c>
      <c r="E49" s="2">
        <v>5002</v>
      </c>
      <c r="F49" s="2" t="s">
        <v>33</v>
      </c>
      <c r="G49" s="2">
        <v>5006</v>
      </c>
      <c r="H49" s="2" t="s">
        <v>50</v>
      </c>
      <c r="I49" s="2">
        <v>5009</v>
      </c>
      <c r="J49" s="2" t="s">
        <v>102</v>
      </c>
      <c r="K49" s="2">
        <v>5028</v>
      </c>
      <c r="L49" s="2" t="s">
        <v>105</v>
      </c>
      <c r="M49" s="2">
        <v>5028</v>
      </c>
      <c r="N49" s="2" t="s">
        <v>105</v>
      </c>
      <c r="O49" s="2">
        <v>6</v>
      </c>
    </row>
    <row r="50" spans="1:15" ht="22.5" customHeight="1">
      <c r="A50" s="2">
        <v>5000</v>
      </c>
      <c r="B50" s="2" t="s">
        <v>4</v>
      </c>
      <c r="C50" s="2">
        <v>5001</v>
      </c>
      <c r="D50" s="2" t="s">
        <v>5</v>
      </c>
      <c r="E50" s="2">
        <v>5002</v>
      </c>
      <c r="F50" s="2" t="s">
        <v>33</v>
      </c>
      <c r="G50" s="2">
        <v>5006</v>
      </c>
      <c r="H50" s="2" t="s">
        <v>50</v>
      </c>
      <c r="I50" s="2">
        <v>5009</v>
      </c>
      <c r="J50" s="2" t="s">
        <v>102</v>
      </c>
      <c r="K50" s="2">
        <v>5029</v>
      </c>
      <c r="L50" s="2" t="s">
        <v>106</v>
      </c>
      <c r="M50" s="2">
        <v>5029</v>
      </c>
      <c r="N50" s="2" t="s">
        <v>107</v>
      </c>
      <c r="O50" s="2">
        <v>6</v>
      </c>
    </row>
    <row r="51" spans="1:15" ht="22.5" customHeight="1">
      <c r="A51" s="2">
        <v>5000</v>
      </c>
      <c r="B51" s="2" t="s">
        <v>4</v>
      </c>
      <c r="C51" s="2">
        <v>5001</v>
      </c>
      <c r="D51" s="2" t="s">
        <v>5</v>
      </c>
      <c r="E51" s="2">
        <v>5002</v>
      </c>
      <c r="F51" s="2" t="s">
        <v>33</v>
      </c>
      <c r="G51" s="2">
        <v>5006</v>
      </c>
      <c r="H51" s="2" t="s">
        <v>50</v>
      </c>
      <c r="I51" s="2">
        <v>5009</v>
      </c>
      <c r="J51" s="2" t="s">
        <v>102</v>
      </c>
      <c r="K51" s="2">
        <v>5030</v>
      </c>
      <c r="L51" s="2" t="s">
        <v>108</v>
      </c>
      <c r="M51" s="2">
        <v>5030</v>
      </c>
      <c r="N51" s="2" t="s">
        <v>109</v>
      </c>
      <c r="O51" s="2">
        <v>6</v>
      </c>
    </row>
    <row r="52" spans="1:15" ht="22.5" customHeight="1">
      <c r="A52" s="2">
        <v>5000</v>
      </c>
      <c r="B52" s="2" t="s">
        <v>4</v>
      </c>
      <c r="C52" s="2">
        <v>5001</v>
      </c>
      <c r="D52" s="2" t="s">
        <v>5</v>
      </c>
      <c r="E52" s="2">
        <v>5002</v>
      </c>
      <c r="F52" s="2" t="s">
        <v>33</v>
      </c>
      <c r="G52" s="2">
        <v>5006</v>
      </c>
      <c r="H52" s="2" t="s">
        <v>50</v>
      </c>
      <c r="I52" s="2">
        <v>5009</v>
      </c>
      <c r="J52" s="2" t="s">
        <v>102</v>
      </c>
      <c r="K52" s="2">
        <v>5031</v>
      </c>
      <c r="L52" s="2" t="s">
        <v>110</v>
      </c>
      <c r="M52" s="2">
        <v>5031</v>
      </c>
      <c r="N52" s="2" t="s">
        <v>110</v>
      </c>
      <c r="O52" s="2">
        <v>6</v>
      </c>
    </row>
    <row r="53" spans="1:15" ht="22.5" customHeight="1">
      <c r="A53" s="2">
        <v>5000</v>
      </c>
      <c r="B53" s="2" t="s">
        <v>4</v>
      </c>
      <c r="C53" s="2">
        <v>5001</v>
      </c>
      <c r="D53" s="2" t="s">
        <v>5</v>
      </c>
      <c r="E53" s="2">
        <v>5002</v>
      </c>
      <c r="F53" s="2" t="s">
        <v>33</v>
      </c>
      <c r="G53" s="2">
        <v>5006</v>
      </c>
      <c r="H53" s="2" t="s">
        <v>50</v>
      </c>
      <c r="I53" s="2">
        <v>5010</v>
      </c>
      <c r="J53" s="2" t="s">
        <v>111</v>
      </c>
      <c r="K53" s="2">
        <v>5032</v>
      </c>
      <c r="L53" s="2" t="s">
        <v>112</v>
      </c>
      <c r="M53" s="2">
        <v>5032</v>
      </c>
      <c r="N53" s="2" t="s">
        <v>113</v>
      </c>
      <c r="O53" s="2">
        <v>6</v>
      </c>
    </row>
    <row r="54" spans="1:15" ht="22.5" customHeight="1">
      <c r="A54" s="2">
        <v>5000</v>
      </c>
      <c r="B54" s="2" t="s">
        <v>4</v>
      </c>
      <c r="C54" s="2">
        <v>5001</v>
      </c>
      <c r="D54" s="2" t="s">
        <v>5</v>
      </c>
      <c r="E54" s="2">
        <v>5002</v>
      </c>
      <c r="F54" s="2" t="s">
        <v>33</v>
      </c>
      <c r="G54" s="2">
        <v>5006</v>
      </c>
      <c r="H54" s="2" t="s">
        <v>50</v>
      </c>
      <c r="I54" s="2">
        <v>5010</v>
      </c>
      <c r="J54" s="2" t="s">
        <v>111</v>
      </c>
      <c r="K54" s="2">
        <v>5033</v>
      </c>
      <c r="L54" s="2" t="s">
        <v>114</v>
      </c>
      <c r="M54" s="2">
        <v>5033</v>
      </c>
      <c r="N54" s="2" t="s">
        <v>114</v>
      </c>
      <c r="O54" s="2">
        <v>6</v>
      </c>
    </row>
    <row r="55" spans="1:15" ht="22.5" customHeight="1">
      <c r="A55" s="2">
        <v>5000</v>
      </c>
      <c r="B55" s="2" t="s">
        <v>4</v>
      </c>
      <c r="C55" s="2">
        <v>5001</v>
      </c>
      <c r="D55" s="2" t="s">
        <v>5</v>
      </c>
      <c r="E55" s="2">
        <v>5002</v>
      </c>
      <c r="F55" s="2" t="s">
        <v>33</v>
      </c>
      <c r="G55" s="2">
        <v>5006</v>
      </c>
      <c r="H55" s="2" t="s">
        <v>50</v>
      </c>
      <c r="I55" s="2">
        <v>5010</v>
      </c>
      <c r="J55" s="2" t="s">
        <v>111</v>
      </c>
      <c r="K55" s="2">
        <v>5034</v>
      </c>
      <c r="L55" s="2" t="s">
        <v>115</v>
      </c>
      <c r="M55" s="2">
        <v>5034</v>
      </c>
      <c r="N55" s="2" t="s">
        <v>115</v>
      </c>
      <c r="O55" s="2">
        <v>6</v>
      </c>
    </row>
    <row r="56" spans="1:15" ht="22.5" customHeight="1">
      <c r="A56" s="2">
        <v>5000</v>
      </c>
      <c r="B56" s="2" t="s">
        <v>4</v>
      </c>
      <c r="C56" s="2">
        <v>5001</v>
      </c>
      <c r="D56" s="2" t="s">
        <v>5</v>
      </c>
      <c r="E56" s="2">
        <v>5002</v>
      </c>
      <c r="F56" s="2" t="s">
        <v>33</v>
      </c>
      <c r="G56" s="2">
        <v>5006</v>
      </c>
      <c r="H56" s="2" t="s">
        <v>50</v>
      </c>
      <c r="I56" s="2">
        <v>5010</v>
      </c>
      <c r="J56" s="2" t="s">
        <v>111</v>
      </c>
      <c r="K56" s="2">
        <v>5035</v>
      </c>
      <c r="L56" s="2" t="s">
        <v>116</v>
      </c>
      <c r="M56" s="2">
        <v>5035</v>
      </c>
      <c r="N56" s="2" t="s">
        <v>116</v>
      </c>
      <c r="O56" s="2">
        <v>6</v>
      </c>
    </row>
    <row r="57" spans="1:15" ht="22.5" customHeight="1">
      <c r="A57" s="2">
        <v>5000</v>
      </c>
      <c r="B57" s="2" t="s">
        <v>4</v>
      </c>
      <c r="C57" s="2">
        <v>5001</v>
      </c>
      <c r="D57" s="2" t="s">
        <v>5</v>
      </c>
      <c r="E57" s="2">
        <v>5002</v>
      </c>
      <c r="F57" s="2" t="s">
        <v>33</v>
      </c>
      <c r="G57" s="2">
        <v>5006</v>
      </c>
      <c r="H57" s="2" t="s">
        <v>50</v>
      </c>
      <c r="I57" s="2">
        <v>5011</v>
      </c>
      <c r="J57" s="2" t="s">
        <v>117</v>
      </c>
      <c r="K57" s="2">
        <v>5036</v>
      </c>
      <c r="L57" s="2" t="s">
        <v>118</v>
      </c>
      <c r="M57" s="2">
        <v>5036</v>
      </c>
      <c r="N57" s="2" t="s">
        <v>118</v>
      </c>
      <c r="O57" s="2">
        <v>6</v>
      </c>
    </row>
    <row r="58" spans="1:15" ht="22.5" customHeight="1">
      <c r="A58" s="2">
        <v>5000</v>
      </c>
      <c r="B58" s="2" t="s">
        <v>4</v>
      </c>
      <c r="C58" s="2">
        <v>5001</v>
      </c>
      <c r="D58" s="2" t="s">
        <v>5</v>
      </c>
      <c r="E58" s="2">
        <v>5002</v>
      </c>
      <c r="F58" s="2" t="s">
        <v>33</v>
      </c>
      <c r="G58" s="2">
        <v>5006</v>
      </c>
      <c r="H58" s="2" t="s">
        <v>50</v>
      </c>
      <c r="I58" s="2">
        <v>5011</v>
      </c>
      <c r="J58" s="2" t="s">
        <v>117</v>
      </c>
      <c r="K58" s="2">
        <v>5037</v>
      </c>
      <c r="L58" s="2" t="s">
        <v>119</v>
      </c>
      <c r="M58" s="2">
        <v>5037</v>
      </c>
      <c r="N58" s="2" t="s">
        <v>119</v>
      </c>
      <c r="O58" s="2">
        <v>6</v>
      </c>
    </row>
    <row r="59" spans="1:15" ht="22.5" customHeight="1">
      <c r="A59" s="2">
        <v>5000</v>
      </c>
      <c r="B59" s="2" t="s">
        <v>4</v>
      </c>
      <c r="C59" s="2">
        <v>5001</v>
      </c>
      <c r="D59" s="2" t="s">
        <v>5</v>
      </c>
      <c r="E59" s="2">
        <v>5002</v>
      </c>
      <c r="F59" s="2" t="s">
        <v>33</v>
      </c>
      <c r="G59" s="2">
        <v>5006</v>
      </c>
      <c r="H59" s="2" t="s">
        <v>50</v>
      </c>
      <c r="I59" s="2">
        <v>5012</v>
      </c>
      <c r="J59" s="2" t="s">
        <v>120</v>
      </c>
      <c r="K59" s="2">
        <v>5038</v>
      </c>
      <c r="L59" s="2" t="s">
        <v>121</v>
      </c>
      <c r="M59" s="2">
        <v>5038</v>
      </c>
      <c r="N59" s="2" t="s">
        <v>122</v>
      </c>
      <c r="O59" s="2">
        <v>6</v>
      </c>
    </row>
    <row r="60" spans="1:15" ht="22.5" customHeight="1">
      <c r="A60" s="2">
        <v>5000</v>
      </c>
      <c r="B60" s="2" t="s">
        <v>4</v>
      </c>
      <c r="C60" s="2">
        <v>5001</v>
      </c>
      <c r="D60" s="2" t="s">
        <v>5</v>
      </c>
      <c r="E60" s="2">
        <v>5002</v>
      </c>
      <c r="F60" s="2" t="s">
        <v>33</v>
      </c>
      <c r="G60" s="2">
        <v>5006</v>
      </c>
      <c r="H60" s="2" t="s">
        <v>50</v>
      </c>
      <c r="I60" s="2">
        <v>5012</v>
      </c>
      <c r="J60" s="2" t="s">
        <v>120</v>
      </c>
      <c r="K60" s="2">
        <v>5039</v>
      </c>
      <c r="L60" s="2" t="s">
        <v>123</v>
      </c>
      <c r="M60" s="2">
        <v>5039</v>
      </c>
      <c r="N60" s="2" t="s">
        <v>123</v>
      </c>
      <c r="O60" s="2">
        <v>6</v>
      </c>
    </row>
    <row r="61" spans="1:15" ht="22.5" customHeight="1">
      <c r="A61" s="2">
        <v>5000</v>
      </c>
      <c r="B61" s="2" t="s">
        <v>4</v>
      </c>
      <c r="C61" s="2">
        <v>5001</v>
      </c>
      <c r="D61" s="2" t="s">
        <v>5</v>
      </c>
      <c r="E61" s="2">
        <v>5002</v>
      </c>
      <c r="F61" s="2" t="s">
        <v>33</v>
      </c>
      <c r="G61" s="2">
        <v>5006</v>
      </c>
      <c r="H61" s="2" t="s">
        <v>50</v>
      </c>
      <c r="I61" s="2">
        <v>5012</v>
      </c>
      <c r="J61" s="2" t="s">
        <v>120</v>
      </c>
      <c r="K61" s="2">
        <v>5040</v>
      </c>
      <c r="L61" s="2" t="s">
        <v>124</v>
      </c>
      <c r="M61" s="2">
        <v>5040</v>
      </c>
      <c r="N61" s="2" t="s">
        <v>124</v>
      </c>
      <c r="O61" s="2">
        <v>6</v>
      </c>
    </row>
    <row r="62" spans="1:15" ht="22.5" customHeight="1">
      <c r="A62" s="2">
        <v>5000</v>
      </c>
      <c r="B62" s="2" t="s">
        <v>4</v>
      </c>
      <c r="C62" s="2">
        <v>5001</v>
      </c>
      <c r="D62" s="2" t="s">
        <v>5</v>
      </c>
      <c r="E62" s="2">
        <v>5003</v>
      </c>
      <c r="F62" s="2" t="s">
        <v>71</v>
      </c>
      <c r="G62" s="2">
        <v>5013</v>
      </c>
      <c r="H62" s="2" t="s">
        <v>125</v>
      </c>
      <c r="I62" s="2">
        <v>5041</v>
      </c>
      <c r="J62" s="2" t="s">
        <v>126</v>
      </c>
      <c r="M62" s="2">
        <v>5041</v>
      </c>
      <c r="N62" s="2" t="s">
        <v>127</v>
      </c>
      <c r="O62" s="2">
        <v>5</v>
      </c>
    </row>
    <row r="63" spans="1:15" ht="22.5" customHeight="1">
      <c r="A63" s="2">
        <v>5000</v>
      </c>
      <c r="B63" s="2" t="s">
        <v>4</v>
      </c>
      <c r="C63" s="2">
        <v>5001</v>
      </c>
      <c r="D63" s="2" t="s">
        <v>5</v>
      </c>
      <c r="E63" s="2">
        <v>5003</v>
      </c>
      <c r="F63" s="2" t="s">
        <v>71</v>
      </c>
      <c r="G63" s="2">
        <v>5014</v>
      </c>
      <c r="H63" s="2" t="s">
        <v>128</v>
      </c>
      <c r="I63" s="2">
        <v>5042</v>
      </c>
      <c r="J63" s="2" t="s">
        <v>129</v>
      </c>
      <c r="M63" s="2">
        <v>5042</v>
      </c>
      <c r="N63" s="2" t="s">
        <v>129</v>
      </c>
      <c r="O63" s="2">
        <v>5</v>
      </c>
    </row>
    <row r="64" spans="1:15" ht="22.5" customHeight="1">
      <c r="A64" s="2">
        <v>5000</v>
      </c>
      <c r="B64" s="2" t="s">
        <v>4</v>
      </c>
      <c r="C64" s="2">
        <v>5001</v>
      </c>
      <c r="D64" s="2" t="s">
        <v>5</v>
      </c>
      <c r="E64" s="2">
        <v>5003</v>
      </c>
      <c r="F64" s="2" t="s">
        <v>71</v>
      </c>
      <c r="G64" s="2">
        <v>5014</v>
      </c>
      <c r="H64" s="2" t="s">
        <v>128</v>
      </c>
      <c r="I64" s="2">
        <v>5043</v>
      </c>
      <c r="J64" s="2" t="s">
        <v>130</v>
      </c>
      <c r="M64" s="2">
        <v>5043</v>
      </c>
      <c r="N64" s="2" t="s">
        <v>131</v>
      </c>
      <c r="O64" s="2">
        <v>5</v>
      </c>
    </row>
    <row r="65" spans="1:15" ht="22.5" customHeight="1">
      <c r="A65" s="2">
        <v>5000</v>
      </c>
      <c r="B65" s="2" t="s">
        <v>4</v>
      </c>
      <c r="C65" s="2">
        <v>5001</v>
      </c>
      <c r="D65" s="2" t="s">
        <v>5</v>
      </c>
      <c r="E65" s="2">
        <v>5003</v>
      </c>
      <c r="F65" s="2" t="s">
        <v>71</v>
      </c>
      <c r="G65" s="2">
        <v>5015</v>
      </c>
      <c r="H65" s="2" t="s">
        <v>132</v>
      </c>
      <c r="I65" s="2">
        <v>5044</v>
      </c>
      <c r="J65" s="2" t="s">
        <v>133</v>
      </c>
      <c r="M65" s="2">
        <v>5044</v>
      </c>
      <c r="N65" s="2" t="s">
        <v>133</v>
      </c>
      <c r="O65" s="2">
        <v>5</v>
      </c>
    </row>
    <row r="66" spans="1:15" ht="22.5" customHeight="1">
      <c r="A66" s="2">
        <v>5000</v>
      </c>
      <c r="B66" s="2" t="s">
        <v>4</v>
      </c>
      <c r="C66" s="2">
        <v>5001</v>
      </c>
      <c r="D66" s="2" t="s">
        <v>5</v>
      </c>
      <c r="E66" s="2">
        <v>5003</v>
      </c>
      <c r="F66" s="2" t="s">
        <v>71</v>
      </c>
      <c r="G66" s="2">
        <v>5015</v>
      </c>
      <c r="H66" s="2" t="s">
        <v>132</v>
      </c>
      <c r="I66" s="2">
        <v>5045</v>
      </c>
      <c r="J66" s="2" t="s">
        <v>134</v>
      </c>
      <c r="M66" s="2">
        <v>5045</v>
      </c>
      <c r="N66" s="2" t="s">
        <v>134</v>
      </c>
      <c r="O66" s="2">
        <v>5</v>
      </c>
    </row>
    <row r="67" spans="1:15" ht="22.5" customHeight="1">
      <c r="A67" s="2">
        <v>5000</v>
      </c>
      <c r="B67" s="2" t="s">
        <v>4</v>
      </c>
      <c r="C67" s="2">
        <v>5001</v>
      </c>
      <c r="D67" s="2" t="s">
        <v>5</v>
      </c>
      <c r="E67" s="2">
        <v>5004</v>
      </c>
      <c r="F67" s="2" t="s">
        <v>85</v>
      </c>
      <c r="G67" s="2">
        <v>5046</v>
      </c>
      <c r="H67" s="2" t="s">
        <v>135</v>
      </c>
      <c r="M67" s="2">
        <v>5046</v>
      </c>
      <c r="N67" s="2" t="s">
        <v>135</v>
      </c>
      <c r="O67" s="2">
        <v>4</v>
      </c>
    </row>
    <row r="68" spans="1:15" ht="22.5" customHeight="1">
      <c r="A68" s="2">
        <v>5000</v>
      </c>
      <c r="B68" s="2" t="s">
        <v>4</v>
      </c>
      <c r="C68" s="2">
        <v>5001</v>
      </c>
      <c r="D68" s="2" t="s">
        <v>5</v>
      </c>
      <c r="E68" s="2">
        <v>5004</v>
      </c>
      <c r="F68" s="2" t="s">
        <v>85</v>
      </c>
      <c r="G68" s="2">
        <v>5047</v>
      </c>
      <c r="H68" s="2" t="s">
        <v>136</v>
      </c>
      <c r="M68" s="2">
        <v>5047</v>
      </c>
      <c r="N68" s="2" t="s">
        <v>136</v>
      </c>
      <c r="O68" s="2">
        <v>4</v>
      </c>
    </row>
    <row r="69" spans="1:15" ht="22.5" customHeight="1">
      <c r="A69" s="2">
        <v>5000</v>
      </c>
      <c r="B69" s="2" t="s">
        <v>4</v>
      </c>
      <c r="C69" s="2">
        <v>5048</v>
      </c>
      <c r="D69" s="2" t="s">
        <v>6</v>
      </c>
      <c r="E69" s="2">
        <v>5049</v>
      </c>
      <c r="F69" s="2" t="s">
        <v>33</v>
      </c>
      <c r="G69" s="2">
        <v>5052</v>
      </c>
      <c r="H69" s="2" t="s">
        <v>34</v>
      </c>
      <c r="I69" s="2">
        <v>5054</v>
      </c>
      <c r="J69" s="2" t="s">
        <v>137</v>
      </c>
      <c r="K69" s="2">
        <v>5060</v>
      </c>
      <c r="L69" s="2" t="s">
        <v>138</v>
      </c>
      <c r="M69" s="2">
        <v>5060</v>
      </c>
      <c r="N69" s="2" t="s">
        <v>139</v>
      </c>
      <c r="O69" s="2">
        <v>6</v>
      </c>
    </row>
    <row r="70" spans="1:15" ht="22.5" customHeight="1">
      <c r="A70" s="2">
        <v>5000</v>
      </c>
      <c r="B70" s="2" t="s">
        <v>4</v>
      </c>
      <c r="C70" s="2">
        <v>5048</v>
      </c>
      <c r="D70" s="2" t="s">
        <v>6</v>
      </c>
      <c r="E70" s="2">
        <v>5049</v>
      </c>
      <c r="F70" s="2" t="s">
        <v>33</v>
      </c>
      <c r="G70" s="2">
        <v>5052</v>
      </c>
      <c r="H70" s="2" t="s">
        <v>34</v>
      </c>
      <c r="I70" s="2">
        <v>5054</v>
      </c>
      <c r="J70" s="2" t="s">
        <v>137</v>
      </c>
      <c r="K70" s="2">
        <v>5061</v>
      </c>
      <c r="L70" s="2" t="s">
        <v>140</v>
      </c>
      <c r="M70" s="2">
        <v>5061</v>
      </c>
      <c r="N70" s="2" t="s">
        <v>141</v>
      </c>
      <c r="O70" s="2">
        <v>6</v>
      </c>
    </row>
    <row r="71" spans="1:15" ht="22.5" customHeight="1">
      <c r="A71" s="2">
        <v>5000</v>
      </c>
      <c r="B71" s="2" t="s">
        <v>4</v>
      </c>
      <c r="C71" s="2">
        <v>5048</v>
      </c>
      <c r="D71" s="2" t="s">
        <v>6</v>
      </c>
      <c r="E71" s="2">
        <v>5049</v>
      </c>
      <c r="F71" s="2" t="s">
        <v>33</v>
      </c>
      <c r="G71" s="2">
        <v>5052</v>
      </c>
      <c r="H71" s="2" t="s">
        <v>34</v>
      </c>
      <c r="I71" s="2">
        <v>5054</v>
      </c>
      <c r="J71" s="2" t="s">
        <v>137</v>
      </c>
      <c r="K71" s="2">
        <v>5062</v>
      </c>
      <c r="L71" s="2" t="s">
        <v>142</v>
      </c>
      <c r="M71" s="2">
        <v>5062</v>
      </c>
      <c r="N71" s="2" t="s">
        <v>142</v>
      </c>
      <c r="O71" s="2">
        <v>6</v>
      </c>
    </row>
    <row r="72" spans="1:15" ht="22.5" customHeight="1">
      <c r="A72" s="2">
        <v>5000</v>
      </c>
      <c r="B72" s="2" t="s">
        <v>4</v>
      </c>
      <c r="C72" s="2">
        <v>5048</v>
      </c>
      <c r="D72" s="2" t="s">
        <v>6</v>
      </c>
      <c r="E72" s="2">
        <v>5049</v>
      </c>
      <c r="F72" s="2" t="s">
        <v>33</v>
      </c>
      <c r="G72" s="2">
        <v>5052</v>
      </c>
      <c r="H72" s="2" t="s">
        <v>34</v>
      </c>
      <c r="I72" s="2">
        <v>5055</v>
      </c>
      <c r="J72" s="2" t="s">
        <v>143</v>
      </c>
      <c r="K72" s="2">
        <v>5063</v>
      </c>
      <c r="L72" s="2" t="s">
        <v>144</v>
      </c>
      <c r="M72" s="2">
        <v>5063</v>
      </c>
      <c r="N72" s="2" t="s">
        <v>145</v>
      </c>
      <c r="O72" s="2">
        <v>6</v>
      </c>
    </row>
    <row r="73" spans="1:15" ht="22.5" customHeight="1">
      <c r="A73" s="2">
        <v>5000</v>
      </c>
      <c r="B73" s="2" t="s">
        <v>4</v>
      </c>
      <c r="C73" s="2">
        <v>5048</v>
      </c>
      <c r="D73" s="2" t="s">
        <v>6</v>
      </c>
      <c r="E73" s="2">
        <v>5049</v>
      </c>
      <c r="F73" s="2" t="s">
        <v>33</v>
      </c>
      <c r="G73" s="2">
        <v>5052</v>
      </c>
      <c r="H73" s="2" t="s">
        <v>34</v>
      </c>
      <c r="I73" s="2">
        <v>5055</v>
      </c>
      <c r="J73" s="2" t="s">
        <v>143</v>
      </c>
      <c r="K73" s="2">
        <v>5064</v>
      </c>
      <c r="L73" s="2" t="s">
        <v>146</v>
      </c>
      <c r="M73" s="2">
        <v>5064</v>
      </c>
      <c r="N73" s="2" t="s">
        <v>146</v>
      </c>
      <c r="O73" s="2">
        <v>6</v>
      </c>
    </row>
    <row r="74" spans="1:15" ht="22.5" customHeight="1">
      <c r="A74" s="2">
        <v>5000</v>
      </c>
      <c r="B74" s="2" t="s">
        <v>4</v>
      </c>
      <c r="C74" s="2">
        <v>5048</v>
      </c>
      <c r="D74" s="2" t="s">
        <v>6</v>
      </c>
      <c r="E74" s="2">
        <v>5049</v>
      </c>
      <c r="F74" s="2" t="s">
        <v>33</v>
      </c>
      <c r="G74" s="2">
        <v>5052</v>
      </c>
      <c r="H74" s="2" t="s">
        <v>34</v>
      </c>
      <c r="I74" s="2">
        <v>5055</v>
      </c>
      <c r="J74" s="2" t="s">
        <v>143</v>
      </c>
      <c r="K74" s="2">
        <v>5065</v>
      </c>
      <c r="L74" s="2" t="s">
        <v>147</v>
      </c>
      <c r="M74" s="2">
        <v>5065</v>
      </c>
      <c r="N74" s="2" t="s">
        <v>148</v>
      </c>
      <c r="O74" s="2">
        <v>6</v>
      </c>
    </row>
    <row r="75" spans="1:15" ht="22.5" customHeight="1">
      <c r="A75" s="2">
        <v>5000</v>
      </c>
      <c r="B75" s="2" t="s">
        <v>4</v>
      </c>
      <c r="C75" s="2">
        <v>5048</v>
      </c>
      <c r="D75" s="2" t="s">
        <v>6</v>
      </c>
      <c r="E75" s="2">
        <v>5049</v>
      </c>
      <c r="F75" s="2" t="s">
        <v>33</v>
      </c>
      <c r="G75" s="2">
        <v>5052</v>
      </c>
      <c r="H75" s="2" t="s">
        <v>34</v>
      </c>
      <c r="I75" s="2">
        <v>5055</v>
      </c>
      <c r="J75" s="2" t="s">
        <v>143</v>
      </c>
      <c r="K75" s="2">
        <v>5066</v>
      </c>
      <c r="L75" s="2" t="s">
        <v>149</v>
      </c>
      <c r="M75" s="2">
        <v>5066</v>
      </c>
      <c r="N75" s="2" t="s">
        <v>149</v>
      </c>
      <c r="O75" s="2">
        <v>6</v>
      </c>
    </row>
    <row r="76" spans="1:15" ht="22.5" customHeight="1">
      <c r="A76" s="2">
        <v>5000</v>
      </c>
      <c r="B76" s="2" t="s">
        <v>4</v>
      </c>
      <c r="C76" s="2">
        <v>5048</v>
      </c>
      <c r="D76" s="2" t="s">
        <v>6</v>
      </c>
      <c r="E76" s="2">
        <v>5049</v>
      </c>
      <c r="F76" s="2" t="s">
        <v>33</v>
      </c>
      <c r="G76" s="2">
        <v>5052</v>
      </c>
      <c r="H76" s="2" t="s">
        <v>34</v>
      </c>
      <c r="I76" s="2">
        <v>5056</v>
      </c>
      <c r="J76" s="2" t="s">
        <v>150</v>
      </c>
      <c r="K76" s="2">
        <v>5067</v>
      </c>
      <c r="L76" s="2" t="s">
        <v>151</v>
      </c>
      <c r="M76" s="2">
        <v>5067</v>
      </c>
      <c r="N76" s="2" t="s">
        <v>151</v>
      </c>
      <c r="O76" s="2">
        <v>6</v>
      </c>
    </row>
    <row r="77" spans="1:15" ht="22.5" customHeight="1">
      <c r="A77" s="2">
        <v>5000</v>
      </c>
      <c r="B77" s="2" t="s">
        <v>4</v>
      </c>
      <c r="C77" s="2">
        <v>5048</v>
      </c>
      <c r="D77" s="2" t="s">
        <v>6</v>
      </c>
      <c r="E77" s="2">
        <v>5049</v>
      </c>
      <c r="F77" s="2" t="s">
        <v>33</v>
      </c>
      <c r="G77" s="2">
        <v>5052</v>
      </c>
      <c r="H77" s="2" t="s">
        <v>34</v>
      </c>
      <c r="I77" s="2">
        <v>5056</v>
      </c>
      <c r="J77" s="2" t="s">
        <v>150</v>
      </c>
      <c r="K77" s="2">
        <v>5068</v>
      </c>
      <c r="L77" s="2" t="s">
        <v>152</v>
      </c>
      <c r="M77" s="2">
        <v>5068</v>
      </c>
      <c r="N77" s="2" t="s">
        <v>152</v>
      </c>
      <c r="O77" s="2">
        <v>6</v>
      </c>
    </row>
    <row r="78" spans="1:15" ht="22.5" customHeight="1">
      <c r="A78" s="2">
        <v>5000</v>
      </c>
      <c r="B78" s="2" t="s">
        <v>4</v>
      </c>
      <c r="C78" s="2">
        <v>5048</v>
      </c>
      <c r="D78" s="2" t="s">
        <v>6</v>
      </c>
      <c r="E78" s="2">
        <v>5049</v>
      </c>
      <c r="F78" s="2" t="s">
        <v>33</v>
      </c>
      <c r="G78" s="2">
        <v>5052</v>
      </c>
      <c r="H78" s="2" t="s">
        <v>34</v>
      </c>
      <c r="I78" s="2">
        <v>5056</v>
      </c>
      <c r="J78" s="2" t="s">
        <v>150</v>
      </c>
      <c r="K78" s="2">
        <v>5069</v>
      </c>
      <c r="L78" s="2" t="s">
        <v>153</v>
      </c>
      <c r="M78" s="2">
        <v>5069</v>
      </c>
      <c r="N78" s="2" t="s">
        <v>153</v>
      </c>
      <c r="O78" s="2">
        <v>6</v>
      </c>
    </row>
    <row r="79" spans="1:15" ht="22.5" customHeight="1">
      <c r="A79" s="2">
        <v>5000</v>
      </c>
      <c r="B79" s="2" t="s">
        <v>4</v>
      </c>
      <c r="C79" s="2">
        <v>5048</v>
      </c>
      <c r="D79" s="2" t="s">
        <v>6</v>
      </c>
      <c r="E79" s="2">
        <v>5049</v>
      </c>
      <c r="F79" s="2" t="s">
        <v>33</v>
      </c>
      <c r="G79" s="2">
        <v>5052</v>
      </c>
      <c r="H79" s="2" t="s">
        <v>34</v>
      </c>
      <c r="I79" s="2">
        <v>5056</v>
      </c>
      <c r="J79" s="2" t="s">
        <v>150</v>
      </c>
      <c r="K79" s="2">
        <v>5070</v>
      </c>
      <c r="L79" s="2" t="s">
        <v>154</v>
      </c>
      <c r="M79" s="2">
        <v>5070</v>
      </c>
      <c r="N79" s="2" t="s">
        <v>154</v>
      </c>
      <c r="O79" s="2">
        <v>6</v>
      </c>
    </row>
    <row r="80" spans="1:15" ht="22.5" customHeight="1">
      <c r="A80" s="2">
        <v>5000</v>
      </c>
      <c r="B80" s="2" t="s">
        <v>4</v>
      </c>
      <c r="C80" s="2">
        <v>5048</v>
      </c>
      <c r="D80" s="2" t="s">
        <v>6</v>
      </c>
      <c r="E80" s="2">
        <v>5049</v>
      </c>
      <c r="F80" s="2" t="s">
        <v>33</v>
      </c>
      <c r="G80" s="2">
        <v>5053</v>
      </c>
      <c r="H80" s="2" t="s">
        <v>50</v>
      </c>
      <c r="I80" s="2">
        <v>5057</v>
      </c>
      <c r="J80" s="2" t="s">
        <v>102</v>
      </c>
      <c r="K80" s="2">
        <v>5071</v>
      </c>
      <c r="L80" s="2" t="s">
        <v>155</v>
      </c>
      <c r="M80" s="2">
        <v>5071</v>
      </c>
      <c r="N80" s="2" t="s">
        <v>155</v>
      </c>
      <c r="O80" s="2">
        <v>6</v>
      </c>
    </row>
    <row r="81" spans="1:15" ht="22.5" customHeight="1">
      <c r="A81" s="2">
        <v>5000</v>
      </c>
      <c r="B81" s="2" t="s">
        <v>4</v>
      </c>
      <c r="C81" s="2">
        <v>5048</v>
      </c>
      <c r="D81" s="2" t="s">
        <v>6</v>
      </c>
      <c r="E81" s="2">
        <v>5049</v>
      </c>
      <c r="F81" s="2" t="s">
        <v>33</v>
      </c>
      <c r="G81" s="2">
        <v>5053</v>
      </c>
      <c r="H81" s="2" t="s">
        <v>50</v>
      </c>
      <c r="I81" s="2">
        <v>5057</v>
      </c>
      <c r="J81" s="2" t="s">
        <v>102</v>
      </c>
      <c r="K81" s="2">
        <v>5072</v>
      </c>
      <c r="L81" s="2" t="s">
        <v>156</v>
      </c>
      <c r="M81" s="2">
        <v>5072</v>
      </c>
      <c r="N81" s="2" t="s">
        <v>157</v>
      </c>
      <c r="O81" s="2">
        <v>6</v>
      </c>
    </row>
    <row r="82" spans="1:15" ht="22.5" customHeight="1">
      <c r="A82" s="2">
        <v>5000</v>
      </c>
      <c r="B82" s="2" t="s">
        <v>4</v>
      </c>
      <c r="C82" s="2">
        <v>5048</v>
      </c>
      <c r="D82" s="2" t="s">
        <v>6</v>
      </c>
      <c r="E82" s="2">
        <v>5049</v>
      </c>
      <c r="F82" s="2" t="s">
        <v>33</v>
      </c>
      <c r="G82" s="2">
        <v>5053</v>
      </c>
      <c r="H82" s="2" t="s">
        <v>50</v>
      </c>
      <c r="I82" s="2">
        <v>5057</v>
      </c>
      <c r="J82" s="2" t="s">
        <v>102</v>
      </c>
      <c r="K82" s="2">
        <v>5073</v>
      </c>
      <c r="L82" s="2" t="s">
        <v>158</v>
      </c>
      <c r="M82" s="2">
        <v>5073</v>
      </c>
      <c r="N82" s="2" t="s">
        <v>158</v>
      </c>
      <c r="O82" s="2">
        <v>6</v>
      </c>
    </row>
    <row r="83" spans="1:15" ht="22.5" customHeight="1">
      <c r="A83" s="2">
        <v>5000</v>
      </c>
      <c r="B83" s="2" t="s">
        <v>4</v>
      </c>
      <c r="C83" s="2">
        <v>5048</v>
      </c>
      <c r="D83" s="2" t="s">
        <v>6</v>
      </c>
      <c r="E83" s="2">
        <v>5049</v>
      </c>
      <c r="F83" s="2" t="s">
        <v>33</v>
      </c>
      <c r="G83" s="2">
        <v>5053</v>
      </c>
      <c r="H83" s="2" t="s">
        <v>50</v>
      </c>
      <c r="I83" s="2">
        <v>5057</v>
      </c>
      <c r="J83" s="2" t="s">
        <v>102</v>
      </c>
      <c r="K83" s="2">
        <v>5074</v>
      </c>
      <c r="L83" s="2" t="s">
        <v>159</v>
      </c>
      <c r="M83" s="2">
        <v>5074</v>
      </c>
      <c r="N83" s="2" t="s">
        <v>160</v>
      </c>
      <c r="O83" s="2">
        <v>6</v>
      </c>
    </row>
    <row r="84" spans="1:15" ht="22.5" customHeight="1">
      <c r="A84" s="2">
        <v>5000</v>
      </c>
      <c r="B84" s="2" t="s">
        <v>4</v>
      </c>
      <c r="C84" s="2">
        <v>5048</v>
      </c>
      <c r="D84" s="2" t="s">
        <v>6</v>
      </c>
      <c r="E84" s="2">
        <v>5049</v>
      </c>
      <c r="F84" s="2" t="s">
        <v>33</v>
      </c>
      <c r="G84" s="2">
        <v>5053</v>
      </c>
      <c r="H84" s="2" t="s">
        <v>50</v>
      </c>
      <c r="I84" s="2">
        <v>5057</v>
      </c>
      <c r="J84" s="2" t="s">
        <v>102</v>
      </c>
      <c r="K84" s="2">
        <v>5075</v>
      </c>
      <c r="L84" s="2" t="s">
        <v>161</v>
      </c>
      <c r="M84" s="2">
        <v>5075</v>
      </c>
      <c r="N84" s="2" t="s">
        <v>162</v>
      </c>
      <c r="O84" s="2">
        <v>6</v>
      </c>
    </row>
    <row r="85" spans="1:15" ht="22.5" customHeight="1">
      <c r="A85" s="2">
        <v>5000</v>
      </c>
      <c r="B85" s="2" t="s">
        <v>4</v>
      </c>
      <c r="C85" s="2">
        <v>5048</v>
      </c>
      <c r="D85" s="2" t="s">
        <v>6</v>
      </c>
      <c r="E85" s="2">
        <v>5049</v>
      </c>
      <c r="F85" s="2" t="s">
        <v>33</v>
      </c>
      <c r="G85" s="2">
        <v>5053</v>
      </c>
      <c r="H85" s="2" t="s">
        <v>50</v>
      </c>
      <c r="I85" s="2">
        <v>5057</v>
      </c>
      <c r="J85" s="2" t="s">
        <v>102</v>
      </c>
      <c r="K85" s="2">
        <v>5076</v>
      </c>
      <c r="L85" s="2" t="s">
        <v>163</v>
      </c>
      <c r="M85" s="2">
        <v>5076</v>
      </c>
      <c r="N85" s="2" t="s">
        <v>164</v>
      </c>
      <c r="O85" s="2">
        <v>6</v>
      </c>
    </row>
    <row r="86" spans="1:15" ht="22.5" customHeight="1">
      <c r="A86" s="2">
        <v>5000</v>
      </c>
      <c r="B86" s="2" t="s">
        <v>4</v>
      </c>
      <c r="C86" s="2">
        <v>5048</v>
      </c>
      <c r="D86" s="2" t="s">
        <v>6</v>
      </c>
      <c r="E86" s="2">
        <v>5049</v>
      </c>
      <c r="F86" s="2" t="s">
        <v>33</v>
      </c>
      <c r="G86" s="2">
        <v>5053</v>
      </c>
      <c r="H86" s="2" t="s">
        <v>50</v>
      </c>
      <c r="I86" s="2">
        <v>5058</v>
      </c>
      <c r="J86" s="2" t="s">
        <v>165</v>
      </c>
      <c r="K86" s="2">
        <v>5077</v>
      </c>
      <c r="L86" s="2" t="s">
        <v>166</v>
      </c>
      <c r="M86" s="2">
        <v>5077</v>
      </c>
      <c r="N86" s="2" t="s">
        <v>167</v>
      </c>
      <c r="O86" s="2">
        <v>6</v>
      </c>
    </row>
    <row r="87" spans="1:15" ht="22.5" customHeight="1">
      <c r="A87" s="2">
        <v>5000</v>
      </c>
      <c r="B87" s="2" t="s">
        <v>4</v>
      </c>
      <c r="C87" s="2">
        <v>5048</v>
      </c>
      <c r="D87" s="2" t="s">
        <v>6</v>
      </c>
      <c r="E87" s="2">
        <v>5049</v>
      </c>
      <c r="F87" s="2" t="s">
        <v>33</v>
      </c>
      <c r="G87" s="2">
        <v>5053</v>
      </c>
      <c r="H87" s="2" t="s">
        <v>50</v>
      </c>
      <c r="I87" s="2">
        <v>5058</v>
      </c>
      <c r="J87" s="2" t="s">
        <v>165</v>
      </c>
      <c r="K87" s="2">
        <v>5078</v>
      </c>
      <c r="L87" s="2" t="s">
        <v>168</v>
      </c>
      <c r="M87" s="2">
        <v>5078</v>
      </c>
      <c r="N87" s="2" t="s">
        <v>168</v>
      </c>
      <c r="O87" s="2">
        <v>6</v>
      </c>
    </row>
    <row r="88" spans="1:15" ht="22.5" customHeight="1">
      <c r="A88" s="2">
        <v>5000</v>
      </c>
      <c r="B88" s="2" t="s">
        <v>4</v>
      </c>
      <c r="C88" s="2">
        <v>5048</v>
      </c>
      <c r="D88" s="2" t="s">
        <v>6</v>
      </c>
      <c r="E88" s="2">
        <v>5049</v>
      </c>
      <c r="F88" s="2" t="s">
        <v>33</v>
      </c>
      <c r="G88" s="2">
        <v>5053</v>
      </c>
      <c r="H88" s="2" t="s">
        <v>50</v>
      </c>
      <c r="I88" s="2">
        <v>5058</v>
      </c>
      <c r="J88" s="2" t="s">
        <v>165</v>
      </c>
      <c r="K88" s="2">
        <v>5079</v>
      </c>
      <c r="L88" s="2" t="s">
        <v>169</v>
      </c>
      <c r="M88" s="2">
        <v>5079</v>
      </c>
      <c r="N88" s="2" t="s">
        <v>169</v>
      </c>
      <c r="O88" s="2">
        <v>6</v>
      </c>
    </row>
    <row r="89" spans="1:15" ht="22.5" customHeight="1">
      <c r="A89" s="2">
        <v>5000</v>
      </c>
      <c r="B89" s="2" t="s">
        <v>4</v>
      </c>
      <c r="C89" s="2">
        <v>5048</v>
      </c>
      <c r="D89" s="2" t="s">
        <v>6</v>
      </c>
      <c r="E89" s="2">
        <v>5050</v>
      </c>
      <c r="F89" s="2" t="s">
        <v>71</v>
      </c>
      <c r="G89" s="2">
        <v>5059</v>
      </c>
      <c r="H89" s="2" t="s">
        <v>72</v>
      </c>
      <c r="I89" s="2">
        <v>5080</v>
      </c>
      <c r="J89" s="2" t="s">
        <v>73</v>
      </c>
      <c r="M89" s="2">
        <v>5080</v>
      </c>
      <c r="N89" s="2" t="s">
        <v>73</v>
      </c>
      <c r="O89" s="2">
        <v>5</v>
      </c>
    </row>
    <row r="90" spans="1:15" ht="22.5" customHeight="1">
      <c r="A90" s="2">
        <v>5000</v>
      </c>
      <c r="B90" s="2" t="s">
        <v>4</v>
      </c>
      <c r="C90" s="2">
        <v>5048</v>
      </c>
      <c r="D90" s="2" t="s">
        <v>6</v>
      </c>
      <c r="E90" s="2">
        <v>5050</v>
      </c>
      <c r="F90" s="2" t="s">
        <v>71</v>
      </c>
      <c r="G90" s="2">
        <v>5059</v>
      </c>
      <c r="H90" s="2" t="s">
        <v>72</v>
      </c>
      <c r="I90" s="2">
        <v>5081</v>
      </c>
      <c r="J90" s="2" t="s">
        <v>170</v>
      </c>
      <c r="M90" s="2">
        <v>5081</v>
      </c>
      <c r="N90" s="2" t="s">
        <v>170</v>
      </c>
      <c r="O90" s="2">
        <v>5</v>
      </c>
    </row>
    <row r="91" spans="1:15" ht="22.5" customHeight="1">
      <c r="A91" s="2">
        <v>5000</v>
      </c>
      <c r="B91" s="2" t="s">
        <v>4</v>
      </c>
      <c r="C91" s="2">
        <v>5048</v>
      </c>
      <c r="D91" s="2" t="s">
        <v>6</v>
      </c>
      <c r="E91" s="2">
        <v>5051</v>
      </c>
      <c r="F91" s="2" t="s">
        <v>85</v>
      </c>
      <c r="M91" s="2">
        <v>5051</v>
      </c>
      <c r="N91" s="2" t="s">
        <v>171</v>
      </c>
      <c r="O91" s="2">
        <v>3</v>
      </c>
    </row>
    <row r="92" spans="1:15" ht="22.5" customHeight="1">
      <c r="A92" s="2">
        <v>10000</v>
      </c>
      <c r="B92" s="2" t="s">
        <v>7</v>
      </c>
      <c r="C92" s="2">
        <v>10001</v>
      </c>
      <c r="D92" s="2" t="s">
        <v>8</v>
      </c>
      <c r="E92" s="2">
        <v>10002</v>
      </c>
      <c r="F92" s="2" t="s">
        <v>33</v>
      </c>
      <c r="G92" s="2">
        <v>10005</v>
      </c>
      <c r="H92" s="2" t="s">
        <v>34</v>
      </c>
      <c r="I92" s="2">
        <v>10007</v>
      </c>
      <c r="J92" s="2" t="s">
        <v>172</v>
      </c>
      <c r="M92" s="2">
        <v>10007</v>
      </c>
      <c r="N92" s="2" t="s">
        <v>172</v>
      </c>
      <c r="O92" s="2">
        <v>5</v>
      </c>
    </row>
    <row r="93" spans="1:15" ht="22.5" customHeight="1">
      <c r="A93" s="2">
        <v>10000</v>
      </c>
      <c r="B93" s="2" t="s">
        <v>7</v>
      </c>
      <c r="C93" s="2">
        <v>10001</v>
      </c>
      <c r="D93" s="2" t="s">
        <v>8</v>
      </c>
      <c r="E93" s="2">
        <v>10002</v>
      </c>
      <c r="F93" s="2" t="s">
        <v>33</v>
      </c>
      <c r="G93" s="2">
        <v>10005</v>
      </c>
      <c r="H93" s="2" t="s">
        <v>34</v>
      </c>
      <c r="I93" s="2">
        <v>10008</v>
      </c>
      <c r="J93" s="2" t="s">
        <v>173</v>
      </c>
      <c r="M93" s="2">
        <v>10008</v>
      </c>
      <c r="N93" s="2" t="s">
        <v>173</v>
      </c>
      <c r="O93" s="2">
        <v>5</v>
      </c>
    </row>
    <row r="94" spans="1:15" ht="22.5" customHeight="1">
      <c r="A94" s="2">
        <v>10000</v>
      </c>
      <c r="B94" s="2" t="s">
        <v>7</v>
      </c>
      <c r="C94" s="2">
        <v>10001</v>
      </c>
      <c r="D94" s="2" t="s">
        <v>8</v>
      </c>
      <c r="E94" s="2">
        <v>10002</v>
      </c>
      <c r="F94" s="2" t="s">
        <v>33</v>
      </c>
      <c r="G94" s="2">
        <v>10005</v>
      </c>
      <c r="H94" s="2" t="s">
        <v>34</v>
      </c>
      <c r="I94" s="2">
        <v>10009</v>
      </c>
      <c r="J94" s="2" t="s">
        <v>174</v>
      </c>
      <c r="M94" s="2">
        <v>10009</v>
      </c>
      <c r="N94" s="2" t="s">
        <v>175</v>
      </c>
      <c r="O94" s="2">
        <v>5</v>
      </c>
    </row>
    <row r="95" spans="1:15" ht="22.5" customHeight="1">
      <c r="A95" s="2">
        <v>10000</v>
      </c>
      <c r="B95" s="2" t="s">
        <v>7</v>
      </c>
      <c r="C95" s="2">
        <v>10001</v>
      </c>
      <c r="D95" s="2" t="s">
        <v>8</v>
      </c>
      <c r="E95" s="2">
        <v>10002</v>
      </c>
      <c r="F95" s="2" t="s">
        <v>33</v>
      </c>
      <c r="G95" s="2">
        <v>10005</v>
      </c>
      <c r="H95" s="2" t="s">
        <v>34</v>
      </c>
      <c r="I95" s="2">
        <v>10010</v>
      </c>
      <c r="J95" s="2" t="s">
        <v>176</v>
      </c>
      <c r="M95" s="2">
        <v>10010</v>
      </c>
      <c r="N95" s="2" t="s">
        <v>177</v>
      </c>
      <c r="O95" s="2">
        <v>5</v>
      </c>
    </row>
    <row r="96" spans="1:15" ht="22.5" customHeight="1">
      <c r="A96" s="2">
        <v>10000</v>
      </c>
      <c r="B96" s="2" t="s">
        <v>7</v>
      </c>
      <c r="C96" s="2">
        <v>10001</v>
      </c>
      <c r="D96" s="2" t="s">
        <v>8</v>
      </c>
      <c r="E96" s="2">
        <v>10002</v>
      </c>
      <c r="F96" s="2" t="s">
        <v>33</v>
      </c>
      <c r="G96" s="2">
        <v>10006</v>
      </c>
      <c r="H96" s="2" t="s">
        <v>50</v>
      </c>
      <c r="I96" s="2">
        <v>10011</v>
      </c>
      <c r="J96" s="2" t="s">
        <v>178</v>
      </c>
      <c r="M96" s="2">
        <v>10011</v>
      </c>
      <c r="N96" s="2" t="s">
        <v>178</v>
      </c>
      <c r="O96" s="2">
        <v>5</v>
      </c>
    </row>
    <row r="97" spans="1:15" ht="22.5" customHeight="1">
      <c r="A97" s="2">
        <v>10000</v>
      </c>
      <c r="B97" s="2" t="s">
        <v>7</v>
      </c>
      <c r="C97" s="2">
        <v>10001</v>
      </c>
      <c r="D97" s="2" t="s">
        <v>8</v>
      </c>
      <c r="E97" s="2">
        <v>10002</v>
      </c>
      <c r="F97" s="2" t="s">
        <v>33</v>
      </c>
      <c r="G97" s="2">
        <v>10006</v>
      </c>
      <c r="H97" s="2" t="s">
        <v>50</v>
      </c>
      <c r="I97" s="2">
        <v>10012</v>
      </c>
      <c r="J97" s="2" t="s">
        <v>179</v>
      </c>
      <c r="M97" s="2">
        <v>10012</v>
      </c>
      <c r="N97" s="2" t="s">
        <v>179</v>
      </c>
      <c r="O97" s="2">
        <v>5</v>
      </c>
    </row>
    <row r="98" spans="1:15" ht="22.5" customHeight="1">
      <c r="A98" s="2">
        <v>10000</v>
      </c>
      <c r="B98" s="2" t="s">
        <v>7</v>
      </c>
      <c r="C98" s="2">
        <v>10001</v>
      </c>
      <c r="D98" s="2" t="s">
        <v>8</v>
      </c>
      <c r="E98" s="2">
        <v>10002</v>
      </c>
      <c r="F98" s="2" t="s">
        <v>33</v>
      </c>
      <c r="G98" s="2">
        <v>10006</v>
      </c>
      <c r="H98" s="2" t="s">
        <v>50</v>
      </c>
      <c r="I98" s="2">
        <v>10013</v>
      </c>
      <c r="J98" s="2" t="s">
        <v>180</v>
      </c>
      <c r="M98" s="2">
        <v>10013</v>
      </c>
      <c r="N98" s="2" t="s">
        <v>180</v>
      </c>
      <c r="O98" s="2">
        <v>5</v>
      </c>
    </row>
    <row r="99" spans="1:15" ht="22.5" customHeight="1">
      <c r="A99" s="2">
        <v>10000</v>
      </c>
      <c r="B99" s="2" t="s">
        <v>7</v>
      </c>
      <c r="C99" s="2">
        <v>10001</v>
      </c>
      <c r="D99" s="2" t="s">
        <v>8</v>
      </c>
      <c r="E99" s="2">
        <v>10002</v>
      </c>
      <c r="F99" s="2" t="s">
        <v>33</v>
      </c>
      <c r="G99" s="2">
        <v>10006</v>
      </c>
      <c r="H99" s="2" t="s">
        <v>50</v>
      </c>
      <c r="I99" s="2">
        <v>10014</v>
      </c>
      <c r="J99" s="2" t="s">
        <v>181</v>
      </c>
      <c r="M99" s="2">
        <v>10014</v>
      </c>
      <c r="N99" s="2" t="s">
        <v>182</v>
      </c>
      <c r="O99" s="2">
        <v>5</v>
      </c>
    </row>
    <row r="100" spans="1:15" ht="22.5" customHeight="1">
      <c r="A100" s="2">
        <v>10000</v>
      </c>
      <c r="B100" s="2" t="s">
        <v>7</v>
      </c>
      <c r="C100" s="2">
        <v>10001</v>
      </c>
      <c r="D100" s="2" t="s">
        <v>8</v>
      </c>
      <c r="E100" s="2">
        <v>10002</v>
      </c>
      <c r="F100" s="2" t="s">
        <v>33</v>
      </c>
      <c r="G100" s="2">
        <v>10006</v>
      </c>
      <c r="H100" s="2" t="s">
        <v>50</v>
      </c>
      <c r="I100" s="2">
        <v>10015</v>
      </c>
      <c r="J100" s="2" t="s">
        <v>183</v>
      </c>
      <c r="M100" s="2">
        <v>10015</v>
      </c>
      <c r="N100" s="2" t="s">
        <v>184</v>
      </c>
      <c r="O100" s="2">
        <v>5</v>
      </c>
    </row>
    <row r="101" spans="1:15" ht="22.5" customHeight="1">
      <c r="A101" s="2">
        <v>10000</v>
      </c>
      <c r="B101" s="2" t="s">
        <v>7</v>
      </c>
      <c r="C101" s="2">
        <v>10001</v>
      </c>
      <c r="D101" s="2" t="s">
        <v>8</v>
      </c>
      <c r="E101" s="2">
        <v>10002</v>
      </c>
      <c r="F101" s="2" t="s">
        <v>33</v>
      </c>
      <c r="G101" s="2">
        <v>10006</v>
      </c>
      <c r="H101" s="2" t="s">
        <v>50</v>
      </c>
      <c r="I101" s="2">
        <v>10016</v>
      </c>
      <c r="J101" s="2" t="s">
        <v>185</v>
      </c>
      <c r="M101" s="2">
        <v>10016</v>
      </c>
      <c r="N101" s="2" t="s">
        <v>70</v>
      </c>
      <c r="O101" s="2">
        <v>5</v>
      </c>
    </row>
    <row r="102" spans="1:15" ht="22.5" customHeight="1">
      <c r="A102" s="2">
        <v>10000</v>
      </c>
      <c r="B102" s="2" t="s">
        <v>7</v>
      </c>
      <c r="C102" s="2">
        <v>10001</v>
      </c>
      <c r="D102" s="2" t="s">
        <v>8</v>
      </c>
      <c r="E102" s="2">
        <v>10002</v>
      </c>
      <c r="F102" s="2" t="s">
        <v>33</v>
      </c>
      <c r="G102" s="2">
        <v>10006</v>
      </c>
      <c r="H102" s="2" t="s">
        <v>50</v>
      </c>
      <c r="I102" s="2">
        <v>10017</v>
      </c>
      <c r="J102" s="2" t="s">
        <v>186</v>
      </c>
      <c r="M102" s="2">
        <v>10017</v>
      </c>
      <c r="N102" s="2" t="s">
        <v>186</v>
      </c>
      <c r="O102" s="2">
        <v>5</v>
      </c>
    </row>
    <row r="103" spans="1:15" ht="22.5" customHeight="1">
      <c r="A103" s="2">
        <v>10000</v>
      </c>
      <c r="B103" s="2" t="s">
        <v>7</v>
      </c>
      <c r="C103" s="2">
        <v>10001</v>
      </c>
      <c r="D103" s="2" t="s">
        <v>8</v>
      </c>
      <c r="E103" s="2">
        <v>10003</v>
      </c>
      <c r="F103" s="2" t="s">
        <v>71</v>
      </c>
      <c r="G103" s="2">
        <v>10018</v>
      </c>
      <c r="H103" s="2" t="s">
        <v>73</v>
      </c>
      <c r="M103" s="2">
        <v>10018</v>
      </c>
      <c r="N103" s="2" t="s">
        <v>73</v>
      </c>
      <c r="O103" s="2">
        <v>4</v>
      </c>
    </row>
    <row r="104" spans="1:15" ht="22.5" customHeight="1">
      <c r="A104" s="2">
        <v>10000</v>
      </c>
      <c r="B104" s="2" t="s">
        <v>7</v>
      </c>
      <c r="C104" s="2">
        <v>10001</v>
      </c>
      <c r="D104" s="2" t="s">
        <v>8</v>
      </c>
      <c r="E104" s="2">
        <v>10003</v>
      </c>
      <c r="F104" s="2" t="s">
        <v>71</v>
      </c>
      <c r="G104" s="2">
        <v>10019</v>
      </c>
      <c r="H104" s="2" t="s">
        <v>187</v>
      </c>
      <c r="M104" s="2">
        <v>10019</v>
      </c>
      <c r="N104" s="2" t="s">
        <v>188</v>
      </c>
      <c r="O104" s="2">
        <v>4</v>
      </c>
    </row>
    <row r="105" spans="1:15" ht="22.5" customHeight="1">
      <c r="A105" s="2">
        <v>10000</v>
      </c>
      <c r="B105" s="2" t="s">
        <v>7</v>
      </c>
      <c r="C105" s="2">
        <v>10001</v>
      </c>
      <c r="D105" s="2" t="s">
        <v>8</v>
      </c>
      <c r="E105" s="2">
        <v>10004</v>
      </c>
      <c r="F105" s="2" t="s">
        <v>189</v>
      </c>
      <c r="G105" s="2">
        <v>10020</v>
      </c>
      <c r="H105" s="2" t="s">
        <v>190</v>
      </c>
      <c r="M105" s="2">
        <v>10020</v>
      </c>
      <c r="N105" s="2" t="s">
        <v>191</v>
      </c>
      <c r="O105" s="2">
        <v>4</v>
      </c>
    </row>
    <row r="106" spans="1:15" ht="22.5" customHeight="1">
      <c r="A106" s="2">
        <v>10000</v>
      </c>
      <c r="B106" s="2" t="s">
        <v>7</v>
      </c>
      <c r="C106" s="2">
        <v>10001</v>
      </c>
      <c r="D106" s="2" t="s">
        <v>8</v>
      </c>
      <c r="E106" s="2">
        <v>10004</v>
      </c>
      <c r="F106" s="2" t="s">
        <v>189</v>
      </c>
      <c r="G106" s="2">
        <v>10021</v>
      </c>
      <c r="H106" s="2" t="s">
        <v>192</v>
      </c>
      <c r="M106" s="2">
        <v>10021</v>
      </c>
      <c r="N106" s="2" t="s">
        <v>193</v>
      </c>
      <c r="O106" s="2">
        <v>4</v>
      </c>
    </row>
    <row r="107" spans="1:15" ht="22.5" customHeight="1">
      <c r="A107" s="2">
        <v>10000</v>
      </c>
      <c r="B107" s="2" t="s">
        <v>7</v>
      </c>
      <c r="C107" s="2">
        <v>10001</v>
      </c>
      <c r="D107" s="2" t="s">
        <v>8</v>
      </c>
      <c r="E107" s="2">
        <v>10004</v>
      </c>
      <c r="F107" s="2" t="s">
        <v>189</v>
      </c>
      <c r="G107" s="2">
        <v>10022</v>
      </c>
      <c r="H107" s="2" t="s">
        <v>194</v>
      </c>
      <c r="M107" s="2">
        <v>10022</v>
      </c>
      <c r="N107" s="2" t="s">
        <v>195</v>
      </c>
      <c r="O107" s="2">
        <v>4</v>
      </c>
    </row>
    <row r="108" spans="1:15" ht="22.5" customHeight="1">
      <c r="A108" s="2">
        <v>10000</v>
      </c>
      <c r="B108" s="2" t="s">
        <v>7</v>
      </c>
      <c r="C108" s="2">
        <v>10001</v>
      </c>
      <c r="D108" s="2" t="s">
        <v>8</v>
      </c>
      <c r="E108" s="2">
        <v>10004</v>
      </c>
      <c r="F108" s="2" t="s">
        <v>189</v>
      </c>
      <c r="G108" s="2">
        <v>10023</v>
      </c>
      <c r="H108" s="2" t="s">
        <v>196</v>
      </c>
      <c r="M108" s="2">
        <v>10023</v>
      </c>
      <c r="N108" s="2" t="s">
        <v>197</v>
      </c>
      <c r="O108" s="2">
        <v>4</v>
      </c>
    </row>
    <row r="109" spans="1:15" ht="22.5" customHeight="1">
      <c r="A109" s="2">
        <v>10000</v>
      </c>
      <c r="B109" s="2" t="s">
        <v>7</v>
      </c>
      <c r="C109" s="2">
        <v>10024</v>
      </c>
      <c r="D109" s="2" t="s">
        <v>9</v>
      </c>
      <c r="E109" s="2">
        <v>10025</v>
      </c>
      <c r="F109" s="2" t="s">
        <v>190</v>
      </c>
      <c r="M109" s="2">
        <v>10025</v>
      </c>
      <c r="N109" s="2" t="s">
        <v>191</v>
      </c>
      <c r="O109" s="2">
        <v>3</v>
      </c>
    </row>
    <row r="110" spans="1:15" ht="22.5" customHeight="1">
      <c r="A110" s="2">
        <v>10000</v>
      </c>
      <c r="B110" s="2" t="s">
        <v>7</v>
      </c>
      <c r="C110" s="2">
        <v>10024</v>
      </c>
      <c r="D110" s="2" t="s">
        <v>9</v>
      </c>
      <c r="E110" s="2">
        <v>10026</v>
      </c>
      <c r="F110" s="2" t="s">
        <v>192</v>
      </c>
      <c r="M110" s="2">
        <v>10026</v>
      </c>
      <c r="N110" s="2" t="s">
        <v>193</v>
      </c>
      <c r="O110" s="2">
        <v>3</v>
      </c>
    </row>
    <row r="111" spans="1:15" ht="22.5" customHeight="1">
      <c r="A111" s="2">
        <v>10000</v>
      </c>
      <c r="B111" s="2" t="s">
        <v>7</v>
      </c>
      <c r="C111" s="2">
        <v>10024</v>
      </c>
      <c r="D111" s="2" t="s">
        <v>9</v>
      </c>
      <c r="E111" s="2">
        <v>10027</v>
      </c>
      <c r="F111" s="2" t="s">
        <v>194</v>
      </c>
      <c r="M111" s="2">
        <v>10027</v>
      </c>
      <c r="N111" s="2" t="s">
        <v>195</v>
      </c>
      <c r="O111" s="2">
        <v>3</v>
      </c>
    </row>
    <row r="112" spans="1:15" ht="22.5" customHeight="1">
      <c r="A112" s="2">
        <v>10000</v>
      </c>
      <c r="B112" s="2" t="s">
        <v>7</v>
      </c>
      <c r="C112" s="2">
        <v>10024</v>
      </c>
      <c r="D112" s="2" t="s">
        <v>9</v>
      </c>
      <c r="E112" s="2">
        <v>10028</v>
      </c>
      <c r="F112" s="2" t="s">
        <v>196</v>
      </c>
      <c r="M112" s="2">
        <v>10028</v>
      </c>
      <c r="N112" s="2" t="s">
        <v>197</v>
      </c>
      <c r="O112" s="2">
        <v>3</v>
      </c>
    </row>
    <row r="113" spans="1:15" ht="22.5" customHeight="1">
      <c r="A113" s="2">
        <v>50000</v>
      </c>
      <c r="B113" s="2" t="s">
        <v>10</v>
      </c>
      <c r="C113" s="2">
        <v>50001</v>
      </c>
      <c r="D113" s="2" t="s">
        <v>11</v>
      </c>
      <c r="E113" s="2">
        <v>50002</v>
      </c>
      <c r="F113" s="2" t="s">
        <v>33</v>
      </c>
      <c r="G113" s="2">
        <v>50005</v>
      </c>
      <c r="H113" s="2" t="s">
        <v>34</v>
      </c>
      <c r="I113" s="2">
        <v>50007</v>
      </c>
      <c r="J113" s="2" t="s">
        <v>198</v>
      </c>
      <c r="K113" s="2">
        <v>50013</v>
      </c>
      <c r="L113" s="2" t="s">
        <v>199</v>
      </c>
      <c r="M113" s="2">
        <v>50013</v>
      </c>
      <c r="N113" s="2" t="s">
        <v>200</v>
      </c>
      <c r="O113" s="2">
        <v>6</v>
      </c>
    </row>
    <row r="114" spans="1:15" ht="22.5" customHeight="1">
      <c r="A114" s="2">
        <v>50000</v>
      </c>
      <c r="B114" s="2" t="s">
        <v>10</v>
      </c>
      <c r="C114" s="2">
        <v>50001</v>
      </c>
      <c r="D114" s="2" t="s">
        <v>11</v>
      </c>
      <c r="E114" s="2">
        <v>50002</v>
      </c>
      <c r="F114" s="2" t="s">
        <v>33</v>
      </c>
      <c r="G114" s="2">
        <v>50005</v>
      </c>
      <c r="H114" s="2" t="s">
        <v>34</v>
      </c>
      <c r="I114" s="2">
        <v>50007</v>
      </c>
      <c r="J114" s="2" t="s">
        <v>198</v>
      </c>
      <c r="K114" s="2">
        <v>50014</v>
      </c>
      <c r="L114" s="2" t="s">
        <v>201</v>
      </c>
      <c r="M114" s="2">
        <v>50014</v>
      </c>
      <c r="N114" s="2" t="s">
        <v>202</v>
      </c>
      <c r="O114" s="2">
        <v>6</v>
      </c>
    </row>
    <row r="115" spans="1:15" ht="22.5" customHeight="1">
      <c r="A115" s="2">
        <v>50000</v>
      </c>
      <c r="B115" s="2" t="s">
        <v>10</v>
      </c>
      <c r="C115" s="2">
        <v>50001</v>
      </c>
      <c r="D115" s="2" t="s">
        <v>11</v>
      </c>
      <c r="E115" s="2">
        <v>50002</v>
      </c>
      <c r="F115" s="2" t="s">
        <v>33</v>
      </c>
      <c r="G115" s="2">
        <v>50005</v>
      </c>
      <c r="H115" s="2" t="s">
        <v>34</v>
      </c>
      <c r="I115" s="2">
        <v>50008</v>
      </c>
      <c r="J115" s="2" t="s">
        <v>203</v>
      </c>
      <c r="K115" s="2">
        <v>50015</v>
      </c>
      <c r="L115" s="2" t="s">
        <v>204</v>
      </c>
      <c r="M115" s="2">
        <v>50015</v>
      </c>
      <c r="N115" s="2" t="s">
        <v>204</v>
      </c>
      <c r="O115" s="2">
        <v>6</v>
      </c>
    </row>
    <row r="116" spans="1:15" ht="22.5" customHeight="1">
      <c r="A116" s="2">
        <v>50000</v>
      </c>
      <c r="B116" s="2" t="s">
        <v>10</v>
      </c>
      <c r="C116" s="2">
        <v>50001</v>
      </c>
      <c r="D116" s="2" t="s">
        <v>11</v>
      </c>
      <c r="E116" s="2">
        <v>50002</v>
      </c>
      <c r="F116" s="2" t="s">
        <v>33</v>
      </c>
      <c r="G116" s="2">
        <v>50005</v>
      </c>
      <c r="H116" s="2" t="s">
        <v>34</v>
      </c>
      <c r="I116" s="2">
        <v>50008</v>
      </c>
      <c r="J116" s="2" t="s">
        <v>203</v>
      </c>
      <c r="K116" s="2">
        <v>50016</v>
      </c>
      <c r="L116" s="2" t="s">
        <v>205</v>
      </c>
      <c r="M116" s="2">
        <v>50016</v>
      </c>
      <c r="N116" s="2" t="s">
        <v>205</v>
      </c>
      <c r="O116" s="2">
        <v>6</v>
      </c>
    </row>
    <row r="117" spans="1:15" ht="22.5" customHeight="1">
      <c r="A117" s="2">
        <v>50000</v>
      </c>
      <c r="B117" s="2" t="s">
        <v>10</v>
      </c>
      <c r="C117" s="2">
        <v>50001</v>
      </c>
      <c r="D117" s="2" t="s">
        <v>11</v>
      </c>
      <c r="E117" s="2">
        <v>50002</v>
      </c>
      <c r="F117" s="2" t="s">
        <v>33</v>
      </c>
      <c r="G117" s="2">
        <v>50005</v>
      </c>
      <c r="H117" s="2" t="s">
        <v>34</v>
      </c>
      <c r="I117" s="2">
        <v>50009</v>
      </c>
      <c r="J117" s="2" t="s">
        <v>206</v>
      </c>
      <c r="K117" s="2">
        <v>50017</v>
      </c>
      <c r="L117" s="2" t="s">
        <v>207</v>
      </c>
      <c r="M117" s="2">
        <v>50017</v>
      </c>
      <c r="N117" s="2" t="s">
        <v>208</v>
      </c>
      <c r="O117" s="2">
        <v>6</v>
      </c>
    </row>
    <row r="118" spans="1:15" ht="22.5" customHeight="1">
      <c r="A118" s="2">
        <v>50000</v>
      </c>
      <c r="B118" s="2" t="s">
        <v>10</v>
      </c>
      <c r="C118" s="2">
        <v>50001</v>
      </c>
      <c r="D118" s="2" t="s">
        <v>11</v>
      </c>
      <c r="E118" s="2">
        <v>50002</v>
      </c>
      <c r="F118" s="2" t="s">
        <v>33</v>
      </c>
      <c r="G118" s="2">
        <v>50005</v>
      </c>
      <c r="H118" s="2" t="s">
        <v>34</v>
      </c>
      <c r="I118" s="2">
        <v>50009</v>
      </c>
      <c r="J118" s="2" t="s">
        <v>206</v>
      </c>
      <c r="K118" s="2">
        <v>50018</v>
      </c>
      <c r="L118" s="2" t="s">
        <v>209</v>
      </c>
      <c r="M118" s="2">
        <v>50018</v>
      </c>
      <c r="N118" s="2" t="s">
        <v>210</v>
      </c>
      <c r="O118" s="2">
        <v>6</v>
      </c>
    </row>
    <row r="119" spans="1:15" ht="22.5" customHeight="1">
      <c r="A119" s="2">
        <v>50000</v>
      </c>
      <c r="B119" s="2" t="s">
        <v>10</v>
      </c>
      <c r="C119" s="2">
        <v>50001</v>
      </c>
      <c r="D119" s="2" t="s">
        <v>11</v>
      </c>
      <c r="E119" s="2">
        <v>50002</v>
      </c>
      <c r="F119" s="2" t="s">
        <v>33</v>
      </c>
      <c r="G119" s="2">
        <v>50006</v>
      </c>
      <c r="H119" s="2" t="s">
        <v>50</v>
      </c>
      <c r="I119" s="2">
        <v>50010</v>
      </c>
      <c r="J119" s="2" t="s">
        <v>211</v>
      </c>
      <c r="K119" s="2">
        <v>50019</v>
      </c>
      <c r="L119" s="2" t="s">
        <v>212</v>
      </c>
      <c r="M119" s="2">
        <v>50019</v>
      </c>
      <c r="N119" s="2" t="s">
        <v>213</v>
      </c>
      <c r="O119" s="2">
        <v>6</v>
      </c>
    </row>
    <row r="120" spans="1:15" ht="22.5" customHeight="1">
      <c r="A120" s="2">
        <v>50000</v>
      </c>
      <c r="B120" s="2" t="s">
        <v>10</v>
      </c>
      <c r="C120" s="2">
        <v>50001</v>
      </c>
      <c r="D120" s="2" t="s">
        <v>11</v>
      </c>
      <c r="E120" s="2">
        <v>50002</v>
      </c>
      <c r="F120" s="2" t="s">
        <v>33</v>
      </c>
      <c r="G120" s="2">
        <v>50006</v>
      </c>
      <c r="H120" s="2" t="s">
        <v>50</v>
      </c>
      <c r="I120" s="2">
        <v>50010</v>
      </c>
      <c r="J120" s="2" t="s">
        <v>211</v>
      </c>
      <c r="K120" s="2">
        <v>50020</v>
      </c>
      <c r="L120" s="2" t="s">
        <v>214</v>
      </c>
      <c r="M120" s="2">
        <v>50020</v>
      </c>
      <c r="N120" s="2" t="s">
        <v>214</v>
      </c>
      <c r="O120" s="2">
        <v>6</v>
      </c>
    </row>
    <row r="121" spans="1:15" ht="22.5" customHeight="1">
      <c r="A121" s="2">
        <v>50000</v>
      </c>
      <c r="B121" s="2" t="s">
        <v>10</v>
      </c>
      <c r="C121" s="2">
        <v>50001</v>
      </c>
      <c r="D121" s="2" t="s">
        <v>11</v>
      </c>
      <c r="E121" s="2">
        <v>50003</v>
      </c>
      <c r="F121" s="2" t="s">
        <v>71</v>
      </c>
      <c r="G121" s="2">
        <v>50011</v>
      </c>
      <c r="H121" s="2" t="s">
        <v>215</v>
      </c>
      <c r="I121" s="2">
        <v>50021</v>
      </c>
      <c r="J121" s="2" t="s">
        <v>216</v>
      </c>
      <c r="M121" s="2">
        <v>50021</v>
      </c>
      <c r="N121" s="2" t="s">
        <v>217</v>
      </c>
      <c r="O121" s="2">
        <v>5</v>
      </c>
    </row>
    <row r="122" spans="1:15" ht="22.5" customHeight="1">
      <c r="A122" s="2">
        <v>50000</v>
      </c>
      <c r="B122" s="2" t="s">
        <v>10</v>
      </c>
      <c r="C122" s="2">
        <v>50001</v>
      </c>
      <c r="D122" s="2" t="s">
        <v>11</v>
      </c>
      <c r="E122" s="2">
        <v>50003</v>
      </c>
      <c r="F122" s="2" t="s">
        <v>71</v>
      </c>
      <c r="G122" s="2">
        <v>50012</v>
      </c>
      <c r="H122" s="2" t="s">
        <v>218</v>
      </c>
      <c r="I122" s="2">
        <v>50022</v>
      </c>
      <c r="J122" s="2" t="s">
        <v>219</v>
      </c>
      <c r="M122" s="2">
        <v>50022</v>
      </c>
      <c r="N122" s="2" t="s">
        <v>219</v>
      </c>
      <c r="O122" s="2">
        <v>5</v>
      </c>
    </row>
    <row r="123" spans="1:15" ht="22.5" customHeight="1">
      <c r="A123" s="2">
        <v>50000</v>
      </c>
      <c r="B123" s="2" t="s">
        <v>10</v>
      </c>
      <c r="C123" s="2">
        <v>50001</v>
      </c>
      <c r="D123" s="2" t="s">
        <v>11</v>
      </c>
      <c r="E123" s="2">
        <v>50003</v>
      </c>
      <c r="F123" s="2" t="s">
        <v>71</v>
      </c>
      <c r="G123" s="2">
        <v>50012</v>
      </c>
      <c r="H123" s="2" t="s">
        <v>218</v>
      </c>
      <c r="I123" s="2">
        <v>50023</v>
      </c>
      <c r="J123" s="2" t="s">
        <v>220</v>
      </c>
      <c r="M123" s="2">
        <v>50023</v>
      </c>
      <c r="N123" s="2" t="s">
        <v>220</v>
      </c>
      <c r="O123" s="2">
        <v>5</v>
      </c>
    </row>
    <row r="124" spans="1:15" ht="22.5" customHeight="1">
      <c r="A124" s="2">
        <v>50000</v>
      </c>
      <c r="B124" s="2" t="s">
        <v>10</v>
      </c>
      <c r="C124" s="2">
        <v>50001</v>
      </c>
      <c r="D124" s="2" t="s">
        <v>11</v>
      </c>
      <c r="E124" s="2">
        <v>50003</v>
      </c>
      <c r="F124" s="2" t="s">
        <v>71</v>
      </c>
      <c r="G124" s="2">
        <v>50012</v>
      </c>
      <c r="H124" s="2" t="s">
        <v>218</v>
      </c>
      <c r="I124" s="2">
        <v>50024</v>
      </c>
      <c r="J124" s="2" t="s">
        <v>221</v>
      </c>
      <c r="M124" s="2">
        <v>50024</v>
      </c>
      <c r="N124" s="2" t="s">
        <v>221</v>
      </c>
      <c r="O124" s="2">
        <v>5</v>
      </c>
    </row>
    <row r="125" spans="1:15" ht="22.5" customHeight="1">
      <c r="A125" s="2">
        <v>50000</v>
      </c>
      <c r="B125" s="2" t="s">
        <v>10</v>
      </c>
      <c r="C125" s="2">
        <v>50001</v>
      </c>
      <c r="D125" s="2" t="s">
        <v>11</v>
      </c>
      <c r="E125" s="2">
        <v>50003</v>
      </c>
      <c r="F125" s="2" t="s">
        <v>71</v>
      </c>
      <c r="G125" s="2">
        <v>50012</v>
      </c>
      <c r="H125" s="2" t="s">
        <v>218</v>
      </c>
      <c r="I125" s="2">
        <v>50025</v>
      </c>
      <c r="J125" s="2" t="s">
        <v>222</v>
      </c>
      <c r="M125" s="2">
        <v>50025</v>
      </c>
      <c r="N125" s="2" t="s">
        <v>222</v>
      </c>
      <c r="O125" s="2">
        <v>5</v>
      </c>
    </row>
    <row r="126" spans="1:15" ht="22.5" customHeight="1">
      <c r="A126" s="2">
        <v>50000</v>
      </c>
      <c r="B126" s="2" t="s">
        <v>10</v>
      </c>
      <c r="C126" s="2">
        <v>50001</v>
      </c>
      <c r="D126" s="2" t="s">
        <v>11</v>
      </c>
      <c r="E126" s="2">
        <v>50003</v>
      </c>
      <c r="F126" s="2" t="s">
        <v>71</v>
      </c>
      <c r="G126" s="2">
        <v>50012</v>
      </c>
      <c r="H126" s="2" t="s">
        <v>218</v>
      </c>
      <c r="I126" s="2">
        <v>50026</v>
      </c>
      <c r="J126" s="2" t="s">
        <v>223</v>
      </c>
      <c r="M126" s="2">
        <v>50026</v>
      </c>
      <c r="N126" s="2" t="s">
        <v>223</v>
      </c>
      <c r="O126" s="2">
        <v>5</v>
      </c>
    </row>
    <row r="127" spans="1:15" ht="22.5" customHeight="1">
      <c r="A127" s="2">
        <v>50000</v>
      </c>
      <c r="B127" s="2" t="s">
        <v>10</v>
      </c>
      <c r="C127" s="2">
        <v>50001</v>
      </c>
      <c r="D127" s="2" t="s">
        <v>11</v>
      </c>
      <c r="E127" s="2">
        <v>50004</v>
      </c>
      <c r="F127" s="2" t="s">
        <v>85</v>
      </c>
      <c r="G127" s="2">
        <v>50027</v>
      </c>
      <c r="H127" s="2" t="s">
        <v>224</v>
      </c>
      <c r="M127" s="2">
        <v>50027</v>
      </c>
      <c r="N127" s="2" t="s">
        <v>224</v>
      </c>
      <c r="O127" s="2">
        <v>4</v>
      </c>
    </row>
    <row r="128" spans="1:15" ht="22.5" customHeight="1">
      <c r="A128" s="2">
        <v>50000</v>
      </c>
      <c r="B128" s="2" t="s">
        <v>10</v>
      </c>
      <c r="C128" s="2">
        <v>50001</v>
      </c>
      <c r="D128" s="2" t="s">
        <v>11</v>
      </c>
      <c r="E128" s="2">
        <v>50004</v>
      </c>
      <c r="F128" s="2" t="s">
        <v>85</v>
      </c>
      <c r="G128" s="2">
        <v>50028</v>
      </c>
      <c r="H128" s="2" t="s">
        <v>225</v>
      </c>
      <c r="M128" s="2">
        <v>50028</v>
      </c>
      <c r="N128" s="2" t="s">
        <v>225</v>
      </c>
      <c r="O128" s="2">
        <v>4</v>
      </c>
    </row>
    <row r="129" spans="1:15" ht="22.5" customHeight="1">
      <c r="A129" s="2">
        <v>50000</v>
      </c>
      <c r="B129" s="2" t="s">
        <v>10</v>
      </c>
      <c r="C129" s="2">
        <v>50001</v>
      </c>
      <c r="D129" s="2" t="s">
        <v>11</v>
      </c>
      <c r="E129" s="2">
        <v>50004</v>
      </c>
      <c r="F129" s="2" t="s">
        <v>85</v>
      </c>
      <c r="G129" s="2">
        <v>50029</v>
      </c>
      <c r="H129" s="2" t="s">
        <v>226</v>
      </c>
      <c r="M129" s="2">
        <v>50029</v>
      </c>
      <c r="N129" s="2" t="s">
        <v>226</v>
      </c>
      <c r="O129" s="2">
        <v>4</v>
      </c>
    </row>
    <row r="130" spans="1:15" ht="22.5" customHeight="1">
      <c r="A130" s="2">
        <v>50000</v>
      </c>
      <c r="B130" s="2" t="s">
        <v>10</v>
      </c>
      <c r="C130" s="2">
        <v>50030</v>
      </c>
      <c r="D130" s="2" t="s">
        <v>12</v>
      </c>
      <c r="E130" s="2">
        <v>50031</v>
      </c>
      <c r="F130" s="2" t="s">
        <v>33</v>
      </c>
      <c r="G130" s="2">
        <v>50034</v>
      </c>
      <c r="H130" s="2" t="s">
        <v>34</v>
      </c>
      <c r="I130" s="2">
        <v>50036</v>
      </c>
      <c r="J130" s="2" t="s">
        <v>198</v>
      </c>
      <c r="K130" s="2">
        <v>50042</v>
      </c>
      <c r="L130" s="2" t="s">
        <v>227</v>
      </c>
      <c r="M130" s="2">
        <v>50042</v>
      </c>
      <c r="N130" s="2" t="s">
        <v>227</v>
      </c>
      <c r="O130" s="2">
        <v>6</v>
      </c>
    </row>
    <row r="131" spans="1:15" ht="22.5" customHeight="1">
      <c r="A131" s="2">
        <v>50000</v>
      </c>
      <c r="B131" s="2" t="s">
        <v>10</v>
      </c>
      <c r="C131" s="2">
        <v>50030</v>
      </c>
      <c r="D131" s="2" t="s">
        <v>12</v>
      </c>
      <c r="E131" s="2">
        <v>50031</v>
      </c>
      <c r="F131" s="2" t="s">
        <v>33</v>
      </c>
      <c r="G131" s="2">
        <v>50034</v>
      </c>
      <c r="H131" s="2" t="s">
        <v>34</v>
      </c>
      <c r="I131" s="2">
        <v>50036</v>
      </c>
      <c r="J131" s="2" t="s">
        <v>198</v>
      </c>
      <c r="K131" s="2">
        <v>50043</v>
      </c>
      <c r="L131" s="2" t="s">
        <v>201</v>
      </c>
      <c r="M131" s="2">
        <v>50043</v>
      </c>
      <c r="N131" s="2" t="s">
        <v>202</v>
      </c>
      <c r="O131" s="2">
        <v>6</v>
      </c>
    </row>
    <row r="132" spans="1:15" ht="22.5" customHeight="1">
      <c r="A132" s="2">
        <v>50000</v>
      </c>
      <c r="B132" s="2" t="s">
        <v>10</v>
      </c>
      <c r="C132" s="2">
        <v>50030</v>
      </c>
      <c r="D132" s="2" t="s">
        <v>12</v>
      </c>
      <c r="E132" s="2">
        <v>50031</v>
      </c>
      <c r="F132" s="2" t="s">
        <v>33</v>
      </c>
      <c r="G132" s="2">
        <v>50034</v>
      </c>
      <c r="H132" s="2" t="s">
        <v>34</v>
      </c>
      <c r="I132" s="2">
        <v>50037</v>
      </c>
      <c r="J132" s="2" t="s">
        <v>203</v>
      </c>
      <c r="K132" s="2">
        <v>50044</v>
      </c>
      <c r="L132" s="2" t="s">
        <v>205</v>
      </c>
      <c r="M132" s="2">
        <v>50044</v>
      </c>
      <c r="N132" s="2" t="s">
        <v>205</v>
      </c>
      <c r="O132" s="2">
        <v>6</v>
      </c>
    </row>
    <row r="133" spans="1:15" ht="22.5" customHeight="1">
      <c r="A133" s="2">
        <v>50000</v>
      </c>
      <c r="B133" s="2" t="s">
        <v>10</v>
      </c>
      <c r="C133" s="2">
        <v>50030</v>
      </c>
      <c r="D133" s="2" t="s">
        <v>12</v>
      </c>
      <c r="E133" s="2">
        <v>50031</v>
      </c>
      <c r="F133" s="2" t="s">
        <v>33</v>
      </c>
      <c r="G133" s="2">
        <v>50034</v>
      </c>
      <c r="H133" s="2" t="s">
        <v>34</v>
      </c>
      <c r="I133" s="2">
        <v>50038</v>
      </c>
      <c r="J133" s="2" t="s">
        <v>228</v>
      </c>
      <c r="K133" s="2">
        <v>50045</v>
      </c>
      <c r="L133" s="2" t="s">
        <v>229</v>
      </c>
      <c r="M133" s="2">
        <v>50045</v>
      </c>
      <c r="N133" s="2" t="s">
        <v>229</v>
      </c>
      <c r="O133" s="2">
        <v>6</v>
      </c>
    </row>
    <row r="134" spans="1:15" ht="22.5" customHeight="1">
      <c r="A134" s="2">
        <v>50000</v>
      </c>
      <c r="B134" s="2" t="s">
        <v>10</v>
      </c>
      <c r="C134" s="2">
        <v>50030</v>
      </c>
      <c r="D134" s="2" t="s">
        <v>12</v>
      </c>
      <c r="E134" s="2">
        <v>50031</v>
      </c>
      <c r="F134" s="2" t="s">
        <v>33</v>
      </c>
      <c r="G134" s="2">
        <v>50035</v>
      </c>
      <c r="H134" s="2" t="s">
        <v>50</v>
      </c>
      <c r="I134" s="2">
        <v>50039</v>
      </c>
      <c r="J134" s="2" t="s">
        <v>211</v>
      </c>
      <c r="K134" s="2">
        <v>50046</v>
      </c>
      <c r="L134" s="2" t="s">
        <v>212</v>
      </c>
      <c r="M134" s="2">
        <v>50046</v>
      </c>
      <c r="N134" s="2" t="s">
        <v>213</v>
      </c>
      <c r="O134" s="2">
        <v>6</v>
      </c>
    </row>
    <row r="135" spans="1:15" ht="22.5" customHeight="1">
      <c r="A135" s="2">
        <v>50000</v>
      </c>
      <c r="B135" s="2" t="s">
        <v>10</v>
      </c>
      <c r="C135" s="2">
        <v>50030</v>
      </c>
      <c r="D135" s="2" t="s">
        <v>12</v>
      </c>
      <c r="E135" s="2">
        <v>50032</v>
      </c>
      <c r="F135" s="2" t="s">
        <v>71</v>
      </c>
      <c r="G135" s="2">
        <v>50040</v>
      </c>
      <c r="H135" s="2" t="s">
        <v>215</v>
      </c>
      <c r="I135" s="2">
        <v>50047</v>
      </c>
      <c r="J135" s="2" t="s">
        <v>216</v>
      </c>
      <c r="M135" s="2">
        <v>50047</v>
      </c>
      <c r="N135" s="2" t="s">
        <v>217</v>
      </c>
      <c r="O135" s="2">
        <v>5</v>
      </c>
    </row>
    <row r="136" spans="1:15" ht="22.5" customHeight="1">
      <c r="A136" s="2">
        <v>50000</v>
      </c>
      <c r="B136" s="2" t="s">
        <v>10</v>
      </c>
      <c r="C136" s="2">
        <v>50030</v>
      </c>
      <c r="D136" s="2" t="s">
        <v>12</v>
      </c>
      <c r="E136" s="2">
        <v>50032</v>
      </c>
      <c r="F136" s="2" t="s">
        <v>71</v>
      </c>
      <c r="G136" s="2">
        <v>50041</v>
      </c>
      <c r="H136" s="2" t="s">
        <v>218</v>
      </c>
      <c r="I136" s="2">
        <v>50048</v>
      </c>
      <c r="J136" s="2" t="s">
        <v>219</v>
      </c>
      <c r="M136" s="2">
        <v>50048</v>
      </c>
      <c r="N136" s="2" t="s">
        <v>219</v>
      </c>
      <c r="O136" s="2">
        <v>5</v>
      </c>
    </row>
    <row r="137" spans="1:15" ht="22.5" customHeight="1">
      <c r="A137" s="2">
        <v>50000</v>
      </c>
      <c r="B137" s="2" t="s">
        <v>10</v>
      </c>
      <c r="C137" s="2">
        <v>50030</v>
      </c>
      <c r="D137" s="2" t="s">
        <v>12</v>
      </c>
      <c r="E137" s="2">
        <v>50032</v>
      </c>
      <c r="F137" s="2" t="s">
        <v>71</v>
      </c>
      <c r="G137" s="2">
        <v>50041</v>
      </c>
      <c r="H137" s="2" t="s">
        <v>218</v>
      </c>
      <c r="I137" s="2">
        <v>50049</v>
      </c>
      <c r="J137" s="2" t="s">
        <v>230</v>
      </c>
      <c r="M137" s="2">
        <v>50049</v>
      </c>
      <c r="N137" s="2" t="s">
        <v>231</v>
      </c>
      <c r="O137" s="2">
        <v>5</v>
      </c>
    </row>
    <row r="138" spans="1:15" ht="22.5" customHeight="1">
      <c r="A138" s="2">
        <v>50000</v>
      </c>
      <c r="B138" s="2" t="s">
        <v>10</v>
      </c>
      <c r="C138" s="2">
        <v>50030</v>
      </c>
      <c r="D138" s="2" t="s">
        <v>12</v>
      </c>
      <c r="E138" s="2">
        <v>50032</v>
      </c>
      <c r="F138" s="2" t="s">
        <v>71</v>
      </c>
      <c r="G138" s="2">
        <v>50041</v>
      </c>
      <c r="H138" s="2" t="s">
        <v>218</v>
      </c>
      <c r="I138" s="2">
        <v>50050</v>
      </c>
      <c r="J138" s="2" t="s">
        <v>232</v>
      </c>
      <c r="M138" s="2">
        <v>50050</v>
      </c>
      <c r="N138" s="2" t="s">
        <v>232</v>
      </c>
      <c r="O138" s="2">
        <v>5</v>
      </c>
    </row>
    <row r="139" spans="1:15" ht="22.5" customHeight="1">
      <c r="A139" s="2">
        <v>50000</v>
      </c>
      <c r="B139" s="2" t="s">
        <v>10</v>
      </c>
      <c r="C139" s="2">
        <v>50030</v>
      </c>
      <c r="D139" s="2" t="s">
        <v>12</v>
      </c>
      <c r="E139" s="2">
        <v>50032</v>
      </c>
      <c r="F139" s="2" t="s">
        <v>71</v>
      </c>
      <c r="G139" s="2">
        <v>50041</v>
      </c>
      <c r="H139" s="2" t="s">
        <v>218</v>
      </c>
      <c r="I139" s="2">
        <v>50051</v>
      </c>
      <c r="J139" s="2" t="s">
        <v>233</v>
      </c>
      <c r="M139" s="2">
        <v>50051</v>
      </c>
      <c r="N139" s="2" t="s">
        <v>233</v>
      </c>
      <c r="O139" s="2">
        <v>5</v>
      </c>
    </row>
    <row r="140" spans="1:15" ht="22.5" customHeight="1">
      <c r="A140" s="2">
        <v>50000</v>
      </c>
      <c r="B140" s="2" t="s">
        <v>10</v>
      </c>
      <c r="C140" s="2">
        <v>50030</v>
      </c>
      <c r="D140" s="2" t="s">
        <v>12</v>
      </c>
      <c r="E140" s="2">
        <v>50033</v>
      </c>
      <c r="F140" s="2" t="s">
        <v>85</v>
      </c>
      <c r="G140" s="2">
        <v>50052</v>
      </c>
      <c r="H140" s="2" t="s">
        <v>224</v>
      </c>
      <c r="M140" s="2">
        <v>50052</v>
      </c>
      <c r="N140" s="2" t="s">
        <v>224</v>
      </c>
      <c r="O140" s="2">
        <v>4</v>
      </c>
    </row>
    <row r="141" spans="1:15" ht="22.5" customHeight="1">
      <c r="A141" s="2">
        <v>50000</v>
      </c>
      <c r="B141" s="2" t="s">
        <v>10</v>
      </c>
      <c r="C141" s="2">
        <v>50030</v>
      </c>
      <c r="D141" s="2" t="s">
        <v>12</v>
      </c>
      <c r="E141" s="2">
        <v>50033</v>
      </c>
      <c r="F141" s="2" t="s">
        <v>85</v>
      </c>
      <c r="G141" s="2">
        <v>50053</v>
      </c>
      <c r="H141" s="2" t="s">
        <v>225</v>
      </c>
      <c r="M141" s="2">
        <v>50053</v>
      </c>
      <c r="N141" s="2" t="s">
        <v>225</v>
      </c>
      <c r="O141" s="2">
        <v>4</v>
      </c>
    </row>
    <row r="142" spans="1:15" ht="22.5" customHeight="1">
      <c r="A142" s="2">
        <v>50000</v>
      </c>
      <c r="B142" s="2" t="s">
        <v>10</v>
      </c>
      <c r="C142" s="2">
        <v>50030</v>
      </c>
      <c r="D142" s="2" t="s">
        <v>12</v>
      </c>
      <c r="E142" s="2">
        <v>50033</v>
      </c>
      <c r="F142" s="2" t="s">
        <v>85</v>
      </c>
      <c r="G142" s="2">
        <v>50054</v>
      </c>
      <c r="H142" s="2" t="s">
        <v>226</v>
      </c>
      <c r="M142" s="2">
        <v>50054</v>
      </c>
      <c r="N142" s="2" t="s">
        <v>226</v>
      </c>
      <c r="O142" s="2">
        <v>4</v>
      </c>
    </row>
    <row r="143" spans="1:15" ht="22.5" customHeight="1">
      <c r="A143" s="2">
        <v>50000</v>
      </c>
      <c r="B143" s="2" t="s">
        <v>10</v>
      </c>
      <c r="C143" s="2">
        <v>50055</v>
      </c>
      <c r="D143" s="2" t="s">
        <v>13</v>
      </c>
      <c r="E143" s="2">
        <v>50056</v>
      </c>
      <c r="F143" s="2" t="s">
        <v>33</v>
      </c>
      <c r="G143" s="2">
        <v>50059</v>
      </c>
      <c r="H143" s="2" t="s">
        <v>34</v>
      </c>
      <c r="I143" s="2">
        <v>50061</v>
      </c>
      <c r="J143" s="2" t="s">
        <v>198</v>
      </c>
      <c r="K143" s="2">
        <v>50066</v>
      </c>
      <c r="L143" s="2" t="s">
        <v>227</v>
      </c>
      <c r="M143" s="2">
        <v>50066</v>
      </c>
      <c r="N143" s="2" t="s">
        <v>227</v>
      </c>
      <c r="O143" s="2">
        <v>6</v>
      </c>
    </row>
    <row r="144" spans="1:15" ht="22.5" customHeight="1">
      <c r="A144" s="2">
        <v>50000</v>
      </c>
      <c r="B144" s="2" t="s">
        <v>10</v>
      </c>
      <c r="C144" s="2">
        <v>50055</v>
      </c>
      <c r="D144" s="2" t="s">
        <v>13</v>
      </c>
      <c r="E144" s="2">
        <v>50056</v>
      </c>
      <c r="F144" s="2" t="s">
        <v>33</v>
      </c>
      <c r="G144" s="2">
        <v>50059</v>
      </c>
      <c r="H144" s="2" t="s">
        <v>34</v>
      </c>
      <c r="I144" s="2">
        <v>50061</v>
      </c>
      <c r="J144" s="2" t="s">
        <v>198</v>
      </c>
      <c r="K144" s="2">
        <v>50067</v>
      </c>
      <c r="L144" s="2" t="s">
        <v>201</v>
      </c>
      <c r="M144" s="2">
        <v>50067</v>
      </c>
      <c r="N144" s="2" t="s">
        <v>202</v>
      </c>
      <c r="O144" s="2">
        <v>6</v>
      </c>
    </row>
    <row r="145" spans="1:15" ht="22.5" customHeight="1">
      <c r="A145" s="2">
        <v>50000</v>
      </c>
      <c r="B145" s="2" t="s">
        <v>10</v>
      </c>
      <c r="C145" s="2">
        <v>50055</v>
      </c>
      <c r="D145" s="2" t="s">
        <v>13</v>
      </c>
      <c r="E145" s="2">
        <v>50056</v>
      </c>
      <c r="F145" s="2" t="s">
        <v>33</v>
      </c>
      <c r="G145" s="2">
        <v>50059</v>
      </c>
      <c r="H145" s="2" t="s">
        <v>34</v>
      </c>
      <c r="I145" s="2">
        <v>50062</v>
      </c>
      <c r="J145" s="2" t="s">
        <v>234</v>
      </c>
      <c r="K145" s="2">
        <v>50068</v>
      </c>
      <c r="L145" s="2" t="s">
        <v>235</v>
      </c>
      <c r="M145" s="2">
        <v>50068</v>
      </c>
      <c r="N145" s="2" t="s">
        <v>235</v>
      </c>
      <c r="O145" s="2">
        <v>6</v>
      </c>
    </row>
    <row r="146" spans="1:15" ht="22.5" customHeight="1">
      <c r="A146" s="2">
        <v>50000</v>
      </c>
      <c r="B146" s="2" t="s">
        <v>10</v>
      </c>
      <c r="C146" s="2">
        <v>50055</v>
      </c>
      <c r="D146" s="2" t="s">
        <v>13</v>
      </c>
      <c r="E146" s="2">
        <v>50056</v>
      </c>
      <c r="F146" s="2" t="s">
        <v>33</v>
      </c>
      <c r="G146" s="2">
        <v>50060</v>
      </c>
      <c r="H146" s="2" t="s">
        <v>50</v>
      </c>
      <c r="I146" s="2">
        <v>50063</v>
      </c>
      <c r="J146" s="2" t="s">
        <v>211</v>
      </c>
      <c r="K146" s="2">
        <v>50069</v>
      </c>
      <c r="L146" s="2" t="s">
        <v>212</v>
      </c>
      <c r="M146" s="2">
        <v>50069</v>
      </c>
      <c r="N146" s="2" t="s">
        <v>213</v>
      </c>
      <c r="O146" s="2">
        <v>6</v>
      </c>
    </row>
    <row r="147" spans="1:15" ht="22.5" customHeight="1">
      <c r="A147" s="2">
        <v>50000</v>
      </c>
      <c r="B147" s="2" t="s">
        <v>10</v>
      </c>
      <c r="C147" s="2">
        <v>50055</v>
      </c>
      <c r="D147" s="2" t="s">
        <v>13</v>
      </c>
      <c r="E147" s="2">
        <v>50057</v>
      </c>
      <c r="F147" s="2" t="s">
        <v>71</v>
      </c>
      <c r="G147" s="2">
        <v>50064</v>
      </c>
      <c r="H147" s="2" t="s">
        <v>215</v>
      </c>
      <c r="I147" s="2">
        <v>50070</v>
      </c>
      <c r="J147" s="2" t="s">
        <v>216</v>
      </c>
      <c r="M147" s="2">
        <v>50070</v>
      </c>
      <c r="N147" s="2" t="s">
        <v>217</v>
      </c>
      <c r="O147" s="2">
        <v>5</v>
      </c>
    </row>
    <row r="148" spans="1:15" ht="22.5" customHeight="1">
      <c r="A148" s="2">
        <v>50000</v>
      </c>
      <c r="B148" s="2" t="s">
        <v>10</v>
      </c>
      <c r="C148" s="2">
        <v>50055</v>
      </c>
      <c r="D148" s="2" t="s">
        <v>13</v>
      </c>
      <c r="E148" s="2">
        <v>50057</v>
      </c>
      <c r="F148" s="2" t="s">
        <v>71</v>
      </c>
      <c r="G148" s="2">
        <v>50065</v>
      </c>
      <c r="H148" s="2" t="s">
        <v>218</v>
      </c>
      <c r="I148" s="2">
        <v>50071</v>
      </c>
      <c r="J148" s="2" t="s">
        <v>219</v>
      </c>
      <c r="M148" s="2">
        <v>50071</v>
      </c>
      <c r="N148" s="2" t="s">
        <v>219</v>
      </c>
      <c r="O148" s="2">
        <v>5</v>
      </c>
    </row>
    <row r="149" spans="1:15" ht="22.5" customHeight="1">
      <c r="A149" s="2">
        <v>50000</v>
      </c>
      <c r="B149" s="2" t="s">
        <v>10</v>
      </c>
      <c r="C149" s="2">
        <v>50055</v>
      </c>
      <c r="D149" s="2" t="s">
        <v>13</v>
      </c>
      <c r="E149" s="2">
        <v>50057</v>
      </c>
      <c r="F149" s="2" t="s">
        <v>71</v>
      </c>
      <c r="G149" s="2">
        <v>50065</v>
      </c>
      <c r="H149" s="2" t="s">
        <v>218</v>
      </c>
      <c r="I149" s="2">
        <v>50072</v>
      </c>
      <c r="J149" s="2" t="s">
        <v>232</v>
      </c>
      <c r="M149" s="2">
        <v>50072</v>
      </c>
      <c r="N149" s="2" t="s">
        <v>232</v>
      </c>
      <c r="O149" s="2">
        <v>5</v>
      </c>
    </row>
    <row r="150" spans="1:15" ht="22.5" customHeight="1">
      <c r="A150" s="2">
        <v>50000</v>
      </c>
      <c r="B150" s="2" t="s">
        <v>10</v>
      </c>
      <c r="C150" s="2">
        <v>50055</v>
      </c>
      <c r="D150" s="2" t="s">
        <v>13</v>
      </c>
      <c r="E150" s="2">
        <v>50058</v>
      </c>
      <c r="F150" s="2" t="s">
        <v>85</v>
      </c>
      <c r="G150" s="2">
        <v>50073</v>
      </c>
      <c r="H150" s="2" t="s">
        <v>236</v>
      </c>
      <c r="M150" s="2">
        <v>50073</v>
      </c>
      <c r="N150" s="2" t="s">
        <v>236</v>
      </c>
      <c r="O150" s="2">
        <v>4</v>
      </c>
    </row>
    <row r="151" spans="1:15" ht="22.5" customHeight="1">
      <c r="A151" s="2">
        <v>50000</v>
      </c>
      <c r="B151" s="2" t="s">
        <v>10</v>
      </c>
      <c r="C151" s="2">
        <v>50055</v>
      </c>
      <c r="D151" s="2" t="s">
        <v>13</v>
      </c>
      <c r="E151" s="2">
        <v>50058</v>
      </c>
      <c r="F151" s="2" t="s">
        <v>85</v>
      </c>
      <c r="G151" s="2">
        <v>50074</v>
      </c>
      <c r="H151" s="2" t="s">
        <v>225</v>
      </c>
      <c r="M151" s="2">
        <v>50074</v>
      </c>
      <c r="N151" s="2" t="s">
        <v>225</v>
      </c>
      <c r="O151" s="2">
        <v>4</v>
      </c>
    </row>
    <row r="152" spans="1:15" ht="22.5" customHeight="1">
      <c r="A152" s="2">
        <v>50000</v>
      </c>
      <c r="B152" s="2" t="s">
        <v>10</v>
      </c>
      <c r="C152" s="2">
        <v>50055</v>
      </c>
      <c r="D152" s="2" t="s">
        <v>13</v>
      </c>
      <c r="E152" s="2">
        <v>50058</v>
      </c>
      <c r="F152" s="2" t="s">
        <v>85</v>
      </c>
      <c r="G152" s="2">
        <v>50075</v>
      </c>
      <c r="H152" s="2" t="s">
        <v>226</v>
      </c>
      <c r="M152" s="2">
        <v>50075</v>
      </c>
      <c r="N152" s="2" t="s">
        <v>226</v>
      </c>
      <c r="O152" s="2">
        <v>4</v>
      </c>
    </row>
    <row r="153" spans="1:15" ht="22.5" customHeight="1">
      <c r="A153" s="2">
        <v>50000</v>
      </c>
      <c r="B153" s="2" t="s">
        <v>10</v>
      </c>
      <c r="C153" s="2">
        <v>50076</v>
      </c>
      <c r="D153" s="2" t="s">
        <v>14</v>
      </c>
      <c r="E153" s="2">
        <v>50077</v>
      </c>
      <c r="F153" s="2" t="s">
        <v>33</v>
      </c>
      <c r="G153" s="2">
        <v>50080</v>
      </c>
      <c r="H153" s="2" t="s">
        <v>34</v>
      </c>
      <c r="I153" s="2">
        <v>50082</v>
      </c>
      <c r="J153" s="2" t="s">
        <v>198</v>
      </c>
      <c r="K153" s="2">
        <v>50088</v>
      </c>
      <c r="L153" s="2" t="s">
        <v>227</v>
      </c>
      <c r="M153" s="2">
        <v>50088</v>
      </c>
      <c r="N153" s="2" t="s">
        <v>227</v>
      </c>
      <c r="O153" s="2">
        <v>6</v>
      </c>
    </row>
    <row r="154" spans="1:15" ht="22.5" customHeight="1">
      <c r="A154" s="2">
        <v>50000</v>
      </c>
      <c r="B154" s="2" t="s">
        <v>10</v>
      </c>
      <c r="C154" s="2">
        <v>50076</v>
      </c>
      <c r="D154" s="2" t="s">
        <v>14</v>
      </c>
      <c r="E154" s="2">
        <v>50077</v>
      </c>
      <c r="F154" s="2" t="s">
        <v>33</v>
      </c>
      <c r="G154" s="2">
        <v>50080</v>
      </c>
      <c r="H154" s="2" t="s">
        <v>34</v>
      </c>
      <c r="I154" s="2">
        <v>50082</v>
      </c>
      <c r="J154" s="2" t="s">
        <v>198</v>
      </c>
      <c r="K154" s="2">
        <v>50089</v>
      </c>
      <c r="L154" s="2" t="s">
        <v>237</v>
      </c>
      <c r="M154" s="2">
        <v>50089</v>
      </c>
      <c r="N154" s="2" t="s">
        <v>237</v>
      </c>
      <c r="O154" s="2">
        <v>6</v>
      </c>
    </row>
    <row r="155" spans="1:15" ht="22.5" customHeight="1">
      <c r="A155" s="2">
        <v>50000</v>
      </c>
      <c r="B155" s="2" t="s">
        <v>10</v>
      </c>
      <c r="C155" s="2">
        <v>50076</v>
      </c>
      <c r="D155" s="2" t="s">
        <v>14</v>
      </c>
      <c r="E155" s="2">
        <v>50077</v>
      </c>
      <c r="F155" s="2" t="s">
        <v>33</v>
      </c>
      <c r="G155" s="2">
        <v>50080</v>
      </c>
      <c r="H155" s="2" t="s">
        <v>34</v>
      </c>
      <c r="I155" s="2">
        <v>50082</v>
      </c>
      <c r="J155" s="2" t="s">
        <v>198</v>
      </c>
      <c r="K155" s="2">
        <v>50090</v>
      </c>
      <c r="L155" s="2" t="s">
        <v>238</v>
      </c>
      <c r="M155" s="2">
        <v>50090</v>
      </c>
      <c r="N155" s="2" t="s">
        <v>238</v>
      </c>
      <c r="O155" s="2">
        <v>6</v>
      </c>
    </row>
    <row r="156" spans="1:15" ht="22.5" customHeight="1">
      <c r="A156" s="2">
        <v>50000</v>
      </c>
      <c r="B156" s="2" t="s">
        <v>10</v>
      </c>
      <c r="C156" s="2">
        <v>50076</v>
      </c>
      <c r="D156" s="2" t="s">
        <v>14</v>
      </c>
      <c r="E156" s="2">
        <v>50077</v>
      </c>
      <c r="F156" s="2" t="s">
        <v>33</v>
      </c>
      <c r="G156" s="2">
        <v>50080</v>
      </c>
      <c r="H156" s="2" t="s">
        <v>34</v>
      </c>
      <c r="I156" s="2">
        <v>50082</v>
      </c>
      <c r="J156" s="2" t="s">
        <v>198</v>
      </c>
      <c r="K156" s="2">
        <v>50091</v>
      </c>
      <c r="L156" s="2" t="s">
        <v>201</v>
      </c>
      <c r="M156" s="2">
        <v>50091</v>
      </c>
      <c r="N156" s="2" t="s">
        <v>202</v>
      </c>
      <c r="O156" s="2">
        <v>6</v>
      </c>
    </row>
    <row r="157" spans="1:15" ht="22.5" customHeight="1">
      <c r="A157" s="2">
        <v>50000</v>
      </c>
      <c r="B157" s="2" t="s">
        <v>10</v>
      </c>
      <c r="C157" s="2">
        <v>50076</v>
      </c>
      <c r="D157" s="2" t="s">
        <v>14</v>
      </c>
      <c r="E157" s="2">
        <v>50077</v>
      </c>
      <c r="F157" s="2" t="s">
        <v>33</v>
      </c>
      <c r="G157" s="2">
        <v>50080</v>
      </c>
      <c r="H157" s="2" t="s">
        <v>34</v>
      </c>
      <c r="I157" s="2">
        <v>50083</v>
      </c>
      <c r="J157" s="2" t="s">
        <v>239</v>
      </c>
      <c r="K157" s="2">
        <v>50092</v>
      </c>
      <c r="L157" s="2" t="s">
        <v>240</v>
      </c>
      <c r="M157" s="2">
        <v>50092</v>
      </c>
      <c r="N157" s="2" t="s">
        <v>241</v>
      </c>
      <c r="O157" s="2">
        <v>6</v>
      </c>
    </row>
    <row r="158" spans="1:15" ht="22.5" customHeight="1">
      <c r="A158" s="2">
        <v>50000</v>
      </c>
      <c r="B158" s="2" t="s">
        <v>10</v>
      </c>
      <c r="C158" s="2">
        <v>50076</v>
      </c>
      <c r="D158" s="2" t="s">
        <v>14</v>
      </c>
      <c r="E158" s="2">
        <v>50077</v>
      </c>
      <c r="F158" s="2" t="s">
        <v>33</v>
      </c>
      <c r="G158" s="2">
        <v>50081</v>
      </c>
      <c r="H158" s="2" t="s">
        <v>50</v>
      </c>
      <c r="I158" s="2">
        <v>50084</v>
      </c>
      <c r="J158" s="2" t="s">
        <v>211</v>
      </c>
      <c r="K158" s="2">
        <v>50093</v>
      </c>
      <c r="L158" s="2" t="s">
        <v>212</v>
      </c>
      <c r="M158" s="2">
        <v>50093</v>
      </c>
      <c r="N158" s="2" t="s">
        <v>213</v>
      </c>
      <c r="O158" s="2">
        <v>6</v>
      </c>
    </row>
    <row r="159" spans="1:15" ht="22.5" customHeight="1">
      <c r="A159" s="2">
        <v>50000</v>
      </c>
      <c r="B159" s="2" t="s">
        <v>10</v>
      </c>
      <c r="C159" s="2">
        <v>50076</v>
      </c>
      <c r="D159" s="2" t="s">
        <v>14</v>
      </c>
      <c r="E159" s="2">
        <v>50078</v>
      </c>
      <c r="F159" s="2" t="s">
        <v>71</v>
      </c>
      <c r="G159" s="2">
        <v>50085</v>
      </c>
      <c r="H159" s="2" t="s">
        <v>73</v>
      </c>
      <c r="I159" s="2">
        <v>50094</v>
      </c>
      <c r="J159" s="2" t="s">
        <v>73</v>
      </c>
      <c r="M159" s="2">
        <v>50094</v>
      </c>
      <c r="N159" s="2" t="s">
        <v>73</v>
      </c>
      <c r="O159" s="2">
        <v>5</v>
      </c>
    </row>
    <row r="160" spans="1:15" ht="22.5" customHeight="1">
      <c r="A160" s="2">
        <v>50000</v>
      </c>
      <c r="B160" s="2" t="s">
        <v>10</v>
      </c>
      <c r="C160" s="2">
        <v>50076</v>
      </c>
      <c r="D160" s="2" t="s">
        <v>14</v>
      </c>
      <c r="E160" s="2">
        <v>50078</v>
      </c>
      <c r="F160" s="2" t="s">
        <v>71</v>
      </c>
      <c r="G160" s="2">
        <v>50086</v>
      </c>
      <c r="H160" s="2" t="s">
        <v>215</v>
      </c>
      <c r="I160" s="2">
        <v>50095</v>
      </c>
      <c r="J160" s="2" t="s">
        <v>216</v>
      </c>
      <c r="M160" s="2">
        <v>50095</v>
      </c>
      <c r="N160" s="2" t="s">
        <v>217</v>
      </c>
      <c r="O160" s="2">
        <v>5</v>
      </c>
    </row>
    <row r="161" spans="1:15" ht="22.5" customHeight="1">
      <c r="A161" s="2">
        <v>50000</v>
      </c>
      <c r="B161" s="2" t="s">
        <v>10</v>
      </c>
      <c r="C161" s="2">
        <v>50076</v>
      </c>
      <c r="D161" s="2" t="s">
        <v>14</v>
      </c>
      <c r="E161" s="2">
        <v>50078</v>
      </c>
      <c r="F161" s="2" t="s">
        <v>71</v>
      </c>
      <c r="G161" s="2">
        <v>50087</v>
      </c>
      <c r="H161" s="2" t="s">
        <v>218</v>
      </c>
      <c r="I161" s="2">
        <v>50096</v>
      </c>
      <c r="J161" s="2" t="s">
        <v>230</v>
      </c>
      <c r="M161" s="2">
        <v>50096</v>
      </c>
      <c r="N161" s="2" t="s">
        <v>231</v>
      </c>
      <c r="O161" s="2">
        <v>5</v>
      </c>
    </row>
    <row r="162" spans="1:15" ht="22.5" customHeight="1">
      <c r="A162" s="2">
        <v>50000</v>
      </c>
      <c r="B162" s="2" t="s">
        <v>10</v>
      </c>
      <c r="C162" s="2">
        <v>50076</v>
      </c>
      <c r="D162" s="2" t="s">
        <v>14</v>
      </c>
      <c r="E162" s="2">
        <v>50078</v>
      </c>
      <c r="F162" s="2" t="s">
        <v>71</v>
      </c>
      <c r="G162" s="2">
        <v>50087</v>
      </c>
      <c r="H162" s="2" t="s">
        <v>218</v>
      </c>
      <c r="I162" s="2">
        <v>50097</v>
      </c>
      <c r="J162" s="2" t="s">
        <v>221</v>
      </c>
      <c r="M162" s="2">
        <v>50097</v>
      </c>
      <c r="N162" s="2" t="s">
        <v>221</v>
      </c>
      <c r="O162" s="2">
        <v>5</v>
      </c>
    </row>
    <row r="163" spans="1:15" ht="22.5" customHeight="1">
      <c r="A163" s="2">
        <v>50000</v>
      </c>
      <c r="B163" s="2" t="s">
        <v>10</v>
      </c>
      <c r="C163" s="2">
        <v>50076</v>
      </c>
      <c r="D163" s="2" t="s">
        <v>14</v>
      </c>
      <c r="E163" s="2">
        <v>50078</v>
      </c>
      <c r="F163" s="2" t="s">
        <v>71</v>
      </c>
      <c r="G163" s="2">
        <v>50087</v>
      </c>
      <c r="H163" s="2" t="s">
        <v>218</v>
      </c>
      <c r="I163" s="2">
        <v>50098</v>
      </c>
      <c r="J163" s="2" t="s">
        <v>223</v>
      </c>
      <c r="M163" s="2">
        <v>50098</v>
      </c>
      <c r="N163" s="2" t="s">
        <v>223</v>
      </c>
      <c r="O163" s="2">
        <v>5</v>
      </c>
    </row>
    <row r="164" spans="1:15" ht="22.5" customHeight="1">
      <c r="A164" s="2">
        <v>50000</v>
      </c>
      <c r="B164" s="2" t="s">
        <v>10</v>
      </c>
      <c r="C164" s="2">
        <v>50076</v>
      </c>
      <c r="D164" s="2" t="s">
        <v>14</v>
      </c>
      <c r="E164" s="2">
        <v>50079</v>
      </c>
      <c r="F164" s="2" t="s">
        <v>85</v>
      </c>
      <c r="G164" s="2">
        <v>50099</v>
      </c>
      <c r="H164" s="2" t="s">
        <v>224</v>
      </c>
      <c r="M164" s="2">
        <v>50099</v>
      </c>
      <c r="N164" s="2" t="s">
        <v>224</v>
      </c>
      <c r="O164" s="2">
        <v>4</v>
      </c>
    </row>
    <row r="165" spans="1:15" ht="22.5" customHeight="1">
      <c r="A165" s="2">
        <v>50000</v>
      </c>
      <c r="B165" s="2" t="s">
        <v>10</v>
      </c>
      <c r="C165" s="2">
        <v>50076</v>
      </c>
      <c r="D165" s="2" t="s">
        <v>14</v>
      </c>
      <c r="E165" s="2">
        <v>50079</v>
      </c>
      <c r="F165" s="2" t="s">
        <v>85</v>
      </c>
      <c r="G165" s="2">
        <v>50100</v>
      </c>
      <c r="H165" s="2" t="s">
        <v>236</v>
      </c>
      <c r="M165" s="2">
        <v>50100</v>
      </c>
      <c r="N165" s="2" t="s">
        <v>236</v>
      </c>
      <c r="O165" s="2">
        <v>4</v>
      </c>
    </row>
    <row r="166" spans="1:15" ht="22.5" customHeight="1">
      <c r="A166" s="2">
        <v>50000</v>
      </c>
      <c r="B166" s="2" t="s">
        <v>10</v>
      </c>
      <c r="C166" s="2">
        <v>50076</v>
      </c>
      <c r="D166" s="2" t="s">
        <v>14</v>
      </c>
      <c r="E166" s="2">
        <v>50079</v>
      </c>
      <c r="F166" s="2" t="s">
        <v>85</v>
      </c>
      <c r="G166" s="2">
        <v>50101</v>
      </c>
      <c r="H166" s="2" t="s">
        <v>225</v>
      </c>
      <c r="M166" s="2">
        <v>50101</v>
      </c>
      <c r="N166" s="2" t="s">
        <v>225</v>
      </c>
      <c r="O166" s="2">
        <v>4</v>
      </c>
    </row>
    <row r="167" spans="1:15" ht="22.5" customHeight="1">
      <c r="A167" s="2">
        <v>50000</v>
      </c>
      <c r="B167" s="2" t="s">
        <v>10</v>
      </c>
      <c r="C167" s="2">
        <v>50076</v>
      </c>
      <c r="D167" s="2" t="s">
        <v>14</v>
      </c>
      <c r="E167" s="2">
        <v>50079</v>
      </c>
      <c r="F167" s="2" t="s">
        <v>85</v>
      </c>
      <c r="G167" s="2">
        <v>50102</v>
      </c>
      <c r="H167" s="2" t="s">
        <v>242</v>
      </c>
      <c r="M167" s="2">
        <v>50102</v>
      </c>
      <c r="N167" s="2" t="s">
        <v>243</v>
      </c>
      <c r="O167" s="2">
        <v>4</v>
      </c>
    </row>
    <row r="168" spans="1:15" ht="22.5" customHeight="1">
      <c r="A168" s="2">
        <v>50000</v>
      </c>
      <c r="B168" s="2" t="s">
        <v>10</v>
      </c>
      <c r="C168" s="2">
        <v>50076</v>
      </c>
      <c r="D168" s="2" t="s">
        <v>14</v>
      </c>
      <c r="E168" s="2">
        <v>50079</v>
      </c>
      <c r="F168" s="2" t="s">
        <v>85</v>
      </c>
      <c r="G168" s="2">
        <v>50103</v>
      </c>
      <c r="H168" s="2" t="s">
        <v>244</v>
      </c>
      <c r="M168" s="2">
        <v>50103</v>
      </c>
      <c r="N168" s="2" t="s">
        <v>244</v>
      </c>
      <c r="O168" s="2">
        <v>4</v>
      </c>
    </row>
    <row r="169" spans="1:15" ht="22.5" customHeight="1">
      <c r="A169" s="2">
        <v>50000</v>
      </c>
      <c r="B169" s="2" t="s">
        <v>10</v>
      </c>
      <c r="C169" s="2">
        <v>50076</v>
      </c>
      <c r="D169" s="2" t="s">
        <v>14</v>
      </c>
      <c r="E169" s="2">
        <v>50079</v>
      </c>
      <c r="F169" s="2" t="s">
        <v>85</v>
      </c>
      <c r="G169" s="2">
        <v>50104</v>
      </c>
      <c r="H169" s="2" t="s">
        <v>226</v>
      </c>
      <c r="M169" s="2">
        <v>50104</v>
      </c>
      <c r="N169" s="2" t="s">
        <v>226</v>
      </c>
      <c r="O169" s="2">
        <v>4</v>
      </c>
    </row>
    <row r="170" spans="1:15" ht="22.5" customHeight="1">
      <c r="A170" s="2">
        <v>60000</v>
      </c>
      <c r="B170" s="2" t="s">
        <v>15</v>
      </c>
      <c r="C170" s="2">
        <v>60001</v>
      </c>
      <c r="D170" s="2" t="s">
        <v>16</v>
      </c>
      <c r="E170" s="2">
        <v>60002</v>
      </c>
      <c r="F170" s="2" t="s">
        <v>33</v>
      </c>
      <c r="G170" s="2">
        <v>60005</v>
      </c>
      <c r="H170" s="2" t="s">
        <v>50</v>
      </c>
      <c r="I170" s="2">
        <v>60007</v>
      </c>
      <c r="J170" s="2" t="s">
        <v>245</v>
      </c>
      <c r="K170" s="2">
        <v>60014</v>
      </c>
      <c r="L170" s="2" t="s">
        <v>246</v>
      </c>
      <c r="M170" s="2">
        <v>60014</v>
      </c>
      <c r="N170" s="2" t="s">
        <v>246</v>
      </c>
      <c r="O170" s="2">
        <v>6</v>
      </c>
    </row>
    <row r="171" spans="1:15" ht="22.5" customHeight="1">
      <c r="A171" s="2">
        <v>60000</v>
      </c>
      <c r="B171" s="2" t="s">
        <v>15</v>
      </c>
      <c r="C171" s="2">
        <v>60001</v>
      </c>
      <c r="D171" s="2" t="s">
        <v>16</v>
      </c>
      <c r="E171" s="2">
        <v>60002</v>
      </c>
      <c r="F171" s="2" t="s">
        <v>33</v>
      </c>
      <c r="G171" s="2">
        <v>60005</v>
      </c>
      <c r="H171" s="2" t="s">
        <v>50</v>
      </c>
      <c r="I171" s="2">
        <v>60007</v>
      </c>
      <c r="J171" s="2" t="s">
        <v>245</v>
      </c>
      <c r="K171" s="2">
        <v>60015</v>
      </c>
      <c r="L171" s="2" t="s">
        <v>247</v>
      </c>
      <c r="M171" s="2">
        <v>60015</v>
      </c>
      <c r="N171" s="2" t="s">
        <v>248</v>
      </c>
      <c r="O171" s="2">
        <v>6</v>
      </c>
    </row>
    <row r="172" spans="1:15" ht="22.5" customHeight="1">
      <c r="A172" s="2">
        <v>60000</v>
      </c>
      <c r="B172" s="2" t="s">
        <v>15</v>
      </c>
      <c r="C172" s="2">
        <v>60001</v>
      </c>
      <c r="D172" s="2" t="s">
        <v>16</v>
      </c>
      <c r="E172" s="2">
        <v>60002</v>
      </c>
      <c r="F172" s="2" t="s">
        <v>33</v>
      </c>
      <c r="G172" s="2">
        <v>60005</v>
      </c>
      <c r="H172" s="2" t="s">
        <v>50</v>
      </c>
      <c r="I172" s="2">
        <v>60007</v>
      </c>
      <c r="J172" s="2" t="s">
        <v>245</v>
      </c>
      <c r="K172" s="2">
        <v>60016</v>
      </c>
      <c r="L172" s="2" t="s">
        <v>249</v>
      </c>
      <c r="M172" s="2">
        <v>60016</v>
      </c>
      <c r="N172" s="2" t="s">
        <v>249</v>
      </c>
      <c r="O172" s="2">
        <v>6</v>
      </c>
    </row>
    <row r="173" spans="1:15" ht="22.5" customHeight="1">
      <c r="A173" s="2">
        <v>60000</v>
      </c>
      <c r="B173" s="2" t="s">
        <v>15</v>
      </c>
      <c r="C173" s="2">
        <v>60001</v>
      </c>
      <c r="D173" s="2" t="s">
        <v>16</v>
      </c>
      <c r="E173" s="2">
        <v>60002</v>
      </c>
      <c r="F173" s="2" t="s">
        <v>33</v>
      </c>
      <c r="G173" s="2">
        <v>60005</v>
      </c>
      <c r="H173" s="2" t="s">
        <v>50</v>
      </c>
      <c r="I173" s="2">
        <v>60007</v>
      </c>
      <c r="J173" s="2" t="s">
        <v>245</v>
      </c>
      <c r="K173" s="2">
        <v>60017</v>
      </c>
      <c r="L173" s="2" t="s">
        <v>250</v>
      </c>
      <c r="M173" s="2">
        <v>60017</v>
      </c>
      <c r="N173" s="2" t="s">
        <v>251</v>
      </c>
      <c r="O173" s="2">
        <v>6</v>
      </c>
    </row>
    <row r="174" spans="1:15" ht="22.5" customHeight="1">
      <c r="A174" s="2">
        <v>60000</v>
      </c>
      <c r="B174" s="2" t="s">
        <v>15</v>
      </c>
      <c r="C174" s="2">
        <v>60001</v>
      </c>
      <c r="D174" s="2" t="s">
        <v>16</v>
      </c>
      <c r="E174" s="2">
        <v>60002</v>
      </c>
      <c r="F174" s="2" t="s">
        <v>33</v>
      </c>
      <c r="G174" s="2">
        <v>60005</v>
      </c>
      <c r="H174" s="2" t="s">
        <v>50</v>
      </c>
      <c r="I174" s="2">
        <v>60008</v>
      </c>
      <c r="J174" s="2" t="s">
        <v>252</v>
      </c>
      <c r="K174" s="2">
        <v>60018</v>
      </c>
      <c r="L174" s="2" t="s">
        <v>59</v>
      </c>
      <c r="M174" s="2">
        <v>60018</v>
      </c>
      <c r="N174" s="2" t="s">
        <v>59</v>
      </c>
      <c r="O174" s="2">
        <v>6</v>
      </c>
    </row>
    <row r="175" spans="1:15" ht="22.5" customHeight="1">
      <c r="A175" s="2">
        <v>60000</v>
      </c>
      <c r="B175" s="2" t="s">
        <v>15</v>
      </c>
      <c r="C175" s="2">
        <v>60001</v>
      </c>
      <c r="D175" s="2" t="s">
        <v>16</v>
      </c>
      <c r="E175" s="2">
        <v>60002</v>
      </c>
      <c r="F175" s="2" t="s">
        <v>33</v>
      </c>
      <c r="G175" s="2">
        <v>60005</v>
      </c>
      <c r="H175" s="2" t="s">
        <v>50</v>
      </c>
      <c r="I175" s="2">
        <v>60008</v>
      </c>
      <c r="J175" s="2" t="s">
        <v>252</v>
      </c>
      <c r="K175" s="2">
        <v>60019</v>
      </c>
      <c r="L175" s="2" t="s">
        <v>253</v>
      </c>
      <c r="M175" s="2">
        <v>60019</v>
      </c>
      <c r="N175" s="2" t="s">
        <v>253</v>
      </c>
      <c r="O175" s="2">
        <v>6</v>
      </c>
    </row>
    <row r="176" spans="1:15" ht="22.5" customHeight="1">
      <c r="A176" s="2">
        <v>60000</v>
      </c>
      <c r="B176" s="2" t="s">
        <v>15</v>
      </c>
      <c r="C176" s="2">
        <v>60001</v>
      </c>
      <c r="D176" s="2" t="s">
        <v>16</v>
      </c>
      <c r="E176" s="2">
        <v>60002</v>
      </c>
      <c r="F176" s="2" t="s">
        <v>33</v>
      </c>
      <c r="G176" s="2">
        <v>60005</v>
      </c>
      <c r="H176" s="2" t="s">
        <v>50</v>
      </c>
      <c r="I176" s="2">
        <v>60008</v>
      </c>
      <c r="J176" s="2" t="s">
        <v>252</v>
      </c>
      <c r="K176" s="2">
        <v>60020</v>
      </c>
      <c r="L176" s="2" t="s">
        <v>254</v>
      </c>
      <c r="M176" s="2">
        <v>60020</v>
      </c>
      <c r="N176" s="2" t="s">
        <v>254</v>
      </c>
      <c r="O176" s="2">
        <v>6</v>
      </c>
    </row>
    <row r="177" spans="1:15" ht="22.5" customHeight="1">
      <c r="A177" s="2">
        <v>60000</v>
      </c>
      <c r="B177" s="2" t="s">
        <v>15</v>
      </c>
      <c r="C177" s="2">
        <v>60001</v>
      </c>
      <c r="D177" s="2" t="s">
        <v>16</v>
      </c>
      <c r="E177" s="2">
        <v>60002</v>
      </c>
      <c r="F177" s="2" t="s">
        <v>33</v>
      </c>
      <c r="G177" s="2">
        <v>60005</v>
      </c>
      <c r="H177" s="2" t="s">
        <v>50</v>
      </c>
      <c r="I177" s="2">
        <v>60008</v>
      </c>
      <c r="J177" s="2" t="s">
        <v>252</v>
      </c>
      <c r="K177" s="2">
        <v>60021</v>
      </c>
      <c r="L177" s="2" t="s">
        <v>255</v>
      </c>
      <c r="M177" s="2">
        <v>60021</v>
      </c>
      <c r="N177" s="2" t="s">
        <v>256</v>
      </c>
      <c r="O177" s="2">
        <v>6</v>
      </c>
    </row>
    <row r="178" spans="1:15" ht="22.5" customHeight="1">
      <c r="A178" s="2">
        <v>60000</v>
      </c>
      <c r="B178" s="2" t="s">
        <v>15</v>
      </c>
      <c r="C178" s="2">
        <v>60001</v>
      </c>
      <c r="D178" s="2" t="s">
        <v>16</v>
      </c>
      <c r="E178" s="2">
        <v>60002</v>
      </c>
      <c r="F178" s="2" t="s">
        <v>33</v>
      </c>
      <c r="G178" s="2">
        <v>60005</v>
      </c>
      <c r="H178" s="2" t="s">
        <v>50</v>
      </c>
      <c r="I178" s="2">
        <v>60008</v>
      </c>
      <c r="J178" s="2" t="s">
        <v>252</v>
      </c>
      <c r="K178" s="2">
        <v>60022</v>
      </c>
      <c r="L178" s="2" t="s">
        <v>257</v>
      </c>
      <c r="M178" s="2">
        <v>60022</v>
      </c>
      <c r="N178" s="2" t="s">
        <v>258</v>
      </c>
      <c r="O178" s="2">
        <v>6</v>
      </c>
    </row>
    <row r="179" spans="1:15" ht="22.5" customHeight="1">
      <c r="A179" s="2">
        <v>60000</v>
      </c>
      <c r="B179" s="2" t="s">
        <v>15</v>
      </c>
      <c r="C179" s="2">
        <v>60001</v>
      </c>
      <c r="D179" s="2" t="s">
        <v>16</v>
      </c>
      <c r="E179" s="2">
        <v>60002</v>
      </c>
      <c r="F179" s="2" t="s">
        <v>33</v>
      </c>
      <c r="G179" s="2">
        <v>60005</v>
      </c>
      <c r="H179" s="2" t="s">
        <v>50</v>
      </c>
      <c r="I179" s="2">
        <v>60008</v>
      </c>
      <c r="J179" s="2" t="s">
        <v>252</v>
      </c>
      <c r="K179" s="2">
        <v>60023</v>
      </c>
      <c r="L179" s="2" t="s">
        <v>259</v>
      </c>
      <c r="M179" s="2">
        <v>60023</v>
      </c>
      <c r="N179" s="2" t="s">
        <v>259</v>
      </c>
      <c r="O179" s="2">
        <v>6</v>
      </c>
    </row>
    <row r="180" spans="1:15" ht="22.5" customHeight="1">
      <c r="A180" s="2">
        <v>60000</v>
      </c>
      <c r="B180" s="2" t="s">
        <v>15</v>
      </c>
      <c r="C180" s="2">
        <v>60001</v>
      </c>
      <c r="D180" s="2" t="s">
        <v>16</v>
      </c>
      <c r="E180" s="2">
        <v>60002</v>
      </c>
      <c r="F180" s="2" t="s">
        <v>33</v>
      </c>
      <c r="G180" s="2">
        <v>60005</v>
      </c>
      <c r="H180" s="2" t="s">
        <v>50</v>
      </c>
      <c r="I180" s="2">
        <v>60008</v>
      </c>
      <c r="J180" s="2" t="s">
        <v>252</v>
      </c>
      <c r="K180" s="2">
        <v>60024</v>
      </c>
      <c r="L180" s="2" t="s">
        <v>260</v>
      </c>
      <c r="M180" s="2">
        <v>60024</v>
      </c>
      <c r="N180" s="2" t="s">
        <v>260</v>
      </c>
      <c r="O180" s="2">
        <v>6</v>
      </c>
    </row>
    <row r="181" spans="1:15" ht="22.5" customHeight="1">
      <c r="A181" s="2">
        <v>60000</v>
      </c>
      <c r="B181" s="2" t="s">
        <v>15</v>
      </c>
      <c r="C181" s="2">
        <v>60001</v>
      </c>
      <c r="D181" s="2" t="s">
        <v>16</v>
      </c>
      <c r="E181" s="2">
        <v>60002</v>
      </c>
      <c r="F181" s="2" t="s">
        <v>33</v>
      </c>
      <c r="G181" s="2">
        <v>60005</v>
      </c>
      <c r="H181" s="2" t="s">
        <v>50</v>
      </c>
      <c r="I181" s="2">
        <v>60009</v>
      </c>
      <c r="J181" s="2" t="s">
        <v>261</v>
      </c>
      <c r="K181" s="2">
        <v>60025</v>
      </c>
      <c r="L181" s="2" t="s">
        <v>218</v>
      </c>
      <c r="M181" s="2">
        <v>60025</v>
      </c>
      <c r="N181" s="2" t="s">
        <v>218</v>
      </c>
      <c r="O181" s="2">
        <v>6</v>
      </c>
    </row>
    <row r="182" spans="1:15" ht="22.5" customHeight="1">
      <c r="A182" s="2">
        <v>60000</v>
      </c>
      <c r="B182" s="2" t="s">
        <v>15</v>
      </c>
      <c r="C182" s="2">
        <v>60001</v>
      </c>
      <c r="D182" s="2" t="s">
        <v>16</v>
      </c>
      <c r="E182" s="2">
        <v>60002</v>
      </c>
      <c r="F182" s="2" t="s">
        <v>33</v>
      </c>
      <c r="G182" s="2">
        <v>60005</v>
      </c>
      <c r="H182" s="2" t="s">
        <v>50</v>
      </c>
      <c r="I182" s="2">
        <v>60009</v>
      </c>
      <c r="J182" s="2" t="s">
        <v>261</v>
      </c>
      <c r="K182" s="2">
        <v>60026</v>
      </c>
      <c r="L182" s="2" t="s">
        <v>262</v>
      </c>
      <c r="M182" s="2">
        <v>60026</v>
      </c>
      <c r="N182" s="2" t="s">
        <v>262</v>
      </c>
      <c r="O182" s="2">
        <v>6</v>
      </c>
    </row>
    <row r="183" spans="1:15" ht="22.5" customHeight="1">
      <c r="A183" s="2">
        <v>60000</v>
      </c>
      <c r="B183" s="2" t="s">
        <v>15</v>
      </c>
      <c r="C183" s="2">
        <v>60001</v>
      </c>
      <c r="D183" s="2" t="s">
        <v>16</v>
      </c>
      <c r="E183" s="2">
        <v>60002</v>
      </c>
      <c r="F183" s="2" t="s">
        <v>33</v>
      </c>
      <c r="G183" s="2">
        <v>60005</v>
      </c>
      <c r="H183" s="2" t="s">
        <v>50</v>
      </c>
      <c r="I183" s="2">
        <v>60009</v>
      </c>
      <c r="J183" s="2" t="s">
        <v>261</v>
      </c>
      <c r="K183" s="2">
        <v>60027</v>
      </c>
      <c r="L183" s="2" t="s">
        <v>263</v>
      </c>
      <c r="M183" s="2">
        <v>60027</v>
      </c>
      <c r="N183" s="2" t="s">
        <v>263</v>
      </c>
      <c r="O183" s="2">
        <v>6</v>
      </c>
    </row>
    <row r="184" spans="1:15" ht="22.5" customHeight="1">
      <c r="A184" s="2">
        <v>60000</v>
      </c>
      <c r="B184" s="2" t="s">
        <v>15</v>
      </c>
      <c r="C184" s="2">
        <v>60001</v>
      </c>
      <c r="D184" s="2" t="s">
        <v>16</v>
      </c>
      <c r="E184" s="2">
        <v>60002</v>
      </c>
      <c r="F184" s="2" t="s">
        <v>33</v>
      </c>
      <c r="G184" s="2">
        <v>60005</v>
      </c>
      <c r="H184" s="2" t="s">
        <v>50</v>
      </c>
      <c r="I184" s="2">
        <v>60009</v>
      </c>
      <c r="J184" s="2" t="s">
        <v>261</v>
      </c>
      <c r="K184" s="2">
        <v>60028</v>
      </c>
      <c r="L184" s="2" t="s">
        <v>264</v>
      </c>
      <c r="M184" s="2">
        <v>60028</v>
      </c>
      <c r="N184" s="2" t="s">
        <v>264</v>
      </c>
      <c r="O184" s="2">
        <v>6</v>
      </c>
    </row>
    <row r="185" spans="1:15" ht="22.5" customHeight="1">
      <c r="A185" s="2">
        <v>60000</v>
      </c>
      <c r="B185" s="2" t="s">
        <v>15</v>
      </c>
      <c r="C185" s="2">
        <v>60001</v>
      </c>
      <c r="D185" s="2" t="s">
        <v>16</v>
      </c>
      <c r="E185" s="2">
        <v>60002</v>
      </c>
      <c r="F185" s="2" t="s">
        <v>33</v>
      </c>
      <c r="G185" s="2">
        <v>60005</v>
      </c>
      <c r="H185" s="2" t="s">
        <v>50</v>
      </c>
      <c r="I185" s="2">
        <v>60009</v>
      </c>
      <c r="J185" s="2" t="s">
        <v>261</v>
      </c>
      <c r="K185" s="2">
        <v>60029</v>
      </c>
      <c r="L185" s="2" t="s">
        <v>265</v>
      </c>
      <c r="M185" s="2">
        <v>60029</v>
      </c>
      <c r="N185" s="2" t="s">
        <v>266</v>
      </c>
      <c r="O185" s="2">
        <v>6</v>
      </c>
    </row>
    <row r="186" spans="1:15" ht="22.5" customHeight="1">
      <c r="A186" s="2">
        <v>60000</v>
      </c>
      <c r="B186" s="2" t="s">
        <v>15</v>
      </c>
      <c r="C186" s="2">
        <v>60001</v>
      </c>
      <c r="D186" s="2" t="s">
        <v>16</v>
      </c>
      <c r="E186" s="2">
        <v>60002</v>
      </c>
      <c r="F186" s="2" t="s">
        <v>33</v>
      </c>
      <c r="G186" s="2">
        <v>60005</v>
      </c>
      <c r="H186" s="2" t="s">
        <v>50</v>
      </c>
      <c r="I186" s="2">
        <v>60009</v>
      </c>
      <c r="J186" s="2" t="s">
        <v>261</v>
      </c>
      <c r="K186" s="2">
        <v>60030</v>
      </c>
      <c r="L186" s="2" t="s">
        <v>52</v>
      </c>
      <c r="M186" s="2">
        <v>60030</v>
      </c>
      <c r="N186" s="2" t="s">
        <v>52</v>
      </c>
      <c r="O186" s="2">
        <v>6</v>
      </c>
    </row>
    <row r="187" spans="1:15" ht="22.5" customHeight="1">
      <c r="A187" s="2">
        <v>60000</v>
      </c>
      <c r="B187" s="2" t="s">
        <v>15</v>
      </c>
      <c r="C187" s="2">
        <v>60001</v>
      </c>
      <c r="D187" s="2" t="s">
        <v>16</v>
      </c>
      <c r="E187" s="2">
        <v>60002</v>
      </c>
      <c r="F187" s="2" t="s">
        <v>33</v>
      </c>
      <c r="G187" s="2">
        <v>60006</v>
      </c>
      <c r="H187" s="2" t="s">
        <v>34</v>
      </c>
      <c r="I187" s="2">
        <v>60010</v>
      </c>
      <c r="J187" s="2" t="s">
        <v>267</v>
      </c>
      <c r="K187" s="2">
        <v>60031</v>
      </c>
      <c r="L187" s="2" t="s">
        <v>268</v>
      </c>
      <c r="M187" s="2">
        <v>60031</v>
      </c>
      <c r="N187" s="2" t="s">
        <v>269</v>
      </c>
      <c r="O187" s="2">
        <v>6</v>
      </c>
    </row>
    <row r="188" spans="1:15" ht="22.5" customHeight="1">
      <c r="A188" s="2">
        <v>60000</v>
      </c>
      <c r="B188" s="2" t="s">
        <v>15</v>
      </c>
      <c r="C188" s="2">
        <v>60001</v>
      </c>
      <c r="D188" s="2" t="s">
        <v>16</v>
      </c>
      <c r="E188" s="2">
        <v>60002</v>
      </c>
      <c r="F188" s="2" t="s">
        <v>33</v>
      </c>
      <c r="G188" s="2">
        <v>60006</v>
      </c>
      <c r="H188" s="2" t="s">
        <v>34</v>
      </c>
      <c r="I188" s="2">
        <v>60010</v>
      </c>
      <c r="J188" s="2" t="s">
        <v>267</v>
      </c>
      <c r="K188" s="2">
        <v>60032</v>
      </c>
      <c r="L188" s="2" t="s">
        <v>270</v>
      </c>
      <c r="M188" s="2">
        <v>60032</v>
      </c>
      <c r="N188" s="2" t="s">
        <v>271</v>
      </c>
      <c r="O188" s="2">
        <v>6</v>
      </c>
    </row>
    <row r="189" spans="1:15" ht="22.5" customHeight="1">
      <c r="A189" s="2">
        <v>60000</v>
      </c>
      <c r="B189" s="2" t="s">
        <v>15</v>
      </c>
      <c r="C189" s="2">
        <v>60001</v>
      </c>
      <c r="D189" s="2" t="s">
        <v>16</v>
      </c>
      <c r="E189" s="2">
        <v>60002</v>
      </c>
      <c r="F189" s="2" t="s">
        <v>33</v>
      </c>
      <c r="G189" s="2">
        <v>60006</v>
      </c>
      <c r="H189" s="2" t="s">
        <v>34</v>
      </c>
      <c r="I189" s="2">
        <v>60010</v>
      </c>
      <c r="J189" s="2" t="s">
        <v>267</v>
      </c>
      <c r="K189" s="2">
        <v>60033</v>
      </c>
      <c r="L189" s="2" t="s">
        <v>272</v>
      </c>
      <c r="M189" s="2">
        <v>60033</v>
      </c>
      <c r="N189" s="2" t="s">
        <v>272</v>
      </c>
      <c r="O189" s="2">
        <v>6</v>
      </c>
    </row>
    <row r="190" spans="1:15" ht="22.5" customHeight="1">
      <c r="A190" s="2">
        <v>60000</v>
      </c>
      <c r="B190" s="2" t="s">
        <v>15</v>
      </c>
      <c r="C190" s="2">
        <v>60001</v>
      </c>
      <c r="D190" s="2" t="s">
        <v>16</v>
      </c>
      <c r="E190" s="2">
        <v>60002</v>
      </c>
      <c r="F190" s="2" t="s">
        <v>33</v>
      </c>
      <c r="G190" s="2">
        <v>60006</v>
      </c>
      <c r="H190" s="2" t="s">
        <v>34</v>
      </c>
      <c r="I190" s="2">
        <v>60010</v>
      </c>
      <c r="J190" s="2" t="s">
        <v>267</v>
      </c>
      <c r="K190" s="2">
        <v>60034</v>
      </c>
      <c r="L190" s="2" t="s">
        <v>273</v>
      </c>
      <c r="M190" s="2">
        <v>60034</v>
      </c>
      <c r="N190" s="2" t="s">
        <v>274</v>
      </c>
      <c r="O190" s="2">
        <v>6</v>
      </c>
    </row>
    <row r="191" spans="1:15" ht="22.5" customHeight="1">
      <c r="A191" s="2">
        <v>60000</v>
      </c>
      <c r="B191" s="2" t="s">
        <v>15</v>
      </c>
      <c r="C191" s="2">
        <v>60001</v>
      </c>
      <c r="D191" s="2" t="s">
        <v>16</v>
      </c>
      <c r="E191" s="2">
        <v>60002</v>
      </c>
      <c r="F191" s="2" t="s">
        <v>33</v>
      </c>
      <c r="G191" s="2">
        <v>60006</v>
      </c>
      <c r="H191" s="2" t="s">
        <v>34</v>
      </c>
      <c r="I191" s="2">
        <v>60011</v>
      </c>
      <c r="J191" s="2" t="s">
        <v>275</v>
      </c>
      <c r="K191" s="2">
        <v>60035</v>
      </c>
      <c r="L191" s="2" t="s">
        <v>276</v>
      </c>
      <c r="M191" s="2">
        <v>60035</v>
      </c>
      <c r="N191" s="2" t="s">
        <v>276</v>
      </c>
      <c r="O191" s="2">
        <v>6</v>
      </c>
    </row>
    <row r="192" spans="1:15" ht="22.5" customHeight="1">
      <c r="A192" s="2">
        <v>60000</v>
      </c>
      <c r="B192" s="2" t="s">
        <v>15</v>
      </c>
      <c r="C192" s="2">
        <v>60001</v>
      </c>
      <c r="D192" s="2" t="s">
        <v>16</v>
      </c>
      <c r="E192" s="2">
        <v>60002</v>
      </c>
      <c r="F192" s="2" t="s">
        <v>33</v>
      </c>
      <c r="G192" s="2">
        <v>60006</v>
      </c>
      <c r="H192" s="2" t="s">
        <v>34</v>
      </c>
      <c r="I192" s="2">
        <v>60011</v>
      </c>
      <c r="J192" s="2" t="s">
        <v>275</v>
      </c>
      <c r="K192" s="2">
        <v>60036</v>
      </c>
      <c r="L192" s="2" t="s">
        <v>277</v>
      </c>
      <c r="M192" s="2">
        <v>60036</v>
      </c>
      <c r="N192" s="2" t="s">
        <v>277</v>
      </c>
      <c r="O192" s="2">
        <v>6</v>
      </c>
    </row>
    <row r="193" spans="1:15" ht="22.5" customHeight="1">
      <c r="A193" s="2">
        <v>60000</v>
      </c>
      <c r="B193" s="2" t="s">
        <v>15</v>
      </c>
      <c r="C193" s="2">
        <v>60001</v>
      </c>
      <c r="D193" s="2" t="s">
        <v>16</v>
      </c>
      <c r="E193" s="2">
        <v>60002</v>
      </c>
      <c r="F193" s="2" t="s">
        <v>33</v>
      </c>
      <c r="G193" s="2">
        <v>60006</v>
      </c>
      <c r="H193" s="2" t="s">
        <v>34</v>
      </c>
      <c r="I193" s="2">
        <v>60011</v>
      </c>
      <c r="J193" s="2" t="s">
        <v>275</v>
      </c>
      <c r="K193" s="2">
        <v>60037</v>
      </c>
      <c r="L193" s="2" t="s">
        <v>278</v>
      </c>
      <c r="M193" s="2">
        <v>60037</v>
      </c>
      <c r="N193" s="2" t="s">
        <v>278</v>
      </c>
      <c r="O193" s="2">
        <v>6</v>
      </c>
    </row>
    <row r="194" spans="1:15" ht="22.5" customHeight="1">
      <c r="A194" s="2">
        <v>60000</v>
      </c>
      <c r="B194" s="2" t="s">
        <v>15</v>
      </c>
      <c r="C194" s="2">
        <v>60001</v>
      </c>
      <c r="D194" s="2" t="s">
        <v>16</v>
      </c>
      <c r="E194" s="2">
        <v>60002</v>
      </c>
      <c r="F194" s="2" t="s">
        <v>33</v>
      </c>
      <c r="G194" s="2">
        <v>60006</v>
      </c>
      <c r="H194" s="2" t="s">
        <v>34</v>
      </c>
      <c r="I194" s="2">
        <v>60011</v>
      </c>
      <c r="J194" s="2" t="s">
        <v>275</v>
      </c>
      <c r="K194" s="2">
        <v>60038</v>
      </c>
      <c r="L194" s="2" t="s">
        <v>279</v>
      </c>
      <c r="M194" s="2">
        <v>60038</v>
      </c>
      <c r="N194" s="2" t="s">
        <v>279</v>
      </c>
      <c r="O194" s="2">
        <v>6</v>
      </c>
    </row>
    <row r="195" spans="1:15" ht="22.5" customHeight="1">
      <c r="A195" s="2">
        <v>60000</v>
      </c>
      <c r="B195" s="2" t="s">
        <v>15</v>
      </c>
      <c r="C195" s="2">
        <v>60001</v>
      </c>
      <c r="D195" s="2" t="s">
        <v>16</v>
      </c>
      <c r="E195" s="2">
        <v>60003</v>
      </c>
      <c r="F195" s="2" t="s">
        <v>71</v>
      </c>
      <c r="G195" s="2">
        <v>60012</v>
      </c>
      <c r="H195" s="2" t="s">
        <v>280</v>
      </c>
      <c r="I195" s="2">
        <v>60039</v>
      </c>
      <c r="J195" s="2" t="s">
        <v>281</v>
      </c>
      <c r="M195" s="2">
        <v>60039</v>
      </c>
      <c r="N195" s="2" t="s">
        <v>281</v>
      </c>
      <c r="O195" s="2">
        <v>5</v>
      </c>
    </row>
    <row r="196" spans="1:15" ht="22.5" customHeight="1">
      <c r="A196" s="2">
        <v>60000</v>
      </c>
      <c r="B196" s="2" t="s">
        <v>15</v>
      </c>
      <c r="C196" s="2">
        <v>60001</v>
      </c>
      <c r="D196" s="2" t="s">
        <v>16</v>
      </c>
      <c r="E196" s="2">
        <v>60003</v>
      </c>
      <c r="F196" s="2" t="s">
        <v>71</v>
      </c>
      <c r="G196" s="2">
        <v>60013</v>
      </c>
      <c r="H196" s="2" t="s">
        <v>73</v>
      </c>
      <c r="I196" s="2">
        <v>60040</v>
      </c>
      <c r="J196" s="2" t="s">
        <v>282</v>
      </c>
      <c r="M196" s="2">
        <v>60040</v>
      </c>
      <c r="N196" s="2" t="s">
        <v>282</v>
      </c>
      <c r="O196" s="2">
        <v>5</v>
      </c>
    </row>
    <row r="197" spans="1:15" ht="22.5" customHeight="1">
      <c r="A197" s="2">
        <v>60000</v>
      </c>
      <c r="B197" s="2" t="s">
        <v>15</v>
      </c>
      <c r="C197" s="2">
        <v>60001</v>
      </c>
      <c r="D197" s="2" t="s">
        <v>16</v>
      </c>
      <c r="E197" s="2">
        <v>60004</v>
      </c>
      <c r="F197" s="2" t="s">
        <v>85</v>
      </c>
      <c r="M197" s="2">
        <v>60004</v>
      </c>
      <c r="N197" s="2" t="s">
        <v>85</v>
      </c>
      <c r="O197" s="2">
        <v>3</v>
      </c>
    </row>
    <row r="198" spans="1:15" ht="22.5" customHeight="1">
      <c r="A198" s="2">
        <v>60000</v>
      </c>
      <c r="B198" s="2" t="s">
        <v>15</v>
      </c>
      <c r="C198" s="2">
        <v>60041</v>
      </c>
      <c r="D198" s="2" t="s">
        <v>17</v>
      </c>
      <c r="E198" s="2">
        <v>60042</v>
      </c>
      <c r="F198" s="2" t="s">
        <v>33</v>
      </c>
      <c r="G198" s="2">
        <v>60045</v>
      </c>
      <c r="H198" s="2" t="s">
        <v>50</v>
      </c>
      <c r="I198" s="2">
        <v>60047</v>
      </c>
      <c r="J198" s="2" t="s">
        <v>245</v>
      </c>
      <c r="K198" s="2">
        <v>60054</v>
      </c>
      <c r="L198" s="2" t="s">
        <v>246</v>
      </c>
      <c r="M198" s="2">
        <v>60054</v>
      </c>
      <c r="N198" s="2" t="s">
        <v>246</v>
      </c>
      <c r="O198" s="2">
        <v>6</v>
      </c>
    </row>
    <row r="199" spans="1:15" ht="22.5" customHeight="1">
      <c r="A199" s="2">
        <v>60000</v>
      </c>
      <c r="B199" s="2" t="s">
        <v>15</v>
      </c>
      <c r="C199" s="2">
        <v>60041</v>
      </c>
      <c r="D199" s="2" t="s">
        <v>17</v>
      </c>
      <c r="E199" s="2">
        <v>60042</v>
      </c>
      <c r="F199" s="2" t="s">
        <v>33</v>
      </c>
      <c r="G199" s="2">
        <v>60045</v>
      </c>
      <c r="H199" s="2" t="s">
        <v>50</v>
      </c>
      <c r="I199" s="2">
        <v>60047</v>
      </c>
      <c r="J199" s="2" t="s">
        <v>245</v>
      </c>
      <c r="K199" s="2">
        <v>60055</v>
      </c>
      <c r="L199" s="2" t="s">
        <v>247</v>
      </c>
      <c r="M199" s="2">
        <v>60055</v>
      </c>
      <c r="N199" s="2" t="s">
        <v>248</v>
      </c>
      <c r="O199" s="2">
        <v>6</v>
      </c>
    </row>
    <row r="200" spans="1:15" ht="22.5" customHeight="1">
      <c r="A200" s="2">
        <v>60000</v>
      </c>
      <c r="B200" s="2" t="s">
        <v>15</v>
      </c>
      <c r="C200" s="2">
        <v>60041</v>
      </c>
      <c r="D200" s="2" t="s">
        <v>17</v>
      </c>
      <c r="E200" s="2">
        <v>60042</v>
      </c>
      <c r="F200" s="2" t="s">
        <v>33</v>
      </c>
      <c r="G200" s="2">
        <v>60045</v>
      </c>
      <c r="H200" s="2" t="s">
        <v>50</v>
      </c>
      <c r="I200" s="2">
        <v>60047</v>
      </c>
      <c r="J200" s="2" t="s">
        <v>245</v>
      </c>
      <c r="K200" s="2">
        <v>60056</v>
      </c>
      <c r="L200" s="2" t="s">
        <v>249</v>
      </c>
      <c r="M200" s="2">
        <v>60056</v>
      </c>
      <c r="N200" s="2" t="s">
        <v>249</v>
      </c>
      <c r="O200" s="2">
        <v>6</v>
      </c>
    </row>
    <row r="201" spans="1:15" ht="22.5" customHeight="1">
      <c r="A201" s="2">
        <v>60000</v>
      </c>
      <c r="B201" s="2" t="s">
        <v>15</v>
      </c>
      <c r="C201" s="2">
        <v>60041</v>
      </c>
      <c r="D201" s="2" t="s">
        <v>17</v>
      </c>
      <c r="E201" s="2">
        <v>60042</v>
      </c>
      <c r="F201" s="2" t="s">
        <v>33</v>
      </c>
      <c r="G201" s="2">
        <v>60045</v>
      </c>
      <c r="H201" s="2" t="s">
        <v>50</v>
      </c>
      <c r="I201" s="2">
        <v>60047</v>
      </c>
      <c r="J201" s="2" t="s">
        <v>245</v>
      </c>
      <c r="K201" s="2">
        <v>60057</v>
      </c>
      <c r="L201" s="2" t="s">
        <v>250</v>
      </c>
      <c r="M201" s="2">
        <v>60057</v>
      </c>
      <c r="N201" s="2" t="s">
        <v>251</v>
      </c>
      <c r="O201" s="2">
        <v>6</v>
      </c>
    </row>
    <row r="202" spans="1:15" ht="22.5" customHeight="1">
      <c r="A202" s="2">
        <v>60000</v>
      </c>
      <c r="B202" s="2" t="s">
        <v>15</v>
      </c>
      <c r="C202" s="2">
        <v>60041</v>
      </c>
      <c r="D202" s="2" t="s">
        <v>17</v>
      </c>
      <c r="E202" s="2">
        <v>60042</v>
      </c>
      <c r="F202" s="2" t="s">
        <v>33</v>
      </c>
      <c r="G202" s="2">
        <v>60045</v>
      </c>
      <c r="H202" s="2" t="s">
        <v>50</v>
      </c>
      <c r="I202" s="2">
        <v>60048</v>
      </c>
      <c r="J202" s="2" t="s">
        <v>283</v>
      </c>
      <c r="K202" s="2">
        <v>60058</v>
      </c>
      <c r="L202" s="2" t="s">
        <v>59</v>
      </c>
      <c r="M202" s="2">
        <v>60058</v>
      </c>
      <c r="N202" s="2" t="s">
        <v>59</v>
      </c>
      <c r="O202" s="2">
        <v>6</v>
      </c>
    </row>
    <row r="203" spans="1:15" ht="22.5" customHeight="1">
      <c r="A203" s="2">
        <v>60000</v>
      </c>
      <c r="B203" s="2" t="s">
        <v>15</v>
      </c>
      <c r="C203" s="2">
        <v>60041</v>
      </c>
      <c r="D203" s="2" t="s">
        <v>17</v>
      </c>
      <c r="E203" s="2">
        <v>60042</v>
      </c>
      <c r="F203" s="2" t="s">
        <v>33</v>
      </c>
      <c r="G203" s="2">
        <v>60045</v>
      </c>
      <c r="H203" s="2" t="s">
        <v>50</v>
      </c>
      <c r="I203" s="2">
        <v>60048</v>
      </c>
      <c r="J203" s="2" t="s">
        <v>283</v>
      </c>
      <c r="K203" s="2">
        <v>60059</v>
      </c>
      <c r="L203" s="2" t="s">
        <v>253</v>
      </c>
      <c r="M203" s="2">
        <v>60059</v>
      </c>
      <c r="N203" s="2" t="s">
        <v>253</v>
      </c>
      <c r="O203" s="2">
        <v>6</v>
      </c>
    </row>
    <row r="204" spans="1:15" ht="22.5" customHeight="1">
      <c r="A204" s="2">
        <v>60000</v>
      </c>
      <c r="B204" s="2" t="s">
        <v>15</v>
      </c>
      <c r="C204" s="2">
        <v>60041</v>
      </c>
      <c r="D204" s="2" t="s">
        <v>17</v>
      </c>
      <c r="E204" s="2">
        <v>60042</v>
      </c>
      <c r="F204" s="2" t="s">
        <v>33</v>
      </c>
      <c r="G204" s="2">
        <v>60045</v>
      </c>
      <c r="H204" s="2" t="s">
        <v>50</v>
      </c>
      <c r="I204" s="2">
        <v>60048</v>
      </c>
      <c r="J204" s="2" t="s">
        <v>283</v>
      </c>
      <c r="K204" s="2">
        <v>60060</v>
      </c>
      <c r="L204" s="2" t="s">
        <v>254</v>
      </c>
      <c r="M204" s="2">
        <v>60060</v>
      </c>
      <c r="N204" s="2" t="s">
        <v>254</v>
      </c>
      <c r="O204" s="2">
        <v>6</v>
      </c>
    </row>
    <row r="205" spans="1:15" ht="22.5" customHeight="1">
      <c r="A205" s="2">
        <v>60000</v>
      </c>
      <c r="B205" s="2" t="s">
        <v>15</v>
      </c>
      <c r="C205" s="2">
        <v>60041</v>
      </c>
      <c r="D205" s="2" t="s">
        <v>17</v>
      </c>
      <c r="E205" s="2">
        <v>60042</v>
      </c>
      <c r="F205" s="2" t="s">
        <v>33</v>
      </c>
      <c r="G205" s="2">
        <v>60045</v>
      </c>
      <c r="H205" s="2" t="s">
        <v>50</v>
      </c>
      <c r="I205" s="2">
        <v>60048</v>
      </c>
      <c r="J205" s="2" t="s">
        <v>283</v>
      </c>
      <c r="K205" s="2">
        <v>60061</v>
      </c>
      <c r="L205" s="2" t="s">
        <v>255</v>
      </c>
      <c r="M205" s="2">
        <v>60061</v>
      </c>
      <c r="N205" s="2" t="s">
        <v>256</v>
      </c>
      <c r="O205" s="2">
        <v>6</v>
      </c>
    </row>
    <row r="206" spans="1:15" ht="22.5" customHeight="1">
      <c r="A206" s="2">
        <v>60000</v>
      </c>
      <c r="B206" s="2" t="s">
        <v>15</v>
      </c>
      <c r="C206" s="2">
        <v>60041</v>
      </c>
      <c r="D206" s="2" t="s">
        <v>17</v>
      </c>
      <c r="E206" s="2">
        <v>60042</v>
      </c>
      <c r="F206" s="2" t="s">
        <v>33</v>
      </c>
      <c r="G206" s="2">
        <v>60045</v>
      </c>
      <c r="H206" s="2" t="s">
        <v>50</v>
      </c>
      <c r="I206" s="2">
        <v>60048</v>
      </c>
      <c r="J206" s="2" t="s">
        <v>283</v>
      </c>
      <c r="K206" s="2">
        <v>60062</v>
      </c>
      <c r="L206" s="2" t="s">
        <v>257</v>
      </c>
      <c r="M206" s="2">
        <v>60062</v>
      </c>
      <c r="N206" s="2" t="s">
        <v>258</v>
      </c>
      <c r="O206" s="2">
        <v>6</v>
      </c>
    </row>
    <row r="207" spans="1:15" ht="22.5" customHeight="1">
      <c r="A207" s="2">
        <v>60000</v>
      </c>
      <c r="B207" s="2" t="s">
        <v>15</v>
      </c>
      <c r="C207" s="2">
        <v>60041</v>
      </c>
      <c r="D207" s="2" t="s">
        <v>17</v>
      </c>
      <c r="E207" s="2">
        <v>60042</v>
      </c>
      <c r="F207" s="2" t="s">
        <v>33</v>
      </c>
      <c r="G207" s="2">
        <v>60045</v>
      </c>
      <c r="H207" s="2" t="s">
        <v>50</v>
      </c>
      <c r="I207" s="2">
        <v>60048</v>
      </c>
      <c r="J207" s="2" t="s">
        <v>283</v>
      </c>
      <c r="K207" s="2">
        <v>60063</v>
      </c>
      <c r="L207" s="2" t="s">
        <v>259</v>
      </c>
      <c r="M207" s="2">
        <v>60063</v>
      </c>
      <c r="N207" s="2" t="s">
        <v>259</v>
      </c>
      <c r="O207" s="2">
        <v>6</v>
      </c>
    </row>
    <row r="208" spans="1:15" ht="22.5" customHeight="1">
      <c r="A208" s="2">
        <v>60000</v>
      </c>
      <c r="B208" s="2" t="s">
        <v>15</v>
      </c>
      <c r="C208" s="2">
        <v>60041</v>
      </c>
      <c r="D208" s="2" t="s">
        <v>17</v>
      </c>
      <c r="E208" s="2">
        <v>60042</v>
      </c>
      <c r="F208" s="2" t="s">
        <v>33</v>
      </c>
      <c r="G208" s="2">
        <v>60045</v>
      </c>
      <c r="H208" s="2" t="s">
        <v>50</v>
      </c>
      <c r="I208" s="2">
        <v>60048</v>
      </c>
      <c r="J208" s="2" t="s">
        <v>283</v>
      </c>
      <c r="K208" s="2">
        <v>60064</v>
      </c>
      <c r="L208" s="2" t="s">
        <v>260</v>
      </c>
      <c r="M208" s="2">
        <v>60064</v>
      </c>
      <c r="N208" s="2" t="s">
        <v>260</v>
      </c>
      <c r="O208" s="2">
        <v>6</v>
      </c>
    </row>
    <row r="209" spans="1:15" ht="22.5" customHeight="1">
      <c r="A209" s="2">
        <v>60000</v>
      </c>
      <c r="B209" s="2" t="s">
        <v>15</v>
      </c>
      <c r="C209" s="2">
        <v>60041</v>
      </c>
      <c r="D209" s="2" t="s">
        <v>17</v>
      </c>
      <c r="E209" s="2">
        <v>60042</v>
      </c>
      <c r="F209" s="2" t="s">
        <v>33</v>
      </c>
      <c r="G209" s="2">
        <v>60045</v>
      </c>
      <c r="H209" s="2" t="s">
        <v>50</v>
      </c>
      <c r="I209" s="2">
        <v>60049</v>
      </c>
      <c r="J209" s="2" t="s">
        <v>261</v>
      </c>
      <c r="K209" s="2">
        <v>60065</v>
      </c>
      <c r="L209" s="2" t="s">
        <v>218</v>
      </c>
      <c r="M209" s="2">
        <v>60065</v>
      </c>
      <c r="N209" s="2" t="s">
        <v>218</v>
      </c>
      <c r="O209" s="2">
        <v>6</v>
      </c>
    </row>
    <row r="210" spans="1:15" ht="22.5" customHeight="1">
      <c r="A210" s="2">
        <v>60000</v>
      </c>
      <c r="B210" s="2" t="s">
        <v>15</v>
      </c>
      <c r="C210" s="2">
        <v>60041</v>
      </c>
      <c r="D210" s="2" t="s">
        <v>17</v>
      </c>
      <c r="E210" s="2">
        <v>60042</v>
      </c>
      <c r="F210" s="2" t="s">
        <v>33</v>
      </c>
      <c r="G210" s="2">
        <v>60045</v>
      </c>
      <c r="H210" s="2" t="s">
        <v>50</v>
      </c>
      <c r="I210" s="2">
        <v>60049</v>
      </c>
      <c r="J210" s="2" t="s">
        <v>261</v>
      </c>
      <c r="K210" s="2">
        <v>60066</v>
      </c>
      <c r="L210" s="2" t="s">
        <v>262</v>
      </c>
      <c r="M210" s="2">
        <v>60066</v>
      </c>
      <c r="N210" s="2" t="s">
        <v>262</v>
      </c>
      <c r="O210" s="2">
        <v>6</v>
      </c>
    </row>
    <row r="211" spans="1:15" ht="22.5" customHeight="1">
      <c r="A211" s="2">
        <v>60000</v>
      </c>
      <c r="B211" s="2" t="s">
        <v>15</v>
      </c>
      <c r="C211" s="2">
        <v>60041</v>
      </c>
      <c r="D211" s="2" t="s">
        <v>17</v>
      </c>
      <c r="E211" s="2">
        <v>60042</v>
      </c>
      <c r="F211" s="2" t="s">
        <v>33</v>
      </c>
      <c r="G211" s="2">
        <v>60045</v>
      </c>
      <c r="H211" s="2" t="s">
        <v>50</v>
      </c>
      <c r="I211" s="2">
        <v>60049</v>
      </c>
      <c r="J211" s="2" t="s">
        <v>261</v>
      </c>
      <c r="K211" s="2">
        <v>60067</v>
      </c>
      <c r="L211" s="2" t="s">
        <v>263</v>
      </c>
      <c r="M211" s="2">
        <v>60067</v>
      </c>
      <c r="N211" s="2" t="s">
        <v>263</v>
      </c>
      <c r="O211" s="2">
        <v>6</v>
      </c>
    </row>
    <row r="212" spans="1:15" ht="22.5" customHeight="1">
      <c r="A212" s="2">
        <v>60000</v>
      </c>
      <c r="B212" s="2" t="s">
        <v>15</v>
      </c>
      <c r="C212" s="2">
        <v>60041</v>
      </c>
      <c r="D212" s="2" t="s">
        <v>17</v>
      </c>
      <c r="E212" s="2">
        <v>60042</v>
      </c>
      <c r="F212" s="2" t="s">
        <v>33</v>
      </c>
      <c r="G212" s="2">
        <v>60045</v>
      </c>
      <c r="H212" s="2" t="s">
        <v>50</v>
      </c>
      <c r="I212" s="2">
        <v>60049</v>
      </c>
      <c r="J212" s="2" t="s">
        <v>261</v>
      </c>
      <c r="K212" s="2">
        <v>60068</v>
      </c>
      <c r="L212" s="2" t="s">
        <v>264</v>
      </c>
      <c r="M212" s="2">
        <v>60068</v>
      </c>
      <c r="N212" s="2" t="s">
        <v>264</v>
      </c>
      <c r="O212" s="2">
        <v>6</v>
      </c>
    </row>
    <row r="213" spans="1:15" ht="22.5" customHeight="1">
      <c r="A213" s="2">
        <v>60000</v>
      </c>
      <c r="B213" s="2" t="s">
        <v>15</v>
      </c>
      <c r="C213" s="2">
        <v>60041</v>
      </c>
      <c r="D213" s="2" t="s">
        <v>17</v>
      </c>
      <c r="E213" s="2">
        <v>60042</v>
      </c>
      <c r="F213" s="2" t="s">
        <v>33</v>
      </c>
      <c r="G213" s="2">
        <v>60045</v>
      </c>
      <c r="H213" s="2" t="s">
        <v>50</v>
      </c>
      <c r="I213" s="2">
        <v>60049</v>
      </c>
      <c r="J213" s="2" t="s">
        <v>261</v>
      </c>
      <c r="K213" s="2">
        <v>60069</v>
      </c>
      <c r="L213" s="2" t="s">
        <v>265</v>
      </c>
      <c r="M213" s="2">
        <v>60069</v>
      </c>
      <c r="N213" s="2" t="s">
        <v>266</v>
      </c>
      <c r="O213" s="2">
        <v>6</v>
      </c>
    </row>
    <row r="214" spans="1:15" ht="22.5" customHeight="1">
      <c r="A214" s="2">
        <v>60000</v>
      </c>
      <c r="B214" s="2" t="s">
        <v>15</v>
      </c>
      <c r="C214" s="2">
        <v>60041</v>
      </c>
      <c r="D214" s="2" t="s">
        <v>17</v>
      </c>
      <c r="E214" s="2">
        <v>60042</v>
      </c>
      <c r="F214" s="2" t="s">
        <v>33</v>
      </c>
      <c r="G214" s="2">
        <v>60045</v>
      </c>
      <c r="H214" s="2" t="s">
        <v>50</v>
      </c>
      <c r="I214" s="2">
        <v>60049</v>
      </c>
      <c r="J214" s="2" t="s">
        <v>261</v>
      </c>
      <c r="K214" s="2">
        <v>60070</v>
      </c>
      <c r="L214" s="2" t="s">
        <v>52</v>
      </c>
      <c r="M214" s="2">
        <v>60070</v>
      </c>
      <c r="N214" s="2" t="s">
        <v>52</v>
      </c>
      <c r="O214" s="2">
        <v>6</v>
      </c>
    </row>
    <row r="215" spans="1:15" ht="22.5" customHeight="1">
      <c r="A215" s="2">
        <v>60000</v>
      </c>
      <c r="B215" s="2" t="s">
        <v>15</v>
      </c>
      <c r="C215" s="2">
        <v>60041</v>
      </c>
      <c r="D215" s="2" t="s">
        <v>17</v>
      </c>
      <c r="E215" s="2">
        <v>60042</v>
      </c>
      <c r="F215" s="2" t="s">
        <v>33</v>
      </c>
      <c r="G215" s="2">
        <v>60046</v>
      </c>
      <c r="H215" s="2" t="s">
        <v>34</v>
      </c>
      <c r="I215" s="2">
        <v>60050</v>
      </c>
      <c r="J215" s="2" t="s">
        <v>267</v>
      </c>
      <c r="K215" s="2">
        <v>60071</v>
      </c>
      <c r="L215" s="2" t="s">
        <v>268</v>
      </c>
      <c r="M215" s="2">
        <v>60071</v>
      </c>
      <c r="N215" s="2" t="s">
        <v>269</v>
      </c>
      <c r="O215" s="2">
        <v>6</v>
      </c>
    </row>
    <row r="216" spans="1:15" ht="22.5" customHeight="1">
      <c r="A216" s="2">
        <v>60000</v>
      </c>
      <c r="B216" s="2" t="s">
        <v>15</v>
      </c>
      <c r="C216" s="2">
        <v>60041</v>
      </c>
      <c r="D216" s="2" t="s">
        <v>17</v>
      </c>
      <c r="E216" s="2">
        <v>60042</v>
      </c>
      <c r="F216" s="2" t="s">
        <v>33</v>
      </c>
      <c r="G216" s="2">
        <v>60046</v>
      </c>
      <c r="H216" s="2" t="s">
        <v>34</v>
      </c>
      <c r="I216" s="2">
        <v>60050</v>
      </c>
      <c r="J216" s="2" t="s">
        <v>267</v>
      </c>
      <c r="K216" s="2">
        <v>60072</v>
      </c>
      <c r="L216" s="2" t="s">
        <v>270</v>
      </c>
      <c r="M216" s="2">
        <v>60072</v>
      </c>
      <c r="N216" s="2" t="s">
        <v>271</v>
      </c>
      <c r="O216" s="2">
        <v>6</v>
      </c>
    </row>
    <row r="217" spans="1:15" ht="22.5" customHeight="1">
      <c r="A217" s="2">
        <v>60000</v>
      </c>
      <c r="B217" s="2" t="s">
        <v>15</v>
      </c>
      <c r="C217" s="2">
        <v>60041</v>
      </c>
      <c r="D217" s="2" t="s">
        <v>17</v>
      </c>
      <c r="E217" s="2">
        <v>60042</v>
      </c>
      <c r="F217" s="2" t="s">
        <v>33</v>
      </c>
      <c r="G217" s="2">
        <v>60046</v>
      </c>
      <c r="H217" s="2" t="s">
        <v>34</v>
      </c>
      <c r="I217" s="2">
        <v>60050</v>
      </c>
      <c r="J217" s="2" t="s">
        <v>267</v>
      </c>
      <c r="K217" s="2">
        <v>60073</v>
      </c>
      <c r="L217" s="2" t="s">
        <v>272</v>
      </c>
      <c r="M217" s="2">
        <v>60073</v>
      </c>
      <c r="N217" s="2" t="s">
        <v>272</v>
      </c>
      <c r="O217" s="2">
        <v>6</v>
      </c>
    </row>
    <row r="218" spans="1:15" ht="22.5" customHeight="1">
      <c r="A218" s="2">
        <v>60000</v>
      </c>
      <c r="B218" s="2" t="s">
        <v>15</v>
      </c>
      <c r="C218" s="2">
        <v>60041</v>
      </c>
      <c r="D218" s="2" t="s">
        <v>17</v>
      </c>
      <c r="E218" s="2">
        <v>60042</v>
      </c>
      <c r="F218" s="2" t="s">
        <v>33</v>
      </c>
      <c r="G218" s="2">
        <v>60046</v>
      </c>
      <c r="H218" s="2" t="s">
        <v>34</v>
      </c>
      <c r="I218" s="2">
        <v>60050</v>
      </c>
      <c r="J218" s="2" t="s">
        <v>267</v>
      </c>
      <c r="K218" s="2">
        <v>60074</v>
      </c>
      <c r="L218" s="2" t="s">
        <v>273</v>
      </c>
      <c r="M218" s="2">
        <v>60074</v>
      </c>
      <c r="N218" s="2" t="s">
        <v>274</v>
      </c>
      <c r="O218" s="2">
        <v>6</v>
      </c>
    </row>
    <row r="219" spans="1:15" ht="22.5" customHeight="1">
      <c r="A219" s="2">
        <v>60000</v>
      </c>
      <c r="B219" s="2" t="s">
        <v>15</v>
      </c>
      <c r="C219" s="2">
        <v>60041</v>
      </c>
      <c r="D219" s="2" t="s">
        <v>17</v>
      </c>
      <c r="E219" s="2">
        <v>60042</v>
      </c>
      <c r="F219" s="2" t="s">
        <v>33</v>
      </c>
      <c r="G219" s="2">
        <v>60046</v>
      </c>
      <c r="H219" s="2" t="s">
        <v>34</v>
      </c>
      <c r="I219" s="2">
        <v>60051</v>
      </c>
      <c r="J219" s="2" t="s">
        <v>275</v>
      </c>
      <c r="K219" s="2">
        <v>60075</v>
      </c>
      <c r="L219" s="2" t="s">
        <v>276</v>
      </c>
      <c r="M219" s="2">
        <v>60075</v>
      </c>
      <c r="N219" s="2" t="s">
        <v>276</v>
      </c>
      <c r="O219" s="2">
        <v>6</v>
      </c>
    </row>
    <row r="220" spans="1:15" ht="22.5" customHeight="1">
      <c r="A220" s="2">
        <v>60000</v>
      </c>
      <c r="B220" s="2" t="s">
        <v>15</v>
      </c>
      <c r="C220" s="2">
        <v>60041</v>
      </c>
      <c r="D220" s="2" t="s">
        <v>17</v>
      </c>
      <c r="E220" s="2">
        <v>60042</v>
      </c>
      <c r="F220" s="2" t="s">
        <v>33</v>
      </c>
      <c r="G220" s="2">
        <v>60046</v>
      </c>
      <c r="H220" s="2" t="s">
        <v>34</v>
      </c>
      <c r="I220" s="2">
        <v>60051</v>
      </c>
      <c r="J220" s="2" t="s">
        <v>275</v>
      </c>
      <c r="K220" s="2">
        <v>60076</v>
      </c>
      <c r="L220" s="2" t="s">
        <v>277</v>
      </c>
      <c r="M220" s="2">
        <v>60076</v>
      </c>
      <c r="N220" s="2" t="s">
        <v>277</v>
      </c>
      <c r="O220" s="2">
        <v>6</v>
      </c>
    </row>
    <row r="221" spans="1:15" ht="22.5" customHeight="1">
      <c r="A221" s="2">
        <v>60000</v>
      </c>
      <c r="B221" s="2" t="s">
        <v>15</v>
      </c>
      <c r="C221" s="2">
        <v>60041</v>
      </c>
      <c r="D221" s="2" t="s">
        <v>17</v>
      </c>
      <c r="E221" s="2">
        <v>60042</v>
      </c>
      <c r="F221" s="2" t="s">
        <v>33</v>
      </c>
      <c r="G221" s="2">
        <v>60046</v>
      </c>
      <c r="H221" s="2" t="s">
        <v>34</v>
      </c>
      <c r="I221" s="2">
        <v>60051</v>
      </c>
      <c r="J221" s="2" t="s">
        <v>275</v>
      </c>
      <c r="K221" s="2">
        <v>60077</v>
      </c>
      <c r="L221" s="2" t="s">
        <v>278</v>
      </c>
      <c r="M221" s="2">
        <v>60077</v>
      </c>
      <c r="N221" s="2" t="s">
        <v>278</v>
      </c>
      <c r="O221" s="2">
        <v>6</v>
      </c>
    </row>
    <row r="222" spans="1:15" ht="22.5" customHeight="1">
      <c r="A222" s="2">
        <v>60000</v>
      </c>
      <c r="B222" s="2" t="s">
        <v>15</v>
      </c>
      <c r="C222" s="2">
        <v>60041</v>
      </c>
      <c r="D222" s="2" t="s">
        <v>17</v>
      </c>
      <c r="E222" s="2">
        <v>60042</v>
      </c>
      <c r="F222" s="2" t="s">
        <v>33</v>
      </c>
      <c r="G222" s="2">
        <v>60046</v>
      </c>
      <c r="H222" s="2" t="s">
        <v>34</v>
      </c>
      <c r="I222" s="2">
        <v>60051</v>
      </c>
      <c r="J222" s="2" t="s">
        <v>275</v>
      </c>
      <c r="K222" s="2">
        <v>60078</v>
      </c>
      <c r="L222" s="2" t="s">
        <v>279</v>
      </c>
      <c r="M222" s="2">
        <v>60078</v>
      </c>
      <c r="N222" s="2" t="s">
        <v>279</v>
      </c>
      <c r="O222" s="2">
        <v>6</v>
      </c>
    </row>
    <row r="223" spans="1:15" ht="22.5" customHeight="1">
      <c r="A223" s="2">
        <v>60000</v>
      </c>
      <c r="B223" s="2" t="s">
        <v>15</v>
      </c>
      <c r="C223" s="2">
        <v>60041</v>
      </c>
      <c r="D223" s="2" t="s">
        <v>17</v>
      </c>
      <c r="E223" s="2">
        <v>60043</v>
      </c>
      <c r="F223" s="2" t="s">
        <v>71</v>
      </c>
      <c r="G223" s="2">
        <v>60052</v>
      </c>
      <c r="H223" s="2" t="s">
        <v>280</v>
      </c>
      <c r="I223" s="2">
        <v>60079</v>
      </c>
      <c r="J223" s="2" t="s">
        <v>281</v>
      </c>
      <c r="M223" s="2">
        <v>60079</v>
      </c>
      <c r="N223" s="2" t="s">
        <v>281</v>
      </c>
      <c r="O223" s="2">
        <v>5</v>
      </c>
    </row>
    <row r="224" spans="1:15" ht="22.5" customHeight="1">
      <c r="A224" s="2">
        <v>60000</v>
      </c>
      <c r="B224" s="2" t="s">
        <v>15</v>
      </c>
      <c r="C224" s="2">
        <v>60041</v>
      </c>
      <c r="D224" s="2" t="s">
        <v>17</v>
      </c>
      <c r="E224" s="2">
        <v>60043</v>
      </c>
      <c r="F224" s="2" t="s">
        <v>71</v>
      </c>
      <c r="G224" s="2">
        <v>60053</v>
      </c>
      <c r="H224" s="2" t="s">
        <v>73</v>
      </c>
      <c r="I224" s="2">
        <v>60080</v>
      </c>
      <c r="J224" s="2" t="s">
        <v>282</v>
      </c>
      <c r="M224" s="2">
        <v>60080</v>
      </c>
      <c r="N224" s="2" t="s">
        <v>282</v>
      </c>
      <c r="O224" s="2">
        <v>5</v>
      </c>
    </row>
    <row r="225" spans="1:15" ht="22.5" customHeight="1">
      <c r="A225" s="2">
        <v>60000</v>
      </c>
      <c r="B225" s="2" t="s">
        <v>15</v>
      </c>
      <c r="C225" s="2">
        <v>60041</v>
      </c>
      <c r="D225" s="2" t="s">
        <v>17</v>
      </c>
      <c r="E225" s="2">
        <v>60044</v>
      </c>
      <c r="F225" s="2" t="s">
        <v>85</v>
      </c>
      <c r="M225" s="2">
        <v>60044</v>
      </c>
      <c r="N225" s="2" t="s">
        <v>85</v>
      </c>
      <c r="O225" s="2">
        <v>3</v>
      </c>
    </row>
    <row r="226" spans="1:15" ht="22.5" customHeight="1">
      <c r="A226" s="2">
        <v>90000</v>
      </c>
      <c r="B226" s="2" t="s">
        <v>18</v>
      </c>
      <c r="C226" s="2">
        <v>90001</v>
      </c>
      <c r="D226" s="2" t="s">
        <v>19</v>
      </c>
      <c r="E226" s="2">
        <v>90002</v>
      </c>
      <c r="F226" s="2" t="s">
        <v>33</v>
      </c>
      <c r="G226" s="2">
        <v>90005</v>
      </c>
      <c r="H226" s="2" t="s">
        <v>34</v>
      </c>
      <c r="I226" s="2">
        <v>90007</v>
      </c>
      <c r="J226" s="2" t="s">
        <v>284</v>
      </c>
      <c r="K226" s="2">
        <v>90014</v>
      </c>
      <c r="L226" s="2" t="s">
        <v>285</v>
      </c>
      <c r="M226" s="2">
        <v>90014</v>
      </c>
      <c r="N226" s="2" t="s">
        <v>285</v>
      </c>
      <c r="O226" s="2">
        <v>6</v>
      </c>
    </row>
    <row r="227" spans="1:15" ht="22.5" customHeight="1">
      <c r="A227" s="2">
        <v>90000</v>
      </c>
      <c r="B227" s="2" t="s">
        <v>18</v>
      </c>
      <c r="C227" s="2">
        <v>90001</v>
      </c>
      <c r="D227" s="2" t="s">
        <v>19</v>
      </c>
      <c r="E227" s="2">
        <v>90002</v>
      </c>
      <c r="F227" s="2" t="s">
        <v>33</v>
      </c>
      <c r="G227" s="2">
        <v>90005</v>
      </c>
      <c r="H227" s="2" t="s">
        <v>34</v>
      </c>
      <c r="I227" s="2">
        <v>90007</v>
      </c>
      <c r="J227" s="2" t="s">
        <v>284</v>
      </c>
      <c r="K227" s="2">
        <v>90015</v>
      </c>
      <c r="L227" s="2" t="s">
        <v>286</v>
      </c>
      <c r="M227" s="2">
        <v>90015</v>
      </c>
      <c r="N227" s="2" t="s">
        <v>286</v>
      </c>
      <c r="O227" s="2">
        <v>6</v>
      </c>
    </row>
    <row r="228" spans="1:15" ht="22.5" customHeight="1">
      <c r="A228" s="2">
        <v>90000</v>
      </c>
      <c r="B228" s="2" t="s">
        <v>18</v>
      </c>
      <c r="C228" s="2">
        <v>90001</v>
      </c>
      <c r="D228" s="2" t="s">
        <v>19</v>
      </c>
      <c r="E228" s="2">
        <v>90002</v>
      </c>
      <c r="F228" s="2" t="s">
        <v>33</v>
      </c>
      <c r="G228" s="2">
        <v>90005</v>
      </c>
      <c r="H228" s="2" t="s">
        <v>34</v>
      </c>
      <c r="I228" s="2">
        <v>90007</v>
      </c>
      <c r="J228" s="2" t="s">
        <v>284</v>
      </c>
      <c r="K228" s="2">
        <v>90016</v>
      </c>
      <c r="L228" s="2" t="s">
        <v>287</v>
      </c>
      <c r="M228" s="2">
        <v>90016</v>
      </c>
      <c r="N228" s="2" t="s">
        <v>287</v>
      </c>
      <c r="O228" s="2">
        <v>6</v>
      </c>
    </row>
    <row r="229" spans="1:15" ht="22.5" customHeight="1">
      <c r="A229" s="2">
        <v>90000</v>
      </c>
      <c r="B229" s="2" t="s">
        <v>18</v>
      </c>
      <c r="C229" s="2">
        <v>90001</v>
      </c>
      <c r="D229" s="2" t="s">
        <v>19</v>
      </c>
      <c r="E229" s="2">
        <v>90002</v>
      </c>
      <c r="F229" s="2" t="s">
        <v>33</v>
      </c>
      <c r="G229" s="2">
        <v>90005</v>
      </c>
      <c r="H229" s="2" t="s">
        <v>34</v>
      </c>
      <c r="I229" s="2">
        <v>90007</v>
      </c>
      <c r="J229" s="2" t="s">
        <v>284</v>
      </c>
      <c r="K229" s="2">
        <v>90017</v>
      </c>
      <c r="L229" s="2" t="s">
        <v>288</v>
      </c>
      <c r="M229" s="2">
        <v>90017</v>
      </c>
      <c r="N229" s="2" t="s">
        <v>288</v>
      </c>
      <c r="O229" s="2">
        <v>6</v>
      </c>
    </row>
    <row r="230" spans="1:15" ht="22.5" customHeight="1">
      <c r="A230" s="2">
        <v>90000</v>
      </c>
      <c r="B230" s="2" t="s">
        <v>18</v>
      </c>
      <c r="C230" s="2">
        <v>90001</v>
      </c>
      <c r="D230" s="2" t="s">
        <v>19</v>
      </c>
      <c r="E230" s="2">
        <v>90002</v>
      </c>
      <c r="F230" s="2" t="s">
        <v>33</v>
      </c>
      <c r="G230" s="2">
        <v>90005</v>
      </c>
      <c r="H230" s="2" t="s">
        <v>34</v>
      </c>
      <c r="I230" s="2">
        <v>90008</v>
      </c>
      <c r="J230" s="2" t="s">
        <v>289</v>
      </c>
      <c r="K230" s="2">
        <v>90018</v>
      </c>
      <c r="L230" s="2" t="s">
        <v>290</v>
      </c>
      <c r="M230" s="2">
        <v>90018</v>
      </c>
      <c r="N230" s="2" t="s">
        <v>291</v>
      </c>
      <c r="O230" s="2">
        <v>6</v>
      </c>
    </row>
    <row r="231" spans="1:15" ht="22.5" customHeight="1">
      <c r="A231" s="2">
        <v>90000</v>
      </c>
      <c r="B231" s="2" t="s">
        <v>18</v>
      </c>
      <c r="C231" s="2">
        <v>90001</v>
      </c>
      <c r="D231" s="2" t="s">
        <v>19</v>
      </c>
      <c r="E231" s="2">
        <v>90002</v>
      </c>
      <c r="F231" s="2" t="s">
        <v>33</v>
      </c>
      <c r="G231" s="2">
        <v>90005</v>
      </c>
      <c r="H231" s="2" t="s">
        <v>34</v>
      </c>
      <c r="I231" s="2">
        <v>90008</v>
      </c>
      <c r="J231" s="2" t="s">
        <v>289</v>
      </c>
      <c r="K231" s="2">
        <v>90019</v>
      </c>
      <c r="L231" s="2" t="s">
        <v>292</v>
      </c>
      <c r="M231" s="2">
        <v>90019</v>
      </c>
      <c r="N231" s="2" t="s">
        <v>292</v>
      </c>
      <c r="O231" s="2">
        <v>6</v>
      </c>
    </row>
    <row r="232" spans="1:15" ht="22.5" customHeight="1">
      <c r="A232" s="2">
        <v>90000</v>
      </c>
      <c r="B232" s="2" t="s">
        <v>18</v>
      </c>
      <c r="C232" s="2">
        <v>90001</v>
      </c>
      <c r="D232" s="2" t="s">
        <v>19</v>
      </c>
      <c r="E232" s="2">
        <v>90002</v>
      </c>
      <c r="F232" s="2" t="s">
        <v>33</v>
      </c>
      <c r="G232" s="2">
        <v>90005</v>
      </c>
      <c r="H232" s="2" t="s">
        <v>34</v>
      </c>
      <c r="I232" s="2">
        <v>90008</v>
      </c>
      <c r="J232" s="2" t="s">
        <v>289</v>
      </c>
      <c r="K232" s="2">
        <v>90020</v>
      </c>
      <c r="L232" s="2" t="s">
        <v>293</v>
      </c>
      <c r="M232" s="2">
        <v>90020</v>
      </c>
      <c r="N232" s="2" t="s">
        <v>293</v>
      </c>
      <c r="O232" s="2">
        <v>6</v>
      </c>
    </row>
    <row r="233" spans="1:15" ht="22.5" customHeight="1">
      <c r="A233" s="2">
        <v>90000</v>
      </c>
      <c r="B233" s="2" t="s">
        <v>18</v>
      </c>
      <c r="C233" s="2">
        <v>90001</v>
      </c>
      <c r="D233" s="2" t="s">
        <v>19</v>
      </c>
      <c r="E233" s="2">
        <v>90002</v>
      </c>
      <c r="F233" s="2" t="s">
        <v>33</v>
      </c>
      <c r="G233" s="2">
        <v>90005</v>
      </c>
      <c r="H233" s="2" t="s">
        <v>34</v>
      </c>
      <c r="I233" s="2">
        <v>90008</v>
      </c>
      <c r="J233" s="2" t="s">
        <v>289</v>
      </c>
      <c r="K233" s="2">
        <v>90021</v>
      </c>
      <c r="L233" s="2" t="s">
        <v>220</v>
      </c>
      <c r="M233" s="2">
        <v>90021</v>
      </c>
      <c r="N233" s="2" t="s">
        <v>220</v>
      </c>
      <c r="O233" s="2">
        <v>6</v>
      </c>
    </row>
    <row r="234" spans="1:15" ht="22.5" customHeight="1">
      <c r="A234" s="2">
        <v>90000</v>
      </c>
      <c r="B234" s="2" t="s">
        <v>18</v>
      </c>
      <c r="C234" s="2">
        <v>90001</v>
      </c>
      <c r="D234" s="2" t="s">
        <v>19</v>
      </c>
      <c r="E234" s="2">
        <v>90002</v>
      </c>
      <c r="F234" s="2" t="s">
        <v>33</v>
      </c>
      <c r="G234" s="2">
        <v>90005</v>
      </c>
      <c r="H234" s="2" t="s">
        <v>34</v>
      </c>
      <c r="I234" s="2">
        <v>90009</v>
      </c>
      <c r="J234" s="2" t="s">
        <v>294</v>
      </c>
      <c r="K234" s="2">
        <v>90022</v>
      </c>
      <c r="L234" s="2" t="s">
        <v>267</v>
      </c>
      <c r="M234" s="2">
        <v>90022</v>
      </c>
      <c r="N234" s="2" t="s">
        <v>267</v>
      </c>
      <c r="O234" s="2">
        <v>6</v>
      </c>
    </row>
    <row r="235" spans="1:15" ht="22.5" customHeight="1">
      <c r="A235" s="2">
        <v>90000</v>
      </c>
      <c r="B235" s="2" t="s">
        <v>18</v>
      </c>
      <c r="C235" s="2">
        <v>90001</v>
      </c>
      <c r="D235" s="2" t="s">
        <v>19</v>
      </c>
      <c r="E235" s="2">
        <v>90002</v>
      </c>
      <c r="F235" s="2" t="s">
        <v>33</v>
      </c>
      <c r="G235" s="2">
        <v>90005</v>
      </c>
      <c r="H235" s="2" t="s">
        <v>34</v>
      </c>
      <c r="I235" s="2">
        <v>90009</v>
      </c>
      <c r="J235" s="2" t="s">
        <v>294</v>
      </c>
      <c r="K235" s="2">
        <v>90023</v>
      </c>
      <c r="L235" s="2" t="s">
        <v>295</v>
      </c>
      <c r="M235" s="2">
        <v>90023</v>
      </c>
      <c r="N235" s="2" t="s">
        <v>295</v>
      </c>
      <c r="O235" s="2">
        <v>6</v>
      </c>
    </row>
    <row r="236" spans="1:15" ht="22.5" customHeight="1">
      <c r="A236" s="2">
        <v>90000</v>
      </c>
      <c r="B236" s="2" t="s">
        <v>18</v>
      </c>
      <c r="C236" s="2">
        <v>90001</v>
      </c>
      <c r="D236" s="2" t="s">
        <v>19</v>
      </c>
      <c r="E236" s="2">
        <v>90002</v>
      </c>
      <c r="F236" s="2" t="s">
        <v>33</v>
      </c>
      <c r="G236" s="2">
        <v>90005</v>
      </c>
      <c r="H236" s="2" t="s">
        <v>34</v>
      </c>
      <c r="I236" s="2">
        <v>90010</v>
      </c>
      <c r="J236" s="2" t="s">
        <v>275</v>
      </c>
      <c r="K236" s="2">
        <v>90024</v>
      </c>
      <c r="L236" s="2" t="s">
        <v>215</v>
      </c>
      <c r="M236" s="2">
        <v>90024</v>
      </c>
      <c r="N236" s="2" t="s">
        <v>215</v>
      </c>
      <c r="O236" s="2">
        <v>6</v>
      </c>
    </row>
    <row r="237" spans="1:15" ht="22.5" customHeight="1">
      <c r="A237" s="2">
        <v>90000</v>
      </c>
      <c r="B237" s="2" t="s">
        <v>18</v>
      </c>
      <c r="C237" s="2">
        <v>90001</v>
      </c>
      <c r="D237" s="2" t="s">
        <v>19</v>
      </c>
      <c r="E237" s="2">
        <v>90002</v>
      </c>
      <c r="F237" s="2" t="s">
        <v>33</v>
      </c>
      <c r="G237" s="2">
        <v>90005</v>
      </c>
      <c r="H237" s="2" t="s">
        <v>34</v>
      </c>
      <c r="I237" s="2">
        <v>90010</v>
      </c>
      <c r="J237" s="2" t="s">
        <v>275</v>
      </c>
      <c r="K237" s="2">
        <v>90025</v>
      </c>
      <c r="L237" s="2" t="s">
        <v>296</v>
      </c>
      <c r="M237" s="2">
        <v>90025</v>
      </c>
      <c r="N237" s="2" t="s">
        <v>297</v>
      </c>
      <c r="O237" s="2">
        <v>6</v>
      </c>
    </row>
    <row r="238" spans="1:15" ht="22.5" customHeight="1">
      <c r="A238" s="2">
        <v>90000</v>
      </c>
      <c r="B238" s="2" t="s">
        <v>18</v>
      </c>
      <c r="C238" s="2">
        <v>90001</v>
      </c>
      <c r="D238" s="2" t="s">
        <v>19</v>
      </c>
      <c r="E238" s="2">
        <v>90002</v>
      </c>
      <c r="F238" s="2" t="s">
        <v>33</v>
      </c>
      <c r="G238" s="2">
        <v>90006</v>
      </c>
      <c r="H238" s="2" t="s">
        <v>50</v>
      </c>
      <c r="I238" s="2">
        <v>90011</v>
      </c>
      <c r="J238" s="2" t="s">
        <v>298</v>
      </c>
      <c r="K238" s="2">
        <v>90026</v>
      </c>
      <c r="L238" s="2" t="s">
        <v>112</v>
      </c>
      <c r="M238" s="2">
        <v>90026</v>
      </c>
      <c r="N238" s="2" t="s">
        <v>113</v>
      </c>
      <c r="O238" s="2">
        <v>6</v>
      </c>
    </row>
    <row r="239" spans="1:15" ht="22.5" customHeight="1">
      <c r="A239" s="2">
        <v>90000</v>
      </c>
      <c r="B239" s="2" t="s">
        <v>18</v>
      </c>
      <c r="C239" s="2">
        <v>90001</v>
      </c>
      <c r="D239" s="2" t="s">
        <v>19</v>
      </c>
      <c r="E239" s="2">
        <v>90002</v>
      </c>
      <c r="F239" s="2" t="s">
        <v>33</v>
      </c>
      <c r="G239" s="2">
        <v>90006</v>
      </c>
      <c r="H239" s="2" t="s">
        <v>50</v>
      </c>
      <c r="I239" s="2">
        <v>90011</v>
      </c>
      <c r="J239" s="2" t="s">
        <v>298</v>
      </c>
      <c r="K239" s="2">
        <v>90027</v>
      </c>
      <c r="L239" s="2" t="s">
        <v>299</v>
      </c>
      <c r="M239" s="2">
        <v>90027</v>
      </c>
      <c r="N239" s="2" t="s">
        <v>300</v>
      </c>
      <c r="O239" s="2">
        <v>6</v>
      </c>
    </row>
    <row r="240" spans="1:15" ht="22.5" customHeight="1">
      <c r="A240" s="2">
        <v>90000</v>
      </c>
      <c r="B240" s="2" t="s">
        <v>18</v>
      </c>
      <c r="C240" s="2">
        <v>90001</v>
      </c>
      <c r="D240" s="2" t="s">
        <v>19</v>
      </c>
      <c r="E240" s="2">
        <v>90003</v>
      </c>
      <c r="F240" s="2" t="s">
        <v>71</v>
      </c>
      <c r="G240" s="2">
        <v>90012</v>
      </c>
      <c r="H240" s="2" t="s">
        <v>301</v>
      </c>
      <c r="I240" s="2">
        <v>90028</v>
      </c>
      <c r="J240" s="2" t="s">
        <v>232</v>
      </c>
      <c r="M240" s="2">
        <v>90028</v>
      </c>
      <c r="N240" s="2" t="s">
        <v>232</v>
      </c>
      <c r="O240" s="2">
        <v>5</v>
      </c>
    </row>
    <row r="241" spans="1:15" ht="22.5" customHeight="1">
      <c r="A241" s="2">
        <v>90000</v>
      </c>
      <c r="B241" s="2" t="s">
        <v>18</v>
      </c>
      <c r="C241" s="2">
        <v>90001</v>
      </c>
      <c r="D241" s="2" t="s">
        <v>19</v>
      </c>
      <c r="E241" s="2">
        <v>90003</v>
      </c>
      <c r="F241" s="2" t="s">
        <v>71</v>
      </c>
      <c r="G241" s="2">
        <v>90012</v>
      </c>
      <c r="H241" s="2" t="s">
        <v>301</v>
      </c>
      <c r="I241" s="2">
        <v>90029</v>
      </c>
      <c r="J241" s="2" t="s">
        <v>302</v>
      </c>
      <c r="M241" s="2">
        <v>90029</v>
      </c>
      <c r="N241" s="2" t="s">
        <v>302</v>
      </c>
      <c r="O241" s="2">
        <v>5</v>
      </c>
    </row>
    <row r="242" spans="1:15" ht="22.5" customHeight="1">
      <c r="A242" s="2">
        <v>90000</v>
      </c>
      <c r="B242" s="2" t="s">
        <v>18</v>
      </c>
      <c r="C242" s="2">
        <v>90001</v>
      </c>
      <c r="D242" s="2" t="s">
        <v>19</v>
      </c>
      <c r="E242" s="2">
        <v>90003</v>
      </c>
      <c r="F242" s="2" t="s">
        <v>71</v>
      </c>
      <c r="G242" s="2">
        <v>90012</v>
      </c>
      <c r="H242" s="2" t="s">
        <v>301</v>
      </c>
      <c r="I242" s="2">
        <v>90030</v>
      </c>
      <c r="J242" s="2" t="s">
        <v>303</v>
      </c>
      <c r="M242" s="2">
        <v>90030</v>
      </c>
      <c r="N242" s="2" t="s">
        <v>303</v>
      </c>
      <c r="O242" s="2">
        <v>5</v>
      </c>
    </row>
    <row r="243" spans="1:15" ht="22.5" customHeight="1">
      <c r="A243" s="2">
        <v>90000</v>
      </c>
      <c r="B243" s="2" t="s">
        <v>18</v>
      </c>
      <c r="C243" s="2">
        <v>90001</v>
      </c>
      <c r="D243" s="2" t="s">
        <v>19</v>
      </c>
      <c r="E243" s="2">
        <v>90004</v>
      </c>
      <c r="F243" s="2" t="s">
        <v>85</v>
      </c>
      <c r="G243" s="2">
        <v>90013</v>
      </c>
      <c r="H243" s="2" t="s">
        <v>304</v>
      </c>
      <c r="I243" s="2">
        <v>90031</v>
      </c>
      <c r="J243" s="2" t="s">
        <v>305</v>
      </c>
      <c r="M243" s="2">
        <v>90031</v>
      </c>
      <c r="N243" s="2" t="s">
        <v>305</v>
      </c>
      <c r="O243" s="2">
        <v>5</v>
      </c>
    </row>
    <row r="244" spans="1:15" ht="22.5" customHeight="1">
      <c r="A244" s="2">
        <v>90000</v>
      </c>
      <c r="B244" s="2" t="s">
        <v>18</v>
      </c>
      <c r="C244" s="2">
        <v>90001</v>
      </c>
      <c r="D244" s="2" t="s">
        <v>19</v>
      </c>
      <c r="E244" s="2">
        <v>90004</v>
      </c>
      <c r="F244" s="2" t="s">
        <v>85</v>
      </c>
      <c r="G244" s="2">
        <v>90013</v>
      </c>
      <c r="H244" s="2" t="s">
        <v>304</v>
      </c>
      <c r="I244" s="2">
        <v>90032</v>
      </c>
      <c r="J244" s="2" t="s">
        <v>306</v>
      </c>
      <c r="M244" s="2">
        <v>90032</v>
      </c>
      <c r="N244" s="2" t="s">
        <v>307</v>
      </c>
      <c r="O244" s="2">
        <v>5</v>
      </c>
    </row>
    <row r="245" spans="1:15" ht="22.5" customHeight="1">
      <c r="A245" s="2">
        <v>90000</v>
      </c>
      <c r="B245" s="2" t="s">
        <v>18</v>
      </c>
      <c r="C245" s="2">
        <v>90001</v>
      </c>
      <c r="D245" s="2" t="s">
        <v>19</v>
      </c>
      <c r="E245" s="2">
        <v>90004</v>
      </c>
      <c r="F245" s="2" t="s">
        <v>85</v>
      </c>
      <c r="G245" s="2">
        <v>90013</v>
      </c>
      <c r="H245" s="2" t="s">
        <v>304</v>
      </c>
      <c r="I245" s="2">
        <v>90033</v>
      </c>
      <c r="J245" s="2" t="s">
        <v>308</v>
      </c>
      <c r="M245" s="2">
        <v>90033</v>
      </c>
      <c r="N245" s="2" t="s">
        <v>308</v>
      </c>
      <c r="O245" s="2">
        <v>5</v>
      </c>
    </row>
    <row r="246" spans="1:15" ht="22.5" customHeight="1">
      <c r="A246" s="2">
        <v>90000</v>
      </c>
      <c r="B246" s="2" t="s">
        <v>18</v>
      </c>
      <c r="C246" s="2">
        <v>90001</v>
      </c>
      <c r="D246" s="2" t="s">
        <v>19</v>
      </c>
      <c r="E246" s="2">
        <v>90004</v>
      </c>
      <c r="F246" s="2" t="s">
        <v>85</v>
      </c>
      <c r="G246" s="2">
        <v>90013</v>
      </c>
      <c r="H246" s="2" t="s">
        <v>304</v>
      </c>
      <c r="I246" s="2">
        <v>90034</v>
      </c>
      <c r="J246" s="2" t="s">
        <v>309</v>
      </c>
      <c r="M246" s="2">
        <v>90034</v>
      </c>
      <c r="N246" s="2" t="s">
        <v>309</v>
      </c>
      <c r="O246" s="2">
        <v>5</v>
      </c>
    </row>
  </sheetData>
  <pageMargins left="0.511811024" right="0.511811024" top="0.78740157499999996" bottom="0.78740157499999996" header="0.31496062000000002" footer="0.31496062000000002"/>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ABBCD-F41E-46C8-8CE7-45176ECB9BFD}">
  <sheetPr>
    <tabColor theme="5"/>
    <outlinePr summaryBelow="0" summaryRight="0"/>
  </sheetPr>
  <dimension ref="A1:H16"/>
  <sheetViews>
    <sheetView zoomScale="55" zoomScaleNormal="55" workbookViewId="0">
      <pane ySplit="1" topLeftCell="A2" activePane="bottomLeft" state="frozen"/>
      <selection activeCell="B22" sqref="B22:B56"/>
      <selection pane="bottomLeft" activeCell="B22" sqref="B22:B56"/>
    </sheetView>
  </sheetViews>
  <sheetFormatPr baseColWidth="10" defaultColWidth="12.59765625" defaultRowHeight="15.75" customHeight="1"/>
  <cols>
    <col min="1" max="1" width="37.59765625" customWidth="1"/>
    <col min="2" max="2" width="23.59765625" customWidth="1"/>
    <col min="3" max="5" width="37.59765625" customWidth="1"/>
    <col min="6" max="6" width="27.59765625" customWidth="1"/>
    <col min="7" max="7" width="25.8984375" customWidth="1"/>
    <col min="8" max="8" width="37.59765625" customWidth="1"/>
  </cols>
  <sheetData>
    <row r="1" spans="1:8" ht="22.5" customHeight="1">
      <c r="A1" s="1" t="s">
        <v>569</v>
      </c>
      <c r="B1" s="1" t="s">
        <v>570</v>
      </c>
      <c r="C1" s="1" t="s">
        <v>571</v>
      </c>
      <c r="D1" s="1" t="s">
        <v>572</v>
      </c>
      <c r="E1" s="1" t="s">
        <v>573</v>
      </c>
      <c r="F1" s="1" t="s">
        <v>574</v>
      </c>
      <c r="G1" s="1" t="s">
        <v>575</v>
      </c>
      <c r="H1" s="1" t="s">
        <v>576</v>
      </c>
    </row>
    <row r="2" spans="1:8" ht="22.5" customHeight="1">
      <c r="A2" s="2" t="s">
        <v>577</v>
      </c>
      <c r="B2" s="2" t="s">
        <v>578</v>
      </c>
      <c r="C2" s="2" t="s">
        <v>579</v>
      </c>
      <c r="D2" s="2" t="s">
        <v>580</v>
      </c>
      <c r="E2" s="3" t="s">
        <v>581</v>
      </c>
      <c r="F2" s="2" t="s">
        <v>582</v>
      </c>
      <c r="G2" s="2" t="s">
        <v>583</v>
      </c>
      <c r="H2" s="2" t="s">
        <v>584</v>
      </c>
    </row>
    <row r="3" spans="1:8" ht="22.5" customHeight="1">
      <c r="A3" s="2" t="s">
        <v>585</v>
      </c>
      <c r="B3" s="2" t="s">
        <v>578</v>
      </c>
      <c r="C3" s="2" t="s">
        <v>586</v>
      </c>
      <c r="D3" s="2" t="s">
        <v>580</v>
      </c>
      <c r="E3" s="3" t="s">
        <v>587</v>
      </c>
      <c r="F3" s="2" t="s">
        <v>588</v>
      </c>
      <c r="G3" s="2" t="s">
        <v>589</v>
      </c>
      <c r="H3" s="2" t="s">
        <v>590</v>
      </c>
    </row>
    <row r="4" spans="1:8" ht="22.5" customHeight="1">
      <c r="A4" s="2" t="s">
        <v>591</v>
      </c>
      <c r="B4" s="2" t="s">
        <v>578</v>
      </c>
      <c r="C4" s="2" t="s">
        <v>592</v>
      </c>
      <c r="D4" s="2" t="s">
        <v>593</v>
      </c>
      <c r="E4" s="3" t="s">
        <v>594</v>
      </c>
      <c r="F4" s="2" t="s">
        <v>595</v>
      </c>
      <c r="G4" s="2" t="s">
        <v>596</v>
      </c>
      <c r="H4" s="2" t="s">
        <v>597</v>
      </c>
    </row>
    <row r="5" spans="1:8" ht="22.5" customHeight="1">
      <c r="A5" s="2" t="s">
        <v>598</v>
      </c>
      <c r="B5" s="2" t="s">
        <v>578</v>
      </c>
      <c r="C5" s="2" t="s">
        <v>599</v>
      </c>
      <c r="D5" s="2" t="s">
        <v>600</v>
      </c>
      <c r="E5" s="3" t="s">
        <v>601</v>
      </c>
      <c r="F5" s="2" t="s">
        <v>602</v>
      </c>
      <c r="G5" s="2" t="s">
        <v>603</v>
      </c>
      <c r="H5" s="2" t="s">
        <v>604</v>
      </c>
    </row>
    <row r="6" spans="1:8" ht="22.5" customHeight="1">
      <c r="A6" s="2" t="s">
        <v>605</v>
      </c>
      <c r="B6" s="2" t="s">
        <v>606</v>
      </c>
      <c r="C6" s="2" t="s">
        <v>607</v>
      </c>
      <c r="D6" s="2" t="s">
        <v>608</v>
      </c>
      <c r="E6" s="3" t="s">
        <v>609</v>
      </c>
      <c r="F6" s="2" t="s">
        <v>610</v>
      </c>
      <c r="G6" s="2" t="s">
        <v>611</v>
      </c>
      <c r="H6" s="2" t="s">
        <v>612</v>
      </c>
    </row>
    <row r="7" spans="1:8" ht="22.5" customHeight="1">
      <c r="A7" s="2" t="s">
        <v>613</v>
      </c>
      <c r="B7" s="2" t="s">
        <v>606</v>
      </c>
      <c r="C7" s="2" t="s">
        <v>614</v>
      </c>
      <c r="D7" s="2" t="s">
        <v>615</v>
      </c>
      <c r="E7" s="3" t="s">
        <v>616</v>
      </c>
      <c r="F7" s="2" t="s">
        <v>610</v>
      </c>
      <c r="G7" s="2" t="s">
        <v>611</v>
      </c>
      <c r="H7" s="2" t="s">
        <v>617</v>
      </c>
    </row>
    <row r="8" spans="1:8" ht="22.5" customHeight="1">
      <c r="A8" s="2" t="s">
        <v>618</v>
      </c>
      <c r="B8" s="2" t="s">
        <v>606</v>
      </c>
      <c r="C8" s="2" t="s">
        <v>619</v>
      </c>
      <c r="D8" s="2" t="s">
        <v>620</v>
      </c>
      <c r="E8" s="3" t="s">
        <v>621</v>
      </c>
      <c r="F8" s="2" t="s">
        <v>622</v>
      </c>
      <c r="G8" s="2" t="s">
        <v>623</v>
      </c>
      <c r="H8" s="2" t="s">
        <v>624</v>
      </c>
    </row>
    <row r="9" spans="1:8" ht="22.5" customHeight="1">
      <c r="A9" s="2" t="s">
        <v>625</v>
      </c>
      <c r="B9" s="2" t="s">
        <v>606</v>
      </c>
      <c r="C9" s="2" t="s">
        <v>626</v>
      </c>
      <c r="D9" s="2" t="s">
        <v>627</v>
      </c>
      <c r="E9" s="3" t="s">
        <v>628</v>
      </c>
      <c r="F9" s="2" t="s">
        <v>610</v>
      </c>
      <c r="G9" s="2" t="s">
        <v>629</v>
      </c>
      <c r="H9" s="2" t="s">
        <v>630</v>
      </c>
    </row>
    <row r="10" spans="1:8" ht="22.5" customHeight="1">
      <c r="A10" s="2" t="s">
        <v>631</v>
      </c>
      <c r="B10" s="2" t="s">
        <v>606</v>
      </c>
      <c r="C10" s="2" t="s">
        <v>632</v>
      </c>
      <c r="D10" s="2" t="s">
        <v>633</v>
      </c>
      <c r="E10" s="3" t="s">
        <v>634</v>
      </c>
      <c r="F10" s="2" t="s">
        <v>610</v>
      </c>
      <c r="G10" s="2" t="s">
        <v>611</v>
      </c>
      <c r="H10" s="2" t="s">
        <v>635</v>
      </c>
    </row>
    <row r="11" spans="1:8" ht="22.5" customHeight="1">
      <c r="A11" s="2" t="s">
        <v>636</v>
      </c>
      <c r="B11" s="2" t="s">
        <v>606</v>
      </c>
      <c r="C11" s="2" t="s">
        <v>637</v>
      </c>
      <c r="D11" s="2" t="s">
        <v>638</v>
      </c>
      <c r="E11" s="3" t="s">
        <v>639</v>
      </c>
      <c r="F11" s="2" t="s">
        <v>640</v>
      </c>
      <c r="G11" s="2" t="s">
        <v>611</v>
      </c>
      <c r="H11" s="2" t="s">
        <v>641</v>
      </c>
    </row>
    <row r="12" spans="1:8" ht="22.5" customHeight="1">
      <c r="A12" s="2" t="s">
        <v>642</v>
      </c>
      <c r="B12" s="2" t="s">
        <v>606</v>
      </c>
      <c r="C12" s="2" t="s">
        <v>643</v>
      </c>
      <c r="D12" s="2" t="s">
        <v>644</v>
      </c>
      <c r="E12" s="3" t="s">
        <v>645</v>
      </c>
      <c r="F12" s="2" t="s">
        <v>646</v>
      </c>
      <c r="G12" s="2" t="s">
        <v>611</v>
      </c>
      <c r="H12" s="2" t="s">
        <v>647</v>
      </c>
    </row>
    <row r="13" spans="1:8" ht="22.5" customHeight="1">
      <c r="A13" s="2" t="s">
        <v>648</v>
      </c>
      <c r="B13" s="2" t="s">
        <v>606</v>
      </c>
      <c r="C13" s="2" t="s">
        <v>649</v>
      </c>
      <c r="D13" s="2" t="s">
        <v>650</v>
      </c>
      <c r="E13" s="3" t="s">
        <v>651</v>
      </c>
      <c r="F13" s="2" t="s">
        <v>652</v>
      </c>
      <c r="G13" s="2" t="s">
        <v>653</v>
      </c>
      <c r="H13" s="2" t="s">
        <v>654</v>
      </c>
    </row>
    <row r="14" spans="1:8" ht="22.5" customHeight="1">
      <c r="A14" s="2" t="s">
        <v>655</v>
      </c>
      <c r="B14" s="2" t="s">
        <v>606</v>
      </c>
      <c r="C14" s="2" t="s">
        <v>656</v>
      </c>
      <c r="D14" s="2" t="s">
        <v>657</v>
      </c>
      <c r="E14" s="3" t="s">
        <v>658</v>
      </c>
      <c r="F14" s="2" t="s">
        <v>659</v>
      </c>
      <c r="G14" s="2" t="s">
        <v>611</v>
      </c>
      <c r="H14" s="2" t="s">
        <v>660</v>
      </c>
    </row>
    <row r="15" spans="1:8" ht="22.5" customHeight="1">
      <c r="A15" s="2" t="s">
        <v>661</v>
      </c>
      <c r="B15" s="2" t="s">
        <v>606</v>
      </c>
      <c r="C15" s="2" t="s">
        <v>662</v>
      </c>
      <c r="D15" s="2" t="s">
        <v>663</v>
      </c>
      <c r="E15" s="3" t="s">
        <v>664</v>
      </c>
      <c r="F15" s="2" t="s">
        <v>582</v>
      </c>
      <c r="G15" s="2" t="s">
        <v>611</v>
      </c>
      <c r="H15" s="2" t="s">
        <v>665</v>
      </c>
    </row>
    <row r="16" spans="1:8" ht="22.5" customHeight="1">
      <c r="A16" s="2" t="s">
        <v>666</v>
      </c>
      <c r="B16" s="2" t="s">
        <v>606</v>
      </c>
      <c r="C16" s="2" t="s">
        <v>667</v>
      </c>
      <c r="D16" s="2" t="s">
        <v>668</v>
      </c>
      <c r="E16" s="3" t="s">
        <v>669</v>
      </c>
      <c r="F16" s="2" t="s">
        <v>670</v>
      </c>
      <c r="G16" s="2" t="s">
        <v>611</v>
      </c>
      <c r="H16" s="2" t="s">
        <v>671</v>
      </c>
    </row>
  </sheetData>
  <hyperlinks>
    <hyperlink ref="E2" r:id="rId1" xr:uid="{F5775151-A15B-40BC-9790-2AB72A1192DE}"/>
    <hyperlink ref="E3" r:id="rId2" xr:uid="{9A71D0E6-8C83-4C31-BE7A-997FEBF680F4}"/>
    <hyperlink ref="E4" r:id="rId3" xr:uid="{EA2298D3-CE7E-4A9C-B8D4-02F0F5405F44}"/>
    <hyperlink ref="E5" r:id="rId4" xr:uid="{247609D8-2E21-40A1-B8E8-F675CEF7D8D4}"/>
    <hyperlink ref="E6" r:id="rId5" xr:uid="{A85D801B-1D5A-4194-AD7B-C0A2D771867C}"/>
    <hyperlink ref="E7" r:id="rId6" xr:uid="{F4066957-B177-460F-9A85-45D6C43F9B14}"/>
    <hyperlink ref="E8" r:id="rId7" xr:uid="{62CBA608-BAAC-4767-8B05-1DFFFA28CCD6}"/>
    <hyperlink ref="E9" r:id="rId8" xr:uid="{D15D1455-7073-4D61-8C97-8A6DA5F67638}"/>
    <hyperlink ref="E10" r:id="rId9" xr:uid="{4349405B-F69E-4DCB-91ED-FDDEFF1FDE30}"/>
    <hyperlink ref="E11" r:id="rId10" xr:uid="{276F85D7-D00C-4C89-B0BE-0D799F207FAE}"/>
    <hyperlink ref="E12" r:id="rId11" xr:uid="{3BC39DEB-AF71-46C0-8E3D-88635CE5C0F8}"/>
    <hyperlink ref="E13" r:id="rId12" xr:uid="{E765ACDB-351F-4BC4-8458-DDB0A0D090C2}"/>
    <hyperlink ref="E14" r:id="rId13" xr:uid="{58AD0D69-C14A-4790-8895-94BDD84AA433}"/>
    <hyperlink ref="E15" r:id="rId14" xr:uid="{5AFDA119-D82D-47CE-A054-5CD3BE2E23EE}"/>
    <hyperlink ref="E16" r:id="rId15" xr:uid="{9A742287-471D-433B-A1E0-9BBC577B6E65}"/>
  </hyperlinks>
  <pageMargins left="0.511811024" right="0.511811024" top="0.78740157499999996" bottom="0.78740157499999996" header="0.31496062000000002" footer="0.31496062000000002"/>
  <tableParts count="1">
    <tablePart r:id="rId1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0E258-5C83-444D-A63D-8C88D9F4706C}">
  <sheetPr>
    <tabColor theme="5"/>
    <outlinePr summaryBelow="0" summaryRight="0"/>
  </sheetPr>
  <dimension ref="A1:E11"/>
  <sheetViews>
    <sheetView workbookViewId="0">
      <pane ySplit="1" topLeftCell="A2" activePane="bottomLeft" state="frozen"/>
      <selection activeCell="B22" sqref="B22:B56"/>
      <selection pane="bottomLeft" activeCell="B22" sqref="B22:B56"/>
    </sheetView>
  </sheetViews>
  <sheetFormatPr baseColWidth="10" defaultColWidth="12.59765625" defaultRowHeight="15.75" customHeight="1"/>
  <cols>
    <col min="1" max="1" width="16.59765625" customWidth="1"/>
    <col min="2" max="2" width="37.59765625" customWidth="1"/>
    <col min="3" max="3" width="25" customWidth="1"/>
    <col min="4" max="5" width="37.59765625" customWidth="1"/>
  </cols>
  <sheetData>
    <row r="1" spans="1:5" ht="22.5" customHeight="1">
      <c r="A1" s="1" t="s">
        <v>672</v>
      </c>
      <c r="B1" s="1" t="s">
        <v>673</v>
      </c>
      <c r="C1" s="1" t="s">
        <v>674</v>
      </c>
      <c r="D1" s="1" t="s">
        <v>675</v>
      </c>
      <c r="E1" s="1" t="s">
        <v>676</v>
      </c>
    </row>
    <row r="2" spans="1:5" ht="22.5" customHeight="1">
      <c r="A2" s="2" t="s">
        <v>677</v>
      </c>
      <c r="B2" s="2" t="s">
        <v>678</v>
      </c>
      <c r="C2" s="2" t="s">
        <v>679</v>
      </c>
      <c r="D2" s="2" t="s">
        <v>375</v>
      </c>
      <c r="E2" s="2" t="s">
        <v>320</v>
      </c>
    </row>
    <row r="3" spans="1:5" ht="22.5" customHeight="1">
      <c r="A3" s="2" t="s">
        <v>680</v>
      </c>
      <c r="B3" s="2" t="s">
        <v>681</v>
      </c>
      <c r="C3" s="2" t="s">
        <v>682</v>
      </c>
      <c r="D3" s="2" t="s">
        <v>683</v>
      </c>
      <c r="E3" s="2" t="s">
        <v>321</v>
      </c>
    </row>
    <row r="4" spans="1:5" ht="22.5" customHeight="1">
      <c r="A4" s="2" t="s">
        <v>684</v>
      </c>
      <c r="B4" s="2" t="s">
        <v>685</v>
      </c>
      <c r="C4" s="2" t="s">
        <v>686</v>
      </c>
      <c r="D4" s="2" t="s">
        <v>687</v>
      </c>
      <c r="E4" s="2" t="s">
        <v>688</v>
      </c>
    </row>
    <row r="5" spans="1:5" ht="22.5" customHeight="1">
      <c r="A5" s="2" t="s">
        <v>689</v>
      </c>
      <c r="B5" s="2" t="s">
        <v>690</v>
      </c>
      <c r="C5" s="2" t="s">
        <v>686</v>
      </c>
      <c r="D5" s="2" t="s">
        <v>687</v>
      </c>
      <c r="E5" s="2" t="s">
        <v>688</v>
      </c>
    </row>
    <row r="6" spans="1:5" ht="22.5" customHeight="1">
      <c r="A6" s="2" t="s">
        <v>691</v>
      </c>
      <c r="B6" s="2" t="s">
        <v>692</v>
      </c>
      <c r="C6" s="2" t="s">
        <v>686</v>
      </c>
      <c r="D6" s="2" t="s">
        <v>687</v>
      </c>
      <c r="E6" s="2" t="s">
        <v>688</v>
      </c>
    </row>
    <row r="7" spans="1:5" ht="22.5" customHeight="1">
      <c r="A7" s="2" t="s">
        <v>693</v>
      </c>
      <c r="B7" s="2" t="s">
        <v>694</v>
      </c>
      <c r="C7" s="2" t="s">
        <v>695</v>
      </c>
      <c r="D7" s="2">
        <v>1</v>
      </c>
      <c r="E7" s="2">
        <v>0.5</v>
      </c>
    </row>
    <row r="8" spans="1:5" ht="22.5" customHeight="1">
      <c r="A8" s="2" t="s">
        <v>696</v>
      </c>
      <c r="B8" s="2" t="s">
        <v>697</v>
      </c>
      <c r="C8" s="2" t="s">
        <v>698</v>
      </c>
      <c r="D8" s="2" t="s">
        <v>699</v>
      </c>
      <c r="E8" s="2" t="s">
        <v>700</v>
      </c>
    </row>
    <row r="9" spans="1:5" ht="22.5" customHeight="1">
      <c r="A9" s="2" t="s">
        <v>701</v>
      </c>
      <c r="B9" s="2" t="s">
        <v>702</v>
      </c>
      <c r="C9" s="2" t="s">
        <v>682</v>
      </c>
      <c r="E9" s="2" t="s">
        <v>703</v>
      </c>
    </row>
    <row r="10" spans="1:5" ht="22.5" customHeight="1">
      <c r="A10" s="2" t="s">
        <v>704</v>
      </c>
      <c r="B10" s="2" t="s">
        <v>705</v>
      </c>
      <c r="C10" s="2" t="s">
        <v>682</v>
      </c>
      <c r="D10" s="2" t="s">
        <v>706</v>
      </c>
      <c r="E10" s="2" t="s">
        <v>707</v>
      </c>
    </row>
    <row r="11" spans="1:5" ht="22.5" customHeight="1">
      <c r="A11" s="2" t="s">
        <v>708</v>
      </c>
      <c r="B11" s="2" t="s">
        <v>709</v>
      </c>
      <c r="C11" s="2" t="s">
        <v>710</v>
      </c>
      <c r="D11" s="2" t="s">
        <v>710</v>
      </c>
      <c r="E11" s="2" t="s">
        <v>710</v>
      </c>
    </row>
  </sheetData>
  <pageMargins left="0.511811024" right="0.511811024" top="0.78740157499999996" bottom="0.78740157499999996" header="0.31496062000000002" footer="0.31496062000000002"/>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7A19B-5629-41EA-BF3F-6BB000683950}">
  <sheetPr>
    <tabColor theme="5"/>
    <outlinePr summaryBelow="0" summaryRight="0"/>
  </sheetPr>
  <dimension ref="A1:G11"/>
  <sheetViews>
    <sheetView workbookViewId="0">
      <pane ySplit="1" topLeftCell="A2" activePane="bottomLeft" state="frozen"/>
      <selection activeCell="B22" sqref="B22:B56"/>
      <selection pane="bottomLeft" activeCell="B22" sqref="B22:B56"/>
    </sheetView>
  </sheetViews>
  <sheetFormatPr baseColWidth="10" defaultColWidth="12.59765625" defaultRowHeight="15.75" customHeight="1"/>
  <cols>
    <col min="1" max="1" width="29.3984375" customWidth="1"/>
    <col min="2" max="3" width="37.59765625" customWidth="1"/>
    <col min="4" max="4" width="26.296875" customWidth="1"/>
    <col min="5" max="5" width="21.3984375" customWidth="1"/>
    <col min="6" max="7" width="37.59765625" customWidth="1"/>
  </cols>
  <sheetData>
    <row r="1" spans="1:7" ht="22.5" customHeight="1">
      <c r="A1" s="1" t="s">
        <v>711</v>
      </c>
      <c r="B1" s="1" t="s">
        <v>712</v>
      </c>
      <c r="C1" s="1" t="s">
        <v>713</v>
      </c>
      <c r="D1" s="1" t="s">
        <v>714</v>
      </c>
      <c r="E1" s="1" t="s">
        <v>715</v>
      </c>
      <c r="F1" s="1" t="s">
        <v>572</v>
      </c>
      <c r="G1" s="1" t="s">
        <v>716</v>
      </c>
    </row>
    <row r="2" spans="1:7" ht="22.5" customHeight="1">
      <c r="A2" s="2" t="s">
        <v>717</v>
      </c>
      <c r="B2" s="2" t="s">
        <v>718</v>
      </c>
      <c r="C2" s="2" t="s">
        <v>719</v>
      </c>
      <c r="D2" s="2" t="s">
        <v>720</v>
      </c>
      <c r="F2" s="2" t="s">
        <v>721</v>
      </c>
      <c r="G2" s="3" t="s">
        <v>722</v>
      </c>
    </row>
    <row r="3" spans="1:7" ht="22.5" customHeight="1">
      <c r="A3" s="2" t="s">
        <v>723</v>
      </c>
      <c r="B3" s="2" t="s">
        <v>724</v>
      </c>
      <c r="C3" s="2" t="s">
        <v>725</v>
      </c>
      <c r="D3" s="2" t="s">
        <v>726</v>
      </c>
      <c r="F3" s="2" t="s">
        <v>727</v>
      </c>
      <c r="G3" s="3" t="s">
        <v>728</v>
      </c>
    </row>
    <row r="4" spans="1:7" ht="22.5" customHeight="1">
      <c r="A4" s="2" t="s">
        <v>729</v>
      </c>
      <c r="B4" s="2" t="s">
        <v>730</v>
      </c>
      <c r="C4" s="2" t="s">
        <v>731</v>
      </c>
      <c r="D4" s="2" t="s">
        <v>732</v>
      </c>
      <c r="F4" s="2" t="s">
        <v>733</v>
      </c>
      <c r="G4" s="3" t="s">
        <v>734</v>
      </c>
    </row>
    <row r="5" spans="1:7" ht="22.5" customHeight="1">
      <c r="A5" s="2" t="s">
        <v>735</v>
      </c>
      <c r="B5" s="2" t="s">
        <v>736</v>
      </c>
      <c r="C5" s="2" t="s">
        <v>737</v>
      </c>
      <c r="D5" s="2" t="s">
        <v>738</v>
      </c>
      <c r="E5" s="2" t="s">
        <v>18</v>
      </c>
      <c r="F5" s="2" t="s">
        <v>727</v>
      </c>
      <c r="G5" s="3" t="s">
        <v>739</v>
      </c>
    </row>
    <row r="6" spans="1:7" ht="22.5" customHeight="1">
      <c r="A6" s="2" t="s">
        <v>740</v>
      </c>
      <c r="B6" s="2" t="s">
        <v>741</v>
      </c>
      <c r="C6" s="2" t="s">
        <v>742</v>
      </c>
      <c r="D6" s="2" t="s">
        <v>738</v>
      </c>
      <c r="E6" s="2" t="s">
        <v>743</v>
      </c>
      <c r="F6" s="2" t="s">
        <v>744</v>
      </c>
      <c r="G6" s="3" t="s">
        <v>745</v>
      </c>
    </row>
    <row r="7" spans="1:7" ht="22.5" customHeight="1">
      <c r="A7" s="2" t="s">
        <v>746</v>
      </c>
      <c r="B7" s="2" t="s">
        <v>747</v>
      </c>
      <c r="C7" s="2" t="s">
        <v>748</v>
      </c>
      <c r="D7" s="2" t="s">
        <v>738</v>
      </c>
      <c r="E7" s="2" t="s">
        <v>7</v>
      </c>
      <c r="F7" s="2" t="s">
        <v>749</v>
      </c>
      <c r="G7" s="3" t="s">
        <v>750</v>
      </c>
    </row>
    <row r="8" spans="1:7" ht="22.5" customHeight="1">
      <c r="A8" s="2" t="s">
        <v>751</v>
      </c>
      <c r="B8" s="2" t="s">
        <v>752</v>
      </c>
      <c r="C8" s="2" t="s">
        <v>753</v>
      </c>
      <c r="D8" s="2" t="s">
        <v>738</v>
      </c>
      <c r="E8" s="2" t="s">
        <v>2</v>
      </c>
      <c r="F8" s="2" t="s">
        <v>754</v>
      </c>
      <c r="G8" s="4" t="s">
        <v>755</v>
      </c>
    </row>
    <row r="9" spans="1:7" ht="22.5" customHeight="1">
      <c r="A9" s="2" t="s">
        <v>756</v>
      </c>
      <c r="B9" s="2" t="s">
        <v>757</v>
      </c>
      <c r="C9" s="2" t="s">
        <v>758</v>
      </c>
      <c r="D9" s="2" t="s">
        <v>738</v>
      </c>
      <c r="E9" s="2" t="s">
        <v>15</v>
      </c>
      <c r="F9" s="2" t="s">
        <v>759</v>
      </c>
      <c r="G9" s="4" t="s">
        <v>760</v>
      </c>
    </row>
    <row r="10" spans="1:7" ht="22.5" customHeight="1">
      <c r="A10" s="2" t="s">
        <v>761</v>
      </c>
      <c r="B10" s="2" t="s">
        <v>762</v>
      </c>
      <c r="C10" s="2" t="s">
        <v>763</v>
      </c>
      <c r="D10" s="2" t="s">
        <v>738</v>
      </c>
      <c r="E10" s="2" t="s">
        <v>10</v>
      </c>
      <c r="F10" s="2" t="s">
        <v>764</v>
      </c>
      <c r="G10" s="3" t="s">
        <v>765</v>
      </c>
    </row>
    <row r="11" spans="1:7" ht="22.5" customHeight="1">
      <c r="A11" s="2" t="s">
        <v>766</v>
      </c>
      <c r="B11" s="2" t="s">
        <v>767</v>
      </c>
      <c r="C11" s="2" t="s">
        <v>768</v>
      </c>
      <c r="D11" s="2" t="s">
        <v>738</v>
      </c>
      <c r="E11" s="2" t="s">
        <v>4</v>
      </c>
      <c r="F11" s="2" t="s">
        <v>769</v>
      </c>
      <c r="G11" s="3" t="s">
        <v>770</v>
      </c>
    </row>
  </sheetData>
  <hyperlinks>
    <hyperlink ref="G2" r:id="rId1" xr:uid="{8AFB5F72-1266-4B42-926D-092AE0D9ABDB}"/>
    <hyperlink ref="G3" r:id="rId2" xr:uid="{3BF7361F-F2D7-474F-B494-C3CD84FD764F}"/>
    <hyperlink ref="G4" r:id="rId3" xr:uid="{B486CC88-BABA-4441-969B-D3D1E81D8C6B}"/>
    <hyperlink ref="G5" r:id="rId4" xr:uid="{3AA87C81-8401-48BF-9096-0B3069963C84}"/>
    <hyperlink ref="G6" r:id="rId5" xr:uid="{C2F46072-4FEF-4F48-8C40-1BAA4BDE8B5E}"/>
    <hyperlink ref="G7" r:id="rId6" xr:uid="{25AE10BB-09EB-4AF9-9E1B-289A24EA9767}"/>
    <hyperlink ref="G8" r:id="rId7" xr:uid="{B3BB7559-287B-4D01-8198-E1DF2AC0D6A5}"/>
    <hyperlink ref="G9" r:id="rId8" xr:uid="{041F2488-68F5-432B-AD3A-E1E726C92AEF}"/>
    <hyperlink ref="G10" r:id="rId9" xr:uid="{09C32944-131A-436B-8102-FEA0C2B03B5C}"/>
    <hyperlink ref="G11" r:id="rId10" xr:uid="{A853F8AC-8A0B-449C-B08F-2C01855453AA}"/>
  </hyperlinks>
  <pageMargins left="0.511811024" right="0.511811024" top="0.78740157499999996" bottom="0.78740157499999996" header="0.31496062000000002" footer="0.31496062000000002"/>
  <tableParts count="1">
    <tablePart r:id="rId1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F4BF-19C0-4B64-A51B-EFDAFE3338B3}">
  <sheetPr>
    <tabColor rgb="FFFFFF00"/>
  </sheetPr>
  <dimension ref="A1"/>
  <sheetViews>
    <sheetView workbookViewId="0"/>
  </sheetViews>
  <sheetFormatPr baseColWidth="10" defaultRowHeight="1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BF422-36FA-4490-98FB-493FBF5AE051}">
  <dimension ref="A2:AJ217"/>
  <sheetViews>
    <sheetView showGridLines="0" topLeftCell="A72" zoomScale="55" zoomScaleNormal="55" workbookViewId="0">
      <selection activeCell="A72" sqref="A1:XFD1048576"/>
    </sheetView>
  </sheetViews>
  <sheetFormatPr baseColWidth="10" defaultRowHeight="15"/>
  <cols>
    <col min="1" max="1" width="6.09765625" style="186" customWidth="1"/>
    <col min="2" max="2" width="32" style="186" customWidth="1"/>
    <col min="3" max="3" width="51.296875" style="186" customWidth="1"/>
    <col min="4" max="4" width="66.796875" style="186" customWidth="1"/>
    <col min="5" max="5" width="28" style="186" customWidth="1"/>
    <col min="6" max="6" width="58" style="186" customWidth="1"/>
    <col min="7" max="7" width="41" style="186" customWidth="1"/>
    <col min="8" max="8" width="51" style="186" customWidth="1"/>
    <col min="9" max="9" width="33" style="186" customWidth="1"/>
    <col min="10" max="10" width="30" style="186" customWidth="1"/>
    <col min="11" max="11" width="30.796875" style="186" customWidth="1"/>
    <col min="12" max="12" width="17.5" style="186" customWidth="1"/>
    <col min="13" max="13" width="22.5" style="186" customWidth="1"/>
    <col min="14" max="14" width="30" style="186" customWidth="1"/>
    <col min="15" max="15" width="19.19921875" style="186" customWidth="1"/>
    <col min="16" max="16" width="24.19921875" style="186" customWidth="1"/>
    <col min="17" max="17" width="14.19921875" style="186" customWidth="1"/>
    <col min="18" max="18" width="30.796875" style="186" customWidth="1"/>
    <col min="19" max="19" width="20" style="186" customWidth="1"/>
    <col min="20" max="20" width="27.5" style="186" customWidth="1"/>
    <col min="21" max="21" width="15.59765625" style="186" bestFit="1" customWidth="1"/>
    <col min="22" max="24" width="11.19921875" style="186"/>
    <col min="25" max="25" width="17.69921875" style="186" bestFit="1" customWidth="1"/>
    <col min="26" max="16384" width="11.19921875" style="186"/>
  </cols>
  <sheetData>
    <row r="2" spans="1:36" ht="24">
      <c r="A2" s="185"/>
      <c r="B2" s="115" t="s">
        <v>1854</v>
      </c>
      <c r="C2" s="115"/>
      <c r="D2" s="115"/>
      <c r="E2" s="115"/>
      <c r="F2" s="115"/>
      <c r="G2" s="115"/>
      <c r="H2" s="115"/>
      <c r="I2" s="115"/>
      <c r="J2" s="115"/>
      <c r="K2" s="115"/>
      <c r="L2" s="115"/>
      <c r="M2" s="115"/>
      <c r="N2" s="115"/>
      <c r="O2" s="115"/>
      <c r="P2" s="115"/>
      <c r="Q2" s="115"/>
      <c r="R2" s="115"/>
      <c r="S2" s="115"/>
      <c r="T2" s="115"/>
    </row>
    <row r="3" spans="1:36">
      <c r="A3" s="185"/>
      <c r="B3" s="187" t="s">
        <v>2564</v>
      </c>
      <c r="C3" s="187"/>
      <c r="D3" s="187"/>
      <c r="E3" s="187"/>
      <c r="F3" s="187"/>
      <c r="G3" s="187"/>
      <c r="H3" s="187"/>
      <c r="I3" s="187"/>
      <c r="J3" s="187"/>
      <c r="K3" s="187"/>
      <c r="L3" s="187"/>
      <c r="M3" s="187"/>
      <c r="N3" s="187"/>
      <c r="O3" s="187"/>
      <c r="P3" s="187"/>
      <c r="Q3" s="187"/>
      <c r="R3" s="187"/>
      <c r="S3" s="187"/>
      <c r="T3" s="187"/>
    </row>
    <row r="4" spans="1:36">
      <c r="A4" s="185"/>
      <c r="B4" s="188" t="s">
        <v>2565</v>
      </c>
      <c r="C4" s="189"/>
      <c r="D4" s="189"/>
      <c r="E4" s="189"/>
      <c r="F4" s="189"/>
      <c r="G4" s="189"/>
      <c r="H4" s="189"/>
      <c r="I4" s="189"/>
      <c r="J4" s="189"/>
      <c r="K4" s="189"/>
      <c r="L4" s="189"/>
      <c r="M4" s="189"/>
      <c r="N4" s="189"/>
      <c r="O4" s="189"/>
      <c r="P4" s="189"/>
      <c r="Q4" s="189"/>
      <c r="R4" s="189"/>
      <c r="S4" s="189"/>
      <c r="T4" s="189"/>
    </row>
    <row r="5" spans="1:36">
      <c r="A5" s="185"/>
    </row>
    <row r="6" spans="1:36" s="185" customFormat="1" ht="17.399999999999999">
      <c r="B6" s="190" t="s">
        <v>1855</v>
      </c>
      <c r="C6" s="190"/>
      <c r="D6" s="190"/>
      <c r="E6" s="190"/>
      <c r="F6" s="190"/>
      <c r="G6" s="190"/>
      <c r="H6" s="190"/>
      <c r="I6" s="190"/>
      <c r="J6" s="87"/>
      <c r="K6" s="87"/>
      <c r="L6" s="87"/>
      <c r="M6" s="87"/>
      <c r="N6" s="87"/>
      <c r="O6" s="87"/>
      <c r="P6" s="87"/>
      <c r="Q6" s="87"/>
      <c r="R6" s="87"/>
      <c r="S6" s="87"/>
      <c r="T6" s="87"/>
    </row>
    <row r="7" spans="1:36" s="185" customFormat="1">
      <c r="B7" s="186" t="s">
        <v>1641</v>
      </c>
      <c r="C7" s="186" t="s">
        <v>1642</v>
      </c>
      <c r="D7" s="186" t="s">
        <v>1643</v>
      </c>
      <c r="E7" s="186" t="s">
        <v>1636</v>
      </c>
      <c r="F7" s="186" t="s">
        <v>1647</v>
      </c>
      <c r="G7" s="186" t="s">
        <v>1644</v>
      </c>
      <c r="H7" s="186" t="s">
        <v>1638</v>
      </c>
      <c r="I7" s="186" t="s">
        <v>1648</v>
      </c>
      <c r="J7" s="186" t="s">
        <v>1645</v>
      </c>
      <c r="K7" s="186" t="s">
        <v>1495</v>
      </c>
      <c r="L7" s="87"/>
      <c r="M7" s="87"/>
      <c r="N7" s="87"/>
      <c r="O7" s="87"/>
      <c r="P7" s="87"/>
      <c r="Q7" s="87"/>
      <c r="R7" s="87"/>
      <c r="S7" s="87"/>
      <c r="T7" s="87"/>
      <c r="U7" s="87"/>
      <c r="V7" s="87"/>
      <c r="AA7" s="186"/>
      <c r="AB7" s="186"/>
      <c r="AC7" s="186"/>
      <c r="AD7" s="186"/>
      <c r="AE7" s="186"/>
      <c r="AF7" s="186"/>
      <c r="AG7" s="186"/>
      <c r="AH7" s="186"/>
      <c r="AI7" s="186"/>
      <c r="AJ7" s="186"/>
    </row>
    <row r="8" spans="1:36" s="185" customFormat="1">
      <c r="B8" s="13" t="str" cm="1">
        <f t="array" ref="B8">IF(ROW()-ROW(tbl_FS_EligibilitySummary[#Headers])&lt;=ROWS(tbl_FS_Assessment[ActionID]),"Existing action","Additional action")</f>
        <v>Existing action</v>
      </c>
      <c r="C8" s="13" t="str" cm="1">
        <f t="array" ref="C8">IF(ROW()-ROW(tbl_FS_EligibilitySummary[#Headers])&lt;=ROWS(tbl_FS_Assessment[ActionID]),INDEX(tbl_FS_Assessment[ActionID],ROW()-ROW(tbl_FS_EligibilitySummary[#Headers])),INDEX(tbl_FS_AdditionalActions[AdditionalActionID],ROW()-ROW(tbl_FS_EligibilitySummary[#Headers])-ROWS(tbl_FS_Assessment[ActionID])))</f>
        <v>c40_0046</v>
      </c>
      <c r="D8" s="13" t="str" cm="1">
        <f t="array" ref="D8">IF(ROW()-ROW(tbl_FS_EligibilitySummary[#Headers])&lt;=ROWS(tbl_FS_Assessment[ActionID]),INDEX(tbl_FS_Assessment[ActionName],ROW()-ROW(tbl_FS_EligibilitySummary[#Headers])),INDEX(tbl_FS_AdditionalActions[ActionName],ROW()-ROW(tbl_FS_EligibilitySummary[#Headers])-ROWS(tbl_FS_Assessment[ActionID])))</f>
        <v>Strengthen coastal protection infrastructure</v>
      </c>
      <c r="E8" s="13" t="str" cm="1">
        <f t="array" ref="E8">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8" s="13" t="str" cm="1">
        <f t="array" ref="F8">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8" s="13" t="str" cm="1">
        <f t="array" ref="G8">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8" s="13" t="str" cm="1">
        <f t="array" ref="H8">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8" s="13" t="str" cm="1">
        <f t="array" ref="I8">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8" s="13" t="str" cm="1">
        <f t="array" ref="J8">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8" s="13" t="str" cm="1">
        <f t="array" ref="K8">IF(ROW()-ROW(tbl_FS_EligibilitySummary[#Headers])&lt;=ROWS(tbl_FS_Assessment[ActionID]),INDEX(tbl_FS_Assessment[ReviewStatus],ROW()-ROW(tbl_FS_EligibilitySummary[#Headers])),INDEX(tbl_FS_AdditionalActions[ReviewStatus],ROW()-ROW(tbl_FS_EligibilitySummary[#Headers])-ROWS(tbl_FS_Assessment[ActionID])))</f>
        <v>Reviewed</v>
      </c>
      <c r="L8" s="87"/>
      <c r="M8" s="87"/>
      <c r="N8" s="87"/>
      <c r="O8" s="87"/>
      <c r="P8" s="87"/>
      <c r="Q8" s="87"/>
      <c r="R8" s="87"/>
      <c r="S8" s="87"/>
      <c r="T8" s="87"/>
      <c r="U8" s="87"/>
      <c r="V8" s="87"/>
      <c r="AA8" s="186"/>
      <c r="AB8" s="186"/>
      <c r="AC8" s="186"/>
      <c r="AD8" s="186"/>
      <c r="AE8" s="186"/>
      <c r="AF8" s="186"/>
      <c r="AG8" s="186"/>
      <c r="AH8" s="186"/>
      <c r="AI8" s="186"/>
      <c r="AJ8" s="186"/>
    </row>
    <row r="9" spans="1:36" s="185" customFormat="1">
      <c r="B9" s="13" t="str" cm="1">
        <f t="array" ref="B9">IF(ROW()-ROW(tbl_FS_EligibilitySummary[#Headers])&lt;=ROWS(tbl_FS_Assessment[ActionID]),"Existing action","Additional action")</f>
        <v>Existing action</v>
      </c>
      <c r="C9" s="13" t="str" cm="1">
        <f t="array" ref="C9">IF(ROW()-ROW(tbl_FS_EligibilitySummary[#Headers])&lt;=ROWS(tbl_FS_Assessment[ActionID]),INDEX(tbl_FS_Assessment[ActionID],ROW()-ROW(tbl_FS_EligibilitySummary[#Headers])),INDEX(tbl_FS_AdditionalActions[AdditionalActionID],ROW()-ROW(tbl_FS_EligibilitySummary[#Headers])-ROWS(tbl_FS_Assessment[ActionID])))</f>
        <v>c40_0048</v>
      </c>
      <c r="D9" s="13" t="str" cm="1">
        <f t="array" ref="D9">IF(ROW()-ROW(tbl_FS_EligibilitySummary[#Headers])&lt;=ROWS(tbl_FS_Assessment[ActionID]),INDEX(tbl_FS_Assessment[ActionName],ROW()-ROW(tbl_FS_EligibilitySummary[#Headers])),INDEX(tbl_FS_AdditionalActions[ActionName],ROW()-ROW(tbl_FS_EligibilitySummary[#Headers])-ROWS(tbl_FS_Assessment[ActionID])))</f>
        <v>Upgrade urban drainage systems</v>
      </c>
      <c r="E9" s="13" t="str" cm="1">
        <f t="array" ref="E9">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9" s="13" t="str" cm="1">
        <f t="array" ref="F9">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9" s="13" t="str" cm="1">
        <f t="array" ref="G9">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9" s="13" t="str" cm="1">
        <f t="array" ref="H9">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9" s="13" t="str" cm="1">
        <f t="array" ref="I9">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9" s="13" t="str" cm="1">
        <f t="array" ref="J9">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9" s="13" t="str" cm="1">
        <f t="array" ref="K9">IF(ROW()-ROW(tbl_FS_EligibilitySummary[#Headers])&lt;=ROWS(tbl_FS_Assessment[ActionID]),INDEX(tbl_FS_Assessment[ReviewStatus],ROW()-ROW(tbl_FS_EligibilitySummary[#Headers])),INDEX(tbl_FS_AdditionalActions[ReviewStatus],ROW()-ROW(tbl_FS_EligibilitySummary[#Headers])-ROWS(tbl_FS_Assessment[ActionID])))</f>
        <v>Reviewed</v>
      </c>
      <c r="L9" s="87"/>
      <c r="M9" s="87"/>
      <c r="N9" s="87"/>
      <c r="O9" s="87"/>
      <c r="P9" s="87"/>
      <c r="Q9" s="87"/>
      <c r="R9" s="87"/>
      <c r="S9" s="87"/>
      <c r="T9" s="87"/>
      <c r="U9" s="87"/>
      <c r="V9" s="87"/>
      <c r="AA9" s="186"/>
      <c r="AB9" s="186"/>
      <c r="AC9" s="186"/>
      <c r="AD9" s="186"/>
      <c r="AE9" s="186"/>
      <c r="AF9" s="186"/>
      <c r="AG9" s="186"/>
      <c r="AH9" s="186"/>
      <c r="AI9" s="186"/>
      <c r="AJ9" s="186"/>
    </row>
    <row r="10" spans="1:36" s="185" customFormat="1">
      <c r="B10" s="13" t="str" cm="1">
        <f t="array" ref="B10">IF(ROW()-ROW(tbl_FS_EligibilitySummary[#Headers])&lt;=ROWS(tbl_FS_Assessment[ActionID]),"Existing action","Additional action")</f>
        <v>Existing action</v>
      </c>
      <c r="C10" s="13" t="str" cm="1">
        <f t="array" ref="C10">IF(ROW()-ROW(tbl_FS_EligibilitySummary[#Headers])&lt;=ROWS(tbl_FS_Assessment[ActionID]),INDEX(tbl_FS_Assessment[ActionID],ROW()-ROW(tbl_FS_EligibilitySummary[#Headers])),INDEX(tbl_FS_AdditionalActions[AdditionalActionID],ROW()-ROW(tbl_FS_EligibilitySummary[#Headers])-ROWS(tbl_FS_Assessment[ActionID])))</f>
        <v>c40_0049</v>
      </c>
      <c r="D10" s="13" t="str" cm="1">
        <f t="array" ref="D10">IF(ROW()-ROW(tbl_FS_EligibilitySummary[#Headers])&lt;=ROWS(tbl_FS_Assessment[ActionID]),INDEX(tbl_FS_Assessment[ActionName],ROW()-ROW(tbl_FS_EligibilitySummary[#Headers])),INDEX(tbl_FS_AdditionalActions[ActionName],ROW()-ROW(tbl_FS_EligibilitySummary[#Headers])-ROWS(tbl_FS_Assessment[ActionID])))</f>
        <v>Build and maintain shelters for critical climate hazards</v>
      </c>
      <c r="E10" s="13" t="str" cm="1">
        <f t="array" ref="E10">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10" s="13" t="str" cm="1">
        <f t="array" ref="F10">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10" s="13" t="str" cm="1">
        <f t="array" ref="G10">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10" s="13" t="str" cm="1">
        <f t="array" ref="H10">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10" s="13" t="str" cm="1">
        <f t="array" ref="I10">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10" s="13" t="str" cm="1">
        <f t="array" ref="J10">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10" s="13" t="str" cm="1">
        <f t="array" ref="K10">IF(ROW()-ROW(tbl_FS_EligibilitySummary[#Headers])&lt;=ROWS(tbl_FS_Assessment[ActionID]),INDEX(tbl_FS_Assessment[ReviewStatus],ROW()-ROW(tbl_FS_EligibilitySummary[#Headers])),INDEX(tbl_FS_AdditionalActions[ReviewStatus],ROW()-ROW(tbl_FS_EligibilitySummary[#Headers])-ROWS(tbl_FS_Assessment[ActionID])))</f>
        <v>Reviewed</v>
      </c>
      <c r="L10" s="87"/>
      <c r="M10" s="87"/>
      <c r="N10" s="87"/>
      <c r="O10" s="87"/>
      <c r="P10" s="87"/>
      <c r="Q10" s="87"/>
      <c r="R10" s="87"/>
      <c r="S10" s="87"/>
      <c r="T10" s="87"/>
      <c r="U10" s="87"/>
      <c r="V10" s="87"/>
      <c r="AA10" s="186"/>
      <c r="AB10" s="186"/>
      <c r="AC10" s="186"/>
      <c r="AD10" s="186"/>
      <c r="AE10" s="186"/>
      <c r="AF10" s="186"/>
      <c r="AG10" s="186"/>
      <c r="AH10" s="186"/>
      <c r="AI10" s="186"/>
      <c r="AJ10" s="186"/>
    </row>
    <row r="11" spans="1:36" s="185" customFormat="1">
      <c r="B11" s="13" t="str" cm="1">
        <f t="array" ref="B11">IF(ROW()-ROW(tbl_FS_EligibilitySummary[#Headers])&lt;=ROWS(tbl_FS_Assessment[ActionID]),"Existing action","Additional action")</f>
        <v>Existing action</v>
      </c>
      <c r="C11" s="13" t="str" cm="1">
        <f t="array" ref="C11">IF(ROW()-ROW(tbl_FS_EligibilitySummary[#Headers])&lt;=ROWS(tbl_FS_Assessment[ActionID]),INDEX(tbl_FS_Assessment[ActionID],ROW()-ROW(tbl_FS_EligibilitySummary[#Headers])),INDEX(tbl_FS_AdditionalActions[AdditionalActionID],ROW()-ROW(tbl_FS_EligibilitySummary[#Headers])-ROWS(tbl_FS_Assessment[ActionID])))</f>
        <v>c40_0051</v>
      </c>
      <c r="D11" s="13" t="str" cm="1">
        <f t="array" ref="D11">IF(ROW()-ROW(tbl_FS_EligibilitySummary[#Headers])&lt;=ROWS(tbl_FS_Assessment[ActionID]),INDEX(tbl_FS_Assessment[ActionName],ROW()-ROW(tbl_FS_EligibilitySummary[#Headers])),INDEX(tbl_FS_AdditionalActions[ActionName],ROW()-ROW(tbl_FS_EligibilitySummary[#Headers])-ROWS(tbl_FS_Assessment[ActionID])))</f>
        <v>Provide public shading in heat hotspots</v>
      </c>
      <c r="E11" s="13" t="str" cm="1">
        <f t="array" ref="E11">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11" s="13" t="str" cm="1">
        <f t="array" ref="F11">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11" s="13" t="str" cm="1">
        <f t="array" ref="G11">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11" s="13" t="str" cm="1">
        <f t="array" ref="H11">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11" s="13" t="str" cm="1">
        <f t="array" ref="I11">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11" s="13" t="str" cm="1">
        <f t="array" ref="J11">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11" s="13" t="str" cm="1">
        <f t="array" ref="K11">IF(ROW()-ROW(tbl_FS_EligibilitySummary[#Headers])&lt;=ROWS(tbl_FS_Assessment[ActionID]),INDEX(tbl_FS_Assessment[ReviewStatus],ROW()-ROW(tbl_FS_EligibilitySummary[#Headers])),INDEX(tbl_FS_AdditionalActions[ReviewStatus],ROW()-ROW(tbl_FS_EligibilitySummary[#Headers])-ROWS(tbl_FS_Assessment[ActionID])))</f>
        <v>Reviewed</v>
      </c>
      <c r="L11" s="87"/>
      <c r="M11" s="87"/>
      <c r="N11" s="87"/>
      <c r="O11" s="87"/>
      <c r="P11" s="87"/>
      <c r="Q11" s="87"/>
      <c r="R11" s="87"/>
      <c r="S11" s="87"/>
      <c r="T11" s="87"/>
      <c r="U11" s="87"/>
      <c r="V11" s="87"/>
      <c r="AA11" s="186"/>
      <c r="AB11" s="186"/>
      <c r="AC11" s="186"/>
      <c r="AD11" s="186"/>
      <c r="AE11" s="186"/>
      <c r="AF11" s="186"/>
      <c r="AG11" s="186"/>
      <c r="AH11" s="186"/>
      <c r="AI11" s="186"/>
      <c r="AJ11" s="186"/>
    </row>
    <row r="12" spans="1:36" s="185" customFormat="1">
      <c r="B12" s="13" t="str" cm="1">
        <f t="array" ref="B12">IF(ROW()-ROW(tbl_FS_EligibilitySummary[#Headers])&lt;=ROWS(tbl_FS_Assessment[ActionID]),"Existing action","Additional action")</f>
        <v>Existing action</v>
      </c>
      <c r="C12" s="13" t="str" cm="1">
        <f t="array" ref="C12">IF(ROW()-ROW(tbl_FS_EligibilitySummary[#Headers])&lt;=ROWS(tbl_FS_Assessment[ActionID]),INDEX(tbl_FS_Assessment[ActionID],ROW()-ROW(tbl_FS_EligibilitySummary[#Headers])),INDEX(tbl_FS_AdditionalActions[AdditionalActionID],ROW()-ROW(tbl_FS_EligibilitySummary[#Headers])-ROWS(tbl_FS_Assessment[ActionID])))</f>
        <v>c40_0052</v>
      </c>
      <c r="D12" s="13" t="str" cm="1">
        <f t="array" ref="D12">IF(ROW()-ROW(tbl_FS_EligibilitySummary[#Headers])&lt;=ROWS(tbl_FS_Assessment[ActionID]),INDEX(tbl_FS_Assessment[ActionName],ROW()-ROW(tbl_FS_EligibilitySummary[#Headers])),INDEX(tbl_FS_AdditionalActions[ActionName],ROW()-ROW(tbl_FS_EligibilitySummary[#Headers])-ROWS(tbl_FS_Assessment[ActionID])))</f>
        <v>Deploy cool pavements and cool roofs on heat‑exposed streets and buildings</v>
      </c>
      <c r="E12" s="13" t="str" cm="1">
        <f t="array" ref="E12">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12" s="13" t="str" cm="1">
        <f t="array" ref="F12">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12" s="13" t="str" cm="1">
        <f t="array" ref="G12">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12" s="13" t="str" cm="1">
        <f t="array" ref="H12">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12" s="13" t="str" cm="1">
        <f t="array" ref="I12">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12" s="13" t="str" cm="1">
        <f t="array" ref="J12">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12" s="13" t="str" cm="1">
        <f t="array" ref="K12">IF(ROW()-ROW(tbl_FS_EligibilitySummary[#Headers])&lt;=ROWS(tbl_FS_Assessment[ActionID]),INDEX(tbl_FS_Assessment[ReviewStatus],ROW()-ROW(tbl_FS_EligibilitySummary[#Headers])),INDEX(tbl_FS_AdditionalActions[ReviewStatus],ROW()-ROW(tbl_FS_EligibilitySummary[#Headers])-ROWS(tbl_FS_Assessment[ActionID])))</f>
        <v>Reviewed</v>
      </c>
      <c r="L12" s="87"/>
      <c r="M12" s="87"/>
      <c r="N12" s="87"/>
      <c r="O12" s="87"/>
      <c r="P12" s="87"/>
      <c r="Q12" s="87"/>
      <c r="R12" s="87"/>
      <c r="S12" s="87"/>
      <c r="T12" s="87"/>
      <c r="U12" s="87"/>
      <c r="V12" s="87"/>
      <c r="AA12" s="186"/>
      <c r="AB12" s="186"/>
      <c r="AC12" s="186"/>
      <c r="AD12" s="186"/>
      <c r="AE12" s="186"/>
      <c r="AF12" s="186"/>
      <c r="AG12" s="186"/>
      <c r="AH12" s="186"/>
      <c r="AI12" s="186"/>
      <c r="AJ12" s="186"/>
    </row>
    <row r="13" spans="1:36" s="185" customFormat="1">
      <c r="B13" s="13" t="str" cm="1">
        <f t="array" ref="B13">IF(ROW()-ROW(tbl_FS_EligibilitySummary[#Headers])&lt;=ROWS(tbl_FS_Assessment[ActionID]),"Existing action","Additional action")</f>
        <v>Existing action</v>
      </c>
      <c r="C13" s="13" t="str" cm="1">
        <f t="array" ref="C13">IF(ROW()-ROW(tbl_FS_EligibilitySummary[#Headers])&lt;=ROWS(tbl_FS_Assessment[ActionID]),INDEX(tbl_FS_Assessment[ActionID],ROW()-ROW(tbl_FS_EligibilitySummary[#Headers])),INDEX(tbl_FS_AdditionalActions[AdditionalActionID],ROW()-ROW(tbl_FS_EligibilitySummary[#Headers])-ROWS(tbl_FS_Assessment[ActionID])))</f>
        <v>c40_0053</v>
      </c>
      <c r="D13" s="13" t="str" cm="1">
        <f t="array" ref="D13">IF(ROW()-ROW(tbl_FS_EligibilitySummary[#Headers])&lt;=ROWS(tbl_FS_Assessment[ActionID]),INDEX(tbl_FS_Assessment[ActionName],ROW()-ROW(tbl_FS_EligibilitySummary[#Headers])),INDEX(tbl_FS_AdditionalActions[ActionName],ROW()-ROW(tbl_FS_EligibilitySummary[#Headers])-ROWS(tbl_FS_Assessment[ActionID])))</f>
        <v>Promote water-saving technologies and practices</v>
      </c>
      <c r="E13" s="13" t="str" cm="1">
        <f t="array" ref="E13">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13" s="13" t="str" cm="1">
        <f t="array" ref="F13">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13" s="13" t="str" cm="1">
        <f t="array" ref="G13">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13" s="13" t="str" cm="1">
        <f t="array" ref="H13">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13" s="13" t="str" cm="1">
        <f t="array" ref="I13">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13" s="13" t="str" cm="1">
        <f t="array" ref="J13">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13" s="13" t="str" cm="1">
        <f t="array" ref="K13">IF(ROW()-ROW(tbl_FS_EligibilitySummary[#Headers])&lt;=ROWS(tbl_FS_Assessment[ActionID]),INDEX(tbl_FS_Assessment[ReviewStatus],ROW()-ROW(tbl_FS_EligibilitySummary[#Headers])),INDEX(tbl_FS_AdditionalActions[ReviewStatus],ROW()-ROW(tbl_FS_EligibilitySummary[#Headers])-ROWS(tbl_FS_Assessment[ActionID])))</f>
        <v>Reviewed</v>
      </c>
      <c r="L13" s="87"/>
      <c r="M13" s="87"/>
      <c r="N13" s="87"/>
      <c r="O13" s="87"/>
      <c r="P13" s="87"/>
      <c r="Q13" s="87"/>
      <c r="R13" s="87"/>
      <c r="S13" s="87"/>
      <c r="T13" s="87"/>
      <c r="U13" s="87"/>
      <c r="V13" s="87"/>
      <c r="AA13" s="186"/>
      <c r="AB13" s="186"/>
      <c r="AC13" s="186"/>
      <c r="AD13" s="186"/>
      <c r="AE13" s="186"/>
      <c r="AF13" s="186"/>
      <c r="AG13" s="186"/>
      <c r="AH13" s="186"/>
      <c r="AI13" s="186"/>
      <c r="AJ13" s="186"/>
    </row>
    <row r="14" spans="1:36" s="185" customFormat="1">
      <c r="B14" s="13" t="str" cm="1">
        <f t="array" ref="B14">IF(ROW()-ROW(tbl_FS_EligibilitySummary[#Headers])&lt;=ROWS(tbl_FS_Assessment[ActionID]),"Existing action","Additional action")</f>
        <v>Existing action</v>
      </c>
      <c r="C14" s="13" t="str" cm="1">
        <f t="array" ref="C14">IF(ROW()-ROW(tbl_FS_EligibilitySummary[#Headers])&lt;=ROWS(tbl_FS_Assessment[ActionID]),INDEX(tbl_FS_Assessment[ActionID],ROW()-ROW(tbl_FS_EligibilitySummary[#Headers])),INDEX(tbl_FS_AdditionalActions[AdditionalActionID],ROW()-ROW(tbl_FS_EligibilitySummary[#Headers])-ROWS(tbl_FS_Assessment[ActionID])))</f>
        <v>c40_0056</v>
      </c>
      <c r="D14" s="13" t="str" cm="1">
        <f t="array" ref="D14">IF(ROW()-ROW(tbl_FS_EligibilitySummary[#Headers])&lt;=ROWS(tbl_FS_Assessment[ActionID]),INDEX(tbl_FS_Assessment[ActionName],ROW()-ROW(tbl_FS_EligibilitySummary[#Headers])),INDEX(tbl_FS_AdditionalActions[ActionName],ROW()-ROW(tbl_FS_EligibilitySummary[#Headers])-ROWS(tbl_FS_Assessment[ActionID])))</f>
        <v>Improve Watershed Protection and Management</v>
      </c>
      <c r="E14" s="13" t="str" cm="1">
        <f t="array" ref="E14">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14" s="13" t="str" cm="1">
        <f t="array" ref="F14">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14" s="13" t="str" cm="1">
        <f t="array" ref="G14">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
      </c>
      <c r="H14" s="13" t="str" cm="1">
        <f t="array" ref="H14">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14" s="13" t="str" cm="1">
        <f t="array" ref="I14">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14" s="13" t="str" cm="1">
        <f t="array" ref="J14">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14" s="13" t="str" cm="1">
        <f t="array" ref="K14">IF(ROW()-ROW(tbl_FS_EligibilitySummary[#Headers])&lt;=ROWS(tbl_FS_Assessment[ActionID]),INDEX(tbl_FS_Assessment[ReviewStatus],ROW()-ROW(tbl_FS_EligibilitySummary[#Headers])),INDEX(tbl_FS_AdditionalActions[ReviewStatus],ROW()-ROW(tbl_FS_EligibilitySummary[#Headers])-ROWS(tbl_FS_Assessment[ActionID])))</f>
        <v>Reviewed</v>
      </c>
      <c r="L14" s="87"/>
      <c r="M14" s="87"/>
      <c r="N14" s="87"/>
      <c r="O14" s="87"/>
      <c r="P14" s="87"/>
      <c r="Q14" s="87"/>
      <c r="R14" s="87"/>
      <c r="S14" s="87"/>
      <c r="T14" s="87"/>
      <c r="U14" s="87"/>
      <c r="V14" s="87"/>
      <c r="AA14" s="186"/>
      <c r="AB14" s="186"/>
      <c r="AC14" s="186"/>
      <c r="AD14" s="186"/>
      <c r="AE14" s="186"/>
      <c r="AF14" s="186"/>
      <c r="AG14" s="186"/>
      <c r="AH14" s="186"/>
      <c r="AI14" s="186"/>
      <c r="AJ14" s="186"/>
    </row>
    <row r="15" spans="1:36" s="185" customFormat="1">
      <c r="B15" s="13" t="str" cm="1">
        <f t="array" ref="B15">IF(ROW()-ROW(tbl_FS_EligibilitySummary[#Headers])&lt;=ROWS(tbl_FS_Assessment[ActionID]),"Existing action","Additional action")</f>
        <v>Existing action</v>
      </c>
      <c r="C15" s="13" t="str" cm="1">
        <f t="array" ref="C15">IF(ROW()-ROW(tbl_FS_EligibilitySummary[#Headers])&lt;=ROWS(tbl_FS_Assessment[ActionID]),INDEX(tbl_FS_Assessment[ActionID],ROW()-ROW(tbl_FS_EligibilitySummary[#Headers])),INDEX(tbl_FS_AdditionalActions[AdditionalActionID],ROW()-ROW(tbl_FS_EligibilitySummary[#Headers])-ROWS(tbl_FS_Assessment[ActionID])))</f>
        <v>c40_0062</v>
      </c>
      <c r="D15" s="13" t="str" cm="1">
        <f t="array" ref="D15">IF(ROW()-ROW(tbl_FS_EligibilitySummary[#Headers])&lt;=ROWS(tbl_FS_Assessment[ActionID]),INDEX(tbl_FS_Assessment[ActionName],ROW()-ROW(tbl_FS_EligibilitySummary[#Headers])),INDEX(tbl_FS_AdditionalActions[ActionName],ROW()-ROW(tbl_FS_EligibilitySummary[#Headers])-ROWS(tbl_FS_Assessment[ActionID])))</f>
        <v>Reform water tariffs to support efficiency and equity</v>
      </c>
      <c r="E15" s="13" t="str" cm="1">
        <f t="array" ref="E15">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15" s="13" t="str" cm="1">
        <f t="array" ref="F15">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15" s="13" t="str" cm="1">
        <f t="array" ref="G15">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15" s="13" t="str" cm="1">
        <f t="array" ref="H15">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15" s="13" t="str" cm="1">
        <f t="array" ref="I15">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15" s="13" t="str" cm="1">
        <f t="array" ref="J15">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15" s="13" t="str" cm="1">
        <f t="array" ref="K15">IF(ROW()-ROW(tbl_FS_EligibilitySummary[#Headers])&lt;=ROWS(tbl_FS_Assessment[ActionID]),INDEX(tbl_FS_Assessment[ReviewStatus],ROW()-ROW(tbl_FS_EligibilitySummary[#Headers])),INDEX(tbl_FS_AdditionalActions[ReviewStatus],ROW()-ROW(tbl_FS_EligibilitySummary[#Headers])-ROWS(tbl_FS_Assessment[ActionID])))</f>
        <v>Reviewed</v>
      </c>
      <c r="L15" s="87"/>
      <c r="M15" s="87"/>
      <c r="N15" s="87"/>
      <c r="O15" s="87"/>
      <c r="P15" s="87"/>
      <c r="Q15" s="87"/>
      <c r="R15" s="87"/>
      <c r="S15" s="87"/>
      <c r="T15" s="87"/>
      <c r="U15" s="87"/>
      <c r="V15" s="87"/>
      <c r="AA15" s="186"/>
      <c r="AB15" s="186"/>
      <c r="AC15" s="186"/>
      <c r="AD15" s="186"/>
      <c r="AE15" s="186"/>
      <c r="AF15" s="186"/>
      <c r="AG15" s="186"/>
      <c r="AH15" s="186"/>
      <c r="AI15" s="186"/>
      <c r="AJ15" s="186"/>
    </row>
    <row r="16" spans="1:36" s="185" customFormat="1">
      <c r="B16" s="13" t="str" cm="1">
        <f t="array" ref="B16">IF(ROW()-ROW(tbl_FS_EligibilitySummary[#Headers])&lt;=ROWS(tbl_FS_Assessment[ActionID]),"Existing action","Additional action")</f>
        <v>Existing action</v>
      </c>
      <c r="C16" s="13" t="str" cm="1">
        <f t="array" ref="C16">IF(ROW()-ROW(tbl_FS_EligibilitySummary[#Headers])&lt;=ROWS(tbl_FS_Assessment[ActionID]),INDEX(tbl_FS_Assessment[ActionID],ROW()-ROW(tbl_FS_EligibilitySummary[#Headers])),INDEX(tbl_FS_AdditionalActions[AdditionalActionID],ROW()-ROW(tbl_FS_EligibilitySummary[#Headers])-ROWS(tbl_FS_Assessment[ActionID])))</f>
        <v>icare_0144</v>
      </c>
      <c r="D16" s="13" t="str" cm="1">
        <f t="array" ref="D16">IF(ROW()-ROW(tbl_FS_EligibilitySummary[#Headers])&lt;=ROWS(tbl_FS_Assessment[ActionID]),INDEX(tbl_FS_Assessment[ActionName],ROW()-ROW(tbl_FS_EligibilitySummary[#Headers])),INDEX(tbl_FS_AdditionalActions[ActionName],ROW()-ROW(tbl_FS_EligibilitySummary[#Headers])-ROWS(tbl_FS_Assessment[ActionID])))</f>
        <v>Establish a financial support program for extreme weather events</v>
      </c>
      <c r="E16" s="13" t="str" cm="1">
        <f t="array" ref="E16">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16" s="13" t="str" cm="1">
        <f t="array" ref="F16">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16" s="13" t="str" cm="1">
        <f t="array" ref="G16">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16" s="13" t="str" cm="1">
        <f t="array" ref="H16">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16" s="13" t="str" cm="1">
        <f t="array" ref="I16">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16" s="13" t="str" cm="1">
        <f t="array" ref="J16">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16" s="13" t="str" cm="1">
        <f t="array" ref="K16">IF(ROW()-ROW(tbl_FS_EligibilitySummary[#Headers])&lt;=ROWS(tbl_FS_Assessment[ActionID]),INDEX(tbl_FS_Assessment[ReviewStatus],ROW()-ROW(tbl_FS_EligibilitySummary[#Headers])),INDEX(tbl_FS_AdditionalActions[ReviewStatus],ROW()-ROW(tbl_FS_EligibilitySummary[#Headers])-ROWS(tbl_FS_Assessment[ActionID])))</f>
        <v>Reviewed</v>
      </c>
      <c r="L16" s="87"/>
      <c r="M16" s="87"/>
      <c r="N16" s="87"/>
      <c r="O16" s="87"/>
      <c r="P16" s="87"/>
      <c r="Q16" s="87"/>
      <c r="R16" s="87"/>
      <c r="S16" s="87"/>
      <c r="T16" s="87"/>
      <c r="U16" s="87"/>
      <c r="V16" s="87"/>
      <c r="AA16" s="186"/>
      <c r="AB16" s="186"/>
      <c r="AC16" s="186"/>
      <c r="AD16" s="186"/>
      <c r="AE16" s="186"/>
      <c r="AF16" s="186"/>
      <c r="AG16" s="186"/>
      <c r="AH16" s="186"/>
      <c r="AI16" s="186"/>
      <c r="AJ16" s="186"/>
    </row>
    <row r="17" spans="2:36" s="185" customFormat="1">
      <c r="B17" s="13" t="str" cm="1">
        <f t="array" ref="B17">IF(ROW()-ROW(tbl_FS_EligibilitySummary[#Headers])&lt;=ROWS(tbl_FS_Assessment[ActionID]),"Existing action","Additional action")</f>
        <v>Existing action</v>
      </c>
      <c r="C17" s="13" t="str" cm="1">
        <f t="array" ref="C17">IF(ROW()-ROW(tbl_FS_EligibilitySummary[#Headers])&lt;=ROWS(tbl_FS_Assessment[ActionID]),INDEX(tbl_FS_Assessment[ActionID],ROW()-ROW(tbl_FS_EligibilitySummary[#Headers])),INDEX(tbl_FS_AdditionalActions[AdditionalActionID],ROW()-ROW(tbl_FS_EligibilitySummary[#Headers])-ROWS(tbl_FS_Assessment[ActionID])))</f>
        <v>icare_0145</v>
      </c>
      <c r="D17" s="13" t="str" cm="1">
        <f t="array" ref="D17">IF(ROW()-ROW(tbl_FS_EligibilitySummary[#Headers])&lt;=ROWS(tbl_FS_Assessment[ActionID]),INDEX(tbl_FS_Assessment[ActionName],ROW()-ROW(tbl_FS_EligibilitySummary[#Headers])),INDEX(tbl_FS_AdditionalActions[ActionName],ROW()-ROW(tbl_FS_EligibilitySummary[#Headers])-ROWS(tbl_FS_Assessment[ActionID])))</f>
        <v>Strengthen the healthcare system to respond effectively to extreme events</v>
      </c>
      <c r="E17" s="13" t="str" cm="1">
        <f t="array" ref="E17">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17" s="13" t="str" cm="1">
        <f t="array" ref="F17">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17" s="13" t="str" cm="1">
        <f t="array" ref="G17">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17" s="13" t="str" cm="1">
        <f t="array" ref="H17">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17" s="13" t="str" cm="1">
        <f t="array" ref="I17">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17" s="13" t="str" cm="1">
        <f t="array" ref="J17">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17" s="13" t="str" cm="1">
        <f t="array" ref="K17">IF(ROW()-ROW(tbl_FS_EligibilitySummary[#Headers])&lt;=ROWS(tbl_FS_Assessment[ActionID]),INDEX(tbl_FS_Assessment[ReviewStatus],ROW()-ROW(tbl_FS_EligibilitySummary[#Headers])),INDEX(tbl_FS_AdditionalActions[ReviewStatus],ROW()-ROW(tbl_FS_EligibilitySummary[#Headers])-ROWS(tbl_FS_Assessment[ActionID])))</f>
        <v>Reviewed</v>
      </c>
      <c r="L17" s="87"/>
      <c r="M17" s="87"/>
      <c r="N17" s="87"/>
      <c r="O17" s="87"/>
      <c r="P17" s="87"/>
      <c r="Q17" s="87"/>
      <c r="R17" s="87"/>
      <c r="S17" s="87"/>
      <c r="T17" s="87"/>
      <c r="U17" s="87"/>
      <c r="V17" s="87"/>
      <c r="AA17" s="186"/>
      <c r="AB17" s="186"/>
      <c r="AC17" s="186"/>
      <c r="AD17" s="186"/>
      <c r="AE17" s="186"/>
      <c r="AF17" s="186"/>
      <c r="AG17" s="186"/>
      <c r="AH17" s="186"/>
      <c r="AI17" s="186"/>
      <c r="AJ17" s="186"/>
    </row>
    <row r="18" spans="2:36" s="185" customFormat="1">
      <c r="B18" s="13" t="str" cm="1">
        <f t="array" ref="B18">IF(ROW()-ROW(tbl_FS_EligibilitySummary[#Headers])&lt;=ROWS(tbl_FS_Assessment[ActionID]),"Existing action","Additional action")</f>
        <v>Existing action</v>
      </c>
      <c r="C18" s="13" t="str" cm="1">
        <f t="array" ref="C18">IF(ROW()-ROW(tbl_FS_EligibilitySummary[#Headers])&lt;=ROWS(tbl_FS_Assessment[ActionID]),INDEX(tbl_FS_Assessment[ActionID],ROW()-ROW(tbl_FS_EligibilitySummary[#Headers])),INDEX(tbl_FS_AdditionalActions[AdditionalActionID],ROW()-ROW(tbl_FS_EligibilitySummary[#Headers])-ROWS(tbl_FS_Assessment[ActionID])))</f>
        <v>icare_0154</v>
      </c>
      <c r="D18" s="13" t="str" cm="1">
        <f t="array" ref="D18">IF(ROW()-ROW(tbl_FS_EligibilitySummary[#Headers])&lt;=ROWS(tbl_FS_Assessment[ActionID]),INDEX(tbl_FS_Assessment[ActionName],ROW()-ROW(tbl_FS_EligibilitySummary[#Headers])),INDEX(tbl_FS_AdditionalActions[ActionName],ROW()-ROW(tbl_FS_EligibilitySummary[#Headers])-ROWS(tbl_FS_Assessment[ActionID])))</f>
        <v>Clean and unclog drainage channels and install eco-barriers</v>
      </c>
      <c r="E18" s="13" t="str" cm="1">
        <f t="array" ref="E18">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18" s="13" t="str" cm="1">
        <f t="array" ref="F18">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18" s="13" t="str" cm="1">
        <f t="array" ref="G18">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18" s="13" t="str" cm="1">
        <f t="array" ref="H18">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18" s="13" t="str" cm="1">
        <f t="array" ref="I18">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18" s="13" t="str" cm="1">
        <f t="array" ref="J18">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18" s="13" t="str" cm="1">
        <f t="array" ref="K18">IF(ROW()-ROW(tbl_FS_EligibilitySummary[#Headers])&lt;=ROWS(tbl_FS_Assessment[ActionID]),INDEX(tbl_FS_Assessment[ReviewStatus],ROW()-ROW(tbl_FS_EligibilitySummary[#Headers])),INDEX(tbl_FS_AdditionalActions[ReviewStatus],ROW()-ROW(tbl_FS_EligibilitySummary[#Headers])-ROWS(tbl_FS_Assessment[ActionID])))</f>
        <v>Reviewed</v>
      </c>
      <c r="L18" s="87"/>
      <c r="M18" s="87"/>
      <c r="N18" s="87"/>
      <c r="O18" s="87"/>
      <c r="P18" s="87"/>
      <c r="Q18" s="87"/>
      <c r="R18" s="87"/>
      <c r="S18" s="87"/>
      <c r="T18" s="87"/>
      <c r="U18" s="87"/>
      <c r="V18" s="87"/>
      <c r="AA18" s="186"/>
      <c r="AB18" s="186"/>
      <c r="AC18" s="186"/>
      <c r="AD18" s="186"/>
      <c r="AE18" s="186"/>
      <c r="AF18" s="186"/>
      <c r="AG18" s="186"/>
      <c r="AH18" s="186"/>
      <c r="AI18" s="186"/>
      <c r="AJ18" s="186"/>
    </row>
    <row r="19" spans="2:36" s="185" customFormat="1">
      <c r="B19" s="13" t="str" cm="1">
        <f t="array" ref="B19">IF(ROW()-ROW(tbl_FS_EligibilitySummary[#Headers])&lt;=ROWS(tbl_FS_Assessment[ActionID]),"Existing action","Additional action")</f>
        <v>Existing action</v>
      </c>
      <c r="C19" s="13" t="str" cm="1">
        <f t="array" ref="C19">IF(ROW()-ROW(tbl_FS_EligibilitySummary[#Headers])&lt;=ROWS(tbl_FS_Assessment[ActionID]),INDEX(tbl_FS_Assessment[ActionID],ROW()-ROW(tbl_FS_EligibilitySummary[#Headers])),INDEX(tbl_FS_AdditionalActions[AdditionalActionID],ROW()-ROW(tbl_FS_EligibilitySummary[#Headers])-ROWS(tbl_FS_Assessment[ActionID])))</f>
        <v>icare_0156</v>
      </c>
      <c r="D19" s="13" t="str" cm="1">
        <f t="array" ref="D19">IF(ROW()-ROW(tbl_FS_EligibilitySummary[#Headers])&lt;=ROWS(tbl_FS_Assessment[ActionID]),INDEX(tbl_FS_Assessment[ActionName],ROW()-ROW(tbl_FS_EligibilitySummary[#Headers])),INDEX(tbl_FS_AdditionalActions[ActionName],ROW()-ROW(tbl_FS_EligibilitySummary[#Headers])-ROWS(tbl_FS_Assessment[ActionID])))</f>
        <v>Improve Implementation of urban gardens</v>
      </c>
      <c r="E19" s="13" t="str" cm="1">
        <f t="array" ref="E19">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19" s="13" t="str" cm="1">
        <f t="array" ref="F19">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19" s="13" t="str" cm="1">
        <f t="array" ref="G19">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19" s="13" t="str" cm="1">
        <f t="array" ref="H19">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19" s="13" t="str" cm="1">
        <f t="array" ref="I19">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19" s="13" t="str" cm="1">
        <f t="array" ref="J19">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19" s="13" t="str" cm="1">
        <f t="array" ref="K19">IF(ROW()-ROW(tbl_FS_EligibilitySummary[#Headers])&lt;=ROWS(tbl_FS_Assessment[ActionID]),INDEX(tbl_FS_Assessment[ReviewStatus],ROW()-ROW(tbl_FS_EligibilitySummary[#Headers])),INDEX(tbl_FS_AdditionalActions[ReviewStatus],ROW()-ROW(tbl_FS_EligibilitySummary[#Headers])-ROWS(tbl_FS_Assessment[ActionID])))</f>
        <v>Reviewed</v>
      </c>
      <c r="L19" s="87"/>
      <c r="M19" s="87"/>
      <c r="N19" s="87"/>
      <c r="O19" s="87"/>
      <c r="P19" s="87"/>
      <c r="Q19" s="87"/>
      <c r="R19" s="87"/>
      <c r="S19" s="87"/>
      <c r="T19" s="87"/>
      <c r="U19" s="87"/>
      <c r="V19" s="87"/>
      <c r="AA19" s="186"/>
      <c r="AB19" s="186"/>
      <c r="AC19" s="186"/>
      <c r="AD19" s="186"/>
      <c r="AE19" s="186"/>
      <c r="AF19" s="186"/>
      <c r="AG19" s="186"/>
      <c r="AH19" s="186"/>
      <c r="AI19" s="186"/>
      <c r="AJ19" s="186"/>
    </row>
    <row r="20" spans="2:36" s="185" customFormat="1">
      <c r="B20" s="13" t="str" cm="1">
        <f t="array" ref="B20">IF(ROW()-ROW(tbl_FS_EligibilitySummary[#Headers])&lt;=ROWS(tbl_FS_Assessment[ActionID]),"Existing action","Additional action")</f>
        <v>Existing action</v>
      </c>
      <c r="C20" s="13" t="str" cm="1">
        <f t="array" ref="C20">IF(ROW()-ROW(tbl_FS_EligibilitySummary[#Headers])&lt;=ROWS(tbl_FS_Assessment[ActionID]),INDEX(tbl_FS_Assessment[ActionID],ROW()-ROW(tbl_FS_EligibilitySummary[#Headers])),INDEX(tbl_FS_AdditionalActions[AdditionalActionID],ROW()-ROW(tbl_FS_EligibilitySummary[#Headers])-ROWS(tbl_FS_Assessment[ActionID])))</f>
        <v>icare_0160</v>
      </c>
      <c r="D20" s="13" t="str" cm="1">
        <f t="array" ref="D20">IF(ROW()-ROW(tbl_FS_EligibilitySummary[#Headers])&lt;=ROWS(tbl_FS_Assessment[ActionID]),INDEX(tbl_FS_Assessment[ActionName],ROW()-ROW(tbl_FS_EligibilitySummary[#Headers])),INDEX(tbl_FS_AdditionalActions[ActionName],ROW()-ROW(tbl_FS_EligibilitySummary[#Headers])-ROWS(tbl_FS_Assessment[ActionID])))</f>
        <v>Establish mechanisms for intersectoral coordination and public participation in climate policy</v>
      </c>
      <c r="E20" s="13" t="str" cm="1">
        <f t="array" ref="E20">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20" s="13" t="str" cm="1">
        <f t="array" ref="F20">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20" s="13" t="str" cm="1">
        <f t="array" ref="G20">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20" s="13" t="str" cm="1">
        <f t="array" ref="H20">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20" s="13" t="str" cm="1">
        <f t="array" ref="I20">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20" s="13" t="str" cm="1">
        <f t="array" ref="J20">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20" s="13" t="str" cm="1">
        <f t="array" ref="K20">IF(ROW()-ROW(tbl_FS_EligibilitySummary[#Headers])&lt;=ROWS(tbl_FS_Assessment[ActionID]),INDEX(tbl_FS_Assessment[ReviewStatus],ROW()-ROW(tbl_FS_EligibilitySummary[#Headers])),INDEX(tbl_FS_AdditionalActions[ReviewStatus],ROW()-ROW(tbl_FS_EligibilitySummary[#Headers])-ROWS(tbl_FS_Assessment[ActionID])))</f>
        <v>Reviewed</v>
      </c>
      <c r="L20" s="87"/>
      <c r="M20" s="87"/>
      <c r="N20" s="87"/>
      <c r="O20" s="87"/>
      <c r="P20" s="87"/>
      <c r="Q20" s="87"/>
      <c r="R20" s="87"/>
      <c r="S20" s="87"/>
      <c r="T20" s="87"/>
      <c r="U20" s="87"/>
      <c r="V20" s="87"/>
      <c r="AA20" s="186"/>
      <c r="AB20" s="186"/>
      <c r="AC20" s="186"/>
      <c r="AD20" s="186"/>
      <c r="AE20" s="186"/>
      <c r="AF20" s="186"/>
      <c r="AG20" s="186"/>
      <c r="AH20" s="186"/>
      <c r="AI20" s="186"/>
      <c r="AJ20" s="186"/>
    </row>
    <row r="21" spans="2:36" s="185" customFormat="1">
      <c r="B21" s="13" t="str" cm="1">
        <f t="array" ref="B21">IF(ROW()-ROW(tbl_FS_EligibilitySummary[#Headers])&lt;=ROWS(tbl_FS_Assessment[ActionID]),"Existing action","Additional action")</f>
        <v>Existing action</v>
      </c>
      <c r="C21" s="13" t="str" cm="1">
        <f t="array" ref="C21">IF(ROW()-ROW(tbl_FS_EligibilitySummary[#Headers])&lt;=ROWS(tbl_FS_Assessment[ActionID]),INDEX(tbl_FS_Assessment[ActionID],ROW()-ROW(tbl_FS_EligibilitySummary[#Headers])),INDEX(tbl_FS_AdditionalActions[AdditionalActionID],ROW()-ROW(tbl_FS_EligibilitySummary[#Headers])-ROWS(tbl_FS_Assessment[ActionID])))</f>
        <v>icare_0162</v>
      </c>
      <c r="D21" s="13" t="str" cm="1">
        <f t="array" ref="D21">IF(ROW()-ROW(tbl_FS_EligibilitySummary[#Headers])&lt;=ROWS(tbl_FS_Assessment[ActionID]),INDEX(tbl_FS_Assessment[ActionName],ROW()-ROW(tbl_FS_EligibilitySummary[#Headers])),INDEX(tbl_FS_AdditionalActions[ActionName],ROW()-ROW(tbl_FS_EligibilitySummary[#Headers])-ROWS(tbl_FS_Assessment[ActionID])))</f>
        <v>Strengthen programs for control and conservation of protected areas</v>
      </c>
      <c r="E21" s="13" t="str" cm="1">
        <f t="array" ref="E21">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21" s="13" t="str" cm="1">
        <f t="array" ref="F21">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21" s="13" t="str" cm="1">
        <f t="array" ref="G21">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21" s="13" t="str" cm="1">
        <f t="array" ref="H21">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21" s="13" t="str" cm="1">
        <f t="array" ref="I21">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21" s="13" t="str" cm="1">
        <f t="array" ref="J21">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21" s="13" t="str" cm="1">
        <f t="array" ref="K21">IF(ROW()-ROW(tbl_FS_EligibilitySummary[#Headers])&lt;=ROWS(tbl_FS_Assessment[ActionID]),INDEX(tbl_FS_Assessment[ReviewStatus],ROW()-ROW(tbl_FS_EligibilitySummary[#Headers])),INDEX(tbl_FS_AdditionalActions[ReviewStatus],ROW()-ROW(tbl_FS_EligibilitySummary[#Headers])-ROWS(tbl_FS_Assessment[ActionID])))</f>
        <v>Reviewed</v>
      </c>
      <c r="L21" s="87"/>
      <c r="M21" s="87"/>
      <c r="N21" s="87"/>
      <c r="O21" s="87"/>
      <c r="P21" s="87"/>
      <c r="Q21" s="87"/>
      <c r="R21" s="87"/>
      <c r="S21" s="87"/>
      <c r="T21" s="87"/>
      <c r="U21" s="87"/>
      <c r="V21" s="87"/>
      <c r="AA21" s="186"/>
      <c r="AB21" s="186"/>
      <c r="AC21" s="186"/>
      <c r="AD21" s="186"/>
      <c r="AE21" s="186"/>
      <c r="AF21" s="186"/>
      <c r="AG21" s="186"/>
      <c r="AH21" s="186"/>
      <c r="AI21" s="186"/>
      <c r="AJ21" s="186"/>
    </row>
    <row r="22" spans="2:36" s="185" customFormat="1">
      <c r="B22" s="13" t="str" cm="1">
        <f t="array" ref="B22">IF(ROW()-ROW(tbl_FS_EligibilitySummary[#Headers])&lt;=ROWS(tbl_FS_Assessment[ActionID]),"Existing action","Additional action")</f>
        <v>Existing action</v>
      </c>
      <c r="C22" s="13" t="str" cm="1">
        <f t="array" ref="C22">IF(ROW()-ROW(tbl_FS_EligibilitySummary[#Headers])&lt;=ROWS(tbl_FS_Assessment[ActionID]),INDEX(tbl_FS_Assessment[ActionID],ROW()-ROW(tbl_FS_EligibilitySummary[#Headers])),INDEX(tbl_FS_AdditionalActions[AdditionalActionID],ROW()-ROW(tbl_FS_EligibilitySummary[#Headers])-ROWS(tbl_FS_Assessment[ActionID])))</f>
        <v>icare_0163</v>
      </c>
      <c r="D22" s="13" t="str" cm="1">
        <f t="array" ref="D22">IF(ROW()-ROW(tbl_FS_EligibilitySummary[#Headers])&lt;=ROWS(tbl_FS_Assessment[ActionID]),INDEX(tbl_FS_Assessment[ActionName],ROW()-ROW(tbl_FS_EligibilitySummary[#Headers])),INDEX(tbl_FS_AdditionalActions[ActionName],ROW()-ROW(tbl_FS_EligibilitySummary[#Headers])-ROWS(tbl_FS_Assessment[ActionID])))</f>
        <v>Establish a first‑response firefighting brigade</v>
      </c>
      <c r="E22" s="13" t="str" cm="1">
        <f t="array" ref="E22">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22" s="13" t="str" cm="1">
        <f t="array" ref="F22">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22" s="13" t="str" cm="1">
        <f t="array" ref="G22">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
      </c>
      <c r="H22" s="13" t="str" cm="1">
        <f t="array" ref="H22">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22" s="13" t="str" cm="1">
        <f t="array" ref="I22">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22" s="13" t="str" cm="1">
        <f t="array" ref="J22">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22" s="13" t="str" cm="1">
        <f t="array" ref="K22">IF(ROW()-ROW(tbl_FS_EligibilitySummary[#Headers])&lt;=ROWS(tbl_FS_Assessment[ActionID]),INDEX(tbl_FS_Assessment[ReviewStatus],ROW()-ROW(tbl_FS_EligibilitySummary[#Headers])),INDEX(tbl_FS_AdditionalActions[ReviewStatus],ROW()-ROW(tbl_FS_EligibilitySummary[#Headers])-ROWS(tbl_FS_Assessment[ActionID])))</f>
        <v>Reviewed</v>
      </c>
      <c r="L22" s="87"/>
      <c r="M22" s="87"/>
      <c r="N22" s="87"/>
      <c r="O22" s="87"/>
      <c r="P22" s="87"/>
      <c r="Q22" s="87"/>
      <c r="R22" s="87"/>
      <c r="S22" s="87"/>
      <c r="T22" s="87"/>
      <c r="U22" s="87"/>
      <c r="V22" s="87"/>
      <c r="AA22" s="186"/>
      <c r="AB22" s="186"/>
      <c r="AC22" s="186"/>
      <c r="AD22" s="186"/>
      <c r="AE22" s="186"/>
      <c r="AF22" s="186"/>
      <c r="AG22" s="186"/>
      <c r="AH22" s="186"/>
      <c r="AI22" s="186"/>
      <c r="AJ22" s="186"/>
    </row>
    <row r="23" spans="2:36" s="185" customFormat="1">
      <c r="B23" s="13" t="str" cm="1">
        <f t="array" ref="B23">IF(ROW()-ROW(tbl_FS_EligibilitySummary[#Headers])&lt;=ROWS(tbl_FS_Assessment[ActionID]),"Existing action","Additional action")</f>
        <v>Existing action</v>
      </c>
      <c r="C23" s="13" t="str" cm="1">
        <f t="array" ref="C23">IF(ROW()-ROW(tbl_FS_EligibilitySummary[#Headers])&lt;=ROWS(tbl_FS_Assessment[ActionID]),INDEX(tbl_FS_Assessment[ActionID],ROW()-ROW(tbl_FS_EligibilitySummary[#Headers])),INDEX(tbl_FS_AdditionalActions[AdditionalActionID],ROW()-ROW(tbl_FS_EligibilitySummary[#Headers])-ROWS(tbl_FS_Assessment[ActionID])))</f>
        <v>icare_0164</v>
      </c>
      <c r="D23" s="13" t="str" cm="1">
        <f t="array" ref="D23">IF(ROW()-ROW(tbl_FS_EligibilitySummary[#Headers])&lt;=ROWS(tbl_FS_Assessment[ActionID]),INDEX(tbl_FS_Assessment[ActionName],ROW()-ROW(tbl_FS_EligibilitySummary[#Headers])),INDEX(tbl_FS_AdditionalActions[ActionName],ROW()-ROW(tbl_FS_EligibilitySummary[#Headers])-ROWS(tbl_FS_Assessment[ActionID])))</f>
        <v>Improve Hydrological Monitoring System with Telemetry Stations</v>
      </c>
      <c r="E23" s="13" t="str" cm="1">
        <f t="array" ref="E23">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23" s="13" t="str" cm="1">
        <f t="array" ref="F23">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23" s="13" t="str" cm="1">
        <f t="array" ref="G23">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23" s="13" t="str" cm="1">
        <f t="array" ref="H23">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23" s="13" t="str" cm="1">
        <f t="array" ref="I23">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23" s="13" t="str" cm="1">
        <f t="array" ref="J23">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23" s="13" t="str" cm="1">
        <f t="array" ref="K23">IF(ROW()-ROW(tbl_FS_EligibilitySummary[#Headers])&lt;=ROWS(tbl_FS_Assessment[ActionID]),INDEX(tbl_FS_Assessment[ReviewStatus],ROW()-ROW(tbl_FS_EligibilitySummary[#Headers])),INDEX(tbl_FS_AdditionalActions[ReviewStatus],ROW()-ROW(tbl_FS_EligibilitySummary[#Headers])-ROWS(tbl_FS_Assessment[ActionID])))</f>
        <v>Reviewed</v>
      </c>
      <c r="L23" s="87"/>
      <c r="M23" s="87"/>
      <c r="N23" s="87"/>
      <c r="O23" s="87"/>
      <c r="P23" s="87"/>
      <c r="Q23" s="87"/>
      <c r="R23" s="87"/>
      <c r="S23" s="87"/>
      <c r="T23" s="87"/>
      <c r="U23" s="87"/>
      <c r="V23" s="87"/>
      <c r="AA23" s="186"/>
      <c r="AB23" s="186"/>
      <c r="AC23" s="186"/>
      <c r="AD23" s="186"/>
      <c r="AE23" s="186"/>
      <c r="AF23" s="186"/>
      <c r="AG23" s="186"/>
      <c r="AH23" s="186"/>
      <c r="AI23" s="186"/>
      <c r="AJ23" s="186"/>
    </row>
    <row r="24" spans="2:36" s="185" customFormat="1">
      <c r="B24" s="13" t="str" cm="1">
        <f t="array" ref="B24">IF(ROW()-ROW(tbl_FS_EligibilitySummary[#Headers])&lt;=ROWS(tbl_FS_Assessment[ActionID]),"Existing action","Additional action")</f>
        <v>Existing action</v>
      </c>
      <c r="C24" s="13" t="str" cm="1">
        <f t="array" ref="C24">IF(ROW()-ROW(tbl_FS_EligibilitySummary[#Headers])&lt;=ROWS(tbl_FS_Assessment[ActionID]),INDEX(tbl_FS_Assessment[ActionID],ROW()-ROW(tbl_FS_EligibilitySummary[#Headers])),INDEX(tbl_FS_AdditionalActions[AdditionalActionID],ROW()-ROW(tbl_FS_EligibilitySummary[#Headers])-ROWS(tbl_FS_Assessment[ActionID])))</f>
        <v>icare_0165</v>
      </c>
      <c r="D24" s="13" t="str" cm="1">
        <f t="array" ref="D24">IF(ROW()-ROW(tbl_FS_EligibilitySummary[#Headers])&lt;=ROWS(tbl_FS_Assessment[ActionID]),INDEX(tbl_FS_Assessment[ActionName],ROW()-ROW(tbl_FS_EligibilitySummary[#Headers])),INDEX(tbl_FS_AdditionalActions[ActionName],ROW()-ROW(tbl_FS_EligibilitySummary[#Headers])-ROWS(tbl_FS_Assessment[ActionID])))</f>
        <v>Develop an Environmental Education Plan</v>
      </c>
      <c r="E24" s="13" t="str" cm="1">
        <f t="array" ref="E24">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24" s="13" t="str" cm="1">
        <f t="array" ref="F24">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24" s="13" t="str" cm="1">
        <f t="array" ref="G24">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24" s="13" t="str" cm="1">
        <f t="array" ref="H24">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24" s="13" t="str" cm="1">
        <f t="array" ref="I24">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24" s="13" t="str" cm="1">
        <f t="array" ref="J24">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24" s="13" t="str" cm="1">
        <f t="array" ref="K24">IF(ROW()-ROW(tbl_FS_EligibilitySummary[#Headers])&lt;=ROWS(tbl_FS_Assessment[ActionID]),INDEX(tbl_FS_Assessment[ReviewStatus],ROW()-ROW(tbl_FS_EligibilitySummary[#Headers])),INDEX(tbl_FS_AdditionalActions[ReviewStatus],ROW()-ROW(tbl_FS_EligibilitySummary[#Headers])-ROWS(tbl_FS_Assessment[ActionID])))</f>
        <v>Reviewed</v>
      </c>
      <c r="L24" s="87"/>
      <c r="M24" s="87"/>
      <c r="N24" s="87"/>
      <c r="O24" s="87"/>
      <c r="P24" s="87"/>
      <c r="Q24" s="87"/>
      <c r="R24" s="87"/>
      <c r="S24" s="87"/>
      <c r="T24" s="87"/>
      <c r="U24" s="87"/>
      <c r="V24" s="87"/>
      <c r="AA24" s="186"/>
      <c r="AB24" s="186"/>
      <c r="AC24" s="186"/>
      <c r="AD24" s="186"/>
      <c r="AE24" s="186"/>
      <c r="AF24" s="186"/>
      <c r="AG24" s="186"/>
      <c r="AH24" s="186"/>
      <c r="AI24" s="186"/>
      <c r="AJ24" s="186"/>
    </row>
    <row r="25" spans="2:36" s="185" customFormat="1">
      <c r="B25" s="13" t="str" cm="1">
        <f t="array" ref="B25">IF(ROW()-ROW(tbl_FS_EligibilitySummary[#Headers])&lt;=ROWS(tbl_FS_Assessment[ActionID]),"Existing action","Additional action")</f>
        <v>Existing action</v>
      </c>
      <c r="C25" s="13" t="str" cm="1">
        <f t="array" ref="C25">IF(ROW()-ROW(tbl_FS_EligibilitySummary[#Headers])&lt;=ROWS(tbl_FS_Assessment[ActionID]),INDEX(tbl_FS_Assessment[ActionID],ROW()-ROW(tbl_FS_EligibilitySummary[#Headers])),INDEX(tbl_FS_AdditionalActions[AdditionalActionID],ROW()-ROW(tbl_FS_EligibilitySummary[#Headers])-ROWS(tbl_FS_Assessment[ActionID])))</f>
        <v>icare_0169</v>
      </c>
      <c r="D25" s="13" t="str" cm="1">
        <f t="array" ref="D25">IF(ROW()-ROW(tbl_FS_EligibilitySummary[#Headers])&lt;=ROWS(tbl_FS_Assessment[ActionID]),INDEX(tbl_FS_Assessment[ActionName],ROW()-ROW(tbl_FS_EligibilitySummary[#Headers])),INDEX(tbl_FS_AdditionalActions[ActionName],ROW()-ROW(tbl_FS_EligibilitySummary[#Headers])-ROWS(tbl_FS_Assessment[ActionID])))</f>
        <v>Establish a Plan for Preparation and Emergency Response Measures in the event of extreme weather events</v>
      </c>
      <c r="E25" s="13" t="str" cm="1">
        <f t="array" ref="E25">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25" s="13" t="str" cm="1">
        <f t="array" ref="F25">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25" s="13" t="str" cm="1">
        <f t="array" ref="G25">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25" s="13" t="str" cm="1">
        <f t="array" ref="H25">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25" s="13" t="str" cm="1">
        <f t="array" ref="I25">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25" s="13" t="str" cm="1">
        <f t="array" ref="J25">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25" s="13" t="str" cm="1">
        <f t="array" ref="K25">IF(ROW()-ROW(tbl_FS_EligibilitySummary[#Headers])&lt;=ROWS(tbl_FS_Assessment[ActionID]),INDEX(tbl_FS_Assessment[ReviewStatus],ROW()-ROW(tbl_FS_EligibilitySummary[#Headers])),INDEX(tbl_FS_AdditionalActions[ReviewStatus],ROW()-ROW(tbl_FS_EligibilitySummary[#Headers])-ROWS(tbl_FS_Assessment[ActionID])))</f>
        <v>Reviewed</v>
      </c>
      <c r="L25" s="87"/>
      <c r="M25" s="87"/>
      <c r="N25" s="87"/>
      <c r="O25" s="87"/>
      <c r="P25" s="87"/>
      <c r="Q25" s="87"/>
      <c r="R25" s="87"/>
      <c r="S25" s="87"/>
      <c r="T25" s="87"/>
      <c r="U25" s="87"/>
      <c r="V25" s="87"/>
      <c r="AA25" s="186"/>
      <c r="AB25" s="186"/>
      <c r="AC25" s="186"/>
      <c r="AD25" s="186"/>
      <c r="AE25" s="186"/>
      <c r="AF25" s="186"/>
      <c r="AG25" s="186"/>
      <c r="AH25" s="186"/>
      <c r="AI25" s="186"/>
      <c r="AJ25" s="186"/>
    </row>
    <row r="26" spans="2:36" s="185" customFormat="1">
      <c r="B26" s="13" t="str" cm="1">
        <f t="array" ref="B26">IF(ROW()-ROW(tbl_FS_EligibilitySummary[#Headers])&lt;=ROWS(tbl_FS_Assessment[ActionID]),"Existing action","Additional action")</f>
        <v>Existing action</v>
      </c>
      <c r="C26" s="13" t="str" cm="1">
        <f t="array" ref="C26">IF(ROW()-ROW(tbl_FS_EligibilitySummary[#Headers])&lt;=ROWS(tbl_FS_Assessment[ActionID]),INDEX(tbl_FS_Assessment[ActionID],ROW()-ROW(tbl_FS_EligibilitySummary[#Headers])),INDEX(tbl_FS_AdditionalActions[AdditionalActionID],ROW()-ROW(tbl_FS_EligibilitySummary[#Headers])-ROWS(tbl_FS_Assessment[ActionID])))</f>
        <v>icare_0170</v>
      </c>
      <c r="D26" s="13" t="str" cm="1">
        <f t="array" ref="D26">IF(ROW()-ROW(tbl_FS_EligibilitySummary[#Headers])&lt;=ROWS(tbl_FS_Assessment[ActionID]),INDEX(tbl_FS_Assessment[ActionName],ROW()-ROW(tbl_FS_EligibilitySummary[#Headers])),INDEX(tbl_FS_AdditionalActions[ActionName],ROW()-ROW(tbl_FS_EligibilitySummary[#Headers])-ROWS(tbl_FS_Assessment[ActionID])))</f>
        <v>Build safe housing and implement urban rehabilitation projects for populations living in high-risk areas</v>
      </c>
      <c r="E26" s="13" t="str" cm="1">
        <f t="array" ref="E26">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26" s="13" t="str" cm="1">
        <f t="array" ref="F26">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26" s="13" t="str" cm="1">
        <f t="array" ref="G26">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26" s="13" t="str" cm="1">
        <f t="array" ref="H26">IF(ROW()-ROW(tbl_FS_EligibilitySummary[#Headers])&lt;=ROWS(tbl_FS_Assessment[ActionID]),INDEX(tbl_FS_Assessment[Exposure Eligibility],ROW()-ROW(tbl_FS_EligibilitySummary[#Headers])),INDEX(tbl_FS_AdditionalActions[Exposure Eligibility],ROW()-ROW(tbl_FS_EligibilitySummary[#Headers])-ROWS(tbl_FS_Assessment[ActionID])))</f>
        <v>Eligible</v>
      </c>
      <c r="I26" s="13" t="str" cm="1">
        <f t="array" ref="I26">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26" s="13" t="str" cm="1">
        <f t="array" ref="J26">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
      </c>
      <c r="K26" s="13" t="str" cm="1">
        <f t="array" ref="K26">IF(ROW()-ROW(tbl_FS_EligibilitySummary[#Headers])&lt;=ROWS(tbl_FS_Assessment[ActionID]),INDEX(tbl_FS_Assessment[ReviewStatus],ROW()-ROW(tbl_FS_EligibilitySummary[#Headers])),INDEX(tbl_FS_AdditionalActions[ReviewStatus],ROW()-ROW(tbl_FS_EligibilitySummary[#Headers])-ROWS(tbl_FS_Assessment[ActionID])))</f>
        <v>Reviewed</v>
      </c>
      <c r="L26" s="87"/>
      <c r="M26" s="87"/>
      <c r="N26" s="87"/>
      <c r="O26" s="87"/>
      <c r="P26" s="87"/>
      <c r="Q26" s="87"/>
      <c r="R26" s="87"/>
      <c r="S26" s="87"/>
      <c r="T26" s="87"/>
      <c r="U26" s="87"/>
      <c r="V26" s="87"/>
      <c r="AA26" s="186"/>
      <c r="AB26" s="186"/>
      <c r="AC26" s="186"/>
      <c r="AD26" s="186"/>
      <c r="AE26" s="186"/>
      <c r="AF26" s="186"/>
      <c r="AG26" s="186"/>
      <c r="AH26" s="186"/>
      <c r="AI26" s="186"/>
      <c r="AJ26" s="186"/>
    </row>
    <row r="27" spans="2:36" s="185" customFormat="1">
      <c r="B27" s="13" t="str" cm="1">
        <f t="array" ref="B27">IF(ROW()-ROW(tbl_FS_EligibilitySummary[#Headers])&lt;=ROWS(tbl_FS_Assessment[ActionID]),"Existing action","Additional action")</f>
        <v>Existing action</v>
      </c>
      <c r="C27" s="13" t="str" cm="1">
        <f t="array" ref="C27">IF(ROW()-ROW(tbl_FS_EligibilitySummary[#Headers])&lt;=ROWS(tbl_FS_Assessment[ActionID]),INDEX(tbl_FS_Assessment[ActionID],ROW()-ROW(tbl_FS_EligibilitySummary[#Headers])),INDEX(tbl_FS_AdditionalActions[AdditionalActionID],ROW()-ROW(tbl_FS_EligibilitySummary[#Headers])-ROWS(tbl_FS_Assessment[ActionID])))</f>
        <v>icare_0171</v>
      </c>
      <c r="D27" s="13" t="str" cm="1">
        <f t="array" ref="D27">IF(ROW()-ROW(tbl_FS_EligibilitySummary[#Headers])&lt;=ROWS(tbl_FS_Assessment[ActionID]),INDEX(tbl_FS_Assessment[ActionName],ROW()-ROW(tbl_FS_EligibilitySummary[#Headers])),INDEX(tbl_FS_AdditionalActions[ActionName],ROW()-ROW(tbl_FS_EligibilitySummary[#Headers])-ROWS(tbl_FS_Assessment[ActionID])))</f>
        <v>Improve the hydrometeorological forecasting, monitoring, and alert system for climate risks</v>
      </c>
      <c r="E27" s="13" t="str" cm="1">
        <f t="array" ref="E27">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27" s="13" t="str" cm="1">
        <f t="array" ref="F27">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27" s="13" t="str" cm="1">
        <f t="array" ref="G27">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27" s="13" t="str" cm="1">
        <f t="array" ref="H27">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27" s="13" t="str" cm="1">
        <f t="array" ref="I27">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27" s="13" t="str" cm="1">
        <f t="array" ref="J27">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27" s="13" t="str" cm="1">
        <f t="array" ref="K27">IF(ROW()-ROW(tbl_FS_EligibilitySummary[#Headers])&lt;=ROWS(tbl_FS_Assessment[ActionID]),INDEX(tbl_FS_Assessment[ReviewStatus],ROW()-ROW(tbl_FS_EligibilitySummary[#Headers])),INDEX(tbl_FS_AdditionalActions[ReviewStatus],ROW()-ROW(tbl_FS_EligibilitySummary[#Headers])-ROWS(tbl_FS_Assessment[ActionID])))</f>
        <v>Reviewed</v>
      </c>
      <c r="L27" s="87"/>
      <c r="M27" s="87"/>
      <c r="N27" s="87"/>
      <c r="O27" s="87"/>
      <c r="P27" s="87"/>
      <c r="Q27" s="87"/>
      <c r="R27" s="87"/>
      <c r="S27" s="87"/>
      <c r="T27" s="87"/>
      <c r="U27" s="87"/>
      <c r="V27" s="87"/>
      <c r="AA27" s="186"/>
      <c r="AB27" s="186"/>
      <c r="AC27" s="186"/>
      <c r="AD27" s="186"/>
      <c r="AE27" s="186"/>
      <c r="AF27" s="186"/>
      <c r="AG27" s="186"/>
      <c r="AH27" s="186"/>
      <c r="AI27" s="186"/>
      <c r="AJ27" s="186"/>
    </row>
    <row r="28" spans="2:36" s="185" customFormat="1">
      <c r="B28" s="13" t="str" cm="1">
        <f t="array" ref="B28">IF(ROW()-ROW(tbl_FS_EligibilitySummary[#Headers])&lt;=ROWS(tbl_FS_Assessment[ActionID]),"Existing action","Additional action")</f>
        <v>Existing action</v>
      </c>
      <c r="C28" s="13" t="str" cm="1">
        <f t="array" ref="C28">IF(ROW()-ROW(tbl_FS_EligibilitySummary[#Headers])&lt;=ROWS(tbl_FS_Assessment[ActionID]),INDEX(tbl_FS_Assessment[ActionID],ROW()-ROW(tbl_FS_EligibilitySummary[#Headers])),INDEX(tbl_FS_AdditionalActions[AdditionalActionID],ROW()-ROW(tbl_FS_EligibilitySummary[#Headers])-ROWS(tbl_FS_Assessment[ActionID])))</f>
        <v>icare_0172</v>
      </c>
      <c r="D28" s="13" t="str" cm="1">
        <f t="array" ref="D28">IF(ROW()-ROW(tbl_FS_EligibilitySummary[#Headers])&lt;=ROWS(tbl_FS_Assessment[ActionID]),INDEX(tbl_FS_Assessment[ActionName],ROW()-ROW(tbl_FS_EligibilitySummary[#Headers])),INDEX(tbl_FS_AdditionalActions[ActionName],ROW()-ROW(tbl_FS_EligibilitySummary[#Headers])-ROWS(tbl_FS_Assessment[ActionID])))</f>
        <v>Develop and implement the Municipal Risk Reduction Plan (PMRR) and identify population groups vulnerable to climate risks.</v>
      </c>
      <c r="E28" s="13" t="str" cm="1">
        <f t="array" ref="E28">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28" s="13" t="str" cm="1">
        <f t="array" ref="F28">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28" s="13" t="str" cm="1">
        <f t="array" ref="G28">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28" s="13" t="str" cm="1">
        <f t="array" ref="H28">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28" s="13" t="str" cm="1">
        <f t="array" ref="I28">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28" s="13" t="str" cm="1">
        <f t="array" ref="J28">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28" s="13" t="str" cm="1">
        <f t="array" ref="K28">IF(ROW()-ROW(tbl_FS_EligibilitySummary[#Headers])&lt;=ROWS(tbl_FS_Assessment[ActionID]),INDEX(tbl_FS_Assessment[ReviewStatus],ROW()-ROW(tbl_FS_EligibilitySummary[#Headers])),INDEX(tbl_FS_AdditionalActions[ReviewStatus],ROW()-ROW(tbl_FS_EligibilitySummary[#Headers])-ROWS(tbl_FS_Assessment[ActionID])))</f>
        <v>Reviewed</v>
      </c>
      <c r="L28" s="87"/>
      <c r="M28" s="87"/>
      <c r="N28" s="87"/>
      <c r="O28" s="87"/>
      <c r="P28" s="87"/>
      <c r="Q28" s="87"/>
      <c r="R28" s="87"/>
      <c r="S28" s="87"/>
      <c r="T28" s="87"/>
      <c r="U28" s="87"/>
      <c r="V28" s="87"/>
      <c r="AA28" s="186"/>
      <c r="AB28" s="186"/>
      <c r="AC28" s="186"/>
      <c r="AD28" s="186"/>
      <c r="AE28" s="186"/>
      <c r="AF28" s="186"/>
      <c r="AG28" s="186"/>
      <c r="AH28" s="186"/>
      <c r="AI28" s="186"/>
      <c r="AJ28" s="186"/>
    </row>
    <row r="29" spans="2:36" s="185" customFormat="1">
      <c r="B29" s="13" t="str" cm="1">
        <f t="array" ref="B29">IF(ROW()-ROW(tbl_FS_EligibilitySummary[#Headers])&lt;=ROWS(tbl_FS_Assessment[ActionID]),"Existing action","Additional action")</f>
        <v>Existing action</v>
      </c>
      <c r="C29" s="13" t="str" cm="1">
        <f t="array" ref="C29">IF(ROW()-ROW(tbl_FS_EligibilitySummary[#Headers])&lt;=ROWS(tbl_FS_Assessment[ActionID]),INDEX(tbl_FS_Assessment[ActionID],ROW()-ROW(tbl_FS_EligibilitySummary[#Headers])),INDEX(tbl_FS_AdditionalActions[AdditionalActionID],ROW()-ROW(tbl_FS_EligibilitySummary[#Headers])-ROWS(tbl_FS_Assessment[ActionID])))</f>
        <v>icare_0173</v>
      </c>
      <c r="D29" s="13" t="str" cm="1">
        <f t="array" ref="D29">IF(ROW()-ROW(tbl_FS_EligibilitySummary[#Headers])&lt;=ROWS(tbl_FS_Assessment[ActionID]),INDEX(tbl_FS_Assessment[ActionName],ROW()-ROW(tbl_FS_EligibilitySummary[#Headers])),INDEX(tbl_FS_AdditionalActions[ActionName],ROW()-ROW(tbl_FS_EligibilitySummary[#Headers])-ROWS(tbl_FS_Assessment[ActionID])))</f>
        <v>Preventive maintenance of drainage systems</v>
      </c>
      <c r="E29" s="13" t="str" cm="1">
        <f t="array" ref="E29">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29" s="13" t="str" cm="1">
        <f t="array" ref="F29">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29" s="13" t="str" cm="1">
        <f t="array" ref="G29">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29" s="13" t="str" cm="1">
        <f t="array" ref="H29">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29" s="13" t="str" cm="1">
        <f t="array" ref="I29">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29" s="13" t="str" cm="1">
        <f t="array" ref="J29">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29" s="13" t="str" cm="1">
        <f t="array" ref="K29">IF(ROW()-ROW(tbl_FS_EligibilitySummary[#Headers])&lt;=ROWS(tbl_FS_Assessment[ActionID]),INDEX(tbl_FS_Assessment[ReviewStatus],ROW()-ROW(tbl_FS_EligibilitySummary[#Headers])),INDEX(tbl_FS_AdditionalActions[ReviewStatus],ROW()-ROW(tbl_FS_EligibilitySummary[#Headers])-ROWS(tbl_FS_Assessment[ActionID])))</f>
        <v>Reviewed</v>
      </c>
      <c r="L29" s="87"/>
      <c r="M29" s="87"/>
      <c r="N29" s="87"/>
      <c r="O29" s="87"/>
      <c r="P29" s="87"/>
      <c r="Q29" s="87"/>
      <c r="R29" s="87"/>
      <c r="S29" s="87"/>
      <c r="T29" s="87"/>
      <c r="U29" s="87"/>
      <c r="V29" s="87"/>
      <c r="AA29" s="186"/>
      <c r="AB29" s="186"/>
      <c r="AC29" s="186"/>
      <c r="AD29" s="186"/>
      <c r="AE29" s="186"/>
      <c r="AF29" s="186"/>
      <c r="AG29" s="186"/>
      <c r="AH29" s="186"/>
      <c r="AI29" s="186"/>
      <c r="AJ29" s="186"/>
    </row>
    <row r="30" spans="2:36" s="185" customFormat="1">
      <c r="B30" s="13" t="str" cm="1">
        <f t="array" ref="B30">IF(ROW()-ROW(tbl_FS_EligibilitySummary[#Headers])&lt;=ROWS(tbl_FS_Assessment[ActionID]),"Existing action","Additional action")</f>
        <v>Existing action</v>
      </c>
      <c r="C30" s="13" t="str" cm="1">
        <f t="array" ref="C30">IF(ROW()-ROW(tbl_FS_EligibilitySummary[#Headers])&lt;=ROWS(tbl_FS_Assessment[ActionID]),INDEX(tbl_FS_Assessment[ActionID],ROW()-ROW(tbl_FS_EligibilitySummary[#Headers])),INDEX(tbl_FS_AdditionalActions[AdditionalActionID],ROW()-ROW(tbl_FS_EligibilitySummary[#Headers])-ROWS(tbl_FS_Assessment[ActionID])))</f>
        <v>icare_0176</v>
      </c>
      <c r="D30" s="13" t="str" cm="1">
        <f t="array" ref="D30">IF(ROW()-ROW(tbl_FS_EligibilitySummary[#Headers])&lt;=ROWS(tbl_FS_Assessment[ActionID]),INDEX(tbl_FS_Assessment[ActionName],ROW()-ROW(tbl_FS_EligibilitySummary[#Headers])),INDEX(tbl_FS_AdditionalActions[ActionName],ROW()-ROW(tbl_FS_EligibilitySummary[#Headers])-ROWS(tbl_FS_Assessment[ActionID])))</f>
        <v>Develop a Climate Action Plan</v>
      </c>
      <c r="E30" s="13" t="str" cm="1">
        <f t="array" ref="E30">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30" s="13" t="str" cm="1">
        <f t="array" ref="F30">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30" s="13" t="str" cm="1">
        <f t="array" ref="G30">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30" s="13" t="str" cm="1">
        <f t="array" ref="H30">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30" s="13" t="str" cm="1">
        <f t="array" ref="I30">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30" s="13" t="str" cm="1">
        <f t="array" ref="J30">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30" s="13" t="str" cm="1">
        <f t="array" ref="K30">IF(ROW()-ROW(tbl_FS_EligibilitySummary[#Headers])&lt;=ROWS(tbl_FS_Assessment[ActionID]),INDEX(tbl_FS_Assessment[ReviewStatus],ROW()-ROW(tbl_FS_EligibilitySummary[#Headers])),INDEX(tbl_FS_AdditionalActions[ReviewStatus],ROW()-ROW(tbl_FS_EligibilitySummary[#Headers])-ROWS(tbl_FS_Assessment[ActionID])))</f>
        <v>Reviewed</v>
      </c>
      <c r="L30" s="87"/>
      <c r="M30" s="87"/>
      <c r="N30" s="87"/>
      <c r="O30" s="87"/>
      <c r="P30" s="87"/>
      <c r="Q30" s="87"/>
      <c r="R30" s="87"/>
      <c r="S30" s="87"/>
      <c r="T30" s="87"/>
      <c r="U30" s="87"/>
      <c r="V30" s="87"/>
      <c r="AA30" s="186"/>
      <c r="AB30" s="186"/>
      <c r="AC30" s="186"/>
      <c r="AD30" s="186"/>
      <c r="AE30" s="186"/>
      <c r="AF30" s="186"/>
      <c r="AG30" s="186"/>
      <c r="AH30" s="186"/>
      <c r="AI30" s="186"/>
      <c r="AJ30" s="186"/>
    </row>
    <row r="31" spans="2:36" s="185" customFormat="1">
      <c r="B31" s="13" t="str" cm="1">
        <f t="array" ref="B31">IF(ROW()-ROW(tbl_FS_EligibilitySummary[#Headers])&lt;=ROWS(tbl_FS_Assessment[ActionID]),"Existing action","Additional action")</f>
        <v>Existing action</v>
      </c>
      <c r="C31" s="13" t="str" cm="1">
        <f t="array" ref="C31">IF(ROW()-ROW(tbl_FS_EligibilitySummary[#Headers])&lt;=ROWS(tbl_FS_Assessment[ActionID]),INDEX(tbl_FS_Assessment[ActionID],ROW()-ROW(tbl_FS_EligibilitySummary[#Headers])),INDEX(tbl_FS_AdditionalActions[AdditionalActionID],ROW()-ROW(tbl_FS_EligibilitySummary[#Headers])-ROWS(tbl_FS_Assessment[ActionID])))</f>
        <v>icare_0178</v>
      </c>
      <c r="D31" s="13" t="str" cm="1">
        <f t="array" ref="D31">IF(ROW()-ROW(tbl_FS_EligibilitySummary[#Headers])&lt;=ROWS(tbl_FS_Assessment[ActionID]),INDEX(tbl_FS_Assessment[ActionName],ROW()-ROW(tbl_FS_EligibilitySummary[#Headers])),INDEX(tbl_FS_AdditionalActions[ActionName],ROW()-ROW(tbl_FS_EligibilitySummary[#Headers])-ROWS(tbl_FS_Assessment[ActionID])))</f>
        <v>Redirect urban development through climate‑risk spatial planning</v>
      </c>
      <c r="E31" s="13" t="str" cm="1">
        <f t="array" ref="E31">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31" s="13" t="str" cm="1">
        <f t="array" ref="F31">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31" s="13" t="str" cm="1">
        <f t="array" ref="G31">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31" s="13" t="str" cm="1">
        <f t="array" ref="H31">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31" s="13" t="str" cm="1">
        <f t="array" ref="I31">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31" s="13" t="str" cm="1">
        <f t="array" ref="J31">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31" s="13" t="str" cm="1">
        <f t="array" ref="K31">IF(ROW()-ROW(tbl_FS_EligibilitySummary[#Headers])&lt;=ROWS(tbl_FS_Assessment[ActionID]),INDEX(tbl_FS_Assessment[ReviewStatus],ROW()-ROW(tbl_FS_EligibilitySummary[#Headers])),INDEX(tbl_FS_AdditionalActions[ReviewStatus],ROW()-ROW(tbl_FS_EligibilitySummary[#Headers])-ROWS(tbl_FS_Assessment[ActionID])))</f>
        <v>Reviewed</v>
      </c>
      <c r="L31" s="87"/>
      <c r="M31" s="87"/>
      <c r="N31" s="87"/>
      <c r="O31" s="87"/>
      <c r="P31" s="87"/>
      <c r="Q31" s="87"/>
      <c r="R31" s="87"/>
      <c r="S31" s="87"/>
      <c r="T31" s="87"/>
      <c r="U31" s="87"/>
      <c r="V31" s="87"/>
      <c r="AA31" s="186"/>
      <c r="AB31" s="186"/>
      <c r="AC31" s="186"/>
      <c r="AD31" s="186"/>
      <c r="AE31" s="186"/>
      <c r="AF31" s="186"/>
      <c r="AG31" s="186"/>
      <c r="AH31" s="186"/>
      <c r="AI31" s="186"/>
      <c r="AJ31" s="186"/>
    </row>
    <row r="32" spans="2:36" s="185" customFormat="1">
      <c r="B32" s="13" t="str" cm="1">
        <f t="array" ref="B32">IF(ROW()-ROW(tbl_FS_EligibilitySummary[#Headers])&lt;=ROWS(tbl_FS_Assessment[ActionID]),"Existing action","Additional action")</f>
        <v>Existing action</v>
      </c>
      <c r="C32" s="13" t="str" cm="1">
        <f t="array" ref="C32">IF(ROW()-ROW(tbl_FS_EligibilitySummary[#Headers])&lt;=ROWS(tbl_FS_Assessment[ActionID]),INDEX(tbl_FS_Assessment[ActionID],ROW()-ROW(tbl_FS_EligibilitySummary[#Headers])),INDEX(tbl_FS_AdditionalActions[AdditionalActionID],ROW()-ROW(tbl_FS_EligibilitySummary[#Headers])-ROWS(tbl_FS_Assessment[ActionID])))</f>
        <v>icare_0180</v>
      </c>
      <c r="D32" s="13" t="str" cm="1">
        <f t="array" ref="D32">IF(ROW()-ROW(tbl_FS_EligibilitySummary[#Headers])&lt;=ROWS(tbl_FS_Assessment[ActionID]),INDEX(tbl_FS_Assessment[ActionName],ROW()-ROW(tbl_FS_EligibilitySummary[#Headers])),INDEX(tbl_FS_AdditionalActions[ActionName],ROW()-ROW(tbl_FS_EligibilitySummary[#Headers])-ROWS(tbl_FS_Assessment[ActionID])))</f>
        <v>Expand urban green-blue networks and corridors</v>
      </c>
      <c r="E32" s="13" t="str" cm="1">
        <f t="array" ref="E32">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32" s="13" t="str" cm="1">
        <f t="array" ref="F32">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32" s="13" t="str" cm="1">
        <f t="array" ref="G32">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32" s="13" t="str" cm="1">
        <f t="array" ref="H32">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32" s="13" t="str" cm="1">
        <f t="array" ref="I32">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32" s="13" t="str" cm="1">
        <f t="array" ref="J32">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32" s="13" t="str" cm="1">
        <f t="array" ref="K32">IF(ROW()-ROW(tbl_FS_EligibilitySummary[#Headers])&lt;=ROWS(tbl_FS_Assessment[ActionID]),INDEX(tbl_FS_Assessment[ReviewStatus],ROW()-ROW(tbl_FS_EligibilitySummary[#Headers])),INDEX(tbl_FS_AdditionalActions[ReviewStatus],ROW()-ROW(tbl_FS_EligibilitySummary[#Headers])-ROWS(tbl_FS_Assessment[ActionID])))</f>
        <v>Reviewed</v>
      </c>
      <c r="L32" s="87"/>
      <c r="M32" s="87"/>
      <c r="N32" s="87"/>
      <c r="O32" s="87"/>
      <c r="P32" s="87"/>
      <c r="Q32" s="87"/>
      <c r="R32" s="87"/>
      <c r="S32" s="87"/>
      <c r="T32" s="87"/>
      <c r="U32" s="87"/>
      <c r="V32" s="87"/>
      <c r="AA32" s="186"/>
      <c r="AB32" s="186"/>
      <c r="AC32" s="186"/>
      <c r="AD32" s="186"/>
      <c r="AE32" s="186"/>
      <c r="AF32" s="186"/>
      <c r="AG32" s="186"/>
      <c r="AH32" s="186"/>
      <c r="AI32" s="186"/>
      <c r="AJ32" s="186"/>
    </row>
    <row r="33" spans="2:36" s="185" customFormat="1">
      <c r="B33" s="13" t="str" cm="1">
        <f t="array" ref="B33">IF(ROW()-ROW(tbl_FS_EligibilitySummary[#Headers])&lt;=ROWS(tbl_FS_Assessment[ActionID]),"Existing action","Additional action")</f>
        <v>Existing action</v>
      </c>
      <c r="C33" s="13" t="str" cm="1">
        <f t="array" ref="C33">IF(ROW()-ROW(tbl_FS_EligibilitySummary[#Headers])&lt;=ROWS(tbl_FS_Assessment[ActionID]),INDEX(tbl_FS_Assessment[ActionID],ROW()-ROW(tbl_FS_EligibilitySummary[#Headers])),INDEX(tbl_FS_AdditionalActions[AdditionalActionID],ROW()-ROW(tbl_FS_EligibilitySummary[#Headers])-ROWS(tbl_FS_Assessment[ActionID])))</f>
        <v>icare_0181</v>
      </c>
      <c r="D33" s="13" t="str" cm="1">
        <f t="array" ref="D33">IF(ROW()-ROW(tbl_FS_EligibilitySummary[#Headers])&lt;=ROWS(tbl_FS_Assessment[ActionID]),INDEX(tbl_FS_Assessment[ActionName],ROW()-ROW(tbl_FS_EligibilitySummary[#Headers])),INDEX(tbl_FS_AdditionalActions[ActionName],ROW()-ROW(tbl_FS_EligibilitySummary[#Headers])-ROWS(tbl_FS_Assessment[ActionID])))</f>
        <v>Restore in Vulnerable Areas</v>
      </c>
      <c r="E33" s="13" t="str" cm="1">
        <f t="array" ref="E33">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33" s="13" t="str" cm="1">
        <f t="array" ref="F33">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33" s="13" t="str" cm="1">
        <f t="array" ref="G33">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33" s="13" t="str" cm="1">
        <f t="array" ref="H33">IF(ROW()-ROW(tbl_FS_EligibilitySummary[#Headers])&lt;=ROWS(tbl_FS_Assessment[ActionID]),INDEX(tbl_FS_Assessment[Exposure Eligibility],ROW()-ROW(tbl_FS_EligibilitySummary[#Headers])),INDEX(tbl_FS_AdditionalActions[Exposure Eligibility],ROW()-ROW(tbl_FS_EligibilitySummary[#Headers])-ROWS(tbl_FS_Assessment[ActionID])))</f>
        <v>Eligible</v>
      </c>
      <c r="I33" s="13" t="str" cm="1">
        <f t="array" ref="I33">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33" s="13" t="str" cm="1">
        <f t="array" ref="J33">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
      </c>
      <c r="K33" s="13" t="str" cm="1">
        <f t="array" ref="K33">IF(ROW()-ROW(tbl_FS_EligibilitySummary[#Headers])&lt;=ROWS(tbl_FS_Assessment[ActionID]),INDEX(tbl_FS_Assessment[ReviewStatus],ROW()-ROW(tbl_FS_EligibilitySummary[#Headers])),INDEX(tbl_FS_AdditionalActions[ReviewStatus],ROW()-ROW(tbl_FS_EligibilitySummary[#Headers])-ROWS(tbl_FS_Assessment[ActionID])))</f>
        <v>Reviewed</v>
      </c>
      <c r="L33" s="87"/>
      <c r="M33" s="87"/>
      <c r="N33" s="87"/>
      <c r="O33" s="87"/>
      <c r="P33" s="87"/>
      <c r="Q33" s="87"/>
      <c r="R33" s="87"/>
      <c r="S33" s="87"/>
      <c r="T33" s="87"/>
      <c r="U33" s="87"/>
      <c r="V33" s="87"/>
      <c r="AA33" s="186"/>
      <c r="AB33" s="186"/>
      <c r="AC33" s="186"/>
      <c r="AD33" s="186"/>
      <c r="AE33" s="186"/>
      <c r="AF33" s="186"/>
      <c r="AG33" s="186"/>
      <c r="AH33" s="186"/>
      <c r="AI33" s="186"/>
      <c r="AJ33" s="186"/>
    </row>
    <row r="34" spans="2:36" s="185" customFormat="1">
      <c r="B34" s="13" t="str" cm="1">
        <f t="array" ref="B34">IF(ROW()-ROW(tbl_FS_EligibilitySummary[#Headers])&lt;=ROWS(tbl_FS_Assessment[ActionID]),"Existing action","Additional action")</f>
        <v>Existing action</v>
      </c>
      <c r="C34" s="13" t="str" cm="1">
        <f t="array" ref="C34">IF(ROW()-ROW(tbl_FS_EligibilitySummary[#Headers])&lt;=ROWS(tbl_FS_Assessment[ActionID]),INDEX(tbl_FS_Assessment[ActionID],ROW()-ROW(tbl_FS_EligibilitySummary[#Headers])),INDEX(tbl_FS_AdditionalActions[AdditionalActionID],ROW()-ROW(tbl_FS_EligibilitySummary[#Headers])-ROWS(tbl_FS_Assessment[ActionID])))</f>
        <v>icare_0182</v>
      </c>
      <c r="D34" s="13" t="str" cm="1">
        <f t="array" ref="D34">IF(ROW()-ROW(tbl_FS_EligibilitySummary[#Headers])&lt;=ROWS(tbl_FS_Assessment[ActionID]),INDEX(tbl_FS_Assessment[ActionName],ROW()-ROW(tbl_FS_EligibilitySummary[#Headers])),INDEX(tbl_FS_AdditionalActions[ActionName],ROW()-ROW(tbl_FS_EligibilitySummary[#Headers])-ROWS(tbl_FS_Assessment[ActionID])))</f>
        <v>Develop an Urban Afforestation Plan</v>
      </c>
      <c r="E34" s="13" t="str" cm="1">
        <f t="array" ref="E34">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34" s="13" t="str" cm="1">
        <f t="array" ref="F34">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34" s="13" t="str" cm="1">
        <f t="array" ref="G34">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34" s="13" t="str" cm="1">
        <f t="array" ref="H34">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34" s="13" t="str" cm="1">
        <f t="array" ref="I34">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34" s="13" t="str" cm="1">
        <f t="array" ref="J34">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34" s="13" t="str" cm="1">
        <f t="array" ref="K34">IF(ROW()-ROW(tbl_FS_EligibilitySummary[#Headers])&lt;=ROWS(tbl_FS_Assessment[ActionID]),INDEX(tbl_FS_Assessment[ReviewStatus],ROW()-ROW(tbl_FS_EligibilitySummary[#Headers])),INDEX(tbl_FS_AdditionalActions[ReviewStatus],ROW()-ROW(tbl_FS_EligibilitySummary[#Headers])-ROWS(tbl_FS_Assessment[ActionID])))</f>
        <v>Reviewed</v>
      </c>
      <c r="L34" s="87"/>
      <c r="M34" s="87"/>
      <c r="N34" s="87"/>
      <c r="O34" s="87"/>
      <c r="P34" s="87"/>
      <c r="Q34" s="87"/>
      <c r="R34" s="87"/>
      <c r="S34" s="87"/>
      <c r="T34" s="87"/>
      <c r="U34" s="87"/>
      <c r="V34" s="87"/>
      <c r="AA34" s="186"/>
      <c r="AB34" s="186"/>
      <c r="AC34" s="186"/>
      <c r="AD34" s="186"/>
      <c r="AE34" s="186"/>
      <c r="AF34" s="186"/>
      <c r="AG34" s="186"/>
      <c r="AH34" s="186"/>
      <c r="AI34" s="186"/>
      <c r="AJ34" s="186"/>
    </row>
    <row r="35" spans="2:36" s="185" customFormat="1">
      <c r="B35" s="13" t="str" cm="1">
        <f t="array" ref="B35">IF(ROW()-ROW(tbl_FS_EligibilitySummary[#Headers])&lt;=ROWS(tbl_FS_Assessment[ActionID]),"Existing action","Additional action")</f>
        <v>Existing action</v>
      </c>
      <c r="C35" s="13" t="str" cm="1">
        <f t="array" ref="C35">IF(ROW()-ROW(tbl_FS_EligibilitySummary[#Headers])&lt;=ROWS(tbl_FS_Assessment[ActionID]),INDEX(tbl_FS_Assessment[ActionID],ROW()-ROW(tbl_FS_EligibilitySummary[#Headers])),INDEX(tbl_FS_AdditionalActions[AdditionalActionID],ROW()-ROW(tbl_FS_EligibilitySummary[#Headers])-ROWS(tbl_FS_Assessment[ActionID])))</f>
        <v>icare_0183</v>
      </c>
      <c r="D35" s="13" t="str" cm="1">
        <f t="array" ref="D35">IF(ROW()-ROW(tbl_FS_EligibilitySummary[#Headers])&lt;=ROWS(tbl_FS_Assessment[ActionID]),INDEX(tbl_FS_Assessment[ActionName],ROW()-ROW(tbl_FS_EligibilitySummary[#Headers])),INDEX(tbl_FS_AdditionalActions[ActionName],ROW()-ROW(tbl_FS_EligibilitySummary[#Headers])-ROWS(tbl_FS_Assessment[ActionID])))</f>
        <v>Implement Multi-hazard Early Warning Systems (MH-EWS)</v>
      </c>
      <c r="E35" s="13" t="str" cm="1">
        <f t="array" ref="E35">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35" s="13" t="str" cm="1">
        <f t="array" ref="F35">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35" s="13" t="str" cm="1">
        <f t="array" ref="G35">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35" s="13" t="str" cm="1">
        <f t="array" ref="H35">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35" s="13" t="str" cm="1">
        <f t="array" ref="I35">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35" s="13" t="str" cm="1">
        <f t="array" ref="J35">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35" s="13" t="str" cm="1">
        <f t="array" ref="K35">IF(ROW()-ROW(tbl_FS_EligibilitySummary[#Headers])&lt;=ROWS(tbl_FS_Assessment[ActionID]),INDEX(tbl_FS_Assessment[ReviewStatus],ROW()-ROW(tbl_FS_EligibilitySummary[#Headers])),INDEX(tbl_FS_AdditionalActions[ReviewStatus],ROW()-ROW(tbl_FS_EligibilitySummary[#Headers])-ROWS(tbl_FS_Assessment[ActionID])))</f>
        <v>Reviewed</v>
      </c>
      <c r="L35" s="87"/>
      <c r="M35" s="87"/>
      <c r="N35" s="87"/>
      <c r="O35" s="87"/>
      <c r="P35" s="87"/>
      <c r="Q35" s="87"/>
      <c r="R35" s="87"/>
      <c r="S35" s="87"/>
      <c r="T35" s="87"/>
      <c r="U35" s="87"/>
      <c r="V35" s="87"/>
      <c r="AA35" s="186"/>
      <c r="AB35" s="186"/>
      <c r="AC35" s="186"/>
      <c r="AD35" s="186"/>
      <c r="AE35" s="186"/>
      <c r="AF35" s="186"/>
      <c r="AG35" s="186"/>
      <c r="AH35" s="186"/>
      <c r="AI35" s="186"/>
      <c r="AJ35" s="186"/>
    </row>
    <row r="36" spans="2:36" s="185" customFormat="1">
      <c r="B36" s="13" t="str" cm="1">
        <f t="array" ref="B36">IF(ROW()-ROW(tbl_FS_EligibilitySummary[#Headers])&lt;=ROWS(tbl_FS_Assessment[ActionID]),"Existing action","Additional action")</f>
        <v>Existing action</v>
      </c>
      <c r="C36" s="13" t="str" cm="1">
        <f t="array" ref="C36">IF(ROW()-ROW(tbl_FS_EligibilitySummary[#Headers])&lt;=ROWS(tbl_FS_Assessment[ActionID]),INDEX(tbl_FS_Assessment[ActionID],ROW()-ROW(tbl_FS_EligibilitySummary[#Headers])),INDEX(tbl_FS_AdditionalActions[AdditionalActionID],ROW()-ROW(tbl_FS_EligibilitySummary[#Headers])-ROWS(tbl_FS_Assessment[ActionID])))</f>
        <v>icare_0184</v>
      </c>
      <c r="D36" s="13" t="str" cm="1">
        <f t="array" ref="D36">IF(ROW()-ROW(tbl_FS_EligibilitySummary[#Headers])&lt;=ROWS(tbl_FS_Assessment[ActionID]),INDEX(tbl_FS_Assessment[ActionName],ROW()-ROW(tbl_FS_EligibilitySummary[#Headers])),INDEX(tbl_FS_AdditionalActions[ActionName],ROW()-ROW(tbl_FS_EligibilitySummary[#Headers])-ROWS(tbl_FS_Assessment[ActionID])))</f>
        <v>Upgrade Slope stabilization and drainage</v>
      </c>
      <c r="E36" s="13" t="str" cm="1">
        <f t="array" ref="E36">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36" s="13" t="str" cm="1">
        <f t="array" ref="F36">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36" s="13" t="str" cm="1">
        <f t="array" ref="G36">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36" s="13" t="str" cm="1">
        <f t="array" ref="H36">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36" s="13" t="str" cm="1">
        <f t="array" ref="I36">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36" s="13" t="str" cm="1">
        <f t="array" ref="J36">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36" s="13" t="str" cm="1">
        <f t="array" ref="K36">IF(ROW()-ROW(tbl_FS_EligibilitySummary[#Headers])&lt;=ROWS(tbl_FS_Assessment[ActionID]),INDEX(tbl_FS_Assessment[ReviewStatus],ROW()-ROW(tbl_FS_EligibilitySummary[#Headers])),INDEX(tbl_FS_AdditionalActions[ReviewStatus],ROW()-ROW(tbl_FS_EligibilitySummary[#Headers])-ROWS(tbl_FS_Assessment[ActionID])))</f>
        <v>Reviewed</v>
      </c>
      <c r="L36" s="87"/>
      <c r="M36" s="87"/>
      <c r="N36" s="87"/>
      <c r="O36" s="87"/>
      <c r="P36" s="87"/>
      <c r="Q36" s="87"/>
      <c r="R36" s="87"/>
      <c r="S36" s="87"/>
      <c r="T36" s="87"/>
      <c r="U36" s="87"/>
      <c r="V36" s="87"/>
      <c r="AA36" s="186"/>
      <c r="AB36" s="186"/>
      <c r="AC36" s="186"/>
      <c r="AD36" s="186"/>
      <c r="AE36" s="186"/>
      <c r="AF36" s="186"/>
      <c r="AG36" s="186"/>
      <c r="AH36" s="186"/>
      <c r="AI36" s="186"/>
      <c r="AJ36" s="186"/>
    </row>
    <row r="37" spans="2:36" s="185" customFormat="1">
      <c r="B37" s="13" t="str" cm="1">
        <f t="array" ref="B37">IF(ROW()-ROW(tbl_FS_EligibilitySummary[#Headers])&lt;=ROWS(tbl_FS_Assessment[ActionID]),"Existing action","Additional action")</f>
        <v>Existing action</v>
      </c>
      <c r="C37" s="13" t="str" cm="1">
        <f t="array" ref="C37">IF(ROW()-ROW(tbl_FS_EligibilitySummary[#Headers])&lt;=ROWS(tbl_FS_Assessment[ActionID]),INDEX(tbl_FS_Assessment[ActionID],ROW()-ROW(tbl_FS_EligibilitySummary[#Headers])),INDEX(tbl_FS_AdditionalActions[AdditionalActionID],ROW()-ROW(tbl_FS_EligibilitySummary[#Headers])-ROWS(tbl_FS_Assessment[ActionID])))</f>
        <v>icare_0185</v>
      </c>
      <c r="D37" s="13" t="str" cm="1">
        <f t="array" ref="D37">IF(ROW()-ROW(tbl_FS_EligibilitySummary[#Headers])&lt;=ROWS(tbl_FS_Assessment[ActionID]),INDEX(tbl_FS_Assessment[ActionName],ROW()-ROW(tbl_FS_EligibilitySummary[#Headers])),INDEX(tbl_FS_AdditionalActions[ActionName],ROW()-ROW(tbl_FS_EligibilitySummary[#Headers])-ROWS(tbl_FS_Assessment[ActionID])))</f>
        <v>Improve Creation of An Epidemiological Intelligence Center</v>
      </c>
      <c r="E37" s="13" t="str" cm="1">
        <f t="array" ref="E37">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37" s="13" t="str" cm="1">
        <f t="array" ref="F37">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37" s="13" t="str" cm="1">
        <f t="array" ref="G37">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37" s="13" t="str" cm="1">
        <f t="array" ref="H37">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37" s="13" t="str" cm="1">
        <f t="array" ref="I37">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37" s="13" t="str" cm="1">
        <f t="array" ref="J37">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37" s="13" t="str" cm="1">
        <f t="array" ref="K37">IF(ROW()-ROW(tbl_FS_EligibilitySummary[#Headers])&lt;=ROWS(tbl_FS_Assessment[ActionID]),INDEX(tbl_FS_Assessment[ReviewStatus],ROW()-ROW(tbl_FS_EligibilitySummary[#Headers])),INDEX(tbl_FS_AdditionalActions[ReviewStatus],ROW()-ROW(tbl_FS_EligibilitySummary[#Headers])-ROWS(tbl_FS_Assessment[ActionID])))</f>
        <v>Reviewed</v>
      </c>
      <c r="L37" s="87"/>
      <c r="M37" s="87"/>
      <c r="N37" s="87"/>
      <c r="O37" s="87"/>
      <c r="P37" s="87"/>
      <c r="Q37" s="87"/>
      <c r="R37" s="87"/>
      <c r="S37" s="87"/>
      <c r="T37" s="87"/>
      <c r="U37" s="87"/>
      <c r="V37" s="87"/>
      <c r="AA37" s="186"/>
      <c r="AB37" s="186"/>
      <c r="AC37" s="186"/>
      <c r="AD37" s="186"/>
      <c r="AE37" s="186"/>
      <c r="AF37" s="186"/>
      <c r="AG37" s="186"/>
      <c r="AH37" s="186"/>
      <c r="AI37" s="186"/>
      <c r="AJ37" s="186"/>
    </row>
    <row r="38" spans="2:36" s="185" customFormat="1">
      <c r="B38" s="13" t="str" cm="1">
        <f t="array" ref="B38">IF(ROW()-ROW(tbl_FS_EligibilitySummary[#Headers])&lt;=ROWS(tbl_FS_Assessment[ActionID]),"Existing action","Additional action")</f>
        <v>Existing action</v>
      </c>
      <c r="C38" s="13" t="str" cm="1">
        <f t="array" ref="C38">IF(ROW()-ROW(tbl_FS_EligibilitySummary[#Headers])&lt;=ROWS(tbl_FS_Assessment[ActionID]),INDEX(tbl_FS_Assessment[ActionID],ROW()-ROW(tbl_FS_EligibilitySummary[#Headers])),INDEX(tbl_FS_AdditionalActions[AdditionalActionID],ROW()-ROW(tbl_FS_EligibilitySummary[#Headers])-ROWS(tbl_FS_Assessment[ActionID])))</f>
        <v>icare_0186</v>
      </c>
      <c r="D38" s="13" t="str" cm="1">
        <f t="array" ref="D38">IF(ROW()-ROW(tbl_FS_EligibilitySummary[#Headers])&lt;=ROWS(tbl_FS_Assessment[ActionID]),INDEX(tbl_FS_Assessment[ActionName],ROW()-ROW(tbl_FS_EligibilitySummary[#Headers])),INDEX(tbl_FS_AdditionalActions[ActionName],ROW()-ROW(tbl_FS_EligibilitySummary[#Headers])-ROWS(tbl_FS_Assessment[ActionID])))</f>
        <v>Implement integrated coastal zone management</v>
      </c>
      <c r="E38" s="13" t="str" cm="1">
        <f t="array" ref="E38">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38" s="13" t="str" cm="1">
        <f t="array" ref="F38">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38" s="13" t="str" cm="1">
        <f t="array" ref="G38">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38" s="13" t="str" cm="1">
        <f t="array" ref="H38">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38" s="13" t="str" cm="1">
        <f t="array" ref="I38">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38" s="13" t="str" cm="1">
        <f t="array" ref="J38">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38" s="13" t="str" cm="1">
        <f t="array" ref="K38">IF(ROW()-ROW(tbl_FS_EligibilitySummary[#Headers])&lt;=ROWS(tbl_FS_Assessment[ActionID]),INDEX(tbl_FS_Assessment[ReviewStatus],ROW()-ROW(tbl_FS_EligibilitySummary[#Headers])),INDEX(tbl_FS_AdditionalActions[ReviewStatus],ROW()-ROW(tbl_FS_EligibilitySummary[#Headers])-ROWS(tbl_FS_Assessment[ActionID])))</f>
        <v>Reviewed</v>
      </c>
      <c r="L38" s="87"/>
      <c r="M38" s="87"/>
      <c r="N38" s="87"/>
      <c r="O38" s="87"/>
      <c r="P38" s="87"/>
      <c r="Q38" s="87"/>
      <c r="R38" s="87"/>
      <c r="S38" s="87"/>
      <c r="T38" s="87"/>
      <c r="U38" s="87"/>
      <c r="V38" s="87"/>
      <c r="AA38" s="186"/>
      <c r="AB38" s="186"/>
      <c r="AC38" s="186"/>
      <c r="AD38" s="186"/>
      <c r="AE38" s="186"/>
      <c r="AF38" s="186"/>
      <c r="AG38" s="186"/>
      <c r="AH38" s="186"/>
      <c r="AI38" s="186"/>
      <c r="AJ38" s="186"/>
    </row>
    <row r="39" spans="2:36" s="185" customFormat="1">
      <c r="B39" s="13" t="str" cm="1">
        <f t="array" ref="B39">IF(ROW()-ROW(tbl_FS_EligibilitySummary[#Headers])&lt;=ROWS(tbl_FS_Assessment[ActionID]),"Existing action","Additional action")</f>
        <v>Existing action</v>
      </c>
      <c r="C39" s="13" t="str" cm="1">
        <f t="array" ref="C39">IF(ROW()-ROW(tbl_FS_EligibilitySummary[#Headers])&lt;=ROWS(tbl_FS_Assessment[ActionID]),INDEX(tbl_FS_Assessment[ActionID],ROW()-ROW(tbl_FS_EligibilitySummary[#Headers])),INDEX(tbl_FS_AdditionalActions[AdditionalActionID],ROW()-ROW(tbl_FS_EligibilitySummary[#Headers])-ROWS(tbl_FS_Assessment[ActionID])))</f>
        <v>icare_0188</v>
      </c>
      <c r="D39" s="13" t="str" cm="1">
        <f t="array" ref="D39">IF(ROW()-ROW(tbl_FS_EligibilitySummary[#Headers])&lt;=ROWS(tbl_FS_Assessment[ActionID]),INDEX(tbl_FS_Assessment[ActionName],ROW()-ROW(tbl_FS_EligibilitySummary[#Headers])),INDEX(tbl_FS_AdditionalActions[ActionName],ROW()-ROW(tbl_FS_EligibilitySummary[#Headers])-ROWS(tbl_FS_Assessment[ActionID])))</f>
        <v>Create an Environmental Health Surveillance Program related to Populations Exposed to Air Pollution, Noise Pollution, Water Pollution, and Soil Pollution.</v>
      </c>
      <c r="E39" s="13" t="str" cm="1">
        <f t="array" ref="E39">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39" s="13" t="str" cm="1">
        <f t="array" ref="F39">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39" s="13" t="str" cm="1">
        <f t="array" ref="G39">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39" s="13" t="str" cm="1">
        <f t="array" ref="H39">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39" s="13" t="str" cm="1">
        <f t="array" ref="I39">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39" s="13" t="str" cm="1">
        <f t="array" ref="J39">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39" s="13" t="str" cm="1">
        <f t="array" ref="K39">IF(ROW()-ROW(tbl_FS_EligibilitySummary[#Headers])&lt;=ROWS(tbl_FS_Assessment[ActionID]),INDEX(tbl_FS_Assessment[ReviewStatus],ROW()-ROW(tbl_FS_EligibilitySummary[#Headers])),INDEX(tbl_FS_AdditionalActions[ReviewStatus],ROW()-ROW(tbl_FS_EligibilitySummary[#Headers])-ROWS(tbl_FS_Assessment[ActionID])))</f>
        <v>Reviewed</v>
      </c>
      <c r="L39" s="87"/>
      <c r="M39" s="87"/>
      <c r="N39" s="87"/>
      <c r="O39" s="87"/>
      <c r="P39" s="87"/>
      <c r="Q39" s="87"/>
      <c r="R39" s="87"/>
      <c r="S39" s="87"/>
      <c r="T39" s="87"/>
      <c r="U39" s="87"/>
      <c r="V39" s="87"/>
      <c r="AA39" s="186"/>
      <c r="AB39" s="186"/>
      <c r="AC39" s="186"/>
      <c r="AD39" s="186"/>
      <c r="AE39" s="186"/>
      <c r="AF39" s="186"/>
      <c r="AG39" s="186"/>
      <c r="AH39" s="186"/>
      <c r="AI39" s="186"/>
      <c r="AJ39" s="186"/>
    </row>
    <row r="40" spans="2:36" s="185" customFormat="1">
      <c r="B40" s="13" t="str" cm="1">
        <f t="array" ref="B40">IF(ROW()-ROW(tbl_FS_EligibilitySummary[#Headers])&lt;=ROWS(tbl_FS_Assessment[ActionID]),"Existing action","Additional action")</f>
        <v>Existing action</v>
      </c>
      <c r="C40" s="13" t="str" cm="1">
        <f t="array" ref="C40">IF(ROW()-ROW(tbl_FS_EligibilitySummary[#Headers])&lt;=ROWS(tbl_FS_Assessment[ActionID]),INDEX(tbl_FS_Assessment[ActionID],ROW()-ROW(tbl_FS_EligibilitySummary[#Headers])),INDEX(tbl_FS_AdditionalActions[AdditionalActionID],ROW()-ROW(tbl_FS_EligibilitySummary[#Headers])-ROWS(tbl_FS_Assessment[ActionID])))</f>
        <v>ipcc_0078</v>
      </c>
      <c r="D40" s="13" t="str" cm="1">
        <f t="array" ref="D40">IF(ROW()-ROW(tbl_FS_EligibilitySummary[#Headers])&lt;=ROWS(tbl_FS_Assessment[ActionID]),INDEX(tbl_FS_Assessment[ActionName],ROW()-ROW(tbl_FS_EligibilitySummary[#Headers])),INDEX(tbl_FS_AdditionalActions[ActionName],ROW()-ROW(tbl_FS_EligibilitySummary[#Headers])-ROWS(tbl_FS_Assessment[ActionID])))</f>
        <v>Implement green roofs and walls</v>
      </c>
      <c r="E40" s="13" t="str" cm="1">
        <f t="array" ref="E40">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40" s="13" t="str" cm="1">
        <f t="array" ref="F40">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40" s="13" t="str" cm="1">
        <f t="array" ref="G40">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40" s="13" t="str" cm="1">
        <f t="array" ref="H40">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40" s="13" t="str" cm="1">
        <f t="array" ref="I40">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40" s="13" t="str" cm="1">
        <f t="array" ref="J40">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40" s="13" t="str" cm="1">
        <f t="array" ref="K40">IF(ROW()-ROW(tbl_FS_EligibilitySummary[#Headers])&lt;=ROWS(tbl_FS_Assessment[ActionID]),INDEX(tbl_FS_Assessment[ReviewStatus],ROW()-ROW(tbl_FS_EligibilitySummary[#Headers])),INDEX(tbl_FS_AdditionalActions[ReviewStatus],ROW()-ROW(tbl_FS_EligibilitySummary[#Headers])-ROWS(tbl_FS_Assessment[ActionID])))</f>
        <v>Reviewed</v>
      </c>
      <c r="L40" s="87"/>
      <c r="M40" s="87"/>
      <c r="N40" s="87"/>
      <c r="O40" s="87"/>
      <c r="P40" s="87"/>
      <c r="Q40" s="87"/>
      <c r="R40" s="87"/>
      <c r="S40" s="87"/>
      <c r="T40" s="87"/>
      <c r="U40" s="87"/>
      <c r="V40" s="87"/>
      <c r="AA40" s="186"/>
      <c r="AB40" s="186"/>
      <c r="AC40" s="186"/>
      <c r="AD40" s="186"/>
      <c r="AE40" s="186"/>
      <c r="AF40" s="186"/>
      <c r="AG40" s="186"/>
      <c r="AH40" s="186"/>
      <c r="AI40" s="186"/>
      <c r="AJ40" s="186"/>
    </row>
    <row r="41" spans="2:36" s="185" customFormat="1">
      <c r="B41" s="13" t="str" cm="1">
        <f t="array" ref="B41">IF(ROW()-ROW(tbl_FS_EligibilitySummary[#Headers])&lt;=ROWS(tbl_FS_Assessment[ActionID]),"Existing action","Additional action")</f>
        <v>Existing action</v>
      </c>
      <c r="C41" s="13" t="str" cm="1">
        <f t="array" ref="C41">IF(ROW()-ROW(tbl_FS_EligibilitySummary[#Headers])&lt;=ROWS(tbl_FS_Assessment[ActionID]),INDEX(tbl_FS_Assessment[ActionID],ROW()-ROW(tbl_FS_EligibilitySummary[#Headers])),INDEX(tbl_FS_AdditionalActions[AdditionalActionID],ROW()-ROW(tbl_FS_EligibilitySummary[#Headers])-ROWS(tbl_FS_Assessment[ActionID])))</f>
        <v>ipcc_0083</v>
      </c>
      <c r="D41" s="13" t="str" cm="1">
        <f t="array" ref="D41">IF(ROW()-ROW(tbl_FS_EligibilitySummary[#Headers])&lt;=ROWS(tbl_FS_Assessment[ActionID]),INDEX(tbl_FS_Assessment[ActionName],ROW()-ROW(tbl_FS_EligibilitySummary[#Headers])),INDEX(tbl_FS_AdditionalActions[ActionName],ROW()-ROW(tbl_FS_EligibilitySummary[#Headers])-ROWS(tbl_FS_Assessment[ActionID])))</f>
        <v>Plan strategic coastal retreat for vulnerable communities</v>
      </c>
      <c r="E41" s="13" t="str" cm="1">
        <f t="array" ref="E41">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41" s="13" t="str" cm="1">
        <f t="array" ref="F41">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41" s="13" t="str" cm="1">
        <f t="array" ref="G41">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41" s="13" t="str" cm="1">
        <f t="array" ref="H41">IF(ROW()-ROW(tbl_FS_EligibilitySummary[#Headers])&lt;=ROWS(tbl_FS_Assessment[ActionID]),INDEX(tbl_FS_Assessment[Exposure Eligibility],ROW()-ROW(tbl_FS_EligibilitySummary[#Headers])),INDEX(tbl_FS_AdditionalActions[Exposure Eligibility],ROW()-ROW(tbl_FS_EligibilitySummary[#Headers])-ROWS(tbl_FS_Assessment[ActionID])))</f>
        <v>Eligible</v>
      </c>
      <c r="I41" s="13" t="str" cm="1">
        <f t="array" ref="I41">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41" s="13" t="str" cm="1">
        <f t="array" ref="J41">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
      </c>
      <c r="K41" s="13" t="str" cm="1">
        <f t="array" ref="K41">IF(ROW()-ROW(tbl_FS_EligibilitySummary[#Headers])&lt;=ROWS(tbl_FS_Assessment[ActionID]),INDEX(tbl_FS_Assessment[ReviewStatus],ROW()-ROW(tbl_FS_EligibilitySummary[#Headers])),INDEX(tbl_FS_AdditionalActions[ReviewStatus],ROW()-ROW(tbl_FS_EligibilitySummary[#Headers])-ROWS(tbl_FS_Assessment[ActionID])))</f>
        <v>Reviewed</v>
      </c>
      <c r="L41" s="87"/>
      <c r="M41" s="87"/>
      <c r="N41" s="87"/>
      <c r="O41" s="87"/>
      <c r="P41" s="87"/>
      <c r="Q41" s="87"/>
      <c r="R41" s="87"/>
      <c r="S41" s="87"/>
      <c r="T41" s="87"/>
      <c r="U41" s="87"/>
      <c r="V41" s="87"/>
      <c r="AA41" s="186"/>
      <c r="AB41" s="186"/>
      <c r="AC41" s="186"/>
      <c r="AD41" s="186"/>
      <c r="AE41" s="186"/>
      <c r="AF41" s="186"/>
      <c r="AG41" s="186"/>
      <c r="AH41" s="186"/>
      <c r="AI41" s="186"/>
      <c r="AJ41" s="186"/>
    </row>
    <row r="42" spans="2:36" s="185" customFormat="1">
      <c r="B42" s="13" t="str" cm="1">
        <f t="array" ref="B42">IF(ROW()-ROW(tbl_FS_EligibilitySummary[#Headers])&lt;=ROWS(tbl_FS_Assessment[ActionID]),"Existing action","Additional action")</f>
        <v>Existing action</v>
      </c>
      <c r="C42" s="13" t="str" cm="1">
        <f t="array" ref="C42">IF(ROW()-ROW(tbl_FS_EligibilitySummary[#Headers])&lt;=ROWS(tbl_FS_Assessment[ActionID]),INDEX(tbl_FS_Assessment[ActionID],ROW()-ROW(tbl_FS_EligibilitySummary[#Headers])),INDEX(tbl_FS_AdditionalActions[AdditionalActionID],ROW()-ROW(tbl_FS_EligibilitySummary[#Headers])-ROWS(tbl_FS_Assessment[ActionID])))</f>
        <v>ipcc_0084</v>
      </c>
      <c r="D42" s="13" t="str" cm="1">
        <f t="array" ref="D42">IF(ROW()-ROW(tbl_FS_EligibilitySummary[#Headers])&lt;=ROWS(tbl_FS_Assessment[ActionID]),INDEX(tbl_FS_Assessment[ActionName],ROW()-ROW(tbl_FS_EligibilitySummary[#Headers])),INDEX(tbl_FS_AdditionalActions[ActionName],ROW()-ROW(tbl_FS_EligibilitySummary[#Headers])-ROWS(tbl_FS_Assessment[ActionID])))</f>
        <v>Restore/create natural areas</v>
      </c>
      <c r="E42" s="13" t="str" cm="1">
        <f t="array" ref="E42">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42" s="13" t="str" cm="1">
        <f t="array" ref="F42">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42" s="13" t="str" cm="1">
        <f t="array" ref="G42">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42" s="13" t="str" cm="1">
        <f t="array" ref="H42">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42" s="13" t="str" cm="1">
        <f t="array" ref="I42">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42" s="13" t="str" cm="1">
        <f t="array" ref="J42">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42" s="13" t="str" cm="1">
        <f t="array" ref="K42">IF(ROW()-ROW(tbl_FS_EligibilitySummary[#Headers])&lt;=ROWS(tbl_FS_Assessment[ActionID]),INDEX(tbl_FS_Assessment[ReviewStatus],ROW()-ROW(tbl_FS_EligibilitySummary[#Headers])),INDEX(tbl_FS_AdditionalActions[ReviewStatus],ROW()-ROW(tbl_FS_EligibilitySummary[#Headers])-ROWS(tbl_FS_Assessment[ActionID])))</f>
        <v>Reviewed</v>
      </c>
      <c r="L42" s="87"/>
      <c r="M42" s="87"/>
      <c r="N42" s="87"/>
      <c r="O42" s="87"/>
      <c r="P42" s="87"/>
      <c r="Q42" s="87"/>
      <c r="R42" s="87"/>
      <c r="S42" s="87"/>
      <c r="T42" s="87"/>
      <c r="U42" s="87"/>
      <c r="V42" s="87"/>
      <c r="AA42" s="186"/>
      <c r="AB42" s="186"/>
      <c r="AC42" s="186"/>
      <c r="AD42" s="186"/>
      <c r="AE42" s="186"/>
      <c r="AF42" s="186"/>
      <c r="AG42" s="186"/>
      <c r="AH42" s="186"/>
      <c r="AI42" s="186"/>
      <c r="AJ42" s="186"/>
    </row>
    <row r="43" spans="2:36" s="185" customFormat="1">
      <c r="B43" s="13" t="str" cm="1">
        <f t="array" ref="B43">IF(ROW()-ROW(tbl_FS_EligibilitySummary[#Headers])&lt;=ROWS(tbl_FS_Assessment[ActionID]),"Existing action","Additional action")</f>
        <v>Existing action</v>
      </c>
      <c r="C43" s="13" t="str" cm="1">
        <f t="array" ref="C43">IF(ROW()-ROW(tbl_FS_EligibilitySummary[#Headers])&lt;=ROWS(tbl_FS_Assessment[ActionID]),INDEX(tbl_FS_Assessment[ActionID],ROW()-ROW(tbl_FS_EligibilitySummary[#Headers])),INDEX(tbl_FS_AdditionalActions[AdditionalActionID],ROW()-ROW(tbl_FS_EligibilitySummary[#Headers])-ROWS(tbl_FS_Assessment[ActionID])))</f>
        <v>ipcc_0085</v>
      </c>
      <c r="D43" s="13" t="str" cm="1">
        <f t="array" ref="D43">IF(ROW()-ROW(tbl_FS_EligibilitySummary[#Headers])&lt;=ROWS(tbl_FS_Assessment[ActionID]),INDEX(tbl_FS_Assessment[ActionName],ROW()-ROW(tbl_FS_EligibilitySummary[#Headers])),INDEX(tbl_FS_AdditionalActions[ActionName],ROW()-ROW(tbl_FS_EligibilitySummary[#Headers])-ROWS(tbl_FS_Assessment[ActionID])))</f>
        <v>Reduce pressures on ecosystems to build resilience</v>
      </c>
      <c r="E43" s="13" t="str" cm="1">
        <f t="array" ref="E43">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43" s="13" t="str" cm="1">
        <f t="array" ref="F43">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43" s="13" t="str" cm="1">
        <f t="array" ref="G43">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43" s="13" t="str" cm="1">
        <f t="array" ref="H43">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43" s="13" t="str" cm="1">
        <f t="array" ref="I43">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43" s="13" t="str" cm="1">
        <f t="array" ref="J43">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43" s="13" t="str" cm="1">
        <f t="array" ref="K43">IF(ROW()-ROW(tbl_FS_EligibilitySummary[#Headers])&lt;=ROWS(tbl_FS_Assessment[ActionID]),INDEX(tbl_FS_Assessment[ReviewStatus],ROW()-ROW(tbl_FS_EligibilitySummary[#Headers])),INDEX(tbl_FS_AdditionalActions[ReviewStatus],ROW()-ROW(tbl_FS_EligibilitySummary[#Headers])-ROWS(tbl_FS_Assessment[ActionID])))</f>
        <v>Reviewed</v>
      </c>
      <c r="L43" s="87"/>
      <c r="M43" s="87"/>
      <c r="N43" s="87"/>
      <c r="O43" s="87"/>
      <c r="P43" s="87"/>
      <c r="Q43" s="87"/>
      <c r="R43" s="87"/>
      <c r="S43" s="87"/>
      <c r="T43" s="87"/>
      <c r="U43" s="87"/>
      <c r="V43" s="87"/>
      <c r="AA43" s="186"/>
      <c r="AB43" s="186"/>
      <c r="AC43" s="186"/>
      <c r="AD43" s="186"/>
      <c r="AE43" s="186"/>
      <c r="AF43" s="186"/>
      <c r="AG43" s="186"/>
      <c r="AH43" s="186"/>
      <c r="AI43" s="186"/>
      <c r="AJ43" s="186"/>
    </row>
    <row r="44" spans="2:36" s="185" customFormat="1">
      <c r="B44" s="13" t="str" cm="1">
        <f t="array" ref="B44">IF(ROW()-ROW(tbl_FS_EligibilitySummary[#Headers])&lt;=ROWS(tbl_FS_Assessment[ActionID]),"Existing action","Additional action")</f>
        <v>Existing action</v>
      </c>
      <c r="C44" s="13" t="str" cm="1">
        <f t="array" ref="C44">IF(ROW()-ROW(tbl_FS_EligibilitySummary[#Headers])&lt;=ROWS(tbl_FS_Assessment[ActionID]),INDEX(tbl_FS_Assessment[ActionID],ROW()-ROW(tbl_FS_EligibilitySummary[#Headers])),INDEX(tbl_FS_AdditionalActions[AdditionalActionID],ROW()-ROW(tbl_FS_EligibilitySummary[#Headers])-ROWS(tbl_FS_Assessment[ActionID])))</f>
        <v>ipcc_0086</v>
      </c>
      <c r="D44" s="13" t="str" cm="1">
        <f t="array" ref="D44">IF(ROW()-ROW(tbl_FS_EligibilitySummary[#Headers])&lt;=ROWS(tbl_FS_Assessment[ActionID]),INDEX(tbl_FS_Assessment[ActionName],ROW()-ROW(tbl_FS_EligibilitySummary[#Headers])),INDEX(tbl_FS_AdditionalActions[ActionName],ROW()-ROW(tbl_FS_EligibilitySummary[#Headers])-ROWS(tbl_FS_Assessment[ActionID])))</f>
        <v>Implement ecosystem‑based adaptation measures</v>
      </c>
      <c r="E44" s="13" t="str" cm="1">
        <f t="array" ref="E44">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44" s="13" cm="1">
        <f t="array" ref="F44">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5</v>
      </c>
      <c r="G44" s="13" t="str" cm="1">
        <f t="array" ref="G44">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Medium effectiveness</v>
      </c>
      <c r="H44" s="13" t="str" cm="1">
        <f t="array" ref="H44">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44" s="13" t="str" cm="1">
        <f t="array" ref="I44">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44" s="13" t="str" cm="1">
        <f t="array" ref="J44">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44" s="13" t="str" cm="1">
        <f t="array" ref="K44">IF(ROW()-ROW(tbl_FS_EligibilitySummary[#Headers])&lt;=ROWS(tbl_FS_Assessment[ActionID]),INDEX(tbl_FS_Assessment[ReviewStatus],ROW()-ROW(tbl_FS_EligibilitySummary[#Headers])),INDEX(tbl_FS_AdditionalActions[ReviewStatus],ROW()-ROW(tbl_FS_EligibilitySummary[#Headers])-ROWS(tbl_FS_Assessment[ActionID])))</f>
        <v>Reviewed</v>
      </c>
      <c r="L44" s="87"/>
      <c r="M44" s="87"/>
      <c r="N44" s="87"/>
      <c r="O44" s="87"/>
      <c r="P44" s="87"/>
      <c r="Q44" s="87"/>
      <c r="R44" s="87"/>
      <c r="S44" s="87"/>
      <c r="T44" s="87"/>
      <c r="U44" s="87"/>
      <c r="V44" s="87"/>
      <c r="AA44" s="186"/>
      <c r="AB44" s="186"/>
      <c r="AC44" s="186"/>
      <c r="AD44" s="186"/>
      <c r="AE44" s="186"/>
      <c r="AF44" s="186"/>
      <c r="AG44" s="186"/>
      <c r="AH44" s="186"/>
      <c r="AI44" s="186"/>
      <c r="AJ44" s="186"/>
    </row>
    <row r="45" spans="2:36" s="185" customFormat="1">
      <c r="B45" s="13" t="str" cm="1">
        <f t="array" ref="B45">IF(ROW()-ROW(tbl_FS_EligibilitySummary[#Headers])&lt;=ROWS(tbl_FS_Assessment[ActionID]),"Existing action","Additional action")</f>
        <v>Existing action</v>
      </c>
      <c r="C45" s="13" t="str" cm="1">
        <f t="array" ref="C45">IF(ROW()-ROW(tbl_FS_EligibilitySummary[#Headers])&lt;=ROWS(tbl_FS_Assessment[ActionID]),INDEX(tbl_FS_Assessment[ActionID],ROW()-ROW(tbl_FS_EligibilitySummary[#Headers])),INDEX(tbl_FS_AdditionalActions[AdditionalActionID],ROW()-ROW(tbl_FS_EligibilitySummary[#Headers])-ROWS(tbl_FS_Assessment[ActionID])))</f>
        <v>ipcc_0087</v>
      </c>
      <c r="D45" s="13" t="str" cm="1">
        <f t="array" ref="D45">IF(ROW()-ROW(tbl_FS_EligibilitySummary[#Headers])&lt;=ROWS(tbl_FS_Assessment[ActionID]),INDEX(tbl_FS_Assessment[ActionName],ROW()-ROW(tbl_FS_EligibilitySummary[#Headers])),INDEX(tbl_FS_AdditionalActions[ActionName],ROW()-ROW(tbl_FS_EligibilitySummary[#Headers])-ROWS(tbl_FS_Assessment[ActionID])))</f>
        <v>Improve Infrastructure retrofitting</v>
      </c>
      <c r="E45" s="13" t="str" cm="1">
        <f t="array" ref="E45">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45" s="13" t="str" cm="1">
        <f t="array" ref="F45">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45" s="13" t="str" cm="1">
        <f t="array" ref="G45">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45" s="13" t="str" cm="1">
        <f t="array" ref="H45">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45" s="13" t="str" cm="1">
        <f t="array" ref="I45">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45" s="13" t="str" cm="1">
        <f t="array" ref="J45">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45" s="13" t="str" cm="1">
        <f t="array" ref="K45">IF(ROW()-ROW(tbl_FS_EligibilitySummary[#Headers])&lt;=ROWS(tbl_FS_Assessment[ActionID]),INDEX(tbl_FS_Assessment[ReviewStatus],ROW()-ROW(tbl_FS_EligibilitySummary[#Headers])),INDEX(tbl_FS_AdditionalActions[ReviewStatus],ROW()-ROW(tbl_FS_EligibilitySummary[#Headers])-ROWS(tbl_FS_Assessment[ActionID])))</f>
        <v>Reviewed</v>
      </c>
      <c r="L45" s="87"/>
      <c r="M45" s="87"/>
      <c r="N45" s="87"/>
      <c r="O45" s="87"/>
      <c r="P45" s="87"/>
      <c r="Q45" s="87"/>
      <c r="R45" s="87"/>
      <c r="S45" s="87"/>
      <c r="T45" s="87"/>
      <c r="U45" s="87"/>
      <c r="V45" s="87"/>
      <c r="AA45" s="186"/>
      <c r="AB45" s="186"/>
      <c r="AC45" s="186"/>
      <c r="AD45" s="186"/>
      <c r="AE45" s="186"/>
      <c r="AF45" s="186"/>
      <c r="AG45" s="186"/>
      <c r="AH45" s="186"/>
      <c r="AI45" s="186"/>
      <c r="AJ45" s="186"/>
    </row>
    <row r="46" spans="2:36" s="185" customFormat="1">
      <c r="B46" s="13" t="str" cm="1">
        <f t="array" ref="B46">IF(ROW()-ROW(tbl_FS_EligibilitySummary[#Headers])&lt;=ROWS(tbl_FS_Assessment[ActionID]),"Existing action","Additional action")</f>
        <v>Existing action</v>
      </c>
      <c r="C46" s="13" t="str" cm="1">
        <f t="array" ref="C46">IF(ROW()-ROW(tbl_FS_EligibilitySummary[#Headers])&lt;=ROWS(tbl_FS_Assessment[ActionID]),INDEX(tbl_FS_Assessment[ActionID],ROW()-ROW(tbl_FS_EligibilitySummary[#Headers])),INDEX(tbl_FS_AdditionalActions[AdditionalActionID],ROW()-ROW(tbl_FS_EligibilitySummary[#Headers])-ROWS(tbl_FS_Assessment[ActionID])))</f>
        <v>ipcc_0088</v>
      </c>
      <c r="D46" s="13" t="str" cm="1">
        <f t="array" ref="D46">IF(ROW()-ROW(tbl_FS_EligibilitySummary[#Headers])&lt;=ROWS(tbl_FS_Assessment[ActionID]),INDEX(tbl_FS_Assessment[ActionName],ROW()-ROW(tbl_FS_EligibilitySummary[#Headers])),INDEX(tbl_FS_AdditionalActions[ActionName],ROW()-ROW(tbl_FS_EligibilitySummary[#Headers])-ROWS(tbl_FS_Assessment[ActionID])))</f>
        <v>Update and enforce climate‑resilient building codes</v>
      </c>
      <c r="E46" s="13" t="str" cm="1">
        <f t="array" ref="E46">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46" s="13" t="str" cm="1">
        <f t="array" ref="F46">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46" s="13" t="str" cm="1">
        <f t="array" ref="G46">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46" s="13" t="str" cm="1">
        <f t="array" ref="H46">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46" s="13" t="str" cm="1">
        <f t="array" ref="I46">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46" s="13" t="str" cm="1">
        <f t="array" ref="J46">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46" s="13" t="str" cm="1">
        <f t="array" ref="K46">IF(ROW()-ROW(tbl_FS_EligibilitySummary[#Headers])&lt;=ROWS(tbl_FS_Assessment[ActionID]),INDEX(tbl_FS_Assessment[ReviewStatus],ROW()-ROW(tbl_FS_EligibilitySummary[#Headers])),INDEX(tbl_FS_AdditionalActions[ReviewStatus],ROW()-ROW(tbl_FS_EligibilitySummary[#Headers])-ROWS(tbl_FS_Assessment[ActionID])))</f>
        <v>Reviewed</v>
      </c>
      <c r="L46" s="87"/>
      <c r="M46" s="87"/>
      <c r="N46" s="87"/>
      <c r="O46" s="87"/>
      <c r="P46" s="87"/>
      <c r="Q46" s="87"/>
      <c r="R46" s="87"/>
      <c r="S46" s="87"/>
      <c r="T46" s="87"/>
      <c r="U46" s="87"/>
      <c r="V46" s="87"/>
      <c r="AA46" s="186"/>
      <c r="AB46" s="186"/>
      <c r="AC46" s="186"/>
      <c r="AD46" s="186"/>
      <c r="AE46" s="186"/>
      <c r="AF46" s="186"/>
      <c r="AG46" s="186"/>
      <c r="AH46" s="186"/>
      <c r="AI46" s="186"/>
      <c r="AJ46" s="186"/>
    </row>
    <row r="47" spans="2:36" s="185" customFormat="1">
      <c r="B47" s="13" t="str" cm="1">
        <f t="array" ref="B47">IF(ROW()-ROW(tbl_FS_EligibilitySummary[#Headers])&lt;=ROWS(tbl_FS_Assessment[ActionID]),"Existing action","Additional action")</f>
        <v>Existing action</v>
      </c>
      <c r="C47" s="13" t="str" cm="1">
        <f t="array" ref="C47">IF(ROW()-ROW(tbl_FS_EligibilitySummary[#Headers])&lt;=ROWS(tbl_FS_Assessment[ActionID]),INDEX(tbl_FS_Assessment[ActionID],ROW()-ROW(tbl_FS_EligibilitySummary[#Headers])),INDEX(tbl_FS_AdditionalActions[AdditionalActionID],ROW()-ROW(tbl_FS_EligibilitySummary[#Headers])-ROWS(tbl_FS_Assessment[ActionID])))</f>
        <v>ipcc_0089</v>
      </c>
      <c r="D47" s="13" t="str" cm="1">
        <f t="array" ref="D47">IF(ROW()-ROW(tbl_FS_EligibilitySummary[#Headers])&lt;=ROWS(tbl_FS_Assessment[ActionID]),INDEX(tbl_FS_Assessment[ActionName],ROW()-ROW(tbl_FS_EligibilitySummary[#Headers])),INDEX(tbl_FS_AdditionalActions[ActionName],ROW()-ROW(tbl_FS_EligibilitySummary[#Headers])-ROWS(tbl_FS_Assessment[ActionID])))</f>
        <v>Spatially redirect development</v>
      </c>
      <c r="E47" s="13" t="str" cm="1">
        <f t="array" ref="E47">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47" s="13" t="str" cm="1">
        <f t="array" ref="F47">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47" s="13" t="str" cm="1">
        <f t="array" ref="G47">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47" s="13" t="str" cm="1">
        <f t="array" ref="H47">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47" s="13" t="str" cm="1">
        <f t="array" ref="I47">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47" s="13" t="str" cm="1">
        <f t="array" ref="J47">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47" s="13" t="str" cm="1">
        <f t="array" ref="K47">IF(ROW()-ROW(tbl_FS_EligibilitySummary[#Headers])&lt;=ROWS(tbl_FS_Assessment[ActionID]),INDEX(tbl_FS_Assessment[ReviewStatus],ROW()-ROW(tbl_FS_EligibilitySummary[#Headers])),INDEX(tbl_FS_AdditionalActions[ReviewStatus],ROW()-ROW(tbl_FS_EligibilitySummary[#Headers])-ROWS(tbl_FS_Assessment[ActionID])))</f>
        <v>Reviewed</v>
      </c>
      <c r="L47" s="87"/>
      <c r="M47" s="87"/>
      <c r="N47" s="87"/>
      <c r="O47" s="87"/>
      <c r="P47" s="87"/>
      <c r="Q47" s="87"/>
      <c r="R47" s="87"/>
      <c r="S47" s="87"/>
      <c r="T47" s="87"/>
      <c r="U47" s="87"/>
      <c r="V47" s="87"/>
      <c r="AA47" s="186"/>
      <c r="AB47" s="186"/>
      <c r="AC47" s="186"/>
      <c r="AD47" s="186"/>
      <c r="AE47" s="186"/>
      <c r="AF47" s="186"/>
      <c r="AG47" s="186"/>
      <c r="AH47" s="186"/>
      <c r="AI47" s="186"/>
      <c r="AJ47" s="186"/>
    </row>
    <row r="48" spans="2:36" s="185" customFormat="1">
      <c r="B48" s="13" t="str" cm="1">
        <f t="array" ref="B48">IF(ROW()-ROW(tbl_FS_EligibilitySummary[#Headers])&lt;=ROWS(tbl_FS_Assessment[ActionID]),"Existing action","Additional action")</f>
        <v>Existing action</v>
      </c>
      <c r="C48" s="13" t="str" cm="1">
        <f t="array" ref="C48">IF(ROW()-ROW(tbl_FS_EligibilitySummary[#Headers])&lt;=ROWS(tbl_FS_Assessment[ActionID]),INDEX(tbl_FS_Assessment[ActionID],ROW()-ROW(tbl_FS_EligibilitySummary[#Headers])),INDEX(tbl_FS_AdditionalActions[AdditionalActionID],ROW()-ROW(tbl_FS_EligibilitySummary[#Headers])-ROWS(tbl_FS_Assessment[ActionID])))</f>
        <v>ipcc_0090</v>
      </c>
      <c r="D48" s="13" t="str" cm="1">
        <f t="array" ref="D48">IF(ROW()-ROW(tbl_FS_EligibilitySummary[#Headers])&lt;=ROWS(tbl_FS_Assessment[ActionID]),INDEX(tbl_FS_Assessment[ActionName],ROW()-ROW(tbl_FS_EligibilitySummary[#Headers])),INDEX(tbl_FS_AdditionalActions[ActionName],ROW()-ROW(tbl_FS_EligibilitySummary[#Headers])-ROWS(tbl_FS_Assessment[ActionID])))</f>
        <v>Expand climate risk insurance coverage</v>
      </c>
      <c r="E48" s="13" t="str" cm="1">
        <f t="array" ref="E48">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48" s="13" cm="1">
        <f t="array" ref="F48">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2</v>
      </c>
      <c r="G48" s="13" t="str" cm="1">
        <f t="array" ref="G48">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High effectiveness</v>
      </c>
      <c r="H48" s="13" t="str" cm="1">
        <f t="array" ref="H48">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48" s="13" t="str" cm="1">
        <f t="array" ref="I48">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48" s="13" t="str" cm="1">
        <f t="array" ref="J48">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48" s="13" t="str" cm="1">
        <f t="array" ref="K48">IF(ROW()-ROW(tbl_FS_EligibilitySummary[#Headers])&lt;=ROWS(tbl_FS_Assessment[ActionID]),INDEX(tbl_FS_Assessment[ReviewStatus],ROW()-ROW(tbl_FS_EligibilitySummary[#Headers])),INDEX(tbl_FS_AdditionalActions[ReviewStatus],ROW()-ROW(tbl_FS_EligibilitySummary[#Headers])-ROWS(tbl_FS_Assessment[ActionID])))</f>
        <v>Reviewed</v>
      </c>
      <c r="L48" s="87"/>
      <c r="M48" s="87"/>
      <c r="N48" s="87"/>
      <c r="O48" s="87"/>
      <c r="P48" s="87"/>
      <c r="Q48" s="87"/>
      <c r="R48" s="87"/>
      <c r="S48" s="87"/>
      <c r="T48" s="87"/>
      <c r="U48" s="87"/>
      <c r="V48" s="87"/>
      <c r="AA48" s="186"/>
      <c r="AB48" s="186"/>
      <c r="AC48" s="186"/>
      <c r="AD48" s="186"/>
      <c r="AE48" s="186"/>
      <c r="AF48" s="186"/>
      <c r="AG48" s="186"/>
      <c r="AH48" s="186"/>
      <c r="AI48" s="186"/>
      <c r="AJ48" s="186"/>
    </row>
    <row r="49" spans="1:36" s="185" customFormat="1">
      <c r="B49" s="13" t="str" cm="1">
        <f t="array" ref="B49">IF(ROW()-ROW(tbl_FS_EligibilitySummary[#Headers])&lt;=ROWS(tbl_FS_Assessment[ActionID]),"Existing action","Additional action")</f>
        <v>Existing action</v>
      </c>
      <c r="C49" s="13" t="str" cm="1">
        <f t="array" ref="C49">IF(ROW()-ROW(tbl_FS_EligibilitySummary[#Headers])&lt;=ROWS(tbl_FS_Assessment[ActionID]),INDEX(tbl_FS_Assessment[ActionID],ROW()-ROW(tbl_FS_EligibilitySummary[#Headers])),INDEX(tbl_FS_AdditionalActions[AdditionalActionID],ROW()-ROW(tbl_FS_EligibilitySummary[#Headers])-ROWS(tbl_FS_Assessment[ActionID])))</f>
        <v>ipcc_0091</v>
      </c>
      <c r="D49" s="13" t="str" cm="1">
        <f t="array" ref="D49">IF(ROW()-ROW(tbl_FS_EligibilitySummary[#Headers])&lt;=ROWS(tbl_FS_Assessment[ActionID]),INDEX(tbl_FS_Assessment[ActionName],ROW()-ROW(tbl_FS_EligibilitySummary[#Headers])),INDEX(tbl_FS_AdditionalActions[ActionName],ROW()-ROW(tbl_FS_EligibilitySummary[#Headers])-ROWS(tbl_FS_Assessment[ActionID])))</f>
        <v>Support livelihood diversification for climate resilience</v>
      </c>
      <c r="E49" s="13" t="str" cm="1">
        <f t="array" ref="E49">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49" s="13" t="str" cm="1">
        <f t="array" ref="F49">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49" s="13" t="str" cm="1">
        <f t="array" ref="G49">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49" s="13" t="str" cm="1">
        <f t="array" ref="H49">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49" s="13" t="str" cm="1">
        <f t="array" ref="I49">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49" s="13" t="str" cm="1">
        <f t="array" ref="J49">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49" s="13" t="str" cm="1">
        <f t="array" ref="K49">IF(ROW()-ROW(tbl_FS_EligibilitySummary[#Headers])&lt;=ROWS(tbl_FS_Assessment[ActionID]),INDEX(tbl_FS_Assessment[ReviewStatus],ROW()-ROW(tbl_FS_EligibilitySummary[#Headers])),INDEX(tbl_FS_AdditionalActions[ReviewStatus],ROW()-ROW(tbl_FS_EligibilitySummary[#Headers])-ROWS(tbl_FS_Assessment[ActionID])))</f>
        <v>Reviewed</v>
      </c>
      <c r="L49" s="87"/>
      <c r="M49" s="87"/>
      <c r="N49" s="87"/>
      <c r="O49" s="87"/>
      <c r="P49" s="87"/>
      <c r="Q49" s="87"/>
      <c r="R49" s="87"/>
      <c r="S49" s="87"/>
      <c r="T49" s="87"/>
      <c r="U49" s="87"/>
      <c r="V49" s="87"/>
      <c r="AA49" s="186"/>
      <c r="AB49" s="186"/>
      <c r="AC49" s="186"/>
      <c r="AD49" s="186"/>
      <c r="AE49" s="186"/>
      <c r="AF49" s="186"/>
      <c r="AG49" s="186"/>
      <c r="AH49" s="186"/>
      <c r="AI49" s="186"/>
      <c r="AJ49" s="186"/>
    </row>
    <row r="50" spans="1:36" s="185" customFormat="1">
      <c r="B50" s="13" t="str" cm="1">
        <f t="array" ref="B50">IF(ROW()-ROW(tbl_FS_EligibilitySummary[#Headers])&lt;=ROWS(tbl_FS_Assessment[ActionID]),"Existing action","Additional action")</f>
        <v>Existing action</v>
      </c>
      <c r="C50" s="13" t="str" cm="1">
        <f t="array" ref="C50">IF(ROW()-ROW(tbl_FS_EligibilitySummary[#Headers])&lt;=ROWS(tbl_FS_Assessment[ActionID]),INDEX(tbl_FS_Assessment[ActionID],ROW()-ROW(tbl_FS_EligibilitySummary[#Headers])),INDEX(tbl_FS_AdditionalActions[AdditionalActionID],ROW()-ROW(tbl_FS_EligibilitySummary[#Headers])-ROWS(tbl_FS_Assessment[ActionID])))</f>
        <v>ipcc_0092</v>
      </c>
      <c r="D50" s="13" t="str" cm="1">
        <f t="array" ref="D50">IF(ROW()-ROW(tbl_FS_EligibilitySummary[#Headers])&lt;=ROWS(tbl_FS_Assessment[ActionID]),INDEX(tbl_FS_Assessment[ActionName],ROW()-ROW(tbl_FS_EligibilitySummary[#Headers])),INDEX(tbl_FS_AdditionalActions[ActionName],ROW()-ROW(tbl_FS_EligibilitySummary[#Headers])-ROWS(tbl_FS_Assessment[ActionID])))</f>
        <v>Expand climate‑responsive social safety nets</v>
      </c>
      <c r="E50" s="13" t="str" cm="1">
        <f t="array" ref="E50">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50" s="13" cm="1">
        <f t="array" ref="F50">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1</v>
      </c>
      <c r="G50" s="13" t="str" cm="1">
        <f t="array" ref="G50">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No demonstrated effectiveness</v>
      </c>
      <c r="H50" s="13" t="str" cm="1">
        <f t="array" ref="H50">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50" s="13" t="str" cm="1">
        <f t="array" ref="I50">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50" s="13" t="str" cm="1">
        <f t="array" ref="J50">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50" s="13" t="str" cm="1">
        <f t="array" ref="K50">IF(ROW()-ROW(tbl_FS_EligibilitySummary[#Headers])&lt;=ROWS(tbl_FS_Assessment[ActionID]),INDEX(tbl_FS_Assessment[ReviewStatus],ROW()-ROW(tbl_FS_EligibilitySummary[#Headers])),INDEX(tbl_FS_AdditionalActions[ReviewStatus],ROW()-ROW(tbl_FS_EligibilitySummary[#Headers])-ROWS(tbl_FS_Assessment[ActionID])))</f>
        <v>Reviewed</v>
      </c>
      <c r="L50" s="87"/>
      <c r="M50" s="87"/>
      <c r="N50" s="87"/>
      <c r="O50" s="87"/>
      <c r="P50" s="87"/>
      <c r="Q50" s="87"/>
      <c r="R50" s="87"/>
      <c r="S50" s="87"/>
      <c r="T50" s="87"/>
      <c r="U50" s="87"/>
      <c r="V50" s="87"/>
      <c r="AA50" s="186"/>
      <c r="AB50" s="186"/>
      <c r="AC50" s="186"/>
      <c r="AD50" s="186"/>
      <c r="AE50" s="186"/>
      <c r="AF50" s="186"/>
      <c r="AG50" s="186"/>
      <c r="AH50" s="186"/>
      <c r="AI50" s="186"/>
      <c r="AJ50" s="186"/>
    </row>
    <row r="51" spans="1:36" s="185" customFormat="1">
      <c r="B51" s="13" t="str" cm="1">
        <f t="array" ref="B51">IF(ROW()-ROW(tbl_FS_EligibilitySummary[#Headers])&lt;=ROWS(tbl_FS_Assessment[ActionID]),"Existing action","Additional action")</f>
        <v>Existing action</v>
      </c>
      <c r="C51" s="13" t="str" cm="1">
        <f t="array" ref="C51">IF(ROW()-ROW(tbl_FS_EligibilitySummary[#Headers])&lt;=ROWS(tbl_FS_Assessment[ActionID]),INDEX(tbl_FS_Assessment[ActionID],ROW()-ROW(tbl_FS_EligibilitySummary[#Headers])),INDEX(tbl_FS_AdditionalActions[AdditionalActionID],ROW()-ROW(tbl_FS_EligibilitySummary[#Headers])-ROWS(tbl_FS_Assessment[ActionID])))</f>
        <v>ipcc_0094</v>
      </c>
      <c r="D51" s="13" t="str" cm="1">
        <f t="array" ref="D51">IF(ROW()-ROW(tbl_FS_EligibilitySummary[#Headers])&lt;=ROWS(tbl_FS_Assessment[ActionID]),INDEX(tbl_FS_Assessment[ActionName],ROW()-ROW(tbl_FS_EligibilitySummary[#Headers])),INDEX(tbl_FS_AdditionalActions[ActionName],ROW()-ROW(tbl_FS_EligibilitySummary[#Headers])-ROWS(tbl_FS_Assessment[ActionID])))</f>
        <v>Strengthen climate‑resilient health services</v>
      </c>
      <c r="E51" s="13" t="str" cm="1">
        <f t="array" ref="E51">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51" s="13" t="str" cm="1">
        <f t="array" ref="F51">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51" s="13" t="str" cm="1">
        <f t="array" ref="G51">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51" s="13" t="str" cm="1">
        <f t="array" ref="H51">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51" s="13" t="str" cm="1">
        <f t="array" ref="I51">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51" s="13" t="str" cm="1">
        <f t="array" ref="J51">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51" s="13" t="str" cm="1">
        <f t="array" ref="K51">IF(ROW()-ROW(tbl_FS_EligibilitySummary[#Headers])&lt;=ROWS(tbl_FS_Assessment[ActionID]),INDEX(tbl_FS_Assessment[ReviewStatus],ROW()-ROW(tbl_FS_EligibilitySummary[#Headers])),INDEX(tbl_FS_AdditionalActions[ReviewStatus],ROW()-ROW(tbl_FS_EligibilitySummary[#Headers])-ROWS(tbl_FS_Assessment[ActionID])))</f>
        <v>Reviewed</v>
      </c>
      <c r="L51" s="87"/>
      <c r="M51" s="87"/>
      <c r="N51" s="87"/>
      <c r="O51" s="87"/>
      <c r="P51" s="87"/>
      <c r="Q51" s="87"/>
      <c r="R51" s="87"/>
      <c r="S51" s="87"/>
      <c r="T51" s="87"/>
      <c r="U51" s="87"/>
      <c r="V51" s="87"/>
      <c r="AA51" s="186"/>
      <c r="AB51" s="186"/>
      <c r="AC51" s="186"/>
      <c r="AD51" s="186"/>
      <c r="AE51" s="186"/>
      <c r="AF51" s="186"/>
      <c r="AG51" s="186"/>
      <c r="AH51" s="186"/>
      <c r="AI51" s="186"/>
      <c r="AJ51" s="186"/>
    </row>
    <row r="52" spans="1:36" s="185" customFormat="1">
      <c r="B52" s="13" t="str" cm="1">
        <f t="array" ref="B52">IF(ROW()-ROW(tbl_FS_EligibilitySummary[#Headers])&lt;=ROWS(tbl_FS_Assessment[ActionID]),"Existing action","Additional action")</f>
        <v>Existing action</v>
      </c>
      <c r="C52" s="13" t="str" cm="1">
        <f t="array" ref="C52">IF(ROW()-ROW(tbl_FS_EligibilitySummary[#Headers])&lt;=ROWS(tbl_FS_Assessment[ActionID]),INDEX(tbl_FS_Assessment[ActionID],ROW()-ROW(tbl_FS_EligibilitySummary[#Headers])),INDEX(tbl_FS_AdditionalActions[AdditionalActionID],ROW()-ROW(tbl_FS_EligibilitySummary[#Headers])-ROWS(tbl_FS_Assessment[ActionID])))</f>
        <v>ipcc_0096</v>
      </c>
      <c r="D52" s="13" t="str" cm="1">
        <f t="array" ref="D52">IF(ROW()-ROW(tbl_FS_EligibilitySummary[#Headers])&lt;=ROWS(tbl_FS_Assessment[ActionID]),INDEX(tbl_FS_Assessment[ActionName],ROW()-ROW(tbl_FS_EligibilitySummary[#Headers])),INDEX(tbl_FS_AdditionalActions[ActionName],ROW()-ROW(tbl_FS_EligibilitySummary[#Headers])-ROWS(tbl_FS_Assessment[ActionID])))</f>
        <v>Strengthen climate resilience in farming and fisheries</v>
      </c>
      <c r="E52" s="13" t="str" cm="1">
        <f t="array" ref="E52">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52" s="13" cm="1">
        <f t="array" ref="F52">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11</v>
      </c>
      <c r="G52" s="13" t="str" cm="1">
        <f t="array" ref="G52">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Medium effectiveness</v>
      </c>
      <c r="H52" s="13" t="str" cm="1">
        <f t="array" ref="H52">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52" s="13" t="str" cm="1">
        <f t="array" ref="I52">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52" s="13" t="str" cm="1">
        <f t="array" ref="J52">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52" s="13" t="str" cm="1">
        <f t="array" ref="K52">IF(ROW()-ROW(tbl_FS_EligibilitySummary[#Headers])&lt;=ROWS(tbl_FS_Assessment[ActionID]),INDEX(tbl_FS_Assessment[ReviewStatus],ROW()-ROW(tbl_FS_EligibilitySummary[#Headers])),INDEX(tbl_FS_AdditionalActions[ReviewStatus],ROW()-ROW(tbl_FS_EligibilitySummary[#Headers])-ROWS(tbl_FS_Assessment[ActionID])))</f>
        <v>Reviewed</v>
      </c>
      <c r="L52" s="87"/>
      <c r="M52" s="87"/>
      <c r="N52" s="87"/>
      <c r="O52" s="87"/>
      <c r="P52" s="87"/>
      <c r="Q52" s="87"/>
      <c r="R52" s="87"/>
      <c r="S52" s="87"/>
      <c r="T52" s="87"/>
      <c r="U52" s="87"/>
      <c r="V52" s="87"/>
      <c r="AA52" s="186"/>
      <c r="AB52" s="186"/>
      <c r="AC52" s="186"/>
      <c r="AD52" s="186"/>
      <c r="AE52" s="186"/>
      <c r="AF52" s="186"/>
      <c r="AG52" s="186"/>
      <c r="AH52" s="186"/>
      <c r="AI52" s="186"/>
      <c r="AJ52" s="186"/>
    </row>
    <row r="53" spans="1:36" s="185" customFormat="1">
      <c r="B53" s="13" t="str" cm="1">
        <f t="array" ref="B53">IF(ROW()-ROW(tbl_FS_EligibilitySummary[#Headers])&lt;=ROWS(tbl_FS_Assessment[ActionID]),"Existing action","Additional action")</f>
        <v>Existing action</v>
      </c>
      <c r="C53" s="13" t="str" cm="1">
        <f t="array" ref="C53">IF(ROW()-ROW(tbl_FS_EligibilitySummary[#Headers])&lt;=ROWS(tbl_FS_Assessment[ActionID]),INDEX(tbl_FS_Assessment[ActionID],ROW()-ROW(tbl_FS_EligibilitySummary[#Headers])),INDEX(tbl_FS_AdditionalActions[AdditionalActionID],ROW()-ROW(tbl_FS_EligibilitySummary[#Headers])-ROWS(tbl_FS_Assessment[ActionID])))</f>
        <v>ipcc_0097</v>
      </c>
      <c r="D53" s="13" t="str" cm="1">
        <f t="array" ref="D53">IF(ROW()-ROW(tbl_FS_EligibilitySummary[#Headers])&lt;=ROWS(tbl_FS_Assessment[ActionID]),INDEX(tbl_FS_Assessment[ActionName],ROW()-ROW(tbl_FS_EligibilitySummary[#Headers])),INDEX(tbl_FS_AdditionalActions[ActionName],ROW()-ROW(tbl_FS_EligibilitySummary[#Headers])-ROWS(tbl_FS_Assessment[ActionID])))</f>
        <v>Upgrade food storage and distribution for climate resilience</v>
      </c>
      <c r="E53" s="13" t="str" cm="1">
        <f t="array" ref="E53">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53" s="13" cm="1">
        <f t="array" ref="F53">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2</v>
      </c>
      <c r="G53" s="13" t="str" cm="1">
        <f t="array" ref="G53">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No demonstrated effectiveness</v>
      </c>
      <c r="H53" s="13" t="str" cm="1">
        <f t="array" ref="H53">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53" s="13" t="str" cm="1">
        <f t="array" ref="I53">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53" s="13" t="str" cm="1">
        <f t="array" ref="J53">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53" s="13" t="str" cm="1">
        <f t="array" ref="K53">IF(ROW()-ROW(tbl_FS_EligibilitySummary[#Headers])&lt;=ROWS(tbl_FS_Assessment[ActionID]),INDEX(tbl_FS_Assessment[ReviewStatus],ROW()-ROW(tbl_FS_EligibilitySummary[#Headers])),INDEX(tbl_FS_AdditionalActions[ReviewStatus],ROW()-ROW(tbl_FS_EligibilitySummary[#Headers])-ROWS(tbl_FS_Assessment[ActionID])))</f>
        <v>Reviewed</v>
      </c>
      <c r="L53" s="87"/>
      <c r="M53" s="87"/>
      <c r="N53" s="87"/>
      <c r="O53" s="87"/>
      <c r="P53" s="87"/>
      <c r="Q53" s="87"/>
      <c r="R53" s="87"/>
      <c r="S53" s="87"/>
      <c r="T53" s="87"/>
      <c r="U53" s="87"/>
      <c r="V53" s="87"/>
      <c r="AA53" s="186"/>
      <c r="AB53" s="186"/>
      <c r="AC53" s="186"/>
      <c r="AD53" s="186"/>
      <c r="AE53" s="186"/>
      <c r="AF53" s="186"/>
      <c r="AG53" s="186"/>
      <c r="AH53" s="186"/>
      <c r="AI53" s="186"/>
      <c r="AJ53" s="186"/>
    </row>
    <row r="54" spans="1:36" s="185" customFormat="1">
      <c r="B54" s="13" t="str" cm="1">
        <f t="array" ref="B54">IF(ROW()-ROW(tbl_FS_EligibilitySummary[#Headers])&lt;=ROWS(tbl_FS_Assessment[ActionID]),"Existing action","Additional action")</f>
        <v>Existing action</v>
      </c>
      <c r="C54" s="13" t="str" cm="1">
        <f t="array" ref="C54">IF(ROW()-ROW(tbl_FS_EligibilitySummary[#Headers])&lt;=ROWS(tbl_FS_Assessment[ActionID]),INDEX(tbl_FS_Assessment[ActionID],ROW()-ROW(tbl_FS_EligibilitySummary[#Headers])),INDEX(tbl_FS_AdditionalActions[AdditionalActionID],ROW()-ROW(tbl_FS_EligibilitySummary[#Headers])-ROWS(tbl_FS_Assessment[ActionID])))</f>
        <v>ipcc_0098</v>
      </c>
      <c r="D54" s="13" t="str" cm="1">
        <f t="array" ref="D54">IF(ROW()-ROW(tbl_FS_EligibilitySummary[#Headers])&lt;=ROWS(tbl_FS_Assessment[ActionID]),INDEX(tbl_FS_Assessment[ActionName],ROW()-ROW(tbl_FS_EligibilitySummary[#Headers])),INDEX(tbl_FS_AdditionalActions[ActionName],ROW()-ROW(tbl_FS_EligibilitySummary[#Headers])-ROWS(tbl_FS_Assessment[ActionID])))</f>
        <v>Increase resilience by improving access to food, improving livelihoods and promoting dietary shifts and food waste reduction</v>
      </c>
      <c r="E54" s="13" t="str" cm="1">
        <f t="array" ref="E54">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54" s="13" cm="1">
        <f t="array" ref="F54">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1</v>
      </c>
      <c r="G54" s="13" t="str" cm="1">
        <f t="array" ref="G54">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No demonstrated effectiveness</v>
      </c>
      <c r="H54" s="13" t="str" cm="1">
        <f t="array" ref="H54">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54" s="13" t="str" cm="1">
        <f t="array" ref="I54">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54" s="13" t="str" cm="1">
        <f t="array" ref="J54">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54" s="13" t="str" cm="1">
        <f t="array" ref="K54">IF(ROW()-ROW(tbl_FS_EligibilitySummary[#Headers])&lt;=ROWS(tbl_FS_Assessment[ActionID]),INDEX(tbl_FS_Assessment[ReviewStatus],ROW()-ROW(tbl_FS_EligibilitySummary[#Headers])),INDEX(tbl_FS_AdditionalActions[ReviewStatus],ROW()-ROW(tbl_FS_EligibilitySummary[#Headers])-ROWS(tbl_FS_Assessment[ActionID])))</f>
        <v>Reviewed</v>
      </c>
      <c r="L54" s="87"/>
      <c r="M54" s="87"/>
      <c r="N54" s="87"/>
      <c r="O54" s="87"/>
      <c r="P54" s="87"/>
      <c r="Q54" s="87"/>
      <c r="R54" s="87"/>
      <c r="S54" s="87"/>
      <c r="T54" s="87"/>
      <c r="U54" s="87"/>
      <c r="V54" s="87"/>
      <c r="AA54" s="186"/>
      <c r="AB54" s="186"/>
      <c r="AC54" s="186"/>
      <c r="AD54" s="186"/>
      <c r="AE54" s="186"/>
      <c r="AF54" s="186"/>
      <c r="AG54" s="186"/>
      <c r="AH54" s="186"/>
      <c r="AI54" s="186"/>
      <c r="AJ54" s="186"/>
    </row>
    <row r="55" spans="1:36" s="185" customFormat="1">
      <c r="B55" s="13" t="str" cm="1">
        <f t="array" ref="B55">IF(ROW()-ROW(tbl_FS_EligibilitySummary[#Headers])&lt;=ROWS(tbl_FS_Assessment[ActionID]),"Existing action","Additional action")</f>
        <v>Existing action</v>
      </c>
      <c r="C55" s="13" t="str" cm="1">
        <f t="array" ref="C55">IF(ROW()-ROW(tbl_FS_EligibilitySummary[#Headers])&lt;=ROWS(tbl_FS_Assessment[ActionID]),INDEX(tbl_FS_Assessment[ActionID],ROW()-ROW(tbl_FS_EligibilitySummary[#Headers])),INDEX(tbl_FS_AdditionalActions[AdditionalActionID],ROW()-ROW(tbl_FS_EligibilitySummary[#Headers])-ROWS(tbl_FS_Assessment[ActionID])))</f>
        <v>ipcc_0099</v>
      </c>
      <c r="D55" s="13" t="str" cm="1">
        <f t="array" ref="D55">IF(ROW()-ROW(tbl_FS_EligibilitySummary[#Headers])&lt;=ROWS(tbl_FS_Assessment[ActionID]),INDEX(tbl_FS_Assessment[ActionName],ROW()-ROW(tbl_FS_EligibilitySummary[#Headers])),INDEX(tbl_FS_AdditionalActions[ActionName],ROW()-ROW(tbl_FS_EligibilitySummary[#Headers])-ROWS(tbl_FS_Assessment[ActionID])))</f>
        <v>Increase Water Capture and Storage</v>
      </c>
      <c r="E55" s="13" t="str" cm="1">
        <f t="array" ref="E55">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55" s="13" cm="1">
        <f t="array" ref="F55">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1</v>
      </c>
      <c r="G55" s="13" t="str" cm="1">
        <f t="array" ref="G55">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Medium effectiveness</v>
      </c>
      <c r="H55" s="13" t="str" cm="1">
        <f t="array" ref="H55">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55" s="13" t="str" cm="1">
        <f t="array" ref="I55">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55" s="13" t="str" cm="1">
        <f t="array" ref="J55">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55" s="13" t="str" cm="1">
        <f t="array" ref="K55">IF(ROW()-ROW(tbl_FS_EligibilitySummary[#Headers])&lt;=ROWS(tbl_FS_Assessment[ActionID]),INDEX(tbl_FS_Assessment[ReviewStatus],ROW()-ROW(tbl_FS_EligibilitySummary[#Headers])),INDEX(tbl_FS_AdditionalActions[ReviewStatus],ROW()-ROW(tbl_FS_EligibilitySummary[#Headers])-ROWS(tbl_FS_Assessment[ActionID])))</f>
        <v>Reviewed</v>
      </c>
      <c r="L55" s="87"/>
      <c r="M55" s="87"/>
      <c r="N55" s="87"/>
      <c r="O55" s="87"/>
      <c r="P55" s="87"/>
      <c r="Q55" s="87"/>
      <c r="R55" s="87"/>
      <c r="S55" s="87"/>
      <c r="T55" s="87"/>
      <c r="U55" s="87"/>
      <c r="V55" s="87"/>
      <c r="AA55" s="186"/>
      <c r="AB55" s="186"/>
      <c r="AC55" s="186"/>
      <c r="AD55" s="186"/>
      <c r="AE55" s="186"/>
      <c r="AF55" s="186"/>
      <c r="AG55" s="186"/>
      <c r="AH55" s="186"/>
      <c r="AI55" s="186"/>
      <c r="AJ55" s="186"/>
    </row>
    <row r="56" spans="1:36" s="185" customFormat="1">
      <c r="B56" s="13" t="str" cm="1">
        <f t="array" ref="B56">IF(ROW()-ROW(tbl_FS_EligibilitySummary[#Headers])&lt;=ROWS(tbl_FS_Assessment[ActionID]),"Existing action","Additional action")</f>
        <v>Existing action</v>
      </c>
      <c r="C56" s="13" t="str" cm="1">
        <f t="array" ref="C56">IF(ROW()-ROW(tbl_FS_EligibilitySummary[#Headers])&lt;=ROWS(tbl_FS_Assessment[ActionID]),INDEX(tbl_FS_Assessment[ActionID],ROW()-ROW(tbl_FS_EligibilitySummary[#Headers])),INDEX(tbl_FS_AdditionalActions[AdditionalActionID],ROW()-ROW(tbl_FS_EligibilitySummary[#Headers])-ROWS(tbl_FS_Assessment[ActionID])))</f>
        <v>ipcc_0100</v>
      </c>
      <c r="D56" s="13" t="str" cm="1">
        <f t="array" ref="D56">IF(ROW()-ROW(tbl_FS_EligibilitySummary[#Headers])&lt;=ROWS(tbl_FS_Assessment[ActionID]),INDEX(tbl_FS_Assessment[ActionName],ROW()-ROW(tbl_FS_EligibilitySummary[#Headers])),INDEX(tbl_FS_AdditionalActions[ActionName],ROW()-ROW(tbl_FS_EligibilitySummary[#Headers])-ROWS(tbl_FS_Assessment[ActionID])))</f>
        <v>Improve Efficient water use/demand</v>
      </c>
      <c r="E56" s="13" t="str" cm="1">
        <f t="array" ref="E56">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56" s="13" cm="1">
        <f t="array" ref="F56">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4</v>
      </c>
      <c r="G56" s="13" t="str" cm="1">
        <f t="array" ref="G56">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Medium effectiveness</v>
      </c>
      <c r="H56" s="13" t="str" cm="1">
        <f t="array" ref="H56">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56" s="13" t="str" cm="1">
        <f t="array" ref="I56">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56" s="13" t="str" cm="1">
        <f t="array" ref="J56">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56" s="13" t="str" cm="1">
        <f t="array" ref="K56">IF(ROW()-ROW(tbl_FS_EligibilitySummary[#Headers])&lt;=ROWS(tbl_FS_Assessment[ActionID]),INDEX(tbl_FS_Assessment[ReviewStatus],ROW()-ROW(tbl_FS_EligibilitySummary[#Headers])),INDEX(tbl_FS_AdditionalActions[ReviewStatus],ROW()-ROW(tbl_FS_EligibilitySummary[#Headers])-ROWS(tbl_FS_Assessment[ActionID])))</f>
        <v>Reviewed</v>
      </c>
      <c r="L56" s="87"/>
      <c r="M56" s="87"/>
      <c r="N56" s="87"/>
      <c r="O56" s="87"/>
      <c r="P56" s="87"/>
      <c r="Q56" s="87"/>
      <c r="R56" s="87"/>
      <c r="S56" s="87"/>
      <c r="T56" s="87"/>
      <c r="U56" s="87"/>
      <c r="V56" s="87"/>
      <c r="AA56" s="186"/>
      <c r="AB56" s="186"/>
      <c r="AC56" s="186"/>
      <c r="AD56" s="186"/>
      <c r="AE56" s="186"/>
      <c r="AF56" s="186"/>
      <c r="AG56" s="186"/>
      <c r="AH56" s="186"/>
      <c r="AI56" s="186"/>
      <c r="AJ56" s="186"/>
    </row>
    <row r="57" spans="1:36" s="185" customFormat="1">
      <c r="B57" s="13" t="str" cm="1">
        <f t="array" ref="B57">IF(ROW()-ROW(tbl_FS_EligibilitySummary[#Headers])&lt;=ROWS(tbl_FS_Assessment[ActionID]),"Existing action","Additional action")</f>
        <v>Existing action</v>
      </c>
      <c r="C57" s="13" t="str" cm="1">
        <f t="array" ref="C57">IF(ROW()-ROW(tbl_FS_EligibilitySummary[#Headers])&lt;=ROWS(tbl_FS_Assessment[ActionID]),INDEX(tbl_FS_Assessment[ActionID],ROW()-ROW(tbl_FS_EligibilitySummary[#Headers])),INDEX(tbl_FS_AdditionalActions[AdditionalActionID],ROW()-ROW(tbl_FS_EligibilitySummary[#Headers])-ROWS(tbl_FS_Assessment[ActionID])))</f>
        <v>ipcc_0101</v>
      </c>
      <c r="D57" s="13" t="str" cm="1">
        <f t="array" ref="D57">IF(ROW()-ROW(tbl_FS_EligibilitySummary[#Headers])&lt;=ROWS(tbl_FS_Assessment[ActionID]),INDEX(tbl_FS_Assessment[ActionName],ROW()-ROW(tbl_FS_EligibilitySummary[#Headers])),INDEX(tbl_FS_AdditionalActions[ActionName],ROW()-ROW(tbl_FS_EligibilitySummary[#Headers])-ROWS(tbl_FS_Assessment[ActionID])))</f>
        <v>Improve urban water management</v>
      </c>
      <c r="E57" s="13" t="str" cm="1">
        <f t="array" ref="E57">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57" s="13" cm="1">
        <f t="array" ref="F57">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1</v>
      </c>
      <c r="G57" s="13" t="str" cm="1">
        <f t="array" ref="G57">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Medium effectiveness</v>
      </c>
      <c r="H57" s="13" t="str" cm="1">
        <f t="array" ref="H57">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57" s="13" t="str" cm="1">
        <f t="array" ref="I57">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57" s="13" t="str" cm="1">
        <f t="array" ref="J57">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57" s="13" t="str" cm="1">
        <f t="array" ref="K57">IF(ROW()-ROW(tbl_FS_EligibilitySummary[#Headers])&lt;=ROWS(tbl_FS_Assessment[ActionID]),INDEX(tbl_FS_Assessment[ReviewStatus],ROW()-ROW(tbl_FS_EligibilitySummary[#Headers])),INDEX(tbl_FS_AdditionalActions[ReviewStatus],ROW()-ROW(tbl_FS_EligibilitySummary[#Headers])-ROWS(tbl_FS_Assessment[ActionID])))</f>
        <v>Reviewed</v>
      </c>
      <c r="L57" s="87"/>
      <c r="M57" s="87"/>
      <c r="N57" s="87"/>
      <c r="O57" s="87"/>
      <c r="P57" s="87"/>
      <c r="Q57" s="87"/>
      <c r="R57" s="87"/>
      <c r="S57" s="87"/>
      <c r="T57" s="87"/>
      <c r="U57" s="87"/>
      <c r="V57" s="87"/>
      <c r="AA57" s="186"/>
      <c r="AB57" s="186"/>
      <c r="AC57" s="186"/>
      <c r="AD57" s="186"/>
      <c r="AE57" s="186"/>
      <c r="AF57" s="186"/>
      <c r="AG57" s="186"/>
      <c r="AH57" s="186"/>
      <c r="AI57" s="186"/>
      <c r="AJ57" s="186"/>
    </row>
    <row r="58" spans="1:36" s="185" customFormat="1">
      <c r="B58" s="13" t="str" cm="1">
        <f t="array" ref="B58">IF(ROW()-ROW(tbl_FS_EligibilitySummary[#Headers])&lt;=ROWS(tbl_FS_Assessment[ActionID]),"Existing action","Additional action")</f>
        <v>Existing action</v>
      </c>
      <c r="C58" s="13" t="str" cm="1">
        <f t="array" ref="C58">IF(ROW()-ROW(tbl_FS_EligibilitySummary[#Headers])&lt;=ROWS(tbl_FS_Assessment[ActionID]),INDEX(tbl_FS_Assessment[ActionID],ROW()-ROW(tbl_FS_EligibilitySummary[#Headers])),INDEX(tbl_FS_AdditionalActions[AdditionalActionID],ROW()-ROW(tbl_FS_EligibilitySummary[#Headers])-ROWS(tbl_FS_Assessment[ActionID])))</f>
        <v>ipcc_0102</v>
      </c>
      <c r="D58" s="13" t="str" cm="1">
        <f t="array" ref="D58">IF(ROW()-ROW(tbl_FS_EligibilitySummary[#Headers])&lt;=ROWS(tbl_FS_Assessment[ActionID]),INDEX(tbl_FS_Assessment[ActionName],ROW()-ROW(tbl_FS_EligibilitySummary[#Headers])),INDEX(tbl_FS_AdditionalActions[ActionName],ROW()-ROW(tbl_FS_EligibilitySummary[#Headers])-ROWS(tbl_FS_Assessment[ActionID])))</f>
        <v>Facilitate seasonal and temporary mobility strategies</v>
      </c>
      <c r="E58" s="13" t="str" cm="1">
        <f t="array" ref="E58">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58" s="13" t="str" cm="1">
        <f t="array" ref="F58">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58" s="13" t="str" cm="1">
        <f t="array" ref="G58">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58" s="13" t="str" cm="1">
        <f t="array" ref="H58">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58" s="13" t="str" cm="1">
        <f t="array" ref="I58">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58" s="13" t="str" cm="1">
        <f t="array" ref="J58">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58" s="13" t="str" cm="1">
        <f t="array" ref="K58">IF(ROW()-ROW(tbl_FS_EligibilitySummary[#Headers])&lt;=ROWS(tbl_FS_Assessment[ActionID]),INDEX(tbl_FS_Assessment[ReviewStatus],ROW()-ROW(tbl_FS_EligibilitySummary[#Headers])),INDEX(tbl_FS_AdditionalActions[ReviewStatus],ROW()-ROW(tbl_FS_EligibilitySummary[#Headers])-ROWS(tbl_FS_Assessment[ActionID])))</f>
        <v>Reviewed</v>
      </c>
      <c r="L58" s="87"/>
      <c r="M58" s="87"/>
      <c r="N58" s="87"/>
      <c r="O58" s="87"/>
      <c r="P58" s="87"/>
      <c r="Q58" s="87"/>
      <c r="R58" s="87"/>
      <c r="S58" s="87"/>
      <c r="T58" s="87"/>
      <c r="U58" s="87"/>
      <c r="V58" s="87"/>
      <c r="AA58" s="186"/>
      <c r="AB58" s="186"/>
      <c r="AC58" s="186"/>
      <c r="AD58" s="186"/>
      <c r="AE58" s="186"/>
      <c r="AF58" s="186"/>
      <c r="AG58" s="186"/>
      <c r="AH58" s="186"/>
      <c r="AI58" s="186"/>
      <c r="AJ58" s="186"/>
    </row>
    <row r="59" spans="1:36" s="185" customFormat="1">
      <c r="B59" s="13" t="str" cm="1">
        <f t="array" ref="B59">IF(ROW()-ROW(tbl_FS_EligibilitySummary[#Headers])&lt;=ROWS(tbl_FS_Assessment[ActionID]),"Existing action","Additional action")</f>
        <v>Existing action</v>
      </c>
      <c r="C59" s="13" t="str" cm="1">
        <f t="array" ref="C59">IF(ROW()-ROW(tbl_FS_EligibilitySummary[#Headers])&lt;=ROWS(tbl_FS_Assessment[ActionID]),INDEX(tbl_FS_Assessment[ActionID],ROW()-ROW(tbl_FS_EligibilitySummary[#Headers])),INDEX(tbl_FS_AdditionalActions[AdditionalActionID],ROW()-ROW(tbl_FS_EligibilitySummary[#Headers])-ROWS(tbl_FS_Assessment[ActionID])))</f>
        <v>ipcc_0103</v>
      </c>
      <c r="D59" s="13" t="str" cm="1">
        <f t="array" ref="D59">IF(ROW()-ROW(tbl_FS_EligibilitySummary[#Headers])&lt;=ROWS(tbl_FS_Assessment[ActionID]),INDEX(tbl_FS_Assessment[ActionName],ROW()-ROW(tbl_FS_EligibilitySummary[#Headers])),INDEX(tbl_FS_AdditionalActions[ActionName],ROW()-ROW(tbl_FS_EligibilitySummary[#Headers])-ROWS(tbl_FS_Assessment[ActionID])))</f>
        <v>Strengthen cooperative climate governance</v>
      </c>
      <c r="E59" s="13" t="str" cm="1">
        <f t="array" ref="E59">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59" s="13" t="str" cm="1">
        <f t="array" ref="F59">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59" s="13" t="str" cm="1">
        <f t="array" ref="G59">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59" s="13" t="str" cm="1">
        <f t="array" ref="H59">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59" s="13" t="str" cm="1">
        <f t="array" ref="I59">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59" s="13" t="str" cm="1">
        <f t="array" ref="J59">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59" s="13" t="str" cm="1">
        <f t="array" ref="K59">IF(ROW()-ROW(tbl_FS_EligibilitySummary[#Headers])&lt;=ROWS(tbl_FS_Assessment[ActionID]),INDEX(tbl_FS_Assessment[ReviewStatus],ROW()-ROW(tbl_FS_EligibilitySummary[#Headers])),INDEX(tbl_FS_AdditionalActions[ReviewStatus],ROW()-ROW(tbl_FS_EligibilitySummary[#Headers])-ROWS(tbl_FS_Assessment[ActionID])))</f>
        <v>Reviewed</v>
      </c>
      <c r="L59" s="87"/>
      <c r="M59" s="87"/>
      <c r="N59" s="87"/>
      <c r="O59" s="87"/>
      <c r="P59" s="87"/>
      <c r="Q59" s="87"/>
      <c r="R59" s="87"/>
      <c r="S59" s="87"/>
      <c r="T59" s="87"/>
      <c r="U59" s="87"/>
      <c r="V59" s="87"/>
      <c r="AA59" s="186"/>
      <c r="AB59" s="186"/>
      <c r="AC59" s="186"/>
      <c r="AD59" s="186"/>
      <c r="AE59" s="186"/>
      <c r="AF59" s="186"/>
      <c r="AG59" s="186"/>
      <c r="AH59" s="186"/>
      <c r="AI59" s="186"/>
      <c r="AJ59" s="186"/>
    </row>
    <row r="60" spans="1:36" s="185" customFormat="1">
      <c r="B60" s="13" t="str" cm="1">
        <f t="array" ref="B60">IF(ROW()-ROW(tbl_FS_EligibilitySummary[#Headers])&lt;=ROWS(tbl_FS_Assessment[ActionID]),"Existing action","Additional action")</f>
        <v>Existing action</v>
      </c>
      <c r="C60" s="13" t="str" cm="1">
        <f t="array" ref="C60">IF(ROW()-ROW(tbl_FS_EligibilitySummary[#Headers])&lt;=ROWS(tbl_FS_Assessment[ActionID]),INDEX(tbl_FS_Assessment[ActionID],ROW()-ROW(tbl_FS_EligibilitySummary[#Headers])),INDEX(tbl_FS_AdditionalActions[AdditionalActionID],ROW()-ROW(tbl_FS_EligibilitySummary[#Headers])-ROWS(tbl_FS_Assessment[ActionID])))</f>
        <v>ipcc_0104</v>
      </c>
      <c r="D60" s="13" t="str" cm="1">
        <f t="array" ref="D60">IF(ROW()-ROW(tbl_FS_EligibilitySummary[#Headers])&lt;=ROWS(tbl_FS_Assessment[ActionID]),INDEX(tbl_FS_Assessment[ActionName],ROW()-ROW(tbl_FS_EligibilitySummary[#Headers])),INDEX(tbl_FS_AdditionalActions[ActionName],ROW()-ROW(tbl_FS_EligibilitySummary[#Headers])-ROWS(tbl_FS_Assessment[ActionID])))</f>
        <v>Plan and support permanent climate‑related migration</v>
      </c>
      <c r="E60" s="13" t="str" cm="1">
        <f t="array" ref="E60">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60" s="13" t="str" cm="1">
        <f t="array" ref="F60">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60" s="13" t="str" cm="1">
        <f t="array" ref="G60">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60" s="13" t="str" cm="1">
        <f t="array" ref="H60">IF(ROW()-ROW(tbl_FS_EligibilitySummary[#Headers])&lt;=ROWS(tbl_FS_Assessment[ActionID]),INDEX(tbl_FS_Assessment[Exposure Eligibility],ROW()-ROW(tbl_FS_EligibilitySummary[#Headers])),INDEX(tbl_FS_AdditionalActions[Exposure Eligibility],ROW()-ROW(tbl_FS_EligibilitySummary[#Headers])-ROWS(tbl_FS_Assessment[ActionID])))</f>
        <v>Eligible</v>
      </c>
      <c r="I60" s="13" t="str" cm="1">
        <f t="array" ref="I60">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60" s="13" t="str" cm="1">
        <f t="array" ref="J60">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
      </c>
      <c r="K60" s="13" t="str" cm="1">
        <f t="array" ref="K60">IF(ROW()-ROW(tbl_FS_EligibilitySummary[#Headers])&lt;=ROWS(tbl_FS_Assessment[ActionID]),INDEX(tbl_FS_Assessment[ReviewStatus],ROW()-ROW(tbl_FS_EligibilitySummary[#Headers])),INDEX(tbl_FS_AdditionalActions[ReviewStatus],ROW()-ROW(tbl_FS_EligibilitySummary[#Headers])-ROWS(tbl_FS_Assessment[ActionID])))</f>
        <v>Reviewed</v>
      </c>
      <c r="L60" s="87"/>
      <c r="M60" s="87"/>
      <c r="N60" s="87"/>
      <c r="O60" s="87"/>
      <c r="P60" s="87"/>
      <c r="Q60" s="87"/>
      <c r="R60" s="87"/>
      <c r="S60" s="87"/>
      <c r="T60" s="87"/>
      <c r="U60" s="87"/>
      <c r="V60" s="87"/>
      <c r="AA60" s="186"/>
      <c r="AB60" s="186"/>
      <c r="AC60" s="186"/>
      <c r="AD60" s="186"/>
      <c r="AE60" s="186"/>
      <c r="AF60" s="186"/>
      <c r="AG60" s="186"/>
      <c r="AH60" s="186"/>
      <c r="AI60" s="186"/>
      <c r="AJ60" s="186"/>
    </row>
    <row r="61" spans="1:36" s="185" customFormat="1">
      <c r="B61" s="13" t="str" cm="1">
        <f t="array" ref="B61">IF(ROW()-ROW(tbl_FS_EligibilitySummary[#Headers])&lt;=ROWS(tbl_FS_Assessment[ActionID]),"Existing action","Additional action")</f>
        <v>Additional action</v>
      </c>
      <c r="C61" s="13" t="str" cm="1">
        <f t="array" ref="C61">IF(ROW()-ROW(tbl_FS_EligibilitySummary[#Headers])&lt;=ROWS(tbl_FS_Assessment[ActionID]),INDEX(tbl_FS_Assessment[ActionID],ROW()-ROW(tbl_FS_EligibilitySummary[#Headers])),INDEX(tbl_FS_AdditionalActions[AdditionalActionID],ROW()-ROW(tbl_FS_EligibilitySummary[#Headers])-ROWS(tbl_FS_Assessment[ActionID])))</f>
        <v>FS_ADD_0001</v>
      </c>
      <c r="D61" s="13" t="str" cm="1">
        <f t="array" ref="D61">IF(ROW()-ROW(tbl_FS_EligibilitySummary[#Headers])&lt;=ROWS(tbl_FS_Assessment[ActionID]),INDEX(tbl_FS_Assessment[ActionName],ROW()-ROW(tbl_FS_EligibilitySummary[#Headers])),INDEX(tbl_FS_AdditionalActions[ActionName],ROW()-ROW(tbl_FS_EligibilitySummary[#Headers])-ROWS(tbl_FS_Assessment[ActionID])))</f>
        <v>Implement participatory plant breeding for climate-resilient crops</v>
      </c>
      <c r="E61" s="13" t="str" cm="1">
        <f t="array" ref="E61">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61" s="13" cm="1">
        <f t="array" ref="F61">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2</v>
      </c>
      <c r="G61" s="13" t="str" cm="1">
        <f t="array" ref="G61">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High effectiveness</v>
      </c>
      <c r="H61" s="13" t="str" cm="1">
        <f t="array" ref="H61">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61" s="13" t="str" cm="1">
        <f t="array" ref="I61">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61" s="13" t="str" cm="1">
        <f t="array" ref="J61">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61" s="13" t="str" cm="1">
        <f t="array" ref="K61">IF(ROW()-ROW(tbl_FS_EligibilitySummary[#Headers])&lt;=ROWS(tbl_FS_Assessment[ActionID]),INDEX(tbl_FS_Assessment[ReviewStatus],ROW()-ROW(tbl_FS_EligibilitySummary[#Headers])),INDEX(tbl_FS_AdditionalActions[ReviewStatus],ROW()-ROW(tbl_FS_EligibilitySummary[#Headers])-ROWS(tbl_FS_Assessment[ActionID])))</f>
        <v>Reviewed</v>
      </c>
      <c r="L61" s="87"/>
      <c r="M61" s="87"/>
      <c r="N61" s="87"/>
      <c r="O61" s="87"/>
      <c r="P61" s="87"/>
      <c r="Q61" s="87"/>
      <c r="R61" s="87"/>
      <c r="S61" s="87"/>
      <c r="T61" s="87"/>
      <c r="AA61" s="186"/>
      <c r="AB61" s="186"/>
      <c r="AC61" s="186"/>
      <c r="AD61" s="186"/>
      <c r="AE61" s="186"/>
      <c r="AF61" s="186"/>
      <c r="AG61" s="186"/>
      <c r="AH61" s="186"/>
      <c r="AI61" s="186"/>
      <c r="AJ61" s="186"/>
    </row>
    <row r="62" spans="1:36" s="185" customFormat="1">
      <c r="B62" s="13" t="str" cm="1">
        <f t="array" ref="B62">IF(ROW()-ROW(tbl_FS_EligibilitySummary[#Headers])&lt;=ROWS(tbl_FS_Assessment[ActionID]),"Existing action","Additional action")</f>
        <v>Additional action</v>
      </c>
      <c r="C62" s="13" t="str" cm="1">
        <f t="array" ref="C62">IF(ROW()-ROW(tbl_FS_EligibilitySummary[#Headers])&lt;=ROWS(tbl_FS_Assessment[ActionID]),INDEX(tbl_FS_Assessment[ActionID],ROW()-ROW(tbl_FS_EligibilitySummary[#Headers])),INDEX(tbl_FS_AdditionalActions[AdditionalActionID],ROW()-ROW(tbl_FS_EligibilitySummary[#Headers])-ROWS(tbl_FS_Assessment[ActionID])))</f>
        <v>FS_ADD_0002</v>
      </c>
      <c r="D62" s="13" t="str" cm="1">
        <f t="array" ref="D62">IF(ROW()-ROW(tbl_FS_EligibilitySummary[#Headers])&lt;=ROWS(tbl_FS_Assessment[ActionID]),INDEX(tbl_FS_Assessment[ActionName],ROW()-ROW(tbl_FS_EligibilitySummary[#Headers])),INDEX(tbl_FS_AdditionalActions[ActionName],ROW()-ROW(tbl_FS_EligibilitySummary[#Headers])-ROWS(tbl_FS_Assessment[ActionID])))</f>
        <v>Deploy climate-resilient aquaponic and hydroponic food-production systems</v>
      </c>
      <c r="E62" s="13" t="str" cm="1">
        <f t="array" ref="E62">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62" s="13" cm="1">
        <f t="array" ref="F62">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2</v>
      </c>
      <c r="G62" s="13" t="str" cm="1">
        <f t="array" ref="G62">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Medium effectiveness</v>
      </c>
      <c r="H62" s="13" t="str" cm="1">
        <f t="array" ref="H62">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62" s="13" t="str" cm="1">
        <f t="array" ref="I62">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62" s="13" t="str" cm="1">
        <f t="array" ref="J62">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62" s="13" t="str" cm="1">
        <f t="array" ref="K62">IF(ROW()-ROW(tbl_FS_EligibilitySummary[#Headers])&lt;=ROWS(tbl_FS_Assessment[ActionID]),INDEX(tbl_FS_Assessment[ReviewStatus],ROW()-ROW(tbl_FS_EligibilitySummary[#Headers])),INDEX(tbl_FS_AdditionalActions[ReviewStatus],ROW()-ROW(tbl_FS_EligibilitySummary[#Headers])-ROWS(tbl_FS_Assessment[ActionID])))</f>
        <v>Reviewed</v>
      </c>
      <c r="L62" s="87"/>
      <c r="M62" s="87"/>
      <c r="N62" s="87"/>
      <c r="O62" s="87"/>
      <c r="P62" s="87"/>
      <c r="Q62" s="87"/>
      <c r="R62" s="87"/>
      <c r="S62" s="87"/>
      <c r="T62" s="87"/>
      <c r="AA62" s="186"/>
      <c r="AB62" s="186"/>
      <c r="AC62" s="186"/>
      <c r="AD62" s="186"/>
      <c r="AE62" s="186"/>
      <c r="AF62" s="186"/>
      <c r="AG62" s="186"/>
      <c r="AH62" s="186"/>
      <c r="AI62" s="186"/>
      <c r="AJ62" s="186"/>
    </row>
    <row r="63" spans="1:36">
      <c r="A63" s="185"/>
      <c r="B63" s="13" t="str" cm="1">
        <f t="array" ref="B63">IF(ROW()-ROW(tbl_FS_EligibilitySummary[#Headers])&lt;=ROWS(tbl_FS_Assessment[ActionID]),"Existing action","Additional action")</f>
        <v>Additional action</v>
      </c>
      <c r="C63" s="13" t="str" cm="1">
        <f t="array" ref="C63">IF(ROW()-ROW(tbl_FS_EligibilitySummary[#Headers])&lt;=ROWS(tbl_FS_Assessment[ActionID]),INDEX(tbl_FS_Assessment[ActionID],ROW()-ROW(tbl_FS_EligibilitySummary[#Headers])),INDEX(tbl_FS_AdditionalActions[AdditionalActionID],ROW()-ROW(tbl_FS_EligibilitySummary[#Headers])-ROWS(tbl_FS_Assessment[ActionID])))</f>
        <v>FS_ADD_0003</v>
      </c>
      <c r="D63" s="13" t="str" cm="1">
        <f t="array" ref="D63">IF(ROW()-ROW(tbl_FS_EligibilitySummary[#Headers])&lt;=ROWS(tbl_FS_Assessment[ActionID]),INDEX(tbl_FS_Assessment[ActionName],ROW()-ROW(tbl_FS_EligibilitySummary[#Headers])),INDEX(tbl_FS_AdditionalActions[ActionName],ROW()-ROW(tbl_FS_EligibilitySummary[#Headers])-ROWS(tbl_FS_Assessment[ActionID])))</f>
        <v>Establish farmer-managed staple-food storehouses linked to seasonal credit</v>
      </c>
      <c r="E63" s="13" t="str" cm="1">
        <f t="array" ref="E63">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63" s="13" cm="1">
        <f t="array" ref="F63">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1</v>
      </c>
      <c r="G63" s="13" t="str" cm="1">
        <f t="array" ref="G63">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Medium effectiveness</v>
      </c>
      <c r="H63" s="13" t="str" cm="1">
        <f t="array" ref="H63">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63" s="13" t="str" cm="1">
        <f t="array" ref="I63">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63" s="13" t="str" cm="1">
        <f t="array" ref="J63">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63" s="13" t="str" cm="1">
        <f t="array" ref="K63">IF(ROW()-ROW(tbl_FS_EligibilitySummary[#Headers])&lt;=ROWS(tbl_FS_Assessment[ActionID]),INDEX(tbl_FS_Assessment[ReviewStatus],ROW()-ROW(tbl_FS_EligibilitySummary[#Headers])),INDEX(tbl_FS_AdditionalActions[ReviewStatus],ROW()-ROW(tbl_FS_EligibilitySummary[#Headers])-ROWS(tbl_FS_Assessment[ActionID])))</f>
        <v>Reviewed</v>
      </c>
      <c r="L63" s="191" t="s">
        <v>1505</v>
      </c>
      <c r="M63" s="191"/>
      <c r="N63" s="191"/>
      <c r="O63" s="191"/>
      <c r="P63" s="191"/>
      <c r="Q63" s="191"/>
      <c r="R63" s="191"/>
      <c r="S63" s="191"/>
      <c r="T63" s="191"/>
    </row>
    <row r="64" spans="1:36">
      <c r="B64" s="13" t="str" cm="1">
        <f t="array" ref="B64">IF(ROW()-ROW(tbl_FS_EligibilitySummary[#Headers])&lt;=ROWS(tbl_FS_Assessment[ActionID]),"Existing action","Additional action")</f>
        <v>Additional action</v>
      </c>
      <c r="C64" s="13" t="str" cm="1">
        <f t="array" ref="C64">IF(ROW()-ROW(tbl_FS_EligibilitySummary[#Headers])&lt;=ROWS(tbl_FS_Assessment[ActionID]),INDEX(tbl_FS_Assessment[ActionID],ROW()-ROW(tbl_FS_EligibilitySummary[#Headers])),INDEX(tbl_FS_AdditionalActions[AdditionalActionID],ROW()-ROW(tbl_FS_EligibilitySummary[#Headers])-ROWS(tbl_FS_Assessment[ActionID])))</f>
        <v>FS_ADD_0004</v>
      </c>
      <c r="D64" s="13" t="str" cm="1">
        <f t="array" ref="D64">IF(ROW()-ROW(tbl_FS_EligibilitySummary[#Headers])&lt;=ROWS(tbl_FS_Assessment[ActionID]),INDEX(tbl_FS_Assessment[ActionName],ROW()-ROW(tbl_FS_EligibilitySummary[#Headers])),INDEX(tbl_FS_AdditionalActions[ActionName],ROW()-ROW(tbl_FS_EligibilitySummary[#Headers])-ROWS(tbl_FS_Assessment[ActionID])))</f>
        <v>Implement forecast-based financing for acute food insecurity</v>
      </c>
      <c r="E64" s="13" t="str" cm="1">
        <f t="array" ref="E64">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64" s="13" cm="1">
        <f t="array" ref="F64">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1</v>
      </c>
      <c r="G64" s="13" t="str" cm="1">
        <f t="array" ref="G64">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Medium effectiveness</v>
      </c>
      <c r="H64" s="13" t="str" cm="1">
        <f t="array" ref="H64">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64" s="13" t="str" cm="1">
        <f t="array" ref="I64">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64" s="13" t="str" cm="1">
        <f t="array" ref="J64">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64" s="13" t="str" cm="1">
        <f t="array" ref="K64">IF(ROW()-ROW(tbl_FS_EligibilitySummary[#Headers])&lt;=ROWS(tbl_FS_Assessment[ActionID]),INDEX(tbl_FS_Assessment[ReviewStatus],ROW()-ROW(tbl_FS_EligibilitySummary[#Headers])),INDEX(tbl_FS_AdditionalActions[ReviewStatus],ROW()-ROW(tbl_FS_EligibilitySummary[#Headers])-ROWS(tbl_FS_Assessment[ActionID])))</f>
        <v>Reviewed</v>
      </c>
    </row>
    <row r="65" spans="1:20">
      <c r="B65" s="13" t="str" cm="1">
        <f t="array" ref="B65">IF(ROW()-ROW(tbl_FS_EligibilitySummary[#Headers])&lt;=ROWS(tbl_FS_Assessment[ActionID]),"Existing action","Additional action")</f>
        <v>Additional action</v>
      </c>
      <c r="C65" s="13" t="str" cm="1">
        <f t="array" ref="C65">IF(ROW()-ROW(tbl_FS_EligibilitySummary[#Headers])&lt;=ROWS(tbl_FS_Assessment[ActionID]),INDEX(tbl_FS_Assessment[ActionID],ROW()-ROW(tbl_FS_EligibilitySummary[#Headers])),INDEX(tbl_FS_AdditionalActions[AdditionalActionID],ROW()-ROW(tbl_FS_EligibilitySummary[#Headers])-ROWS(tbl_FS_Assessment[ActionID])))</f>
        <v>FS_ADD_0005</v>
      </c>
      <c r="D65" s="13" t="str" cm="1">
        <f t="array" ref="D65">IF(ROW()-ROW(tbl_FS_EligibilitySummary[#Headers])&lt;=ROWS(tbl_FS_Assessment[ActionID]),INDEX(tbl_FS_Assessment[ActionName],ROW()-ROW(tbl_FS_EligibilitySummary[#Headers])),INDEX(tbl_FS_AdditionalActions[ActionName],ROW()-ROW(tbl_FS_EligibilitySummary[#Headers])-ROWS(tbl_FS_Assessment[ActionID])))</f>
        <v>Develop terrain-adapted agricultural machinery for soil conservation</v>
      </c>
      <c r="E65" s="13" t="str" cm="1">
        <f t="array" ref="E65">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65" s="13" t="str" cm="1">
        <f t="array" ref="F65">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65" s="13" t="str" cm="1">
        <f t="array" ref="G65">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
      </c>
      <c r="H65" s="13" t="str" cm="1">
        <f t="array" ref="H65">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65" s="13" t="str" cm="1">
        <f t="array" ref="I65">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65" s="13" t="str" cm="1">
        <f t="array" ref="J65">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65" s="13" t="str" cm="1">
        <f t="array" ref="K65">IF(ROW()-ROW(tbl_FS_EligibilitySummary[#Headers])&lt;=ROWS(tbl_FS_Assessment[ActionID]),INDEX(tbl_FS_Assessment[ReviewStatus],ROW()-ROW(tbl_FS_EligibilitySummary[#Headers])),INDEX(tbl_FS_AdditionalActions[ReviewStatus],ROW()-ROW(tbl_FS_EligibilitySummary[#Headers])-ROWS(tbl_FS_Assessment[ActionID])))</f>
        <v>Reviewed</v>
      </c>
    </row>
    <row r="66" spans="1:20">
      <c r="B66" s="13" t="str" cm="1">
        <f t="array" ref="B66">IF(ROW()-ROW(tbl_FS_EligibilitySummary[#Headers])&lt;=ROWS(tbl_FS_Assessment[ActionID]),"Existing action","Additional action")</f>
        <v>Additional action</v>
      </c>
      <c r="C66" s="13" t="str" cm="1">
        <f t="array" ref="C66">IF(ROW()-ROW(tbl_FS_EligibilitySummary[#Headers])&lt;=ROWS(tbl_FS_Assessment[ActionID]),INDEX(tbl_FS_Assessment[ActionID],ROW()-ROW(tbl_FS_EligibilitySummary[#Headers])),INDEX(tbl_FS_AdditionalActions[AdditionalActionID],ROW()-ROW(tbl_FS_EligibilitySummary[#Headers])-ROWS(tbl_FS_Assessment[ActionID])))</f>
        <v>FS_ADD_0006</v>
      </c>
      <c r="D66" s="13" t="str" cm="1">
        <f t="array" ref="D66">IF(ROW()-ROW(tbl_FS_EligibilitySummary[#Headers])&lt;=ROWS(tbl_FS_Assessment[ActionID]),INDEX(tbl_FS_Assessment[ActionName],ROW()-ROW(tbl_FS_EligibilitySummary[#Headers])),INDEX(tbl_FS_AdditionalActions[ActionName],ROW()-ROW(tbl_FS_EligibilitySummary[#Headers])-ROWS(tbl_FS_Assessment[ActionID])))</f>
        <v>Implement Agricultural Climate Risk Zoning (ZARC)</v>
      </c>
      <c r="E66" s="13" t="str" cm="1">
        <f t="array" ref="E66">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Not eligible</v>
      </c>
      <c r="F66" s="13" t="str" cm="1">
        <f t="array" ref="F66">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
      </c>
      <c r="G66" s="13" t="str" cm="1">
        <f t="array" ref="G66">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N/A</v>
      </c>
      <c r="H66" s="13" t="str" cm="1">
        <f t="array" ref="H66">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66" s="13" t="str" cm="1">
        <f t="array" ref="I66">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66" s="13" t="str" cm="1">
        <f t="array" ref="J66">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66" s="13" t="str" cm="1">
        <f t="array" ref="K66">IF(ROW()-ROW(tbl_FS_EligibilitySummary[#Headers])&lt;=ROWS(tbl_FS_Assessment[ActionID]),INDEX(tbl_FS_Assessment[ReviewStatus],ROW()-ROW(tbl_FS_EligibilitySummary[#Headers])),INDEX(tbl_FS_AdditionalActions[ReviewStatus],ROW()-ROW(tbl_FS_EligibilitySummary[#Headers])-ROWS(tbl_FS_Assessment[ActionID])))</f>
        <v>Reviewed</v>
      </c>
    </row>
    <row r="67" spans="1:20">
      <c r="B67" s="13" t="str" cm="1">
        <f t="array" ref="B67">IF(ROW()-ROW(tbl_FS_EligibilitySummary[#Headers])&lt;=ROWS(tbl_FS_Assessment[ActionID]),"Existing action","Additional action")</f>
        <v>Additional action</v>
      </c>
      <c r="C67" s="13" t="str" cm="1">
        <f t="array" ref="C67">IF(ROW()-ROW(tbl_FS_EligibilitySummary[#Headers])&lt;=ROWS(tbl_FS_Assessment[ActionID]),INDEX(tbl_FS_Assessment[ActionID],ROW()-ROW(tbl_FS_EligibilitySummary[#Headers])),INDEX(tbl_FS_AdditionalActions[AdditionalActionID],ROW()-ROW(tbl_FS_EligibilitySummary[#Headers])-ROWS(tbl_FS_Assessment[ActionID])))</f>
        <v>FS_ADD_0007</v>
      </c>
      <c r="D67" s="13" t="str" cm="1">
        <f t="array" ref="D67">IF(ROW()-ROW(tbl_FS_EligibilitySummary[#Headers])&lt;=ROWS(tbl_FS_Assessment[ActionID]),INDEX(tbl_FS_Assessment[ActionName],ROW()-ROW(tbl_FS_EligibilitySummary[#Headers])),INDEX(tbl_FS_AdditionalActions[ActionName],ROW()-ROW(tbl_FS_EligibilitySummary[#Headers])-ROWS(tbl_FS_Assessment[ActionID])))</f>
        <v>Deploy precision agriculture and smart farming systems</v>
      </c>
      <c r="E67" s="13" t="str" cm="1">
        <f t="array" ref="E67">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67" s="13" cm="1">
        <f t="array" ref="F67">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2</v>
      </c>
      <c r="G67" s="13" t="str" cm="1">
        <f t="array" ref="G67">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Medium effectiveness</v>
      </c>
      <c r="H67" s="13" t="str" cm="1">
        <f t="array" ref="H67">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67" s="13" t="str" cm="1">
        <f t="array" ref="I67">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67" s="13" t="str" cm="1">
        <f t="array" ref="J67">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67" s="13" t="str" cm="1">
        <f t="array" ref="K67">IF(ROW()-ROW(tbl_FS_EligibilitySummary[#Headers])&lt;=ROWS(tbl_FS_Assessment[ActionID]),INDEX(tbl_FS_Assessment[ReviewStatus],ROW()-ROW(tbl_FS_EligibilitySummary[#Headers])),INDEX(tbl_FS_AdditionalActions[ReviewStatus],ROW()-ROW(tbl_FS_EligibilitySummary[#Headers])-ROWS(tbl_FS_Assessment[ActionID])))</f>
        <v>Reviewed</v>
      </c>
    </row>
    <row r="68" spans="1:20">
      <c r="B68" s="13" t="str" cm="1">
        <f t="array" ref="B68">IF(ROW()-ROW(tbl_FS_EligibilitySummary[#Headers])&lt;=ROWS(tbl_FS_Assessment[ActionID]),"Existing action","Additional action")</f>
        <v>Additional action</v>
      </c>
      <c r="C68" s="13" t="str" cm="1">
        <f t="array" ref="C68">IF(ROW()-ROW(tbl_FS_EligibilitySummary[#Headers])&lt;=ROWS(tbl_FS_Assessment[ActionID]),INDEX(tbl_FS_Assessment[ActionID],ROW()-ROW(tbl_FS_EligibilitySummary[#Headers])),INDEX(tbl_FS_AdditionalActions[AdditionalActionID],ROW()-ROW(tbl_FS_EligibilitySummary[#Headers])-ROWS(tbl_FS_Assessment[ActionID])))</f>
        <v>FS_ADD_0008</v>
      </c>
      <c r="D68" s="13" t="str" cm="1">
        <f t="array" ref="D68">IF(ROW()-ROW(tbl_FS_EligibilitySummary[#Headers])&lt;=ROWS(tbl_FS_Assessment[ActionID]),INDEX(tbl_FS_Assessment[ActionName],ROW()-ROW(tbl_FS_EligibilitySummary[#Headers])),INDEX(tbl_FS_AdditionalActions[ActionName],ROW()-ROW(tbl_FS_EligibilitySummary[#Headers])-ROWS(tbl_FS_Assessment[ActionID])))</f>
        <v>Apply biochar and hydrogel soil conditioners for water retention</v>
      </c>
      <c r="E68" s="13" t="str" cm="1">
        <f t="array" ref="E68">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68" s="13" cm="1">
        <f t="array" ref="F68">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1</v>
      </c>
      <c r="G68" s="13" t="str" cm="1">
        <f t="array" ref="G68">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High effectiveness</v>
      </c>
      <c r="H68" s="13" t="str" cm="1">
        <f t="array" ref="H68">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68" s="13" t="str" cm="1">
        <f t="array" ref="I68">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68" s="13" t="str" cm="1">
        <f t="array" ref="J68">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68" s="13" t="str" cm="1">
        <f t="array" ref="K68">IF(ROW()-ROW(tbl_FS_EligibilitySummary[#Headers])&lt;=ROWS(tbl_FS_Assessment[ActionID]),INDEX(tbl_FS_Assessment[ReviewStatus],ROW()-ROW(tbl_FS_EligibilitySummary[#Headers])),INDEX(tbl_FS_AdditionalActions[ReviewStatus],ROW()-ROW(tbl_FS_EligibilitySummary[#Headers])-ROWS(tbl_FS_Assessment[ActionID])))</f>
        <v>Reviewed</v>
      </c>
    </row>
    <row r="69" spans="1:20">
      <c r="B69" s="13" t="str" cm="1">
        <f t="array" ref="B69">IF(ROW()-ROW(tbl_FS_EligibilitySummary[#Headers])&lt;=ROWS(tbl_FS_Assessment[ActionID]),"Existing action","Additional action")</f>
        <v>Additional action</v>
      </c>
      <c r="C69" s="13" t="str" cm="1">
        <f t="array" ref="C69">IF(ROW()-ROW(tbl_FS_EligibilitySummary[#Headers])&lt;=ROWS(tbl_FS_Assessment[ActionID]),INDEX(tbl_FS_Assessment[ActionID],ROW()-ROW(tbl_FS_EligibilitySummary[#Headers])),INDEX(tbl_FS_AdditionalActions[AdditionalActionID],ROW()-ROW(tbl_FS_EligibilitySummary[#Headers])-ROWS(tbl_FS_Assessment[ActionID])))</f>
        <v>FS_ADD_0009</v>
      </c>
      <c r="D69" s="13" t="str" cm="1">
        <f t="array" ref="D69">IF(ROW()-ROW(tbl_FS_EligibilitySummary[#Headers])&lt;=ROWS(tbl_FS_Assessment[ActionID]),INDEX(tbl_FS_Assessment[ActionName],ROW()-ROW(tbl_FS_EligibilitySummary[#Headers])),INDEX(tbl_FS_AdditionalActions[ActionName],ROW()-ROW(tbl_FS_EligibilitySummary[#Headers])-ROWS(tbl_FS_Assessment[ActionID])))</f>
        <v>Apply microbial bioinputs to improve crop drought tolerance</v>
      </c>
      <c r="E69" s="13" t="str" cm="1">
        <f t="array" ref="E69">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69" s="13" cm="1">
        <f t="array" ref="F69">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1</v>
      </c>
      <c r="G69" s="13" t="str" cm="1">
        <f t="array" ref="G69">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No demonstrated effectiveness</v>
      </c>
      <c r="H69" s="13" t="str" cm="1">
        <f t="array" ref="H69">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69" s="13" t="str" cm="1">
        <f t="array" ref="I69">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69" s="13" t="str" cm="1">
        <f t="array" ref="J69">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69" s="13" t="str" cm="1">
        <f t="array" ref="K69">IF(ROW()-ROW(tbl_FS_EligibilitySummary[#Headers])&lt;=ROWS(tbl_FS_Assessment[ActionID]),INDEX(tbl_FS_Assessment[ReviewStatus],ROW()-ROW(tbl_FS_EligibilitySummary[#Headers])),INDEX(tbl_FS_AdditionalActions[ReviewStatus],ROW()-ROW(tbl_FS_EligibilitySummary[#Headers])-ROWS(tbl_FS_Assessment[ActionID])))</f>
        <v>Reviewed</v>
      </c>
    </row>
    <row r="70" spans="1:20">
      <c r="B70" s="13" t="str" cm="1">
        <f t="array" ref="B70">IF(ROW()-ROW(tbl_FS_EligibilitySummary[#Headers])&lt;=ROWS(tbl_FS_Assessment[ActionID]),"Existing action","Additional action")</f>
        <v>Additional action</v>
      </c>
      <c r="C70" s="13" t="str" cm="1">
        <f t="array" ref="C70">IF(ROW()-ROW(tbl_FS_EligibilitySummary[#Headers])&lt;=ROWS(tbl_FS_Assessment[ActionID]),INDEX(tbl_FS_Assessment[ActionID],ROW()-ROW(tbl_FS_EligibilitySummary[#Headers])),INDEX(tbl_FS_AdditionalActions[AdditionalActionID],ROW()-ROW(tbl_FS_EligibilitySummary[#Headers])-ROWS(tbl_FS_Assessment[ActionID])))</f>
        <v>FS_ADD_0010</v>
      </c>
      <c r="D70" s="13" t="str" cm="1">
        <f t="array" ref="D70">IF(ROW()-ROW(tbl_FS_EligibilitySummary[#Headers])&lt;=ROWS(tbl_FS_Assessment[ActionID]),INDEX(tbl_FS_Assessment[ActionName],ROW()-ROW(tbl_FS_EligibilitySummary[#Headers])),INDEX(tbl_FS_AdditionalActions[ActionName],ROW()-ROW(tbl_FS_EligibilitySummary[#Headers])-ROWS(tbl_FS_Assessment[ActionID])))</f>
        <v>Deploy managed bee colonies for crop pollination</v>
      </c>
      <c r="E70" s="13" t="str" cm="1">
        <f t="array" ref="E70">IF(ROW()-ROW(tbl_FS_EligibilitySummary[#Headers])&lt;=ROWS(tbl_FS_Assessment[ActionID]),INDEX(tbl_FS_Assessment[Vulnerability Eligibility],ROW()-ROW(tbl_FS_EligibilitySummary[#Headers])),INDEX(tbl_FS_AdditionalActions[Vulnerability Eligibility],ROW()-ROW(tbl_FS_EligibilitySummary[#Headers])-ROWS(tbl_FS_Assessment[ActionID])))</f>
        <v>Eligible</v>
      </c>
      <c r="F70" s="13" cm="1">
        <f t="array" ref="F70">IF(ROW()-ROW(tbl_FS_EligibilitySummary[#Headers])&lt;=ROWS(tbl_FS_Assessment[ActionID]),IF(INDEX(tbl_FS_Assessment[Vulnerability Evidence Count],ROW()-ROW(tbl_FS_EligibilitySummary[#Headers]))=0,"",INDEX(tbl_FS_Assessment[Vulnerability Evidence Count],ROW()-ROW(tbl_FS_EligibilitySummary[#Headers]))),IF(INDEX(tbl_FS_AdditionalActions[Vulnerability Evidence Count],ROW()-ROW(tbl_FS_EligibilitySummary[#Headers])-ROWS(tbl_FS_Assessment[ActionID]))=0,"",INDEX(tbl_FS_AdditionalActions[Vulnerability Evidence Count],ROW()-ROW(tbl_FS_EligibilitySummary[#Headers])-ROWS(tbl_FS_Assessment[ActionID]))))</f>
        <v>1</v>
      </c>
      <c r="G70" s="13" t="str" cm="1">
        <f t="array" ref="G70">IF(tbl_FS_EligibilitySummary[[#This Row],[Vulnerability Eligibility]]="Eligible",IF(ROW()-ROW(tbl_FS_EligibilitySummary[#Headers])&lt;=ROWS(tbl_FS_Assessment[ActionID]),IF(INDEX(tbl_FS_Assessment[Effectiveness on Vulnerability],ROW()-ROW(tbl_FS_EligibilitySummary[#Headers]))="","",INDEX(tbl_FS_Assessment[Effectiveness on Vulnerability],ROW()-ROW(tbl_FS_EligibilitySummary[#Headers]))),IF(INDEX(tbl_FS_AdditionalActions[Effectiveness on Vulnerability],ROW()-ROW(tbl_FS_EligibilitySummary[#Headers])-ROWS(tbl_FS_Assessment[ActionID]))="","",INDEX(tbl_FS_AdditionalActions[Effectiveness on Vulnerability],ROW()-ROW(tbl_FS_EligibilitySummary[#Headers])-ROWS(tbl_FS_Assessment[ActionID])))),IF(tbl_FS_EligibilitySummary[[#This Row],[Vulnerability Eligibility]]="Review required","Review required",IF(tbl_FS_EligibilitySummary[[#This Row],[Vulnerability Eligibility]]="Not eligible","N/A","")))</f>
        <v>Medium effectiveness</v>
      </c>
      <c r="H70" s="13" t="str" cm="1">
        <f t="array" ref="H70">IF(ROW()-ROW(tbl_FS_EligibilitySummary[#Headers])&lt;=ROWS(tbl_FS_Assessment[ActionID]),INDEX(tbl_FS_Assessment[Exposure Eligibility],ROW()-ROW(tbl_FS_EligibilitySummary[#Headers])),INDEX(tbl_FS_AdditionalActions[Exposure Eligibility],ROW()-ROW(tbl_FS_EligibilitySummary[#Headers])-ROWS(tbl_FS_Assessment[ActionID])))</f>
        <v>Not eligible</v>
      </c>
      <c r="I70" s="13" t="str" cm="1">
        <f t="array" ref="I70">IF(ROW()-ROW(tbl_FS_EligibilitySummary[#Headers])&lt;=ROWS(tbl_FS_Assessment[ActionID]),IF(INDEX(tbl_FS_Assessment[Exposure Evidence Count],ROW()-ROW(tbl_FS_EligibilitySummary[#Headers]))=0,"",INDEX(tbl_FS_Assessment[Exposure Evidence Count],ROW()-ROW(tbl_FS_EligibilitySummary[#Headers]))),IF(INDEX(tbl_FS_AdditionalActions[Exposure Evidence Count],ROW()-ROW(tbl_FS_EligibilitySummary[#Headers])-ROWS(tbl_FS_Assessment[ActionID]))=0,"",INDEX(tbl_FS_AdditionalActions[Exposure Evidence Count],ROW()-ROW(tbl_FS_EligibilitySummary[#Headers])-ROWS(tbl_FS_Assessment[ActionID]))))</f>
        <v/>
      </c>
      <c r="J70" s="13" t="str" cm="1">
        <f t="array" ref="J70">IF(tbl_FS_EligibilitySummary[[#This Row],[Exposure Eligibility]]="Eligible",IF(ROW()-ROW(tbl_FS_EligibilitySummary[#Headers])&lt;=ROWS(tbl_FS_Assessment[ActionID]),IF(INDEX(tbl_FS_Assessment[Effectiveness on Exposure],ROW()-ROW(tbl_FS_EligibilitySummary[#Headers]))="","",INDEX(tbl_FS_Assessment[Effectiveness on Exposure],ROW()-ROW(tbl_FS_EligibilitySummary[#Headers]))),IF(INDEX(tbl_FS_AdditionalActions[Effectiveness on Exposure],ROW()-ROW(tbl_FS_EligibilitySummary[#Headers])-ROWS(tbl_FS_Assessment[ActionID]))="","",INDEX(tbl_FS_AdditionalActions[Effectiveness on Exposure],ROW()-ROW(tbl_FS_EligibilitySummary[#Headers])-ROWS(tbl_FS_Assessment[ActionID])))),IF(tbl_FS_EligibilitySummary[[#This Row],[Exposure Eligibility]]="Review required","Review required",IF(tbl_FS_EligibilitySummary[[#This Row],[Exposure Eligibility]]="Not eligible","N/A","")))</f>
        <v>N/A</v>
      </c>
      <c r="K70" s="13" t="str" cm="1">
        <f t="array" ref="K70">IF(ROW()-ROW(tbl_FS_EligibilitySummary[#Headers])&lt;=ROWS(tbl_FS_Assessment[ActionID]),INDEX(tbl_FS_Assessment[ReviewStatus],ROW()-ROW(tbl_FS_EligibilitySummary[#Headers])),INDEX(tbl_FS_AdditionalActions[ReviewStatus],ROW()-ROW(tbl_FS_EligibilitySummary[#Headers])-ROWS(tbl_FS_Assessment[ActionID])))</f>
        <v>Reviewed</v>
      </c>
    </row>
    <row r="71" spans="1:20" ht="21">
      <c r="A71" s="185"/>
      <c r="B71" s="116" t="s">
        <v>2566</v>
      </c>
      <c r="C71" s="116"/>
      <c r="D71" s="116"/>
      <c r="E71" s="116"/>
      <c r="F71" s="116"/>
      <c r="G71" s="116"/>
      <c r="H71" s="116"/>
      <c r="I71" s="116"/>
      <c r="J71" s="116"/>
      <c r="K71" s="116"/>
      <c r="L71" s="116"/>
      <c r="M71" s="116"/>
      <c r="N71" s="116"/>
      <c r="O71" s="116"/>
      <c r="P71" s="116"/>
      <c r="Q71" s="116"/>
      <c r="R71" s="116"/>
      <c r="S71" s="116"/>
      <c r="T71" s="116"/>
    </row>
    <row r="72" spans="1:20">
      <c r="B72" s="93" t="s">
        <v>1613</v>
      </c>
      <c r="C72" s="80" t="s">
        <v>2573</v>
      </c>
    </row>
    <row r="73" spans="1:20">
      <c r="B73" s="192" t="s">
        <v>1542</v>
      </c>
      <c r="C73" s="83" t="s">
        <v>1856</v>
      </c>
    </row>
    <row r="75" spans="1:20" ht="15.6">
      <c r="A75" s="185"/>
      <c r="B75" s="119" t="s">
        <v>1532</v>
      </c>
      <c r="C75" s="120"/>
    </row>
    <row r="76" spans="1:20">
      <c r="A76" s="185"/>
      <c r="B76" s="193" t="s">
        <v>828</v>
      </c>
      <c r="C76" s="194" t="s">
        <v>4</v>
      </c>
    </row>
    <row r="77" spans="1:20">
      <c r="A77" s="185"/>
      <c r="B77" s="193" t="s">
        <v>1504</v>
      </c>
      <c r="C77" s="195" t="s">
        <v>33</v>
      </c>
    </row>
    <row r="78" spans="1:20">
      <c r="A78" s="185"/>
      <c r="B78" s="82" t="s">
        <v>1520</v>
      </c>
      <c r="C78" s="106" t="str" cm="1">
        <f t="array" ref="C78">_xlfn.TEXTJOIN(", ",TRUE,_xlfn.UNIQUE(_xlfn._xlws.FILTER(Table227[base_indicator_name],(Table227[sector_name]=$C$76)*(Table227[risk_component_name]=$C$77),"")))</f>
        <v>Susceptibility of agricultural productivity, Susceptibility of livestock productivity, Homogeneity of agricultural production, Irrigation susceptibility, Fire hotspots, Agriculture and water availability, Agricultural areas with low agricultural potential, Agricultural areas with soil susceptible to erosion, Water deficit, Vegetation cover losses, Investment in agrarian and environmental management policies, Harvest guarantee program, PRONAF coverage, cistern program, Proagro coverage plus, PSR coverage, Technical guidance, Associativism, Land ownership, Stability of agrarian conflicts, Storage capacity, Distance from warehouses, Diversity of revenues, Tractors in agricultural establishments, Potential for agricultural expansion in pasture areas, Average number of residents per household, Mothers who are heads of the family, Economically dependent population, Direct source water shortage, Compromised water quality, Ultra-processed food commercial establishments, Municipalities without a basic food supply network, Food and nutritional insecurity, Child malnutrition, Occurrence of diseases related to inadequate environmental sanitation, Overweight and obesity, Federal investment per capita, Food safety instruments, National school feeding program (PNAE), Food Acquisition Program (PAA), PAA suppliers classified as “traditional peoples and communities”, Cistern program service, Scope of the family allowance program, Equality in intra-household income distribution, Households with high per capita income</v>
      </c>
    </row>
    <row r="80" spans="1:20" ht="15.6">
      <c r="A80" s="185"/>
      <c r="B80" s="117" t="s">
        <v>1533</v>
      </c>
      <c r="C80" s="118"/>
    </row>
    <row r="81" spans="1:36">
      <c r="A81" s="185"/>
      <c r="B81" s="193" t="s">
        <v>828</v>
      </c>
      <c r="C81" s="194" t="s">
        <v>4</v>
      </c>
    </row>
    <row r="82" spans="1:36">
      <c r="A82" s="185"/>
      <c r="B82" s="193" t="s">
        <v>1504</v>
      </c>
      <c r="C82" s="195" t="s">
        <v>71</v>
      </c>
    </row>
    <row r="83" spans="1:36">
      <c r="A83" s="185"/>
      <c r="B83" s="82" t="s">
        <v>1520</v>
      </c>
      <c r="C83" s="107" t="str" cm="1">
        <f t="array" ref="C83">_xlfn.TEXTJOIN(", ",TRUE,_xlfn.UNIQUE(_xlfn._xlws.FILTER(Table227[base_indicator_name],(Table227[sector_name]=$C$81)*(Table227[risk_component_name]=$C$82),"")))</f>
        <v>Agriculture in the municipality’s economy, Area planted with agricultural crops, Area of ​​agricultural establishments with livestock, Establishments with family farming, Density of agricultural establishments, Population density, Total population</v>
      </c>
    </row>
    <row r="85" spans="1:36" s="185" customFormat="1" ht="21">
      <c r="B85" s="114" t="s">
        <v>2568</v>
      </c>
      <c r="C85" s="114"/>
      <c r="D85" s="114"/>
      <c r="E85" s="114"/>
      <c r="F85" s="114"/>
      <c r="G85" s="114"/>
      <c r="H85" s="114"/>
      <c r="I85" s="114"/>
      <c r="J85" s="114"/>
      <c r="K85" s="114"/>
      <c r="L85" s="114"/>
      <c r="M85" s="114"/>
      <c r="N85" s="114"/>
      <c r="O85" s="114"/>
      <c r="P85" s="114"/>
      <c r="Q85" s="114"/>
      <c r="R85" s="114"/>
      <c r="S85" s="114"/>
      <c r="T85" s="114"/>
      <c r="AA85" s="186"/>
      <c r="AB85" s="186"/>
      <c r="AC85" s="186"/>
      <c r="AD85" s="186"/>
      <c r="AE85" s="186"/>
      <c r="AF85" s="186"/>
      <c r="AG85" s="186"/>
      <c r="AH85" s="186"/>
      <c r="AI85" s="186"/>
      <c r="AJ85" s="186"/>
    </row>
    <row r="86" spans="1:36" s="185" customFormat="1">
      <c r="B86" s="89" t="s">
        <v>1576</v>
      </c>
      <c r="C86" s="80" t="s">
        <v>1562</v>
      </c>
      <c r="D86" s="80"/>
      <c r="E86" s="80"/>
      <c r="F86" s="80"/>
      <c r="G86" s="80"/>
      <c r="H86" s="80"/>
      <c r="I86" s="80"/>
      <c r="J86" s="80"/>
      <c r="K86" s="80"/>
      <c r="L86" s="80"/>
      <c r="M86" s="80"/>
      <c r="N86" s="80"/>
      <c r="O86" s="80"/>
      <c r="P86" s="80"/>
      <c r="Q86" s="80"/>
      <c r="R86" s="80"/>
      <c r="S86" s="80"/>
      <c r="T86" s="80"/>
      <c r="AA86" s="186"/>
      <c r="AB86" s="186"/>
      <c r="AC86" s="186"/>
      <c r="AD86" s="186"/>
      <c r="AE86" s="186"/>
      <c r="AF86" s="186"/>
      <c r="AG86" s="186"/>
      <c r="AH86" s="186"/>
      <c r="AI86" s="186"/>
      <c r="AJ86" s="186"/>
    </row>
    <row r="87" spans="1:36" s="185" customFormat="1">
      <c r="B87" s="89" t="s">
        <v>1577</v>
      </c>
      <c r="C87" s="80" t="s">
        <v>2574</v>
      </c>
      <c r="D87" s="80"/>
      <c r="AA87" s="186"/>
      <c r="AB87" s="186"/>
      <c r="AC87" s="186"/>
      <c r="AD87" s="186"/>
      <c r="AE87" s="186"/>
      <c r="AF87" s="186"/>
      <c r="AG87" s="186"/>
      <c r="AH87" s="186"/>
      <c r="AI87" s="186"/>
      <c r="AJ87" s="186"/>
    </row>
    <row r="88" spans="1:36" s="185" customFormat="1">
      <c r="B88" s="89" t="s">
        <v>1557</v>
      </c>
      <c r="C88" s="80" t="str">
        <f>"Sector:"&amp;CHAR(10)&amp;"Food Security"&amp;CHAR(10)&amp;CHAR(10)&amp;"Approved Vulnerability Indicators:"&amp;CHAR(10)&amp;$C$78&amp;CHAR(10)&amp;CHAR(10)&amp;"Approved Exposure Indicators:"&amp;CHAR(10)&amp;$C$83&amp;CHAR(10)&amp;CHAR(10)&amp;"Mandatory framework sources:"&amp;CHAR(10)&amp;"FS_SRC_001 | Brazil | AdaptaBrasil MCTI: Índices e Indicadores | MCTI | 2023"&amp;CHAR(10)&amp;CHAR(10)&amp;"FS_SRC_002 | International | IPCC AR6 WGII"</f>
        <v>Sector:
Food Security
Approved Vulnerability Indicators:
Susceptibility of agricultural productivity, Susceptibility of livestock productivity, Homogeneity of agricultural production, Irrigation susceptibility, Fire hotspots, Agriculture and water availability, Agricultural areas with low agricultural potential, Agricultural areas with soil susceptible to erosion, Water deficit, Vegetation cover losses, Investment in agrarian and environmental management policies, Harvest guarantee program, PRONAF coverage, cistern program, Proagro coverage plus, PSR coverage, Technical guidance, Associativism, Land ownership, Stability of agrarian conflicts, Storage capacity, Distance from warehouses, Diversity of revenues, Tractors in agricultural establishments, Potential for agricultural expansion in pasture areas, Average number of residents per household, Mothers who are heads of the family, Economically dependent population, Direct source water shortage, Compromised water quality, Ultra-processed food commercial establishments, Municipalities without a basic food supply network, Food and nutritional insecurity, Child malnutrition, Occurrence of diseases related to inadequate environmental sanitation, Overweight and obesity, Federal investment per capita, Food safety instruments, National school feeding program (PNAE), Food Acquisition Program (PAA), PAA suppliers classified as “traditional peoples and communities”, Cistern program service, Scope of the family allowance program, Equality in intra-household income distribution, Households with high per capita income
Approved Exposure Indicators:
Agriculture in the municipality’s economy, Area planted with agricultural crops, Area of ​​agricultural establishments with livestock, Establishments with family farming, Density of agricultural establishments, Population density, Total population
Mandatory framework sources:
FS_SRC_001 | Brazil | AdaptaBrasil MCTI: Índices e Indicadores | MCTI | 2023
FS_SRC_002 | International | IPCC AR6 WGII</v>
      </c>
      <c r="D88" s="91" t="s">
        <v>1588</v>
      </c>
    </row>
    <row r="89" spans="1:36" s="185" customFormat="1">
      <c r="B89" s="84" t="s">
        <v>1543</v>
      </c>
      <c r="C89" s="83" t="s">
        <v>1857</v>
      </c>
      <c r="D89" s="91" t="s">
        <v>1588</v>
      </c>
      <c r="E89" s="186"/>
    </row>
    <row r="90" spans="1:36" s="185" customFormat="1">
      <c r="B90" s="89" t="s">
        <v>1544</v>
      </c>
      <c r="C90" s="90" t="s">
        <v>1579</v>
      </c>
      <c r="D90" s="90"/>
    </row>
    <row r="91" spans="1:36">
      <c r="AA91" s="185"/>
      <c r="AB91" s="185"/>
      <c r="AC91" s="185"/>
      <c r="AD91" s="185"/>
      <c r="AE91" s="185"/>
      <c r="AF91" s="185"/>
      <c r="AG91" s="185"/>
      <c r="AH91" s="185"/>
      <c r="AI91" s="185"/>
      <c r="AJ91" s="185"/>
    </row>
    <row r="92" spans="1:36">
      <c r="B92" s="196" t="s">
        <v>1580</v>
      </c>
      <c r="C92" s="196"/>
      <c r="D92" s="196"/>
      <c r="E92" s="196"/>
      <c r="F92" s="196"/>
      <c r="G92" s="196"/>
      <c r="AA92" s="185"/>
      <c r="AB92" s="185"/>
      <c r="AC92" s="185"/>
      <c r="AD92" s="185"/>
      <c r="AE92" s="185"/>
      <c r="AF92" s="185"/>
      <c r="AG92" s="185"/>
      <c r="AH92" s="185"/>
      <c r="AI92" s="185"/>
      <c r="AJ92" s="185"/>
    </row>
    <row r="93" spans="1:36">
      <c r="A93" s="185"/>
      <c r="B93" s="104" t="s">
        <v>1506</v>
      </c>
      <c r="C93" s="104" t="s">
        <v>1507</v>
      </c>
      <c r="D93" s="104" t="s">
        <v>1508</v>
      </c>
      <c r="E93" s="104" t="s">
        <v>1509</v>
      </c>
      <c r="F93" s="104" t="s">
        <v>1510</v>
      </c>
      <c r="G93" s="104" t="s">
        <v>1511</v>
      </c>
      <c r="H93" s="105"/>
      <c r="I93" s="105"/>
      <c r="J93" s="105"/>
      <c r="K93" s="105"/>
      <c r="L93" s="105"/>
      <c r="M93" s="74"/>
      <c r="N93" s="74"/>
      <c r="O93" s="74"/>
      <c r="P93" s="74"/>
      <c r="Q93" s="74"/>
      <c r="R93" s="74"/>
      <c r="S93" s="74"/>
      <c r="T93" s="74"/>
      <c r="AA93" s="185"/>
      <c r="AB93" s="185"/>
      <c r="AC93" s="185"/>
      <c r="AD93" s="185"/>
      <c r="AE93" s="185"/>
      <c r="AF93" s="185"/>
      <c r="AG93" s="185"/>
      <c r="AH93" s="185"/>
      <c r="AI93" s="185"/>
      <c r="AJ93" s="185"/>
    </row>
    <row r="94" spans="1:36">
      <c r="B94" s="76" t="s">
        <v>1858</v>
      </c>
      <c r="C94" s="74" t="s">
        <v>1472</v>
      </c>
      <c r="D94" s="74" t="s">
        <v>1862</v>
      </c>
      <c r="E94" s="74" t="s">
        <v>1863</v>
      </c>
      <c r="F94" s="86">
        <v>2023</v>
      </c>
      <c r="G94" s="74" t="s">
        <v>1864</v>
      </c>
      <c r="H94" s="74"/>
      <c r="I94" s="74"/>
      <c r="J94" s="74"/>
      <c r="K94" s="74"/>
      <c r="L94" s="74"/>
      <c r="M94" s="74"/>
      <c r="N94" s="74"/>
      <c r="O94" s="74"/>
      <c r="P94" s="74"/>
      <c r="Q94" s="74"/>
      <c r="R94" s="74"/>
      <c r="S94" s="74"/>
      <c r="T94" s="74"/>
    </row>
    <row r="95" spans="1:36">
      <c r="B95" s="76" t="s">
        <v>1859</v>
      </c>
      <c r="C95" s="74" t="s">
        <v>1474</v>
      </c>
      <c r="D95" s="74" t="s">
        <v>1865</v>
      </c>
      <c r="E95" s="74" t="s">
        <v>1475</v>
      </c>
      <c r="F95" s="86">
        <v>2022</v>
      </c>
      <c r="G95" s="74" t="s">
        <v>1866</v>
      </c>
      <c r="H95" s="74"/>
      <c r="I95" s="74"/>
      <c r="J95" s="74"/>
      <c r="K95" s="74"/>
      <c r="L95" s="74"/>
      <c r="M95" s="74"/>
      <c r="N95" s="74"/>
      <c r="O95" s="74"/>
      <c r="P95" s="74"/>
      <c r="Q95" s="74"/>
      <c r="R95" s="74"/>
      <c r="S95" s="74"/>
      <c r="T95" s="74"/>
    </row>
    <row r="96" spans="1:36">
      <c r="B96" s="76" t="s">
        <v>1867</v>
      </c>
      <c r="C96" s="74" t="s">
        <v>1472</v>
      </c>
      <c r="D96" s="74" t="s">
        <v>1868</v>
      </c>
      <c r="E96" s="74" t="s">
        <v>1869</v>
      </c>
      <c r="F96" s="86">
        <v>2023</v>
      </c>
      <c r="G96" s="85" t="s">
        <v>1870</v>
      </c>
      <c r="H96" s="74"/>
      <c r="I96" s="74"/>
      <c r="J96" s="74"/>
      <c r="K96" s="74"/>
      <c r="L96" s="74"/>
      <c r="M96" s="74"/>
      <c r="N96" s="74"/>
      <c r="O96" s="74"/>
      <c r="P96" s="74"/>
      <c r="Q96" s="74"/>
      <c r="R96" s="74"/>
      <c r="S96" s="74"/>
      <c r="T96" s="74"/>
    </row>
    <row r="97" spans="2:36">
      <c r="B97" s="76" t="s">
        <v>1871</v>
      </c>
      <c r="C97" s="74" t="s">
        <v>1472</v>
      </c>
      <c r="D97" s="74" t="s">
        <v>1872</v>
      </c>
      <c r="E97" s="74" t="s">
        <v>1873</v>
      </c>
      <c r="F97" s="86">
        <v>2016</v>
      </c>
      <c r="G97" s="74" t="s">
        <v>1874</v>
      </c>
      <c r="H97" s="74"/>
      <c r="I97" s="74"/>
      <c r="J97" s="74"/>
      <c r="K97" s="74"/>
      <c r="L97" s="74"/>
      <c r="M97" s="74"/>
      <c r="N97" s="74"/>
      <c r="O97" s="74"/>
      <c r="P97" s="74"/>
      <c r="Q97" s="74"/>
      <c r="R97" s="74"/>
      <c r="S97" s="74"/>
      <c r="T97" s="74"/>
    </row>
    <row r="98" spans="2:36">
      <c r="B98" s="76" t="s">
        <v>1875</v>
      </c>
      <c r="C98" s="74" t="s">
        <v>1472</v>
      </c>
      <c r="D98" s="74" t="s">
        <v>1876</v>
      </c>
      <c r="E98" s="74" t="s">
        <v>1877</v>
      </c>
      <c r="F98" s="86">
        <v>2023</v>
      </c>
      <c r="G98" s="85" t="s">
        <v>1878</v>
      </c>
      <c r="H98" s="74"/>
      <c r="I98" s="74"/>
      <c r="J98" s="74"/>
      <c r="K98" s="74"/>
      <c r="L98" s="74"/>
      <c r="M98" s="74"/>
      <c r="N98" s="74"/>
      <c r="O98" s="74"/>
      <c r="P98" s="74"/>
      <c r="Q98" s="74"/>
      <c r="R98" s="74"/>
      <c r="S98" s="74"/>
      <c r="T98" s="74"/>
    </row>
    <row r="99" spans="2:36">
      <c r="B99" s="76" t="s">
        <v>1879</v>
      </c>
      <c r="C99" s="74" t="s">
        <v>1472</v>
      </c>
      <c r="D99" s="74" t="s">
        <v>1896</v>
      </c>
      <c r="E99" s="74"/>
      <c r="F99" s="86">
        <v>2025</v>
      </c>
      <c r="G99" s="85" t="s">
        <v>1898</v>
      </c>
      <c r="H99" s="74"/>
      <c r="I99" s="74"/>
      <c r="J99" s="74"/>
      <c r="K99" s="74"/>
      <c r="L99" s="74"/>
      <c r="M99" s="74"/>
      <c r="N99" s="74"/>
      <c r="O99" s="74"/>
      <c r="P99" s="74"/>
      <c r="Q99" s="74"/>
      <c r="R99" s="74"/>
      <c r="S99" s="74"/>
      <c r="T99" s="74"/>
    </row>
    <row r="100" spans="2:36">
      <c r="B100" s="76" t="s">
        <v>1883</v>
      </c>
      <c r="C100" s="74" t="s">
        <v>1472</v>
      </c>
      <c r="D100" s="74" t="s">
        <v>1880</v>
      </c>
      <c r="E100" s="74" t="s">
        <v>1881</v>
      </c>
      <c r="F100" s="86">
        <v>2025</v>
      </c>
      <c r="G100" s="74" t="s">
        <v>1882</v>
      </c>
      <c r="H100" s="74"/>
      <c r="I100" s="74"/>
      <c r="J100" s="74"/>
      <c r="K100" s="74"/>
      <c r="L100" s="74"/>
      <c r="M100" s="74"/>
      <c r="N100" s="74"/>
      <c r="O100" s="74"/>
      <c r="P100" s="74"/>
      <c r="Q100" s="74"/>
      <c r="R100" s="74"/>
      <c r="S100" s="74"/>
      <c r="T100" s="74"/>
    </row>
    <row r="101" spans="2:36">
      <c r="B101" s="76" t="s">
        <v>1887</v>
      </c>
      <c r="C101" s="74" t="s">
        <v>1474</v>
      </c>
      <c r="D101" s="74" t="s">
        <v>1884</v>
      </c>
      <c r="E101" s="74" t="s">
        <v>1885</v>
      </c>
      <c r="F101" s="86">
        <v>2014</v>
      </c>
      <c r="G101" s="85" t="s">
        <v>1886</v>
      </c>
      <c r="H101" s="74"/>
      <c r="I101" s="74"/>
      <c r="J101" s="74"/>
      <c r="K101" s="74"/>
      <c r="L101" s="74"/>
      <c r="M101" s="74"/>
      <c r="N101" s="74"/>
      <c r="O101" s="74"/>
      <c r="P101" s="74"/>
      <c r="Q101" s="74"/>
      <c r="R101" s="74"/>
      <c r="S101" s="74"/>
      <c r="T101" s="74"/>
    </row>
    <row r="102" spans="2:36">
      <c r="B102" s="76" t="s">
        <v>1890</v>
      </c>
      <c r="C102" s="74" t="s">
        <v>1474</v>
      </c>
      <c r="D102" s="74" t="s">
        <v>1888</v>
      </c>
      <c r="E102" s="74" t="s">
        <v>1476</v>
      </c>
      <c r="F102" s="86">
        <v>2015</v>
      </c>
      <c r="G102" s="85" t="s">
        <v>1889</v>
      </c>
      <c r="H102" s="74"/>
      <c r="I102" s="74"/>
      <c r="J102" s="74"/>
      <c r="K102" s="74"/>
      <c r="L102" s="74"/>
      <c r="M102" s="74"/>
      <c r="N102" s="74"/>
      <c r="O102" s="74"/>
      <c r="P102" s="74"/>
      <c r="Q102" s="74"/>
      <c r="R102" s="74"/>
      <c r="S102" s="74"/>
      <c r="T102" s="74"/>
    </row>
    <row r="103" spans="2:36">
      <c r="B103" s="76" t="s">
        <v>1893</v>
      </c>
      <c r="C103" s="74" t="s">
        <v>1474</v>
      </c>
      <c r="D103" s="74" t="s">
        <v>1891</v>
      </c>
      <c r="E103" s="80" t="s">
        <v>2088</v>
      </c>
      <c r="F103" s="86">
        <v>2025</v>
      </c>
      <c r="G103" s="85" t="s">
        <v>1892</v>
      </c>
      <c r="H103" s="74"/>
      <c r="I103" s="74"/>
      <c r="J103" s="74"/>
      <c r="K103" s="74"/>
      <c r="L103" s="74"/>
      <c r="M103" s="74"/>
      <c r="N103" s="74"/>
      <c r="O103" s="74"/>
      <c r="P103" s="74"/>
      <c r="Q103" s="74"/>
      <c r="R103" s="74"/>
      <c r="S103" s="74"/>
      <c r="T103" s="74"/>
    </row>
    <row r="104" spans="2:36">
      <c r="B104" s="76" t="s">
        <v>1897</v>
      </c>
      <c r="C104" s="74" t="s">
        <v>1472</v>
      </c>
      <c r="D104" s="80" t="s">
        <v>2086</v>
      </c>
      <c r="E104" s="74"/>
      <c r="F104" s="86">
        <v>2025</v>
      </c>
      <c r="G104" s="85" t="s">
        <v>2089</v>
      </c>
      <c r="H104" s="74"/>
      <c r="I104" s="74"/>
      <c r="J104" s="74"/>
      <c r="K104" s="74"/>
      <c r="L104" s="74"/>
      <c r="M104" s="74"/>
      <c r="N104" s="74"/>
      <c r="O104" s="74"/>
      <c r="P104" s="74"/>
      <c r="Q104" s="74"/>
      <c r="R104" s="74"/>
      <c r="S104" s="74"/>
      <c r="T104" s="74"/>
    </row>
    <row r="105" spans="2:36">
      <c r="B105" s="76" t="s">
        <v>2087</v>
      </c>
      <c r="C105" s="74" t="s">
        <v>1474</v>
      </c>
      <c r="D105" s="74" t="s">
        <v>1894</v>
      </c>
      <c r="E105" s="74" t="s">
        <v>1476</v>
      </c>
      <c r="F105" s="86">
        <v>2025</v>
      </c>
      <c r="G105" s="85" t="s">
        <v>1895</v>
      </c>
      <c r="H105" s="74"/>
      <c r="I105" s="74"/>
      <c r="J105" s="74"/>
      <c r="K105" s="74"/>
      <c r="L105" s="74"/>
      <c r="M105" s="74"/>
      <c r="N105" s="74"/>
      <c r="O105" s="74"/>
      <c r="P105" s="74"/>
      <c r="Q105" s="74"/>
      <c r="R105" s="74"/>
      <c r="S105" s="74"/>
      <c r="T105" s="74"/>
    </row>
    <row r="106" spans="2:36">
      <c r="B106" s="76"/>
      <c r="C106" s="74"/>
      <c r="D106" s="74"/>
      <c r="E106" s="74"/>
      <c r="F106" s="86"/>
      <c r="G106" s="74"/>
      <c r="H106" s="74"/>
      <c r="I106" s="74"/>
      <c r="J106" s="74"/>
      <c r="K106" s="74"/>
      <c r="L106" s="74"/>
      <c r="M106" s="74"/>
      <c r="N106" s="74"/>
      <c r="O106" s="74"/>
      <c r="P106" s="74"/>
      <c r="Q106" s="74"/>
      <c r="R106" s="74"/>
      <c r="S106" s="74"/>
      <c r="T106" s="74"/>
    </row>
    <row r="107" spans="2:36" s="185" customFormat="1" ht="17.399999999999999">
      <c r="B107" s="113" t="s">
        <v>2570</v>
      </c>
      <c r="C107" s="113"/>
      <c r="D107" s="113"/>
      <c r="E107" s="113"/>
      <c r="F107" s="113"/>
      <c r="G107" s="113"/>
      <c r="H107" s="113"/>
      <c r="I107" s="113"/>
      <c r="J107" s="113"/>
      <c r="K107" s="113"/>
      <c r="L107" s="113"/>
      <c r="M107" s="113"/>
      <c r="N107" s="113"/>
      <c r="O107" s="113"/>
      <c r="P107" s="113"/>
      <c r="Q107" s="113"/>
      <c r="R107" s="113"/>
      <c r="S107" s="113"/>
      <c r="T107" s="113"/>
      <c r="AA107" s="186"/>
      <c r="AB107" s="186"/>
      <c r="AC107" s="186"/>
      <c r="AD107" s="186"/>
      <c r="AE107" s="186"/>
      <c r="AF107" s="186"/>
      <c r="AG107" s="186"/>
      <c r="AH107" s="186"/>
      <c r="AI107" s="186"/>
      <c r="AJ107" s="186"/>
    </row>
    <row r="108" spans="2:36" s="185" customFormat="1">
      <c r="B108" s="89" t="s">
        <v>1558</v>
      </c>
      <c r="C108" s="96" t="s">
        <v>2575</v>
      </c>
      <c r="D108" s="87"/>
      <c r="E108" s="87"/>
      <c r="F108" s="87"/>
      <c r="G108" s="87"/>
      <c r="H108" s="87"/>
      <c r="I108" s="87"/>
      <c r="J108" s="87"/>
      <c r="K108" s="87"/>
      <c r="L108" s="87"/>
      <c r="M108" s="87"/>
      <c r="N108" s="87"/>
      <c r="O108" s="87"/>
      <c r="P108" s="87"/>
      <c r="Q108" s="87"/>
      <c r="R108" s="87"/>
      <c r="S108" s="87"/>
      <c r="T108" s="87"/>
      <c r="AA108" s="186"/>
      <c r="AB108" s="186"/>
      <c r="AC108" s="186"/>
      <c r="AD108" s="186"/>
      <c r="AE108" s="186"/>
      <c r="AF108" s="186"/>
      <c r="AG108" s="186"/>
      <c r="AH108" s="186"/>
      <c r="AI108" s="186"/>
      <c r="AJ108" s="186"/>
    </row>
    <row r="109" spans="2:36" s="185" customFormat="1">
      <c r="B109" s="89" t="s">
        <v>1560</v>
      </c>
      <c r="C109" s="96" t="str">
        <f>$C$78</f>
        <v>Susceptibility of agricultural productivity, Susceptibility of livestock productivity, Homogeneity of agricultural production, Irrigation susceptibility, Fire hotspots, Agriculture and water availability, Agricultural areas with low agricultural potential, Agricultural areas with soil susceptible to erosion, Water deficit, Vegetation cover losses, Investment in agrarian and environmental management policies, Harvest guarantee program, PRONAF coverage, cistern program, Proagro coverage plus, PSR coverage, Technical guidance, Associativism, Land ownership, Stability of agrarian conflicts, Storage capacity, Distance from warehouses, Diversity of revenues, Tractors in agricultural establishments, Potential for agricultural expansion in pasture areas, Average number of residents per household, Mothers who are heads of the family, Economically dependent population, Direct source water shortage, Compromised water quality, Ultra-processed food commercial establishments, Municipalities without a basic food supply network, Food and nutritional insecurity, Child malnutrition, Occurrence of diseases related to inadequate environmental sanitation, Overweight and obesity, Federal investment per capita, Food safety instruments, National school feeding program (PNAE), Food Acquisition Program (PAA), PAA suppliers classified as “traditional peoples and communities”, Cistern program service, Scope of the family allowance program, Equality in intra-household income distribution, Households with high per capita income</v>
      </c>
      <c r="D109" s="91" t="s">
        <v>1588</v>
      </c>
      <c r="E109" s="87"/>
      <c r="F109" s="87"/>
      <c r="G109" s="87"/>
      <c r="H109" s="87"/>
      <c r="I109" s="87"/>
      <c r="J109" s="87"/>
      <c r="K109" s="87"/>
      <c r="L109" s="87"/>
      <c r="M109" s="87"/>
      <c r="N109" s="87"/>
      <c r="O109" s="87"/>
      <c r="P109" s="87"/>
      <c r="Q109" s="87"/>
      <c r="R109" s="87"/>
      <c r="S109" s="87"/>
      <c r="T109" s="87"/>
      <c r="AA109" s="186"/>
      <c r="AB109" s="186"/>
      <c r="AC109" s="186"/>
      <c r="AD109" s="186"/>
      <c r="AE109" s="186"/>
      <c r="AF109" s="186"/>
      <c r="AG109" s="186"/>
      <c r="AH109" s="186"/>
      <c r="AI109" s="186"/>
      <c r="AJ109" s="186"/>
    </row>
    <row r="110" spans="2:36" s="185" customFormat="1">
      <c r="B110" s="89" t="s">
        <v>1561</v>
      </c>
      <c r="C110" s="96" t="str">
        <f>$C$83</f>
        <v>Agriculture in the municipality’s economy, Area planted with agricultural crops, Area of ​​agricultural establishments with livestock, Establishments with family farming, Density of agricultural establishments, Population density, Total population</v>
      </c>
      <c r="D110" s="91" t="s">
        <v>1588</v>
      </c>
      <c r="E110" s="87"/>
      <c r="F110" s="87"/>
      <c r="G110" s="87"/>
      <c r="H110" s="87"/>
      <c r="I110" s="87"/>
      <c r="J110" s="87"/>
      <c r="K110" s="87"/>
      <c r="L110" s="87"/>
      <c r="M110" s="87"/>
      <c r="N110" s="87"/>
      <c r="O110" s="87"/>
      <c r="P110" s="87"/>
      <c r="Q110" s="87"/>
      <c r="R110" s="87"/>
      <c r="S110" s="87"/>
      <c r="T110" s="87"/>
    </row>
    <row r="111" spans="2:36" s="185" customFormat="1">
      <c r="B111" s="89" t="s">
        <v>1632</v>
      </c>
      <c r="C111" s="96" t="s">
        <v>1860</v>
      </c>
      <c r="D111" s="91" t="s">
        <v>1634</v>
      </c>
      <c r="E111" s="87"/>
      <c r="F111" s="87"/>
      <c r="G111" s="87"/>
      <c r="H111" s="87"/>
      <c r="I111" s="87"/>
      <c r="J111" s="87"/>
      <c r="K111" s="87"/>
      <c r="L111" s="87"/>
      <c r="M111" s="87"/>
      <c r="N111" s="87"/>
      <c r="O111" s="87"/>
      <c r="P111" s="87"/>
      <c r="Q111" s="87"/>
      <c r="R111" s="87"/>
      <c r="S111" s="87"/>
      <c r="T111" s="87"/>
    </row>
    <row r="112" spans="2:36" s="185" customFormat="1">
      <c r="B112" s="89" t="s">
        <v>1564</v>
      </c>
      <c r="C112" s="96" t="s">
        <v>1567</v>
      </c>
      <c r="D112" s="91" t="s">
        <v>1634</v>
      </c>
      <c r="E112" s="87"/>
      <c r="F112" s="87"/>
      <c r="G112" s="87"/>
      <c r="H112" s="87"/>
      <c r="I112" s="87"/>
      <c r="J112" s="87"/>
      <c r="K112" s="87"/>
      <c r="L112" s="87"/>
      <c r="M112" s="87"/>
      <c r="N112" s="87"/>
      <c r="O112" s="87"/>
      <c r="P112" s="87"/>
      <c r="Q112" s="87"/>
      <c r="R112" s="87"/>
      <c r="S112" s="87"/>
      <c r="T112" s="87"/>
      <c r="U112" s="87"/>
    </row>
    <row r="113" spans="2:26" s="185" customFormat="1">
      <c r="B113" s="84" t="s">
        <v>1563</v>
      </c>
      <c r="C113" s="83" t="s">
        <v>2576</v>
      </c>
      <c r="D113" s="91" t="s">
        <v>1588</v>
      </c>
      <c r="E113" s="87"/>
      <c r="F113" s="87"/>
      <c r="G113" s="87"/>
      <c r="H113" s="87"/>
      <c r="I113" s="87"/>
      <c r="J113" s="87"/>
      <c r="K113" s="87"/>
      <c r="L113" s="87"/>
      <c r="M113" s="87"/>
      <c r="N113" s="87"/>
      <c r="O113" s="87"/>
      <c r="P113" s="87"/>
      <c r="Q113" s="87"/>
      <c r="R113" s="87"/>
      <c r="S113" s="87"/>
      <c r="T113" s="87"/>
      <c r="U113" s="87"/>
    </row>
    <row r="114" spans="2:26" s="185" customFormat="1">
      <c r="B114" s="89" t="s">
        <v>1565</v>
      </c>
      <c r="C114" s="97" t="s">
        <v>1559</v>
      </c>
      <c r="D114" s="98"/>
      <c r="E114" s="87"/>
      <c r="F114" s="87"/>
      <c r="G114" s="87"/>
      <c r="H114" s="87"/>
      <c r="I114" s="87"/>
      <c r="J114" s="87"/>
      <c r="K114" s="87"/>
      <c r="L114" s="87"/>
      <c r="M114" s="87"/>
      <c r="N114" s="87"/>
      <c r="O114" s="87"/>
      <c r="P114" s="87"/>
      <c r="Q114" s="87"/>
      <c r="R114" s="87"/>
      <c r="S114" s="87"/>
      <c r="T114" s="87"/>
      <c r="U114" s="87"/>
    </row>
    <row r="115" spans="2:26" s="185" customFormat="1">
      <c r="B115" s="89" t="s">
        <v>1566</v>
      </c>
      <c r="C115" s="96" t="s">
        <v>1861</v>
      </c>
      <c r="D115" s="87"/>
      <c r="E115" s="87"/>
      <c r="F115" s="87"/>
      <c r="G115" s="87"/>
      <c r="H115" s="87"/>
      <c r="I115" s="87"/>
      <c r="J115" s="87"/>
      <c r="K115" s="87"/>
      <c r="L115" s="87"/>
      <c r="M115" s="87"/>
      <c r="N115" s="87"/>
      <c r="O115" s="87"/>
      <c r="P115" s="87"/>
      <c r="Q115" s="87"/>
      <c r="R115" s="87"/>
      <c r="S115" s="87"/>
      <c r="T115" s="87"/>
    </row>
    <row r="116" spans="2:26" s="185" customFormat="1">
      <c r="D116" s="87"/>
      <c r="E116" s="87"/>
      <c r="F116" s="87"/>
      <c r="G116" s="87"/>
      <c r="H116" s="87"/>
      <c r="I116" s="87"/>
      <c r="J116" s="87"/>
      <c r="K116" s="87"/>
      <c r="L116" s="87"/>
      <c r="M116" s="87"/>
      <c r="N116" s="87"/>
      <c r="O116" s="87"/>
      <c r="P116" s="87"/>
      <c r="Q116" s="87"/>
      <c r="R116" s="87"/>
      <c r="S116" s="87"/>
      <c r="T116" s="87"/>
    </row>
    <row r="117" spans="2:26" s="185" customFormat="1" ht="17.399999999999999">
      <c r="B117" s="121" t="s">
        <v>1269</v>
      </c>
      <c r="C117" s="121"/>
      <c r="D117" s="121"/>
      <c r="E117" s="121"/>
      <c r="F117" s="121"/>
      <c r="G117" s="121"/>
      <c r="H117" s="121"/>
      <c r="I117" s="121"/>
      <c r="J117" s="121"/>
      <c r="K117" s="121"/>
      <c r="L117" s="121"/>
      <c r="M117" s="121"/>
      <c r="N117" s="121"/>
      <c r="O117" s="121"/>
      <c r="P117" s="121"/>
      <c r="Q117" s="121"/>
      <c r="R117" s="121"/>
      <c r="S117" s="121"/>
      <c r="T117" s="121"/>
    </row>
    <row r="118" spans="2:26" s="185" customFormat="1">
      <c r="B118" s="92" t="s">
        <v>310</v>
      </c>
      <c r="C118" s="92" t="s">
        <v>311</v>
      </c>
      <c r="D118" s="92" t="s">
        <v>1293</v>
      </c>
      <c r="E118" s="102" t="s">
        <v>1636</v>
      </c>
      <c r="F118" s="103" t="s">
        <v>1637</v>
      </c>
      <c r="G118" s="103" t="s">
        <v>1647</v>
      </c>
      <c r="H118" s="92" t="s">
        <v>1502</v>
      </c>
      <c r="I118" s="92" t="s">
        <v>1487</v>
      </c>
      <c r="J118" s="92" t="s">
        <v>1469</v>
      </c>
      <c r="K118" s="92" t="s">
        <v>1488</v>
      </c>
      <c r="L118" s="92" t="s">
        <v>1500</v>
      </c>
      <c r="M118" s="92" t="s">
        <v>1489</v>
      </c>
      <c r="N118" s="92" t="s">
        <v>1490</v>
      </c>
      <c r="O118" s="102" t="s">
        <v>1638</v>
      </c>
      <c r="P118" s="103" t="s">
        <v>1639</v>
      </c>
      <c r="Q118" s="103" t="s">
        <v>1648</v>
      </c>
      <c r="R118" s="92" t="s">
        <v>1503</v>
      </c>
      <c r="S118" s="92" t="s">
        <v>1491</v>
      </c>
      <c r="T118" s="92" t="s">
        <v>1470</v>
      </c>
      <c r="U118" s="92" t="s">
        <v>1492</v>
      </c>
      <c r="V118" s="92" t="s">
        <v>1501</v>
      </c>
      <c r="W118" s="92" t="s">
        <v>1493</v>
      </c>
      <c r="X118" s="92" t="s">
        <v>1494</v>
      </c>
      <c r="Y118" s="92" t="s">
        <v>1495</v>
      </c>
      <c r="Z118" s="92" t="s">
        <v>1496</v>
      </c>
    </row>
    <row r="119" spans="2:26" s="185" customFormat="1">
      <c r="B119" s="88" t="s">
        <v>320</v>
      </c>
      <c r="C119" s="80" t="s">
        <v>321</v>
      </c>
      <c r="D119" s="80" t="s">
        <v>322</v>
      </c>
      <c r="E119" s="100" t="s">
        <v>1649</v>
      </c>
      <c r="F119" s="101" t="s">
        <v>1906</v>
      </c>
      <c r="G119" s="101"/>
      <c r="H119" s="88"/>
      <c r="I119" s="80"/>
      <c r="J119" s="80"/>
      <c r="K119" s="80"/>
      <c r="L119" s="80"/>
      <c r="M119" s="80"/>
      <c r="N119" s="80"/>
      <c r="O119" s="100" t="s">
        <v>1649</v>
      </c>
      <c r="P119" s="101" t="s">
        <v>1958</v>
      </c>
      <c r="Q119" s="101"/>
      <c r="R119" s="88"/>
      <c r="S119" s="80"/>
      <c r="T119" s="80"/>
      <c r="U119" s="80"/>
      <c r="V119" s="80"/>
      <c r="W119" s="80"/>
      <c r="X119" s="80"/>
      <c r="Y119" s="88" t="s">
        <v>1905</v>
      </c>
      <c r="Z119" s="80" t="s">
        <v>2055</v>
      </c>
    </row>
    <row r="120" spans="2:26" s="185" customFormat="1">
      <c r="B120" s="88" t="s">
        <v>329</v>
      </c>
      <c r="C120" s="80" t="s">
        <v>330</v>
      </c>
      <c r="D120" s="80" t="s">
        <v>331</v>
      </c>
      <c r="E120" s="100" t="s">
        <v>1649</v>
      </c>
      <c r="F120" s="101" t="s">
        <v>1907</v>
      </c>
      <c r="G120" s="101"/>
      <c r="H120" s="88"/>
      <c r="I120" s="80"/>
      <c r="J120" s="80"/>
      <c r="K120" s="80"/>
      <c r="L120" s="80"/>
      <c r="M120" s="80"/>
      <c r="N120" s="80"/>
      <c r="O120" s="100" t="s">
        <v>1649</v>
      </c>
      <c r="P120" s="101" t="s">
        <v>1959</v>
      </c>
      <c r="Q120" s="101"/>
      <c r="R120" s="88"/>
      <c r="S120" s="80"/>
      <c r="T120" s="80"/>
      <c r="U120" s="80"/>
      <c r="V120" s="80"/>
      <c r="W120" s="80"/>
      <c r="X120" s="80"/>
      <c r="Y120" s="88" t="s">
        <v>1905</v>
      </c>
      <c r="Z120" s="80" t="s">
        <v>2055</v>
      </c>
    </row>
    <row r="121" spans="2:26" s="185" customFormat="1">
      <c r="B121" s="88" t="s">
        <v>335</v>
      </c>
      <c r="C121" s="80" t="s">
        <v>336</v>
      </c>
      <c r="D121" s="80" t="s">
        <v>337</v>
      </c>
      <c r="E121" s="100" t="s">
        <v>1649</v>
      </c>
      <c r="F121" s="101" t="s">
        <v>1908</v>
      </c>
      <c r="G121" s="101"/>
      <c r="H121" s="88"/>
      <c r="I121" s="80"/>
      <c r="J121" s="80"/>
      <c r="K121" s="80"/>
      <c r="L121" s="80"/>
      <c r="M121" s="80"/>
      <c r="N121" s="80"/>
      <c r="O121" s="100" t="s">
        <v>1649</v>
      </c>
      <c r="P121" s="101" t="s">
        <v>1960</v>
      </c>
      <c r="Q121" s="101"/>
      <c r="R121" s="88"/>
      <c r="S121" s="80"/>
      <c r="T121" s="80"/>
      <c r="U121" s="80"/>
      <c r="V121" s="80"/>
      <c r="W121" s="80"/>
      <c r="X121" s="80"/>
      <c r="Y121" s="88" t="s">
        <v>1905</v>
      </c>
      <c r="Z121" s="80" t="s">
        <v>2055</v>
      </c>
    </row>
    <row r="122" spans="2:26" s="185" customFormat="1">
      <c r="B122" s="88" t="s">
        <v>341</v>
      </c>
      <c r="C122" s="80" t="s">
        <v>342</v>
      </c>
      <c r="D122" s="80" t="s">
        <v>343</v>
      </c>
      <c r="E122" s="100" t="s">
        <v>1649</v>
      </c>
      <c r="F122" s="101" t="s">
        <v>1909</v>
      </c>
      <c r="G122" s="101"/>
      <c r="H122" s="88"/>
      <c r="I122" s="80"/>
      <c r="J122" s="80"/>
      <c r="K122" s="80"/>
      <c r="L122" s="80"/>
      <c r="M122" s="80"/>
      <c r="N122" s="80"/>
      <c r="O122" s="100" t="s">
        <v>1649</v>
      </c>
      <c r="P122" s="101" t="s">
        <v>1961</v>
      </c>
      <c r="Q122" s="101"/>
      <c r="R122" s="88"/>
      <c r="S122" s="80"/>
      <c r="T122" s="80"/>
      <c r="U122" s="80"/>
      <c r="V122" s="80"/>
      <c r="W122" s="80"/>
      <c r="X122" s="80"/>
      <c r="Y122" s="88" t="s">
        <v>1905</v>
      </c>
      <c r="Z122" s="80" t="s">
        <v>2055</v>
      </c>
    </row>
    <row r="123" spans="2:26" s="185" customFormat="1">
      <c r="B123" s="88" t="s">
        <v>346</v>
      </c>
      <c r="C123" s="80" t="s">
        <v>347</v>
      </c>
      <c r="D123" s="80" t="s">
        <v>348</v>
      </c>
      <c r="E123" s="100" t="s">
        <v>1649</v>
      </c>
      <c r="F123" s="101" t="s">
        <v>1910</v>
      </c>
      <c r="G123" s="101"/>
      <c r="H123" s="88"/>
      <c r="I123" s="80"/>
      <c r="J123" s="80"/>
      <c r="K123" s="80"/>
      <c r="L123" s="80"/>
      <c r="M123" s="80"/>
      <c r="N123" s="80"/>
      <c r="O123" s="100" t="s">
        <v>1649</v>
      </c>
      <c r="P123" s="101" t="s">
        <v>1962</v>
      </c>
      <c r="Q123" s="101"/>
      <c r="R123" s="88"/>
      <c r="S123" s="80"/>
      <c r="T123" s="80"/>
      <c r="U123" s="80"/>
      <c r="V123" s="80"/>
      <c r="W123" s="80"/>
      <c r="X123" s="80"/>
      <c r="Y123" s="88" t="s">
        <v>1905</v>
      </c>
      <c r="Z123" s="80" t="s">
        <v>2055</v>
      </c>
    </row>
    <row r="124" spans="2:26" s="185" customFormat="1">
      <c r="B124" s="88" t="s">
        <v>349</v>
      </c>
      <c r="C124" s="80" t="s">
        <v>350</v>
      </c>
      <c r="D124" s="80" t="s">
        <v>351</v>
      </c>
      <c r="E124" s="100" t="s">
        <v>1649</v>
      </c>
      <c r="F124" s="101" t="s">
        <v>2056</v>
      </c>
      <c r="G124" s="101"/>
      <c r="H124" s="88"/>
      <c r="I124" s="80"/>
      <c r="J124" s="80"/>
      <c r="K124" s="80"/>
      <c r="L124" s="80"/>
      <c r="M124" s="80"/>
      <c r="N124" s="80"/>
      <c r="O124" s="100" t="s">
        <v>1649</v>
      </c>
      <c r="P124" s="101" t="s">
        <v>1963</v>
      </c>
      <c r="Q124" s="101"/>
      <c r="R124" s="88"/>
      <c r="S124" s="80"/>
      <c r="T124" s="80"/>
      <c r="U124" s="80"/>
      <c r="V124" s="80"/>
      <c r="W124" s="80"/>
      <c r="X124" s="80"/>
      <c r="Y124" s="88" t="s">
        <v>1905</v>
      </c>
      <c r="Z124" s="80" t="s">
        <v>2055</v>
      </c>
    </row>
    <row r="125" spans="2:26" s="185" customFormat="1">
      <c r="B125" s="88" t="s">
        <v>355</v>
      </c>
      <c r="C125" s="80" t="s">
        <v>356</v>
      </c>
      <c r="D125" s="80" t="s">
        <v>357</v>
      </c>
      <c r="E125" s="100" t="s">
        <v>1651</v>
      </c>
      <c r="F125" s="101" t="s">
        <v>2143</v>
      </c>
      <c r="G125" s="101"/>
      <c r="H125" s="88"/>
      <c r="I125" s="80" t="s">
        <v>1953</v>
      </c>
      <c r="J125" s="80" t="s">
        <v>2057</v>
      </c>
      <c r="K125" s="80"/>
      <c r="L125" s="80"/>
      <c r="M125" s="80"/>
      <c r="N125" s="80"/>
      <c r="O125" s="100" t="s">
        <v>1649</v>
      </c>
      <c r="P125" s="101" t="s">
        <v>1964</v>
      </c>
      <c r="Q125" s="101"/>
      <c r="R125" s="88"/>
      <c r="S125" s="80"/>
      <c r="T125" s="80"/>
      <c r="U125" s="80"/>
      <c r="V125" s="80"/>
      <c r="W125" s="80"/>
      <c r="X125" s="80"/>
      <c r="Y125" s="88" t="s">
        <v>1905</v>
      </c>
      <c r="Z125" s="80" t="s">
        <v>2055</v>
      </c>
    </row>
    <row r="126" spans="2:26" s="185" customFormat="1">
      <c r="B126" s="88" t="s">
        <v>360</v>
      </c>
      <c r="C126" s="80" t="s">
        <v>361</v>
      </c>
      <c r="D126" s="80" t="s">
        <v>362</v>
      </c>
      <c r="E126" s="100" t="s">
        <v>1649</v>
      </c>
      <c r="F126" s="101" t="s">
        <v>1911</v>
      </c>
      <c r="G126" s="101"/>
      <c r="H126" s="88"/>
      <c r="I126" s="80"/>
      <c r="J126" s="80"/>
      <c r="K126" s="80"/>
      <c r="L126" s="80"/>
      <c r="M126" s="80"/>
      <c r="N126" s="80"/>
      <c r="O126" s="100" t="s">
        <v>1649</v>
      </c>
      <c r="P126" s="101" t="s">
        <v>1965</v>
      </c>
      <c r="Q126" s="101"/>
      <c r="R126" s="88"/>
      <c r="S126" s="80"/>
      <c r="T126" s="80"/>
      <c r="U126" s="80"/>
      <c r="V126" s="80"/>
      <c r="W126" s="80"/>
      <c r="X126" s="80"/>
      <c r="Y126" s="88" t="s">
        <v>1905</v>
      </c>
      <c r="Z126" s="80" t="s">
        <v>2055</v>
      </c>
    </row>
    <row r="127" spans="2:26" s="185" customFormat="1">
      <c r="B127" s="88" t="s">
        <v>364</v>
      </c>
      <c r="C127" s="80" t="s">
        <v>365</v>
      </c>
      <c r="D127" s="80" t="s">
        <v>366</v>
      </c>
      <c r="E127" s="100" t="s">
        <v>1649</v>
      </c>
      <c r="F127" s="101" t="s">
        <v>1912</v>
      </c>
      <c r="G127" s="101"/>
      <c r="H127" s="88"/>
      <c r="I127" s="80"/>
      <c r="J127" s="80"/>
      <c r="K127" s="80"/>
      <c r="L127" s="80"/>
      <c r="M127" s="80"/>
      <c r="N127" s="80"/>
      <c r="O127" s="100" t="s">
        <v>1649</v>
      </c>
      <c r="P127" s="101" t="s">
        <v>1966</v>
      </c>
      <c r="Q127" s="101"/>
      <c r="R127" s="88"/>
      <c r="S127" s="80"/>
      <c r="T127" s="80"/>
      <c r="U127" s="80"/>
      <c r="V127" s="80"/>
      <c r="W127" s="80"/>
      <c r="X127" s="80"/>
      <c r="Y127" s="88" t="s">
        <v>1905</v>
      </c>
      <c r="Z127" s="80" t="s">
        <v>2055</v>
      </c>
    </row>
    <row r="128" spans="2:26" s="185" customFormat="1">
      <c r="B128" s="88" t="s">
        <v>369</v>
      </c>
      <c r="C128" s="80" t="s">
        <v>370</v>
      </c>
      <c r="D128" s="80" t="s">
        <v>371</v>
      </c>
      <c r="E128" s="100" t="s">
        <v>1649</v>
      </c>
      <c r="F128" s="101" t="s">
        <v>1913</v>
      </c>
      <c r="G128" s="101"/>
      <c r="H128" s="88"/>
      <c r="I128" s="80"/>
      <c r="J128" s="80"/>
      <c r="K128" s="80"/>
      <c r="L128" s="80"/>
      <c r="M128" s="80"/>
      <c r="N128" s="80"/>
      <c r="O128" s="100" t="s">
        <v>1649</v>
      </c>
      <c r="P128" s="101" t="s">
        <v>1967</v>
      </c>
      <c r="Q128" s="101"/>
      <c r="R128" s="88"/>
      <c r="S128" s="80"/>
      <c r="T128" s="80"/>
      <c r="U128" s="80"/>
      <c r="V128" s="80"/>
      <c r="W128" s="80"/>
      <c r="X128" s="80"/>
      <c r="Y128" s="88" t="s">
        <v>1905</v>
      </c>
      <c r="Z128" s="80" t="s">
        <v>2055</v>
      </c>
    </row>
    <row r="129" spans="2:26" s="185" customFormat="1">
      <c r="B129" s="88" t="s">
        <v>375</v>
      </c>
      <c r="C129" s="80" t="s">
        <v>376</v>
      </c>
      <c r="D129" s="80" t="s">
        <v>377</v>
      </c>
      <c r="E129" s="100" t="s">
        <v>1649</v>
      </c>
      <c r="F129" s="101" t="s">
        <v>1914</v>
      </c>
      <c r="G129" s="101"/>
      <c r="H129" s="88"/>
      <c r="I129" s="80"/>
      <c r="J129" s="80"/>
      <c r="K129" s="80"/>
      <c r="L129" s="80"/>
      <c r="M129" s="80"/>
      <c r="N129" s="80"/>
      <c r="O129" s="100" t="s">
        <v>1649</v>
      </c>
      <c r="P129" s="101" t="s">
        <v>1968</v>
      </c>
      <c r="Q129" s="101"/>
      <c r="R129" s="88"/>
      <c r="S129" s="80"/>
      <c r="T129" s="80"/>
      <c r="U129" s="80"/>
      <c r="V129" s="80"/>
      <c r="W129" s="80"/>
      <c r="X129" s="80"/>
      <c r="Y129" s="88" t="s">
        <v>1905</v>
      </c>
      <c r="Z129" s="80" t="s">
        <v>2055</v>
      </c>
    </row>
    <row r="130" spans="2:26" s="185" customFormat="1">
      <c r="B130" s="88" t="s">
        <v>379</v>
      </c>
      <c r="C130" s="80" t="s">
        <v>380</v>
      </c>
      <c r="D130" s="80" t="s">
        <v>381</v>
      </c>
      <c r="E130" s="100" t="s">
        <v>1649</v>
      </c>
      <c r="F130" s="101" t="s">
        <v>2058</v>
      </c>
      <c r="G130" s="101"/>
      <c r="H130" s="88"/>
      <c r="I130" s="80"/>
      <c r="J130" s="80"/>
      <c r="K130" s="80"/>
      <c r="L130" s="80"/>
      <c r="M130" s="80"/>
      <c r="N130" s="80"/>
      <c r="O130" s="100" t="s">
        <v>1649</v>
      </c>
      <c r="P130" s="101" t="s">
        <v>2059</v>
      </c>
      <c r="Q130" s="101"/>
      <c r="R130" s="88"/>
      <c r="S130" s="80"/>
      <c r="T130" s="80"/>
      <c r="U130" s="80"/>
      <c r="V130" s="80"/>
      <c r="W130" s="80"/>
      <c r="X130" s="80"/>
      <c r="Y130" s="88" t="s">
        <v>1905</v>
      </c>
      <c r="Z130" s="80" t="s">
        <v>2055</v>
      </c>
    </row>
    <row r="131" spans="2:26" s="185" customFormat="1">
      <c r="B131" s="88" t="s">
        <v>384</v>
      </c>
      <c r="C131" s="80" t="s">
        <v>385</v>
      </c>
      <c r="D131" s="80" t="s">
        <v>386</v>
      </c>
      <c r="E131" s="100" t="s">
        <v>1649</v>
      </c>
      <c r="F131" s="101" t="s">
        <v>1915</v>
      </c>
      <c r="G131" s="101"/>
      <c r="H131" s="88"/>
      <c r="I131" s="80"/>
      <c r="J131" s="80"/>
      <c r="K131" s="80"/>
      <c r="L131" s="80"/>
      <c r="M131" s="80"/>
      <c r="N131" s="80"/>
      <c r="O131" s="100" t="s">
        <v>1649</v>
      </c>
      <c r="P131" s="101" t="s">
        <v>1969</v>
      </c>
      <c r="Q131" s="101"/>
      <c r="R131" s="88"/>
      <c r="S131" s="80"/>
      <c r="T131" s="80"/>
      <c r="U131" s="80"/>
      <c r="V131" s="80"/>
      <c r="W131" s="80"/>
      <c r="X131" s="80"/>
      <c r="Y131" s="88" t="s">
        <v>1905</v>
      </c>
      <c r="Z131" s="80" t="s">
        <v>2055</v>
      </c>
    </row>
    <row r="132" spans="2:26" s="185" customFormat="1">
      <c r="B132" s="88" t="s">
        <v>388</v>
      </c>
      <c r="C132" s="80" t="s">
        <v>389</v>
      </c>
      <c r="D132" s="80" t="s">
        <v>390</v>
      </c>
      <c r="E132" s="100" t="s">
        <v>1649</v>
      </c>
      <c r="F132" s="101" t="s">
        <v>2060</v>
      </c>
      <c r="G132" s="101"/>
      <c r="H132" s="88"/>
      <c r="I132" s="80"/>
      <c r="J132" s="80"/>
      <c r="K132" s="80"/>
      <c r="L132" s="80"/>
      <c r="M132" s="80"/>
      <c r="N132" s="80"/>
      <c r="O132" s="100" t="s">
        <v>1649</v>
      </c>
      <c r="P132" s="101" t="s">
        <v>1970</v>
      </c>
      <c r="Q132" s="101"/>
      <c r="R132" s="88"/>
      <c r="S132" s="80"/>
      <c r="T132" s="80"/>
      <c r="U132" s="80"/>
      <c r="V132" s="80"/>
      <c r="W132" s="80"/>
      <c r="X132" s="80"/>
      <c r="Y132" s="88" t="s">
        <v>1905</v>
      </c>
      <c r="Z132" s="80" t="s">
        <v>2055</v>
      </c>
    </row>
    <row r="133" spans="2:26" s="185" customFormat="1">
      <c r="B133" s="88" t="s">
        <v>393</v>
      </c>
      <c r="C133" s="80" t="s">
        <v>394</v>
      </c>
      <c r="D133" s="80" t="s">
        <v>395</v>
      </c>
      <c r="E133" s="100" t="s">
        <v>1651</v>
      </c>
      <c r="F133" s="101" t="s">
        <v>2144</v>
      </c>
      <c r="G133" s="101"/>
      <c r="H133" s="88"/>
      <c r="I133" s="80" t="s">
        <v>93</v>
      </c>
      <c r="J133" s="80" t="s">
        <v>2057</v>
      </c>
      <c r="K133" s="80"/>
      <c r="L133" s="80"/>
      <c r="M133" s="80"/>
      <c r="N133" s="80"/>
      <c r="O133" s="100" t="s">
        <v>1649</v>
      </c>
      <c r="P133" s="101" t="s">
        <v>1971</v>
      </c>
      <c r="Q133" s="101"/>
      <c r="R133" s="88"/>
      <c r="S133" s="80"/>
      <c r="T133" s="80"/>
      <c r="U133" s="80"/>
      <c r="V133" s="80"/>
      <c r="W133" s="80"/>
      <c r="X133" s="80"/>
      <c r="Y133" s="88" t="s">
        <v>1905</v>
      </c>
      <c r="Z133" s="80" t="s">
        <v>2055</v>
      </c>
    </row>
    <row r="134" spans="2:26" s="185" customFormat="1">
      <c r="B134" s="88" t="s">
        <v>398</v>
      </c>
      <c r="C134" s="80" t="s">
        <v>399</v>
      </c>
      <c r="D134" s="80" t="s">
        <v>400</v>
      </c>
      <c r="E134" s="100" t="s">
        <v>1649</v>
      </c>
      <c r="F134" s="101" t="s">
        <v>1916</v>
      </c>
      <c r="G134" s="101"/>
      <c r="H134" s="88"/>
      <c r="I134" s="80"/>
      <c r="J134" s="80"/>
      <c r="K134" s="80"/>
      <c r="L134" s="80"/>
      <c r="M134" s="80"/>
      <c r="N134" s="80"/>
      <c r="O134" s="100" t="s">
        <v>1649</v>
      </c>
      <c r="P134" s="101" t="s">
        <v>1972</v>
      </c>
      <c r="Q134" s="101"/>
      <c r="R134" s="88"/>
      <c r="S134" s="80"/>
      <c r="T134" s="80"/>
      <c r="U134" s="80"/>
      <c r="V134" s="80"/>
      <c r="W134" s="80"/>
      <c r="X134" s="80"/>
      <c r="Y134" s="88" t="s">
        <v>1905</v>
      </c>
      <c r="Z134" s="80" t="s">
        <v>2055</v>
      </c>
    </row>
    <row r="135" spans="2:26" s="185" customFormat="1">
      <c r="B135" s="88" t="s">
        <v>404</v>
      </c>
      <c r="C135" s="80" t="s">
        <v>405</v>
      </c>
      <c r="D135" s="80" t="s">
        <v>406</v>
      </c>
      <c r="E135" s="100" t="s">
        <v>1649</v>
      </c>
      <c r="F135" s="101" t="s">
        <v>1917</v>
      </c>
      <c r="G135" s="101"/>
      <c r="H135" s="88"/>
      <c r="I135" s="80"/>
      <c r="J135" s="80"/>
      <c r="K135" s="80"/>
      <c r="L135" s="80"/>
      <c r="M135" s="80"/>
      <c r="N135" s="80"/>
      <c r="O135" s="100" t="s">
        <v>1649</v>
      </c>
      <c r="P135" s="101" t="s">
        <v>1973</v>
      </c>
      <c r="Q135" s="101"/>
      <c r="R135" s="88"/>
      <c r="S135" s="80"/>
      <c r="T135" s="80"/>
      <c r="U135" s="80"/>
      <c r="V135" s="80"/>
      <c r="W135" s="80"/>
      <c r="X135" s="80"/>
      <c r="Y135" s="88" t="s">
        <v>1905</v>
      </c>
      <c r="Z135" s="80" t="s">
        <v>2055</v>
      </c>
    </row>
    <row r="136" spans="2:26" s="185" customFormat="1">
      <c r="B136" s="88" t="s">
        <v>408</v>
      </c>
      <c r="C136" s="80" t="s">
        <v>409</v>
      </c>
      <c r="D136" s="80" t="s">
        <v>410</v>
      </c>
      <c r="E136" s="100" t="s">
        <v>1649</v>
      </c>
      <c r="F136" s="101" t="s">
        <v>1918</v>
      </c>
      <c r="G136" s="101"/>
      <c r="H136" s="88"/>
      <c r="I136" s="80"/>
      <c r="J136" s="80"/>
      <c r="K136" s="80"/>
      <c r="L136" s="80"/>
      <c r="M136" s="80"/>
      <c r="N136" s="80"/>
      <c r="O136" s="100" t="s">
        <v>1649</v>
      </c>
      <c r="P136" s="101" t="s">
        <v>1974</v>
      </c>
      <c r="Q136" s="101"/>
      <c r="R136" s="88"/>
      <c r="S136" s="80"/>
      <c r="T136" s="80"/>
      <c r="U136" s="80"/>
      <c r="V136" s="80"/>
      <c r="W136" s="80"/>
      <c r="X136" s="80"/>
      <c r="Y136" s="88" t="s">
        <v>1905</v>
      </c>
      <c r="Z136" s="80" t="s">
        <v>2055</v>
      </c>
    </row>
    <row r="137" spans="2:26" s="185" customFormat="1">
      <c r="B137" s="88" t="s">
        <v>412</v>
      </c>
      <c r="C137" s="80" t="s">
        <v>413</v>
      </c>
      <c r="D137" s="80" t="s">
        <v>414</v>
      </c>
      <c r="E137" s="100" t="s">
        <v>1649</v>
      </c>
      <c r="F137" s="101" t="s">
        <v>1919</v>
      </c>
      <c r="G137" s="101"/>
      <c r="H137" s="88"/>
      <c r="I137" s="80"/>
      <c r="J137" s="80"/>
      <c r="K137" s="80"/>
      <c r="L137" s="80"/>
      <c r="M137" s="80"/>
      <c r="N137" s="80"/>
      <c r="O137" s="100" t="s">
        <v>1651</v>
      </c>
      <c r="P137" s="101" t="s">
        <v>1975</v>
      </c>
      <c r="Q137" s="101">
        <v>0</v>
      </c>
      <c r="R137" s="88"/>
      <c r="S137" s="80" t="s">
        <v>1904</v>
      </c>
      <c r="T137" s="80" t="s">
        <v>2057</v>
      </c>
      <c r="U137" s="80"/>
      <c r="V137" s="80"/>
      <c r="W137" s="80"/>
      <c r="X137" s="80"/>
      <c r="Y137" s="88" t="s">
        <v>1905</v>
      </c>
      <c r="Z137" s="80" t="s">
        <v>2055</v>
      </c>
    </row>
    <row r="138" spans="2:26" s="185" customFormat="1">
      <c r="B138" s="88" t="s">
        <v>417</v>
      </c>
      <c r="C138" s="80" t="s">
        <v>418</v>
      </c>
      <c r="D138" s="80" t="s">
        <v>419</v>
      </c>
      <c r="E138" s="100" t="s">
        <v>1649</v>
      </c>
      <c r="F138" s="101" t="s">
        <v>1920</v>
      </c>
      <c r="G138" s="101"/>
      <c r="H138" s="88"/>
      <c r="I138" s="80"/>
      <c r="J138" s="80"/>
      <c r="K138" s="80"/>
      <c r="L138" s="80"/>
      <c r="M138" s="80"/>
      <c r="N138" s="80"/>
      <c r="O138" s="100" t="s">
        <v>1649</v>
      </c>
      <c r="P138" s="101" t="s">
        <v>1976</v>
      </c>
      <c r="Q138" s="101"/>
      <c r="R138" s="88"/>
      <c r="S138" s="80"/>
      <c r="T138" s="80"/>
      <c r="U138" s="80"/>
      <c r="V138" s="80"/>
      <c r="W138" s="80"/>
      <c r="X138" s="80"/>
      <c r="Y138" s="88" t="s">
        <v>1905</v>
      </c>
      <c r="Z138" s="80" t="s">
        <v>2055</v>
      </c>
    </row>
    <row r="139" spans="2:26" s="185" customFormat="1">
      <c r="B139" s="88" t="s">
        <v>423</v>
      </c>
      <c r="C139" s="80" t="s">
        <v>424</v>
      </c>
      <c r="D139" s="80" t="s">
        <v>425</v>
      </c>
      <c r="E139" s="100" t="s">
        <v>1649</v>
      </c>
      <c r="F139" s="101" t="s">
        <v>1921</v>
      </c>
      <c r="G139" s="101"/>
      <c r="H139" s="88"/>
      <c r="I139" s="80"/>
      <c r="J139" s="80"/>
      <c r="K139" s="80"/>
      <c r="L139" s="80"/>
      <c r="M139" s="80"/>
      <c r="N139" s="80"/>
      <c r="O139" s="100" t="s">
        <v>1649</v>
      </c>
      <c r="P139" s="101" t="s">
        <v>1977</v>
      </c>
      <c r="Q139" s="101"/>
      <c r="R139" s="88"/>
      <c r="S139" s="80"/>
      <c r="T139" s="80"/>
      <c r="U139" s="80"/>
      <c r="V139" s="80"/>
      <c r="W139" s="80"/>
      <c r="X139" s="80"/>
      <c r="Y139" s="88" t="s">
        <v>1905</v>
      </c>
      <c r="Z139" s="80" t="s">
        <v>2055</v>
      </c>
    </row>
    <row r="140" spans="2:26" s="185" customFormat="1">
      <c r="B140" s="88" t="s">
        <v>427</v>
      </c>
      <c r="C140" s="80" t="s">
        <v>428</v>
      </c>
      <c r="D140" s="80" t="s">
        <v>429</v>
      </c>
      <c r="E140" s="100" t="s">
        <v>1649</v>
      </c>
      <c r="F140" s="101" t="s">
        <v>1922</v>
      </c>
      <c r="G140" s="101"/>
      <c r="H140" s="88"/>
      <c r="I140" s="80"/>
      <c r="J140" s="80"/>
      <c r="K140" s="80"/>
      <c r="L140" s="80"/>
      <c r="M140" s="80"/>
      <c r="N140" s="80"/>
      <c r="O140" s="100" t="s">
        <v>1649</v>
      </c>
      <c r="P140" s="101" t="s">
        <v>1978</v>
      </c>
      <c r="Q140" s="101"/>
      <c r="R140" s="88"/>
      <c r="S140" s="80"/>
      <c r="T140" s="80"/>
      <c r="U140" s="80"/>
      <c r="V140" s="80"/>
      <c r="W140" s="80"/>
      <c r="X140" s="80"/>
      <c r="Y140" s="88" t="s">
        <v>1905</v>
      </c>
      <c r="Z140" s="80" t="s">
        <v>2055</v>
      </c>
    </row>
    <row r="141" spans="2:26" s="185" customFormat="1">
      <c r="B141" s="88" t="s">
        <v>432</v>
      </c>
      <c r="C141" s="80" t="s">
        <v>433</v>
      </c>
      <c r="D141" s="80" t="s">
        <v>434</v>
      </c>
      <c r="E141" s="100" t="s">
        <v>1649</v>
      </c>
      <c r="F141" s="101" t="s">
        <v>1923</v>
      </c>
      <c r="G141" s="101"/>
      <c r="H141" s="88"/>
      <c r="I141" s="80"/>
      <c r="J141" s="80"/>
      <c r="K141" s="80"/>
      <c r="L141" s="80"/>
      <c r="M141" s="80"/>
      <c r="N141" s="80"/>
      <c r="O141" s="100" t="s">
        <v>1649</v>
      </c>
      <c r="P141" s="101" t="s">
        <v>1979</v>
      </c>
      <c r="Q141" s="101"/>
      <c r="R141" s="88"/>
      <c r="S141" s="80"/>
      <c r="T141" s="80"/>
      <c r="U141" s="80"/>
      <c r="V141" s="80"/>
      <c r="W141" s="80"/>
      <c r="X141" s="80"/>
      <c r="Y141" s="88" t="s">
        <v>1905</v>
      </c>
      <c r="Z141" s="80" t="s">
        <v>2055</v>
      </c>
    </row>
    <row r="142" spans="2:26" s="185" customFormat="1">
      <c r="B142" s="88" t="s">
        <v>436</v>
      </c>
      <c r="C142" s="80" t="s">
        <v>437</v>
      </c>
      <c r="D142" s="80" t="s">
        <v>438</v>
      </c>
      <c r="E142" s="100" t="s">
        <v>1649</v>
      </c>
      <c r="F142" s="101" t="s">
        <v>1924</v>
      </c>
      <c r="G142" s="101"/>
      <c r="H142" s="88"/>
      <c r="I142" s="80"/>
      <c r="J142" s="80"/>
      <c r="K142" s="80"/>
      <c r="L142" s="80"/>
      <c r="M142" s="80"/>
      <c r="N142" s="80"/>
      <c r="O142" s="100" t="s">
        <v>1649</v>
      </c>
      <c r="P142" s="101" t="s">
        <v>1980</v>
      </c>
      <c r="Q142" s="101"/>
      <c r="R142" s="88"/>
      <c r="S142" s="80"/>
      <c r="T142" s="80"/>
      <c r="U142" s="80"/>
      <c r="V142" s="80"/>
      <c r="W142" s="80"/>
      <c r="X142" s="80"/>
      <c r="Y142" s="88" t="s">
        <v>1905</v>
      </c>
      <c r="Z142" s="80" t="s">
        <v>2055</v>
      </c>
    </row>
    <row r="143" spans="2:26" s="185" customFormat="1">
      <c r="B143" s="88" t="s">
        <v>440</v>
      </c>
      <c r="C143" s="80" t="s">
        <v>441</v>
      </c>
      <c r="D143" s="80" t="s">
        <v>442</v>
      </c>
      <c r="E143" s="100" t="s">
        <v>1649</v>
      </c>
      <c r="F143" s="101" t="s">
        <v>1925</v>
      </c>
      <c r="G143" s="101"/>
      <c r="H143" s="88"/>
      <c r="I143" s="80"/>
      <c r="J143" s="80"/>
      <c r="K143" s="80"/>
      <c r="L143" s="80"/>
      <c r="M143" s="80"/>
      <c r="N143" s="80"/>
      <c r="O143" s="100" t="s">
        <v>1649</v>
      </c>
      <c r="P143" s="101" t="s">
        <v>1981</v>
      </c>
      <c r="Q143" s="101"/>
      <c r="R143" s="88"/>
      <c r="S143" s="80"/>
      <c r="T143" s="80"/>
      <c r="U143" s="80"/>
      <c r="V143" s="80"/>
      <c r="W143" s="80"/>
      <c r="X143" s="80"/>
      <c r="Y143" s="88" t="s">
        <v>1905</v>
      </c>
      <c r="Z143" s="80" t="s">
        <v>2055</v>
      </c>
    </row>
    <row r="144" spans="2:26" s="185" customFormat="1">
      <c r="B144" s="88" t="s">
        <v>444</v>
      </c>
      <c r="C144" s="80" t="s">
        <v>445</v>
      </c>
      <c r="D144" s="80" t="s">
        <v>446</v>
      </c>
      <c r="E144" s="100" t="s">
        <v>1649</v>
      </c>
      <c r="F144" s="101" t="s">
        <v>1926</v>
      </c>
      <c r="G144" s="101"/>
      <c r="H144" s="88"/>
      <c r="I144" s="80"/>
      <c r="J144" s="80"/>
      <c r="K144" s="80"/>
      <c r="L144" s="80"/>
      <c r="M144" s="80"/>
      <c r="N144" s="80"/>
      <c r="O144" s="100" t="s">
        <v>1651</v>
      </c>
      <c r="P144" s="101" t="s">
        <v>1982</v>
      </c>
      <c r="Q144" s="101">
        <v>0</v>
      </c>
      <c r="R144" s="88"/>
      <c r="S144" s="80" t="s">
        <v>1904</v>
      </c>
      <c r="T144" s="80" t="s">
        <v>2057</v>
      </c>
      <c r="U144" s="80"/>
      <c r="V144" s="80"/>
      <c r="W144" s="80"/>
      <c r="X144" s="80"/>
      <c r="Y144" s="88" t="s">
        <v>1905</v>
      </c>
      <c r="Z144" s="80" t="s">
        <v>2055</v>
      </c>
    </row>
    <row r="145" spans="2:26" s="185" customFormat="1">
      <c r="B145" s="88" t="s">
        <v>449</v>
      </c>
      <c r="C145" s="80" t="s">
        <v>450</v>
      </c>
      <c r="D145" s="80" t="s">
        <v>451</v>
      </c>
      <c r="E145" s="100" t="s">
        <v>1649</v>
      </c>
      <c r="F145" s="101" t="s">
        <v>1927</v>
      </c>
      <c r="G145" s="101"/>
      <c r="H145" s="88"/>
      <c r="I145" s="80"/>
      <c r="J145" s="80"/>
      <c r="K145" s="80"/>
      <c r="L145" s="80"/>
      <c r="M145" s="80"/>
      <c r="N145" s="80"/>
      <c r="O145" s="100" t="s">
        <v>1649</v>
      </c>
      <c r="P145" s="101" t="s">
        <v>1983</v>
      </c>
      <c r="Q145" s="101"/>
      <c r="R145" s="88"/>
      <c r="S145" s="80"/>
      <c r="T145" s="80"/>
      <c r="U145" s="80"/>
      <c r="V145" s="80"/>
      <c r="W145" s="80"/>
      <c r="X145" s="80"/>
      <c r="Y145" s="88" t="s">
        <v>1905</v>
      </c>
      <c r="Z145" s="80" t="s">
        <v>2055</v>
      </c>
    </row>
    <row r="146" spans="2:26" s="185" customFormat="1">
      <c r="B146" s="88" t="s">
        <v>453</v>
      </c>
      <c r="C146" s="80" t="s">
        <v>454</v>
      </c>
      <c r="D146" s="80" t="s">
        <v>455</v>
      </c>
      <c r="E146" s="100" t="s">
        <v>1649</v>
      </c>
      <c r="F146" s="101" t="s">
        <v>1928</v>
      </c>
      <c r="G146" s="101"/>
      <c r="H146" s="88"/>
      <c r="I146" s="80"/>
      <c r="J146" s="80"/>
      <c r="K146" s="80"/>
      <c r="L146" s="80"/>
      <c r="M146" s="80"/>
      <c r="N146" s="80"/>
      <c r="O146" s="100" t="s">
        <v>1649</v>
      </c>
      <c r="P146" s="101" t="s">
        <v>1984</v>
      </c>
      <c r="Q146" s="101"/>
      <c r="R146" s="88"/>
      <c r="S146" s="80"/>
      <c r="T146" s="80"/>
      <c r="U146" s="80"/>
      <c r="V146" s="80"/>
      <c r="W146" s="80"/>
      <c r="X146" s="80"/>
      <c r="Y146" s="88" t="s">
        <v>1905</v>
      </c>
      <c r="Z146" s="80" t="s">
        <v>2055</v>
      </c>
    </row>
    <row r="147" spans="2:26" s="185" customFormat="1">
      <c r="B147" s="88" t="s">
        <v>457</v>
      </c>
      <c r="C147" s="80" t="s">
        <v>458</v>
      </c>
      <c r="D147" s="80" t="s">
        <v>459</v>
      </c>
      <c r="E147" s="100" t="s">
        <v>1649</v>
      </c>
      <c r="F147" s="101" t="s">
        <v>1929</v>
      </c>
      <c r="G147" s="101"/>
      <c r="H147" s="88"/>
      <c r="I147" s="80"/>
      <c r="J147" s="80"/>
      <c r="K147" s="80"/>
      <c r="L147" s="80"/>
      <c r="M147" s="80"/>
      <c r="N147" s="80"/>
      <c r="O147" s="100" t="s">
        <v>1649</v>
      </c>
      <c r="P147" s="101" t="s">
        <v>1985</v>
      </c>
      <c r="Q147" s="101"/>
      <c r="R147" s="88"/>
      <c r="S147" s="80"/>
      <c r="T147" s="80"/>
      <c r="U147" s="80"/>
      <c r="V147" s="80"/>
      <c r="W147" s="80"/>
      <c r="X147" s="80"/>
      <c r="Y147" s="88" t="s">
        <v>1905</v>
      </c>
      <c r="Z147" s="80" t="s">
        <v>2055</v>
      </c>
    </row>
    <row r="148" spans="2:26" s="185" customFormat="1">
      <c r="B148" s="88" t="s">
        <v>461</v>
      </c>
      <c r="C148" s="80" t="s">
        <v>462</v>
      </c>
      <c r="D148" s="80" t="s">
        <v>463</v>
      </c>
      <c r="E148" s="100" t="s">
        <v>1649</v>
      </c>
      <c r="F148" s="101" t="s">
        <v>1930</v>
      </c>
      <c r="G148" s="101"/>
      <c r="H148" s="88"/>
      <c r="I148" s="80"/>
      <c r="J148" s="80"/>
      <c r="K148" s="80"/>
      <c r="L148" s="80"/>
      <c r="M148" s="80"/>
      <c r="N148" s="80"/>
      <c r="O148" s="100" t="s">
        <v>1649</v>
      </c>
      <c r="P148" s="101" t="s">
        <v>1986</v>
      </c>
      <c r="Q148" s="101"/>
      <c r="R148" s="88"/>
      <c r="S148" s="80"/>
      <c r="T148" s="80"/>
      <c r="U148" s="80"/>
      <c r="V148" s="80"/>
      <c r="W148" s="80"/>
      <c r="X148" s="80"/>
      <c r="Y148" s="88" t="s">
        <v>1905</v>
      </c>
      <c r="Z148" s="80" t="s">
        <v>2055</v>
      </c>
    </row>
    <row r="149" spans="2:26" s="185" customFormat="1">
      <c r="B149" s="88" t="s">
        <v>466</v>
      </c>
      <c r="C149" s="80" t="s">
        <v>467</v>
      </c>
      <c r="D149" s="80" t="s">
        <v>468</v>
      </c>
      <c r="E149" s="100" t="s">
        <v>1649</v>
      </c>
      <c r="F149" s="101" t="s">
        <v>1931</v>
      </c>
      <c r="G149" s="101"/>
      <c r="H149" s="88"/>
      <c r="I149" s="80"/>
      <c r="J149" s="80"/>
      <c r="K149" s="80"/>
      <c r="L149" s="80"/>
      <c r="M149" s="80"/>
      <c r="N149" s="80"/>
      <c r="O149" s="100" t="s">
        <v>1649</v>
      </c>
      <c r="P149" s="101" t="s">
        <v>1987</v>
      </c>
      <c r="Q149" s="101"/>
      <c r="R149" s="88"/>
      <c r="S149" s="80"/>
      <c r="T149" s="80"/>
      <c r="U149" s="80"/>
      <c r="V149" s="80"/>
      <c r="W149" s="80"/>
      <c r="X149" s="80"/>
      <c r="Y149" s="88" t="s">
        <v>1905</v>
      </c>
      <c r="Z149" s="80" t="s">
        <v>2055</v>
      </c>
    </row>
    <row r="150" spans="2:26" s="185" customFormat="1">
      <c r="B150" s="88" t="s">
        <v>471</v>
      </c>
      <c r="C150" s="80" t="s">
        <v>472</v>
      </c>
      <c r="D150" s="80" t="s">
        <v>473</v>
      </c>
      <c r="E150" s="100" t="s">
        <v>1649</v>
      </c>
      <c r="F150" s="101" t="s">
        <v>1932</v>
      </c>
      <c r="G150" s="101"/>
      <c r="H150" s="88"/>
      <c r="I150" s="80"/>
      <c r="J150" s="80"/>
      <c r="K150" s="80"/>
      <c r="L150" s="80"/>
      <c r="M150" s="80"/>
      <c r="N150" s="80"/>
      <c r="O150" s="100" t="s">
        <v>1649</v>
      </c>
      <c r="P150" s="101" t="s">
        <v>1988</v>
      </c>
      <c r="Q150" s="101"/>
      <c r="R150" s="88"/>
      <c r="S150" s="80"/>
      <c r="T150" s="80"/>
      <c r="U150" s="80"/>
      <c r="V150" s="80"/>
      <c r="W150" s="80"/>
      <c r="X150" s="80"/>
      <c r="Y150" s="88" t="s">
        <v>1905</v>
      </c>
      <c r="Z150" s="80" t="s">
        <v>2055</v>
      </c>
    </row>
    <row r="151" spans="2:26" s="185" customFormat="1">
      <c r="B151" s="88" t="s">
        <v>475</v>
      </c>
      <c r="C151" s="80" t="s">
        <v>476</v>
      </c>
      <c r="D151" s="80" t="s">
        <v>477</v>
      </c>
      <c r="E151" s="100" t="s">
        <v>1649</v>
      </c>
      <c r="F151" s="101" t="s">
        <v>1933</v>
      </c>
      <c r="G151" s="101"/>
      <c r="H151" s="88"/>
      <c r="I151" s="80"/>
      <c r="J151" s="80"/>
      <c r="K151" s="80"/>
      <c r="L151" s="80"/>
      <c r="M151" s="80"/>
      <c r="N151" s="80"/>
      <c r="O151" s="100" t="s">
        <v>1649</v>
      </c>
      <c r="P151" s="101" t="s">
        <v>1989</v>
      </c>
      <c r="Q151" s="101"/>
      <c r="R151" s="88"/>
      <c r="S151" s="80"/>
      <c r="T151" s="80"/>
      <c r="U151" s="80"/>
      <c r="V151" s="80"/>
      <c r="W151" s="80"/>
      <c r="X151" s="80"/>
      <c r="Y151" s="88" t="s">
        <v>1905</v>
      </c>
      <c r="Z151" s="80" t="s">
        <v>2055</v>
      </c>
    </row>
    <row r="152" spans="2:26" s="185" customFormat="1">
      <c r="B152" s="88" t="s">
        <v>480</v>
      </c>
      <c r="C152" s="80" t="s">
        <v>481</v>
      </c>
      <c r="D152" s="80" t="s">
        <v>482</v>
      </c>
      <c r="E152" s="100" t="s">
        <v>1649</v>
      </c>
      <c r="F152" s="101" t="s">
        <v>1934</v>
      </c>
      <c r="G152" s="101"/>
      <c r="H152" s="88"/>
      <c r="I152" s="80"/>
      <c r="J152" s="80"/>
      <c r="K152" s="80"/>
      <c r="L152" s="80"/>
      <c r="M152" s="80"/>
      <c r="N152" s="80"/>
      <c r="O152" s="100" t="s">
        <v>1651</v>
      </c>
      <c r="P152" s="101" t="s">
        <v>1990</v>
      </c>
      <c r="Q152" s="101">
        <v>0</v>
      </c>
      <c r="R152" s="88"/>
      <c r="S152" s="80" t="s">
        <v>1904</v>
      </c>
      <c r="T152" s="80" t="s">
        <v>2057</v>
      </c>
      <c r="U152" s="80"/>
      <c r="V152" s="80"/>
      <c r="W152" s="80"/>
      <c r="X152" s="80"/>
      <c r="Y152" s="88" t="s">
        <v>1905</v>
      </c>
      <c r="Z152" s="80" t="s">
        <v>2055</v>
      </c>
    </row>
    <row r="153" spans="2:26" s="185" customFormat="1">
      <c r="B153" s="88" t="s">
        <v>485</v>
      </c>
      <c r="C153" s="80" t="s">
        <v>486</v>
      </c>
      <c r="D153" s="80" t="s">
        <v>487</v>
      </c>
      <c r="E153" s="100" t="s">
        <v>1649</v>
      </c>
      <c r="F153" s="101" t="s">
        <v>1935</v>
      </c>
      <c r="G153" s="101"/>
      <c r="H153" s="88"/>
      <c r="I153" s="80"/>
      <c r="J153" s="80"/>
      <c r="K153" s="80"/>
      <c r="L153" s="80"/>
      <c r="M153" s="80"/>
      <c r="N153" s="80"/>
      <c r="O153" s="100" t="s">
        <v>1649</v>
      </c>
      <c r="P153" s="101" t="s">
        <v>1991</v>
      </c>
      <c r="Q153" s="101"/>
      <c r="R153" s="88"/>
      <c r="S153" s="80"/>
      <c r="T153" s="80"/>
      <c r="U153" s="80"/>
      <c r="V153" s="80"/>
      <c r="W153" s="80"/>
      <c r="X153" s="80"/>
      <c r="Y153" s="88" t="s">
        <v>1905</v>
      </c>
      <c r="Z153" s="80" t="s">
        <v>2055</v>
      </c>
    </row>
    <row r="154" spans="2:26" s="185" customFormat="1">
      <c r="B154" s="88" t="s">
        <v>490</v>
      </c>
      <c r="C154" s="80" t="s">
        <v>491</v>
      </c>
      <c r="D154" s="80" t="s">
        <v>492</v>
      </c>
      <c r="E154" s="100" t="s">
        <v>1649</v>
      </c>
      <c r="F154" s="101" t="s">
        <v>1936</v>
      </c>
      <c r="G154" s="101"/>
      <c r="H154" s="88"/>
      <c r="I154" s="80"/>
      <c r="J154" s="80"/>
      <c r="K154" s="80"/>
      <c r="L154" s="80"/>
      <c r="M154" s="80"/>
      <c r="N154" s="80"/>
      <c r="O154" s="100" t="s">
        <v>1649</v>
      </c>
      <c r="P154" s="101" t="s">
        <v>1992</v>
      </c>
      <c r="Q154" s="101"/>
      <c r="R154" s="88"/>
      <c r="S154" s="80"/>
      <c r="T154" s="80"/>
      <c r="U154" s="80"/>
      <c r="V154" s="80"/>
      <c r="W154" s="80"/>
      <c r="X154" s="80"/>
      <c r="Y154" s="88" t="s">
        <v>1905</v>
      </c>
      <c r="Z154" s="80" t="s">
        <v>2055</v>
      </c>
    </row>
    <row r="155" spans="2:26" s="185" customFormat="1">
      <c r="B155" s="88" t="s">
        <v>495</v>
      </c>
      <c r="C155" s="80" t="s">
        <v>496</v>
      </c>
      <c r="D155" s="80" t="s">
        <v>497</v>
      </c>
      <c r="E155" s="100" t="s">
        <v>1651</v>
      </c>
      <c r="F155" s="101" t="s">
        <v>1937</v>
      </c>
      <c r="G155" s="101">
        <v>5</v>
      </c>
      <c r="H155" s="88" t="s">
        <v>1162</v>
      </c>
      <c r="I155" s="80" t="s">
        <v>1954</v>
      </c>
      <c r="J155" s="80" t="s">
        <v>2090</v>
      </c>
      <c r="K155" s="80" t="s">
        <v>2091</v>
      </c>
      <c r="L155" s="80" t="s">
        <v>2092</v>
      </c>
      <c r="M155" s="80" t="s">
        <v>2093</v>
      </c>
      <c r="N155" s="80" t="s">
        <v>2094</v>
      </c>
      <c r="O155" s="100" t="s">
        <v>1649</v>
      </c>
      <c r="P155" s="101" t="s">
        <v>1993</v>
      </c>
      <c r="Q155" s="101"/>
      <c r="R155" s="88"/>
      <c r="S155" s="80"/>
      <c r="T155" s="80"/>
      <c r="U155" s="80"/>
      <c r="V155" s="80"/>
      <c r="W155" s="80"/>
      <c r="X155" s="80"/>
      <c r="Y155" s="88" t="s">
        <v>1905</v>
      </c>
      <c r="Z155" s="80" t="s">
        <v>2055</v>
      </c>
    </row>
    <row r="156" spans="2:26" s="185" customFormat="1">
      <c r="B156" s="88" t="s">
        <v>500</v>
      </c>
      <c r="C156" s="80" t="s">
        <v>501</v>
      </c>
      <c r="D156" s="80" t="s">
        <v>502</v>
      </c>
      <c r="E156" s="100" t="s">
        <v>1649</v>
      </c>
      <c r="F156" s="101" t="s">
        <v>1938</v>
      </c>
      <c r="G156" s="101"/>
      <c r="H156" s="88"/>
      <c r="I156" s="80"/>
      <c r="J156" s="80"/>
      <c r="K156" s="80"/>
      <c r="L156" s="80"/>
      <c r="M156" s="80"/>
      <c r="N156" s="80"/>
      <c r="O156" s="100" t="s">
        <v>1649</v>
      </c>
      <c r="P156" s="101" t="s">
        <v>1994</v>
      </c>
      <c r="Q156" s="101"/>
      <c r="R156" s="88"/>
      <c r="S156" s="80"/>
      <c r="T156" s="80"/>
      <c r="U156" s="80"/>
      <c r="V156" s="80"/>
      <c r="W156" s="80"/>
      <c r="X156" s="80"/>
      <c r="Y156" s="88" t="s">
        <v>1905</v>
      </c>
      <c r="Z156" s="80" t="s">
        <v>2055</v>
      </c>
    </row>
    <row r="157" spans="2:26" s="185" customFormat="1">
      <c r="B157" s="88" t="s">
        <v>505</v>
      </c>
      <c r="C157" s="80" t="s">
        <v>506</v>
      </c>
      <c r="D157" s="80" t="s">
        <v>507</v>
      </c>
      <c r="E157" s="100" t="s">
        <v>1649</v>
      </c>
      <c r="F157" s="101" t="s">
        <v>1939</v>
      </c>
      <c r="G157" s="101"/>
      <c r="H157" s="88"/>
      <c r="I157" s="80"/>
      <c r="J157" s="80"/>
      <c r="K157" s="80"/>
      <c r="L157" s="80"/>
      <c r="M157" s="80"/>
      <c r="N157" s="80"/>
      <c r="O157" s="100" t="s">
        <v>1649</v>
      </c>
      <c r="P157" s="101" t="s">
        <v>1995</v>
      </c>
      <c r="Q157" s="101"/>
      <c r="R157" s="88"/>
      <c r="S157" s="80"/>
      <c r="T157" s="80"/>
      <c r="U157" s="80"/>
      <c r="V157" s="80"/>
      <c r="W157" s="80"/>
      <c r="X157" s="80"/>
      <c r="Y157" s="88" t="s">
        <v>1905</v>
      </c>
      <c r="Z157" s="80" t="s">
        <v>2055</v>
      </c>
    </row>
    <row r="158" spans="2:26" s="185" customFormat="1">
      <c r="B158" s="88" t="s">
        <v>509</v>
      </c>
      <c r="C158" s="80" t="s">
        <v>510</v>
      </c>
      <c r="D158" s="80" t="s">
        <v>511</v>
      </c>
      <c r="E158" s="100" t="s">
        <v>1649</v>
      </c>
      <c r="F158" s="101" t="s">
        <v>1940</v>
      </c>
      <c r="G158" s="101"/>
      <c r="H158" s="88"/>
      <c r="I158" s="80"/>
      <c r="J158" s="80"/>
      <c r="K158" s="80"/>
      <c r="L158" s="80"/>
      <c r="M158" s="80"/>
      <c r="N158" s="80"/>
      <c r="O158" s="100" t="s">
        <v>1649</v>
      </c>
      <c r="P158" s="101" t="s">
        <v>2061</v>
      </c>
      <c r="Q158" s="101"/>
      <c r="R158" s="88"/>
      <c r="S158" s="80"/>
      <c r="T158" s="80"/>
      <c r="U158" s="80"/>
      <c r="V158" s="80"/>
      <c r="W158" s="80"/>
      <c r="X158" s="80"/>
      <c r="Y158" s="88" t="s">
        <v>1905</v>
      </c>
      <c r="Z158" s="80" t="s">
        <v>2055</v>
      </c>
    </row>
    <row r="159" spans="2:26" s="185" customFormat="1">
      <c r="B159" s="88" t="s">
        <v>513</v>
      </c>
      <c r="C159" s="80" t="s">
        <v>514</v>
      </c>
      <c r="D159" s="80" t="s">
        <v>515</v>
      </c>
      <c r="E159" s="100" t="s">
        <v>1651</v>
      </c>
      <c r="F159" s="101" t="s">
        <v>1941</v>
      </c>
      <c r="G159" s="101">
        <v>2</v>
      </c>
      <c r="H159" s="88" t="s">
        <v>1161</v>
      </c>
      <c r="I159" s="80" t="s">
        <v>1899</v>
      </c>
      <c r="J159" s="80" t="s">
        <v>2095</v>
      </c>
      <c r="K159" s="80" t="s">
        <v>2096</v>
      </c>
      <c r="L159" s="80" t="s">
        <v>2097</v>
      </c>
      <c r="M159" s="80" t="s">
        <v>2098</v>
      </c>
      <c r="N159" s="80" t="s">
        <v>2099</v>
      </c>
      <c r="O159" s="100" t="s">
        <v>1649</v>
      </c>
      <c r="P159" s="101" t="s">
        <v>1996</v>
      </c>
      <c r="Q159" s="101"/>
      <c r="R159" s="88"/>
      <c r="S159" s="80"/>
      <c r="T159" s="80"/>
      <c r="U159" s="80"/>
      <c r="V159" s="80"/>
      <c r="W159" s="80"/>
      <c r="X159" s="80"/>
      <c r="Y159" s="88" t="s">
        <v>1905</v>
      </c>
      <c r="Z159" s="80" t="s">
        <v>2055</v>
      </c>
    </row>
    <row r="160" spans="2:26" s="185" customFormat="1">
      <c r="B160" s="88" t="s">
        <v>517</v>
      </c>
      <c r="C160" s="80" t="s">
        <v>518</v>
      </c>
      <c r="D160" s="80" t="s">
        <v>519</v>
      </c>
      <c r="E160" s="100" t="s">
        <v>1649</v>
      </c>
      <c r="F160" s="101" t="s">
        <v>1942</v>
      </c>
      <c r="G160" s="101">
        <v>0</v>
      </c>
      <c r="H160" s="88"/>
      <c r="I160" s="80" t="s">
        <v>122</v>
      </c>
      <c r="J160" s="80" t="s">
        <v>2057</v>
      </c>
      <c r="K160" s="80"/>
      <c r="L160" s="80"/>
      <c r="M160" s="80"/>
      <c r="N160" s="80"/>
      <c r="O160" s="100" t="s">
        <v>1649</v>
      </c>
      <c r="P160" s="101" t="s">
        <v>1997</v>
      </c>
      <c r="Q160" s="101"/>
      <c r="R160" s="88"/>
      <c r="S160" s="80"/>
      <c r="T160" s="80"/>
      <c r="U160" s="80"/>
      <c r="V160" s="80"/>
      <c r="W160" s="80"/>
      <c r="X160" s="80"/>
      <c r="Y160" s="88" t="s">
        <v>1905</v>
      </c>
      <c r="Z160" s="80" t="s">
        <v>2055</v>
      </c>
    </row>
    <row r="161" spans="2:36" s="185" customFormat="1">
      <c r="B161" s="88" t="s">
        <v>522</v>
      </c>
      <c r="C161" s="80" t="s">
        <v>523</v>
      </c>
      <c r="D161" s="80" t="s">
        <v>524</v>
      </c>
      <c r="E161" s="100" t="s">
        <v>1651</v>
      </c>
      <c r="F161" s="101" t="s">
        <v>1943</v>
      </c>
      <c r="G161" s="101">
        <v>1</v>
      </c>
      <c r="H161" s="88" t="s">
        <v>2044</v>
      </c>
      <c r="I161" s="80" t="s">
        <v>1955</v>
      </c>
      <c r="J161" s="80" t="s">
        <v>2062</v>
      </c>
      <c r="K161" s="80" t="s">
        <v>2063</v>
      </c>
      <c r="L161" s="80" t="s">
        <v>1880</v>
      </c>
      <c r="M161" s="80">
        <v>103</v>
      </c>
      <c r="N161" s="80" t="s">
        <v>2064</v>
      </c>
      <c r="O161" s="100" t="s">
        <v>1649</v>
      </c>
      <c r="P161" s="101" t="s">
        <v>1998</v>
      </c>
      <c r="Q161" s="101"/>
      <c r="R161" s="88"/>
      <c r="S161" s="80"/>
      <c r="T161" s="80"/>
      <c r="U161" s="80"/>
      <c r="V161" s="80"/>
      <c r="W161" s="80"/>
      <c r="X161" s="80"/>
      <c r="Y161" s="88" t="s">
        <v>1905</v>
      </c>
      <c r="Z161" s="80" t="s">
        <v>2055</v>
      </c>
    </row>
    <row r="162" spans="2:36" s="185" customFormat="1">
      <c r="B162" s="88" t="s">
        <v>527</v>
      </c>
      <c r="C162" s="80" t="s">
        <v>528</v>
      </c>
      <c r="D162" s="80" t="s">
        <v>529</v>
      </c>
      <c r="E162" s="100" t="s">
        <v>1649</v>
      </c>
      <c r="F162" s="101" t="s">
        <v>1944</v>
      </c>
      <c r="G162" s="101">
        <v>0</v>
      </c>
      <c r="H162" s="88"/>
      <c r="I162" s="80" t="s">
        <v>1900</v>
      </c>
      <c r="J162" s="80" t="s">
        <v>2057</v>
      </c>
      <c r="K162" s="80"/>
      <c r="L162" s="80"/>
      <c r="M162" s="80"/>
      <c r="N162" s="80"/>
      <c r="O162" s="100" t="s">
        <v>1649</v>
      </c>
      <c r="P162" s="101" t="s">
        <v>1999</v>
      </c>
      <c r="Q162" s="101"/>
      <c r="R162" s="88"/>
      <c r="S162" s="80"/>
      <c r="T162" s="80"/>
      <c r="U162" s="80"/>
      <c r="V162" s="80"/>
      <c r="W162" s="80"/>
      <c r="X162" s="80"/>
      <c r="Y162" s="88" t="s">
        <v>1905</v>
      </c>
      <c r="Z162" s="80" t="s">
        <v>2055</v>
      </c>
    </row>
    <row r="163" spans="2:36" s="185" customFormat="1">
      <c r="B163" s="88" t="s">
        <v>531</v>
      </c>
      <c r="C163" s="80" t="s">
        <v>532</v>
      </c>
      <c r="D163" s="80" t="s">
        <v>533</v>
      </c>
      <c r="E163" s="100" t="s">
        <v>1651</v>
      </c>
      <c r="F163" s="101" t="s">
        <v>1945</v>
      </c>
      <c r="G163" s="101">
        <v>11</v>
      </c>
      <c r="H163" s="88" t="s">
        <v>1162</v>
      </c>
      <c r="I163" s="80" t="s">
        <v>1901</v>
      </c>
      <c r="J163" s="80" t="s">
        <v>2100</v>
      </c>
      <c r="K163" s="80" t="s">
        <v>2101</v>
      </c>
      <c r="L163" s="80" t="s">
        <v>2102</v>
      </c>
      <c r="M163" s="80" t="s">
        <v>2103</v>
      </c>
      <c r="N163" s="80" t="s">
        <v>2104</v>
      </c>
      <c r="O163" s="100" t="s">
        <v>1649</v>
      </c>
      <c r="P163" s="101" t="s">
        <v>2000</v>
      </c>
      <c r="Q163" s="101"/>
      <c r="R163" s="88"/>
      <c r="S163" s="80"/>
      <c r="T163" s="80"/>
      <c r="U163" s="80"/>
      <c r="V163" s="80"/>
      <c r="W163" s="80"/>
      <c r="X163" s="80"/>
      <c r="Y163" s="88" t="s">
        <v>1905</v>
      </c>
      <c r="Z163" s="80" t="s">
        <v>2055</v>
      </c>
    </row>
    <row r="164" spans="2:36" s="185" customFormat="1">
      <c r="B164" s="88" t="s">
        <v>535</v>
      </c>
      <c r="C164" s="80" t="s">
        <v>536</v>
      </c>
      <c r="D164" s="80" t="s">
        <v>537</v>
      </c>
      <c r="E164" s="100" t="s">
        <v>1651</v>
      </c>
      <c r="F164" s="101" t="s">
        <v>1946</v>
      </c>
      <c r="G164" s="101">
        <v>2</v>
      </c>
      <c r="H164" s="88" t="s">
        <v>2044</v>
      </c>
      <c r="I164" s="80" t="s">
        <v>1902</v>
      </c>
      <c r="J164" s="80" t="s">
        <v>2065</v>
      </c>
      <c r="K164" s="80" t="s">
        <v>2066</v>
      </c>
      <c r="L164" s="80" t="s">
        <v>2067</v>
      </c>
      <c r="M164" s="80" t="s">
        <v>2068</v>
      </c>
      <c r="N164" s="80" t="s">
        <v>2069</v>
      </c>
      <c r="O164" s="100" t="s">
        <v>1649</v>
      </c>
      <c r="P164" s="101" t="s">
        <v>2001</v>
      </c>
      <c r="Q164" s="101"/>
      <c r="R164" s="88"/>
      <c r="S164" s="80"/>
      <c r="T164" s="80"/>
      <c r="U164" s="80"/>
      <c r="V164" s="80"/>
      <c r="W164" s="80"/>
      <c r="X164" s="80"/>
      <c r="Y164" s="88" t="s">
        <v>1905</v>
      </c>
      <c r="Z164" s="80" t="s">
        <v>2055</v>
      </c>
    </row>
    <row r="165" spans="2:36" s="185" customFormat="1">
      <c r="B165" s="88" t="s">
        <v>539</v>
      </c>
      <c r="C165" s="80" t="s">
        <v>540</v>
      </c>
      <c r="D165" s="80" t="s">
        <v>541</v>
      </c>
      <c r="E165" s="100" t="s">
        <v>1651</v>
      </c>
      <c r="F165" s="101" t="s">
        <v>1947</v>
      </c>
      <c r="G165" s="101">
        <v>1</v>
      </c>
      <c r="H165" s="88" t="s">
        <v>2044</v>
      </c>
      <c r="I165" s="80" t="s">
        <v>1956</v>
      </c>
      <c r="J165" s="80" t="s">
        <v>2070</v>
      </c>
      <c r="K165" s="80" t="s">
        <v>2071</v>
      </c>
      <c r="L165" s="80" t="s">
        <v>1880</v>
      </c>
      <c r="M165" s="80">
        <v>98</v>
      </c>
      <c r="N165" s="80" t="s">
        <v>2072</v>
      </c>
      <c r="O165" s="100" t="s">
        <v>1649</v>
      </c>
      <c r="P165" s="101" t="s">
        <v>2002</v>
      </c>
      <c r="Q165" s="101"/>
      <c r="R165" s="88"/>
      <c r="S165" s="80"/>
      <c r="T165" s="80"/>
      <c r="U165" s="80"/>
      <c r="V165" s="80"/>
      <c r="W165" s="80"/>
      <c r="X165" s="80"/>
      <c r="Y165" s="88" t="s">
        <v>1905</v>
      </c>
      <c r="Z165" s="80" t="s">
        <v>2055</v>
      </c>
    </row>
    <row r="166" spans="2:36" s="185" customFormat="1">
      <c r="B166" s="88" t="s">
        <v>543</v>
      </c>
      <c r="C166" s="80" t="s">
        <v>544</v>
      </c>
      <c r="D166" s="80" t="s">
        <v>545</v>
      </c>
      <c r="E166" s="100" t="s">
        <v>1651</v>
      </c>
      <c r="F166" s="101" t="s">
        <v>1948</v>
      </c>
      <c r="G166" s="101">
        <v>1</v>
      </c>
      <c r="H166" s="88" t="s">
        <v>1162</v>
      </c>
      <c r="I166" s="80" t="s">
        <v>1957</v>
      </c>
      <c r="J166" s="80" t="s">
        <v>2105</v>
      </c>
      <c r="K166" s="80" t="s">
        <v>2106</v>
      </c>
      <c r="L166" s="80" t="s">
        <v>2107</v>
      </c>
      <c r="M166" s="80">
        <v>71</v>
      </c>
      <c r="N166" s="80" t="s">
        <v>2108</v>
      </c>
      <c r="O166" s="100" t="s">
        <v>1649</v>
      </c>
      <c r="P166" s="101" t="s">
        <v>2003</v>
      </c>
      <c r="Q166" s="101"/>
      <c r="R166" s="88"/>
      <c r="S166" s="80"/>
      <c r="T166" s="80"/>
      <c r="U166" s="80"/>
      <c r="V166" s="80"/>
      <c r="W166" s="80"/>
      <c r="X166" s="80"/>
      <c r="Y166" s="88" t="s">
        <v>1905</v>
      </c>
      <c r="Z166" s="80" t="s">
        <v>2055</v>
      </c>
    </row>
    <row r="167" spans="2:36" s="185" customFormat="1">
      <c r="B167" s="88" t="s">
        <v>547</v>
      </c>
      <c r="C167" s="80" t="s">
        <v>548</v>
      </c>
      <c r="D167" s="80" t="s">
        <v>549</v>
      </c>
      <c r="E167" s="100" t="s">
        <v>1651</v>
      </c>
      <c r="F167" s="101" t="s">
        <v>1949</v>
      </c>
      <c r="G167" s="101">
        <v>4</v>
      </c>
      <c r="H167" s="88" t="s">
        <v>1162</v>
      </c>
      <c r="I167" s="80" t="s">
        <v>1903</v>
      </c>
      <c r="J167" s="80" t="s">
        <v>2109</v>
      </c>
      <c r="K167" s="80" t="s">
        <v>2110</v>
      </c>
      <c r="L167" s="80" t="s">
        <v>2111</v>
      </c>
      <c r="M167" s="80" t="s">
        <v>2112</v>
      </c>
      <c r="N167" s="80" t="s">
        <v>2113</v>
      </c>
      <c r="O167" s="100" t="s">
        <v>1649</v>
      </c>
      <c r="P167" s="101" t="s">
        <v>2004</v>
      </c>
      <c r="Q167" s="101"/>
      <c r="R167" s="88"/>
      <c r="S167" s="80"/>
      <c r="T167" s="80"/>
      <c r="U167" s="80"/>
      <c r="V167" s="80"/>
      <c r="W167" s="80"/>
      <c r="X167" s="80"/>
      <c r="Y167" s="88" t="s">
        <v>1905</v>
      </c>
      <c r="Z167" s="80" t="s">
        <v>2055</v>
      </c>
    </row>
    <row r="168" spans="2:36" s="185" customFormat="1">
      <c r="B168" s="88" t="s">
        <v>552</v>
      </c>
      <c r="C168" s="80" t="s">
        <v>553</v>
      </c>
      <c r="D168" s="80" t="s">
        <v>554</v>
      </c>
      <c r="E168" s="100" t="s">
        <v>1651</v>
      </c>
      <c r="F168" s="101" t="s">
        <v>2114</v>
      </c>
      <c r="G168" s="101">
        <v>1</v>
      </c>
      <c r="H168" s="88" t="s">
        <v>1162</v>
      </c>
      <c r="I168" s="80" t="s">
        <v>2115</v>
      </c>
      <c r="J168" s="80" t="s">
        <v>2116</v>
      </c>
      <c r="K168" s="80" t="s">
        <v>2117</v>
      </c>
      <c r="L168" s="80" t="s">
        <v>2107</v>
      </c>
      <c r="M168" s="80">
        <v>61</v>
      </c>
      <c r="N168" s="80" t="s">
        <v>2118</v>
      </c>
      <c r="O168" s="100" t="s">
        <v>1649</v>
      </c>
      <c r="P168" s="101" t="s">
        <v>2005</v>
      </c>
      <c r="Q168" s="101"/>
      <c r="R168" s="88"/>
      <c r="S168" s="80"/>
      <c r="T168" s="80"/>
      <c r="U168" s="80"/>
      <c r="V168" s="80"/>
      <c r="W168" s="80"/>
      <c r="X168" s="80"/>
      <c r="Y168" s="88" t="s">
        <v>1905</v>
      </c>
      <c r="Z168" s="80" t="s">
        <v>2055</v>
      </c>
    </row>
    <row r="169" spans="2:36" s="185" customFormat="1">
      <c r="B169" s="88" t="s">
        <v>556</v>
      </c>
      <c r="C169" s="80" t="s">
        <v>557</v>
      </c>
      <c r="D169" s="80" t="s">
        <v>558</v>
      </c>
      <c r="E169" s="100" t="s">
        <v>1649</v>
      </c>
      <c r="F169" s="101" t="s">
        <v>1950</v>
      </c>
      <c r="G169" s="101"/>
      <c r="H169" s="88"/>
      <c r="I169" s="80"/>
      <c r="J169" s="80"/>
      <c r="K169" s="80"/>
      <c r="L169" s="80"/>
      <c r="M169" s="80"/>
      <c r="N169" s="80"/>
      <c r="O169" s="100" t="s">
        <v>1649</v>
      </c>
      <c r="P169" s="101" t="s">
        <v>2006</v>
      </c>
      <c r="Q169" s="101"/>
      <c r="R169" s="88"/>
      <c r="S169" s="80"/>
      <c r="T169" s="80"/>
      <c r="U169" s="80"/>
      <c r="V169" s="80"/>
      <c r="W169" s="80"/>
      <c r="X169" s="80"/>
      <c r="Y169" s="88" t="s">
        <v>1905</v>
      </c>
      <c r="Z169" s="80" t="s">
        <v>2055</v>
      </c>
    </row>
    <row r="170" spans="2:36" s="185" customFormat="1">
      <c r="B170" s="88" t="s">
        <v>561</v>
      </c>
      <c r="C170" s="80" t="s">
        <v>562</v>
      </c>
      <c r="D170" s="80" t="s">
        <v>563</v>
      </c>
      <c r="E170" s="100" t="s">
        <v>1649</v>
      </c>
      <c r="F170" s="101" t="s">
        <v>1951</v>
      </c>
      <c r="G170" s="101"/>
      <c r="H170" s="88"/>
      <c r="I170" s="80"/>
      <c r="J170" s="80"/>
      <c r="K170" s="80"/>
      <c r="L170" s="80"/>
      <c r="M170" s="80"/>
      <c r="N170" s="80"/>
      <c r="O170" s="100" t="s">
        <v>1649</v>
      </c>
      <c r="P170" s="101" t="s">
        <v>2007</v>
      </c>
      <c r="Q170" s="101"/>
      <c r="R170" s="88"/>
      <c r="S170" s="80"/>
      <c r="T170" s="80"/>
      <c r="U170" s="80"/>
      <c r="V170" s="80"/>
      <c r="W170" s="80"/>
      <c r="X170" s="80"/>
      <c r="Y170" s="88" t="s">
        <v>1905</v>
      </c>
      <c r="Z170" s="80" t="s">
        <v>2055</v>
      </c>
    </row>
    <row r="171" spans="2:36" s="185" customFormat="1">
      <c r="B171" s="88" t="s">
        <v>564</v>
      </c>
      <c r="C171" s="80" t="s">
        <v>565</v>
      </c>
      <c r="D171" s="80" t="s">
        <v>566</v>
      </c>
      <c r="E171" s="100" t="s">
        <v>1649</v>
      </c>
      <c r="F171" s="101" t="s">
        <v>1952</v>
      </c>
      <c r="G171" s="101"/>
      <c r="H171" s="88"/>
      <c r="I171" s="80"/>
      <c r="J171" s="80"/>
      <c r="K171" s="80"/>
      <c r="L171" s="80"/>
      <c r="M171" s="80"/>
      <c r="N171" s="80"/>
      <c r="O171" s="100" t="s">
        <v>1651</v>
      </c>
      <c r="P171" s="101" t="s">
        <v>2008</v>
      </c>
      <c r="Q171" s="101">
        <v>0</v>
      </c>
      <c r="R171" s="88"/>
      <c r="S171" s="80" t="s">
        <v>1904</v>
      </c>
      <c r="T171" s="80" t="s">
        <v>2057</v>
      </c>
      <c r="U171" s="80"/>
      <c r="V171" s="80"/>
      <c r="W171" s="80"/>
      <c r="X171" s="80"/>
      <c r="Y171" s="88" t="s">
        <v>1905</v>
      </c>
      <c r="Z171" s="80" t="s">
        <v>2055</v>
      </c>
    </row>
    <row r="172" spans="2:36" s="185" customFormat="1"/>
    <row r="173" spans="2:36" s="185" customFormat="1"/>
    <row r="174" spans="2:36" s="75" customFormat="1" ht="17.399999999999999">
      <c r="B174" s="113" t="s">
        <v>2593</v>
      </c>
      <c r="C174" s="113"/>
      <c r="D174" s="113"/>
      <c r="E174" s="113"/>
      <c r="F174" s="113"/>
      <c r="G174" s="113"/>
      <c r="H174" s="113"/>
      <c r="I174" s="113"/>
      <c r="J174" s="113"/>
      <c r="K174" s="113"/>
      <c r="L174" s="113"/>
      <c r="M174" s="113"/>
      <c r="N174" s="113"/>
      <c r="O174" s="113"/>
      <c r="P174" s="113"/>
      <c r="Q174" s="113"/>
      <c r="R174" s="113"/>
      <c r="S174" s="113"/>
      <c r="T174" s="113"/>
      <c r="AA174" s="185"/>
      <c r="AB174" s="185"/>
      <c r="AC174" s="185"/>
      <c r="AD174" s="185"/>
      <c r="AE174" s="185"/>
      <c r="AF174" s="185"/>
      <c r="AG174" s="185"/>
      <c r="AH174" s="185"/>
      <c r="AI174" s="185"/>
      <c r="AJ174" s="185"/>
    </row>
    <row r="175" spans="2:36" s="75" customFormat="1">
      <c r="B175" s="95" t="s">
        <v>312</v>
      </c>
      <c r="C175" s="99" t="s">
        <v>2594</v>
      </c>
      <c r="D175" s="99"/>
      <c r="E175" s="99"/>
      <c r="F175" s="99"/>
      <c r="G175" s="99"/>
      <c r="H175" s="99"/>
      <c r="I175" s="99"/>
      <c r="J175" s="99"/>
      <c r="K175" s="99"/>
      <c r="L175" s="99"/>
      <c r="M175" s="99"/>
      <c r="N175" s="99"/>
      <c r="O175" s="99"/>
      <c r="P175" s="99"/>
      <c r="Q175" s="99"/>
      <c r="R175" s="99"/>
      <c r="S175" s="99"/>
      <c r="T175" s="99"/>
      <c r="AA175" s="185"/>
      <c r="AB175" s="185"/>
      <c r="AC175" s="185"/>
      <c r="AD175" s="185"/>
      <c r="AE175" s="185"/>
      <c r="AF175" s="185"/>
      <c r="AG175" s="185"/>
      <c r="AH175" s="185"/>
      <c r="AI175" s="185"/>
      <c r="AJ175" s="185"/>
    </row>
    <row r="176" spans="2:36" s="75" customFormat="1">
      <c r="D176" s="99"/>
      <c r="E176" s="99"/>
      <c r="F176" s="99"/>
      <c r="G176" s="99"/>
      <c r="H176" s="99"/>
      <c r="I176" s="99"/>
      <c r="J176" s="99"/>
      <c r="K176" s="99"/>
      <c r="L176" s="99"/>
      <c r="M176" s="99"/>
      <c r="N176" s="99"/>
      <c r="O176" s="99"/>
      <c r="P176" s="99"/>
      <c r="Q176" s="99"/>
      <c r="R176" s="99"/>
      <c r="S176" s="99"/>
      <c r="T176" s="99"/>
      <c r="AA176" s="185"/>
      <c r="AB176" s="185"/>
      <c r="AC176" s="185"/>
      <c r="AD176" s="185"/>
      <c r="AE176" s="185"/>
      <c r="AF176" s="185"/>
      <c r="AG176" s="185"/>
      <c r="AH176" s="185"/>
      <c r="AI176" s="185"/>
      <c r="AJ176" s="185"/>
    </row>
    <row r="177" spans="2:36" s="75" customFormat="1" ht="17.399999999999999">
      <c r="B177" s="113" t="s">
        <v>1635</v>
      </c>
      <c r="C177" s="113"/>
      <c r="D177" s="113"/>
      <c r="E177" s="113"/>
      <c r="F177" s="113"/>
      <c r="G177" s="113"/>
      <c r="H177" s="113"/>
      <c r="I177" s="113"/>
      <c r="J177" s="113"/>
      <c r="K177" s="113"/>
      <c r="L177" s="113"/>
      <c r="M177" s="113"/>
      <c r="N177" s="113"/>
      <c r="O177" s="113"/>
      <c r="P177" s="113"/>
      <c r="Q177" s="113"/>
      <c r="R177" s="113"/>
      <c r="S177" s="113"/>
      <c r="T177" s="113"/>
    </row>
    <row r="178" spans="2:36" s="75" customFormat="1">
      <c r="B178" s="92" t="s">
        <v>1614</v>
      </c>
      <c r="C178" s="92" t="s">
        <v>311</v>
      </c>
      <c r="D178" s="92" t="s">
        <v>1293</v>
      </c>
      <c r="E178" s="102" t="s">
        <v>1636</v>
      </c>
      <c r="F178" s="103" t="s">
        <v>1637</v>
      </c>
      <c r="G178" s="103" t="s">
        <v>1647</v>
      </c>
      <c r="H178" s="92" t="s">
        <v>1502</v>
      </c>
      <c r="I178" s="92" t="s">
        <v>1487</v>
      </c>
      <c r="J178" s="92" t="s">
        <v>1469</v>
      </c>
      <c r="K178" s="92" t="s">
        <v>1488</v>
      </c>
      <c r="L178" s="92" t="s">
        <v>1500</v>
      </c>
      <c r="M178" s="92" t="s">
        <v>1489</v>
      </c>
      <c r="N178" s="92" t="s">
        <v>1490</v>
      </c>
      <c r="O178" s="102" t="s">
        <v>1638</v>
      </c>
      <c r="P178" s="103" t="s">
        <v>1639</v>
      </c>
      <c r="Q178" s="103" t="s">
        <v>1648</v>
      </c>
      <c r="R178" s="92" t="s">
        <v>1503</v>
      </c>
      <c r="S178" s="92" t="s">
        <v>1491</v>
      </c>
      <c r="T178" s="92" t="s">
        <v>1470</v>
      </c>
      <c r="U178" s="92" t="s">
        <v>1492</v>
      </c>
      <c r="V178" s="92" t="s">
        <v>1501</v>
      </c>
      <c r="W178" s="92" t="s">
        <v>1493</v>
      </c>
      <c r="X178" s="92" t="s">
        <v>1494</v>
      </c>
      <c r="Y178" s="92" t="s">
        <v>1495</v>
      </c>
      <c r="Z178" s="92" t="s">
        <v>1496</v>
      </c>
    </row>
    <row r="179" spans="2:36" s="75" customFormat="1">
      <c r="B179" s="88" t="s">
        <v>2009</v>
      </c>
      <c r="C179" s="80" t="s">
        <v>2010</v>
      </c>
      <c r="D179" s="80" t="s">
        <v>2011</v>
      </c>
      <c r="E179" s="100" t="s">
        <v>1651</v>
      </c>
      <c r="F179" s="101" t="s">
        <v>2012</v>
      </c>
      <c r="G179" s="101">
        <v>2</v>
      </c>
      <c r="H179" s="88" t="s">
        <v>1161</v>
      </c>
      <c r="I179" s="80" t="s">
        <v>2013</v>
      </c>
      <c r="J179" s="80" t="s">
        <v>2014</v>
      </c>
      <c r="K179" s="80" t="s">
        <v>2074</v>
      </c>
      <c r="L179" s="80" t="s">
        <v>2067</v>
      </c>
      <c r="M179" s="80" t="s">
        <v>2075</v>
      </c>
      <c r="N179" s="80" t="s">
        <v>2076</v>
      </c>
      <c r="O179" s="100" t="s">
        <v>1649</v>
      </c>
      <c r="P179" s="101" t="s">
        <v>2015</v>
      </c>
      <c r="Q179" s="101"/>
      <c r="R179" s="88"/>
      <c r="S179" s="80"/>
      <c r="T179" s="80"/>
      <c r="U179" s="80"/>
      <c r="V179" s="80"/>
      <c r="W179" s="80"/>
      <c r="X179" s="80"/>
      <c r="Y179" s="88" t="s">
        <v>1905</v>
      </c>
      <c r="Z179" s="80" t="s">
        <v>2055</v>
      </c>
    </row>
    <row r="180" spans="2:36">
      <c r="B180" s="88" t="s">
        <v>2016</v>
      </c>
      <c r="C180" s="80" t="s">
        <v>2017</v>
      </c>
      <c r="D180" s="80" t="s">
        <v>2018</v>
      </c>
      <c r="E180" s="100" t="s">
        <v>1651</v>
      </c>
      <c r="F180" s="101" t="s">
        <v>2019</v>
      </c>
      <c r="G180" s="101">
        <v>2</v>
      </c>
      <c r="H180" s="88" t="s">
        <v>1162</v>
      </c>
      <c r="I180" s="80" t="s">
        <v>2020</v>
      </c>
      <c r="J180" s="80" t="s">
        <v>2021</v>
      </c>
      <c r="K180" s="80" t="s">
        <v>2077</v>
      </c>
      <c r="L180" s="80" t="s">
        <v>2067</v>
      </c>
      <c r="M180" s="80" t="s">
        <v>2078</v>
      </c>
      <c r="N180" s="80" t="s">
        <v>2079</v>
      </c>
      <c r="O180" s="100" t="s">
        <v>1649</v>
      </c>
      <c r="P180" s="101" t="s">
        <v>2080</v>
      </c>
      <c r="Q180" s="101"/>
      <c r="R180" s="88"/>
      <c r="S180" s="80"/>
      <c r="T180" s="80"/>
      <c r="U180" s="80"/>
      <c r="V180" s="80"/>
      <c r="W180" s="80"/>
      <c r="X180" s="80"/>
      <c r="Y180" s="88" t="s">
        <v>1905</v>
      </c>
      <c r="Z180" s="80" t="s">
        <v>2055</v>
      </c>
      <c r="AA180" s="75"/>
      <c r="AB180" s="75"/>
      <c r="AC180" s="75"/>
      <c r="AD180" s="75"/>
      <c r="AE180" s="75"/>
      <c r="AF180" s="75"/>
      <c r="AG180" s="75"/>
      <c r="AH180" s="75"/>
      <c r="AI180" s="75"/>
      <c r="AJ180" s="75"/>
    </row>
    <row r="181" spans="2:36">
      <c r="B181" s="88" t="s">
        <v>2022</v>
      </c>
      <c r="C181" s="80" t="s">
        <v>2023</v>
      </c>
      <c r="D181" s="80" t="s">
        <v>2024</v>
      </c>
      <c r="E181" s="100" t="s">
        <v>1651</v>
      </c>
      <c r="F181" s="101" t="s">
        <v>2025</v>
      </c>
      <c r="G181" s="101">
        <v>1</v>
      </c>
      <c r="H181" s="88" t="s">
        <v>1162</v>
      </c>
      <c r="I181" s="80" t="s">
        <v>2026</v>
      </c>
      <c r="J181" s="80" t="s">
        <v>2027</v>
      </c>
      <c r="K181" s="80" t="s">
        <v>2028</v>
      </c>
      <c r="L181" s="80" t="s">
        <v>1865</v>
      </c>
      <c r="M181" s="80">
        <v>89</v>
      </c>
      <c r="N181" s="80" t="s">
        <v>2029</v>
      </c>
      <c r="O181" s="100" t="s">
        <v>1649</v>
      </c>
      <c r="P181" s="101" t="s">
        <v>2030</v>
      </c>
      <c r="Q181" s="101"/>
      <c r="R181" s="88"/>
      <c r="S181" s="80"/>
      <c r="T181" s="80"/>
      <c r="U181" s="80"/>
      <c r="V181" s="80"/>
      <c r="W181" s="80"/>
      <c r="X181" s="80"/>
      <c r="Y181" s="88" t="s">
        <v>1905</v>
      </c>
      <c r="Z181" s="80" t="s">
        <v>2055</v>
      </c>
      <c r="AA181" s="75"/>
      <c r="AB181" s="75"/>
      <c r="AC181" s="75"/>
      <c r="AD181" s="75"/>
      <c r="AE181" s="75"/>
      <c r="AF181" s="75"/>
      <c r="AG181" s="75"/>
      <c r="AH181" s="75"/>
      <c r="AI181" s="75"/>
      <c r="AJ181" s="75"/>
    </row>
    <row r="182" spans="2:36">
      <c r="B182" s="88" t="s">
        <v>2031</v>
      </c>
      <c r="C182" s="80" t="s">
        <v>2032</v>
      </c>
      <c r="D182" s="80" t="s">
        <v>2033</v>
      </c>
      <c r="E182" s="100" t="s">
        <v>1651</v>
      </c>
      <c r="F182" s="101" t="s">
        <v>2034</v>
      </c>
      <c r="G182" s="101">
        <v>1</v>
      </c>
      <c r="H182" s="88" t="s">
        <v>1162</v>
      </c>
      <c r="I182" s="80" t="s">
        <v>151</v>
      </c>
      <c r="J182" s="80" t="s">
        <v>2035</v>
      </c>
      <c r="K182" s="80" t="s">
        <v>2036</v>
      </c>
      <c r="L182" s="80" t="s">
        <v>1865</v>
      </c>
      <c r="M182" s="80">
        <v>89</v>
      </c>
      <c r="N182" s="80" t="s">
        <v>2037</v>
      </c>
      <c r="O182" s="100" t="s">
        <v>1649</v>
      </c>
      <c r="P182" s="101" t="s">
        <v>2038</v>
      </c>
      <c r="Q182" s="101"/>
      <c r="R182" s="88"/>
      <c r="S182" s="80"/>
      <c r="T182" s="80"/>
      <c r="U182" s="80"/>
      <c r="V182" s="80"/>
      <c r="W182" s="80"/>
      <c r="X182" s="80"/>
      <c r="Y182" s="88" t="s">
        <v>1905</v>
      </c>
      <c r="Z182" s="80" t="s">
        <v>2055</v>
      </c>
      <c r="AA182" s="75"/>
      <c r="AB182" s="75"/>
      <c r="AC182" s="75"/>
      <c r="AD182" s="75"/>
      <c r="AE182" s="75"/>
      <c r="AF182" s="75"/>
      <c r="AG182" s="75"/>
      <c r="AH182" s="75"/>
      <c r="AI182" s="75"/>
      <c r="AJ182" s="75"/>
    </row>
    <row r="183" spans="2:36">
      <c r="B183" s="88" t="s">
        <v>2039</v>
      </c>
      <c r="C183" s="80" t="s">
        <v>2040</v>
      </c>
      <c r="D183" s="80" t="s">
        <v>2041</v>
      </c>
      <c r="E183" s="100" t="s">
        <v>1651</v>
      </c>
      <c r="F183" s="101" t="s">
        <v>2042</v>
      </c>
      <c r="G183" s="101">
        <v>0</v>
      </c>
      <c r="H183" s="88"/>
      <c r="I183" s="80" t="s">
        <v>98</v>
      </c>
      <c r="J183" s="80" t="s">
        <v>2057</v>
      </c>
      <c r="K183" s="80"/>
      <c r="L183" s="80"/>
      <c r="M183" s="80"/>
      <c r="N183" s="80"/>
      <c r="O183" s="100" t="s">
        <v>1649</v>
      </c>
      <c r="P183" s="101" t="s">
        <v>2043</v>
      </c>
      <c r="Q183" s="101"/>
      <c r="R183" s="88"/>
      <c r="S183" s="80"/>
      <c r="T183" s="80"/>
      <c r="U183" s="80"/>
      <c r="V183" s="80"/>
      <c r="W183" s="80"/>
      <c r="X183" s="80"/>
      <c r="Y183" s="88" t="s">
        <v>1905</v>
      </c>
      <c r="Z183" s="80" t="s">
        <v>2055</v>
      </c>
    </row>
    <row r="184" spans="2:36">
      <c r="B184" s="88" t="s">
        <v>2045</v>
      </c>
      <c r="C184" s="80" t="s">
        <v>2046</v>
      </c>
      <c r="D184" s="80" t="s">
        <v>2047</v>
      </c>
      <c r="E184" s="100" t="s">
        <v>1649</v>
      </c>
      <c r="F184" s="101" t="s">
        <v>2081</v>
      </c>
      <c r="G184" s="101"/>
      <c r="H184" s="88"/>
      <c r="I184" s="80"/>
      <c r="J184" s="80"/>
      <c r="K184" s="80"/>
      <c r="L184" s="80"/>
      <c r="M184" s="80"/>
      <c r="N184" s="80"/>
      <c r="O184" s="100" t="s">
        <v>1649</v>
      </c>
      <c r="P184" s="101" t="s">
        <v>2048</v>
      </c>
      <c r="Q184" s="101"/>
      <c r="R184" s="88"/>
      <c r="S184" s="80"/>
      <c r="T184" s="80"/>
      <c r="U184" s="80"/>
      <c r="V184" s="80"/>
      <c r="W184" s="80"/>
      <c r="X184" s="80"/>
      <c r="Y184" s="88" t="s">
        <v>1905</v>
      </c>
      <c r="Z184" s="80" t="s">
        <v>2055</v>
      </c>
    </row>
    <row r="185" spans="2:36">
      <c r="B185" s="88" t="s">
        <v>2049</v>
      </c>
      <c r="C185" s="80" t="s">
        <v>2050</v>
      </c>
      <c r="D185" s="80" t="s">
        <v>2051</v>
      </c>
      <c r="E185" s="100" t="s">
        <v>1651</v>
      </c>
      <c r="F185" s="101" t="s">
        <v>2052</v>
      </c>
      <c r="G185" s="101">
        <v>2</v>
      </c>
      <c r="H185" s="88" t="s">
        <v>1162</v>
      </c>
      <c r="I185" s="80" t="s">
        <v>2053</v>
      </c>
      <c r="J185" s="80" t="s">
        <v>2082</v>
      </c>
      <c r="K185" s="80" t="s">
        <v>2083</v>
      </c>
      <c r="L185" s="80" t="s">
        <v>2073</v>
      </c>
      <c r="M185" s="80" t="s">
        <v>2084</v>
      </c>
      <c r="N185" s="80" t="s">
        <v>2085</v>
      </c>
      <c r="O185" s="100" t="s">
        <v>1649</v>
      </c>
      <c r="P185" s="101" t="s">
        <v>2054</v>
      </c>
      <c r="Q185" s="101"/>
      <c r="R185" s="88"/>
      <c r="S185" s="80"/>
      <c r="T185" s="80"/>
      <c r="U185" s="80"/>
      <c r="V185" s="80"/>
      <c r="W185" s="80"/>
      <c r="X185" s="80"/>
      <c r="Y185" s="88" t="s">
        <v>1905</v>
      </c>
      <c r="Z185" s="80" t="s">
        <v>2055</v>
      </c>
    </row>
    <row r="186" spans="2:36">
      <c r="B186" s="88" t="s">
        <v>2119</v>
      </c>
      <c r="C186" s="80" t="s">
        <v>2120</v>
      </c>
      <c r="D186" s="80" t="s">
        <v>2121</v>
      </c>
      <c r="E186" s="100" t="s">
        <v>1651</v>
      </c>
      <c r="F186" s="101" t="s">
        <v>2122</v>
      </c>
      <c r="G186" s="101">
        <v>1</v>
      </c>
      <c r="H186" s="88" t="s">
        <v>1161</v>
      </c>
      <c r="I186" s="80" t="s">
        <v>2020</v>
      </c>
      <c r="J186" s="80" t="s">
        <v>2123</v>
      </c>
      <c r="K186" s="80" t="s">
        <v>2124</v>
      </c>
      <c r="L186" s="80" t="s">
        <v>2107</v>
      </c>
      <c r="M186" s="80">
        <v>60</v>
      </c>
      <c r="N186" s="80" t="s">
        <v>2125</v>
      </c>
      <c r="O186" s="100" t="s">
        <v>1649</v>
      </c>
      <c r="P186" s="101" t="s">
        <v>2126</v>
      </c>
      <c r="Q186" s="101"/>
      <c r="R186" s="88"/>
      <c r="S186" s="80"/>
      <c r="T186" s="80"/>
      <c r="U186" s="80"/>
      <c r="V186" s="80"/>
      <c r="W186" s="80"/>
      <c r="X186" s="80"/>
      <c r="Y186" s="88" t="s">
        <v>1905</v>
      </c>
      <c r="Z186" s="80" t="s">
        <v>2055</v>
      </c>
    </row>
    <row r="187" spans="2:36">
      <c r="B187" s="88" t="s">
        <v>2127</v>
      </c>
      <c r="C187" s="80" t="s">
        <v>2128</v>
      </c>
      <c r="D187" s="80" t="s">
        <v>2129</v>
      </c>
      <c r="E187" s="100" t="s">
        <v>1651</v>
      </c>
      <c r="F187" s="101" t="s">
        <v>2130</v>
      </c>
      <c r="G187" s="101">
        <v>1</v>
      </c>
      <c r="H187" s="88" t="s">
        <v>2044</v>
      </c>
      <c r="I187" s="80" t="s">
        <v>88</v>
      </c>
      <c r="J187" s="80" t="s">
        <v>2131</v>
      </c>
      <c r="K187" s="80" t="s">
        <v>2132</v>
      </c>
      <c r="L187" s="80" t="s">
        <v>2107</v>
      </c>
      <c r="M187" s="80">
        <v>66</v>
      </c>
      <c r="N187" s="80" t="s">
        <v>2133</v>
      </c>
      <c r="O187" s="100" t="s">
        <v>1649</v>
      </c>
      <c r="P187" s="101" t="s">
        <v>2134</v>
      </c>
      <c r="Q187" s="101"/>
      <c r="R187" s="88"/>
      <c r="S187" s="80"/>
      <c r="T187" s="80"/>
      <c r="U187" s="80"/>
      <c r="V187" s="80"/>
      <c r="W187" s="80"/>
      <c r="X187" s="80"/>
      <c r="Y187" s="88" t="s">
        <v>1905</v>
      </c>
      <c r="Z187" s="80" t="s">
        <v>2055</v>
      </c>
    </row>
    <row r="188" spans="2:36">
      <c r="B188" s="88" t="s">
        <v>2135</v>
      </c>
      <c r="C188" s="80" t="s">
        <v>2136</v>
      </c>
      <c r="D188" s="80" t="s">
        <v>2137</v>
      </c>
      <c r="E188" s="100" t="s">
        <v>1651</v>
      </c>
      <c r="F188" s="101" t="s">
        <v>2138</v>
      </c>
      <c r="G188" s="101">
        <v>1</v>
      </c>
      <c r="H188" s="88" t="s">
        <v>1162</v>
      </c>
      <c r="I188" s="80" t="s">
        <v>88</v>
      </c>
      <c r="J188" s="80" t="s">
        <v>2139</v>
      </c>
      <c r="K188" s="80" t="s">
        <v>2140</v>
      </c>
      <c r="L188" s="80" t="s">
        <v>2107</v>
      </c>
      <c r="M188" s="80">
        <v>71</v>
      </c>
      <c r="N188" s="80" t="s">
        <v>2141</v>
      </c>
      <c r="O188" s="100" t="s">
        <v>1649</v>
      </c>
      <c r="P188" s="101" t="s">
        <v>2142</v>
      </c>
      <c r="Q188" s="101"/>
      <c r="R188" s="88"/>
      <c r="S188" s="80"/>
      <c r="T188" s="80"/>
      <c r="U188" s="80"/>
      <c r="V188" s="80"/>
      <c r="W188" s="80"/>
      <c r="X188" s="80"/>
      <c r="Y188" s="88" t="s">
        <v>1905</v>
      </c>
      <c r="Z188" s="80" t="s">
        <v>2055</v>
      </c>
    </row>
    <row r="196" spans="2:6">
      <c r="B196" s="197" t="s">
        <v>2145</v>
      </c>
      <c r="C196" s="197" t="s">
        <v>2146</v>
      </c>
      <c r="D196" s="197" t="s">
        <v>2147</v>
      </c>
      <c r="E196" s="197" t="s">
        <v>2148</v>
      </c>
      <c r="F196" s="197" t="s">
        <v>2149</v>
      </c>
    </row>
    <row r="197" spans="2:6">
      <c r="B197" s="198" t="s">
        <v>2150</v>
      </c>
      <c r="C197" s="199" t="s">
        <v>2151</v>
      </c>
      <c r="D197" s="199" t="s">
        <v>2152</v>
      </c>
      <c r="E197" s="200" t="s">
        <v>2212</v>
      </c>
      <c r="F197" s="198" t="s">
        <v>2213</v>
      </c>
    </row>
    <row r="198" spans="2:6">
      <c r="B198" s="198" t="s">
        <v>2153</v>
      </c>
      <c r="C198" s="199" t="s">
        <v>2154</v>
      </c>
      <c r="D198" s="199" t="s">
        <v>2155</v>
      </c>
      <c r="E198" s="200" t="s">
        <v>2212</v>
      </c>
      <c r="F198" s="198" t="s">
        <v>2214</v>
      </c>
    </row>
    <row r="199" spans="2:6">
      <c r="B199" s="198" t="s">
        <v>2156</v>
      </c>
      <c r="C199" s="199" t="s">
        <v>2157</v>
      </c>
      <c r="D199" s="199" t="s">
        <v>2158</v>
      </c>
      <c r="E199" s="200" t="s">
        <v>2215</v>
      </c>
      <c r="F199" s="198" t="s">
        <v>2216</v>
      </c>
    </row>
    <row r="200" spans="2:6">
      <c r="B200" s="198" t="s">
        <v>2159</v>
      </c>
      <c r="C200" s="199" t="s">
        <v>2160</v>
      </c>
      <c r="D200" s="199" t="s">
        <v>2161</v>
      </c>
      <c r="E200" s="200" t="s">
        <v>2217</v>
      </c>
      <c r="F200" s="198" t="s">
        <v>2218</v>
      </c>
    </row>
    <row r="201" spans="2:6">
      <c r="B201" s="198" t="s">
        <v>2162</v>
      </c>
      <c r="C201" s="199" t="s">
        <v>2163</v>
      </c>
      <c r="D201" s="199" t="s">
        <v>2164</v>
      </c>
      <c r="E201" s="200" t="s">
        <v>2212</v>
      </c>
      <c r="F201" s="198" t="s">
        <v>2219</v>
      </c>
    </row>
    <row r="202" spans="2:6">
      <c r="B202" s="198" t="s">
        <v>2165</v>
      </c>
      <c r="C202" s="199" t="s">
        <v>2166</v>
      </c>
      <c r="D202" s="199" t="s">
        <v>2167</v>
      </c>
      <c r="E202" s="200" t="s">
        <v>2212</v>
      </c>
      <c r="F202" s="198" t="s">
        <v>2220</v>
      </c>
    </row>
    <row r="203" spans="2:6">
      <c r="B203" s="198" t="s">
        <v>2168</v>
      </c>
      <c r="C203" s="199" t="s">
        <v>2169</v>
      </c>
      <c r="D203" s="199" t="s">
        <v>2170</v>
      </c>
      <c r="E203" s="200" t="s">
        <v>2221</v>
      </c>
      <c r="F203" s="198" t="s">
        <v>2222</v>
      </c>
    </row>
    <row r="204" spans="2:6">
      <c r="B204" s="198" t="s">
        <v>2171</v>
      </c>
      <c r="C204" s="199" t="s">
        <v>2172</v>
      </c>
      <c r="D204" s="199" t="s">
        <v>2173</v>
      </c>
      <c r="E204" s="200" t="s">
        <v>2223</v>
      </c>
      <c r="F204" s="198" t="s">
        <v>2224</v>
      </c>
    </row>
    <row r="205" spans="2:6">
      <c r="B205" s="198" t="s">
        <v>2174</v>
      </c>
      <c r="C205" s="199" t="s">
        <v>2175</v>
      </c>
      <c r="D205" s="199" t="s">
        <v>2176</v>
      </c>
      <c r="E205" s="200" t="s">
        <v>2225</v>
      </c>
      <c r="F205" s="198" t="s">
        <v>2226</v>
      </c>
    </row>
    <row r="206" spans="2:6">
      <c r="B206" s="198" t="s">
        <v>2177</v>
      </c>
      <c r="C206" s="199" t="s">
        <v>2178</v>
      </c>
      <c r="D206" s="199" t="s">
        <v>2179</v>
      </c>
      <c r="E206" s="200" t="s">
        <v>2227</v>
      </c>
      <c r="F206" s="198" t="s">
        <v>2228</v>
      </c>
    </row>
    <row r="207" spans="2:6">
      <c r="B207" s="198" t="s">
        <v>2180</v>
      </c>
      <c r="C207" s="199" t="s">
        <v>2181</v>
      </c>
      <c r="D207" s="199" t="s">
        <v>2182</v>
      </c>
      <c r="E207" s="200" t="s">
        <v>2229</v>
      </c>
      <c r="F207" s="198" t="s">
        <v>2230</v>
      </c>
    </row>
    <row r="208" spans="2:6">
      <c r="B208" s="198" t="s">
        <v>2183</v>
      </c>
      <c r="C208" s="199" t="s">
        <v>2184</v>
      </c>
      <c r="D208" s="199" t="s">
        <v>2185</v>
      </c>
      <c r="E208" s="200" t="s">
        <v>2231</v>
      </c>
      <c r="F208" s="198" t="s">
        <v>2232</v>
      </c>
    </row>
    <row r="209" spans="2:6">
      <c r="B209" s="198" t="s">
        <v>2186</v>
      </c>
      <c r="C209" s="199" t="s">
        <v>2187</v>
      </c>
      <c r="D209" s="199" t="s">
        <v>2188</v>
      </c>
      <c r="E209" s="200" t="s">
        <v>2233</v>
      </c>
      <c r="F209" s="198" t="s">
        <v>2234</v>
      </c>
    </row>
    <row r="210" spans="2:6">
      <c r="B210" s="198" t="s">
        <v>2189</v>
      </c>
      <c r="C210" s="199" t="s">
        <v>2190</v>
      </c>
      <c r="D210" s="199" t="s">
        <v>2191</v>
      </c>
      <c r="E210" s="200" t="s">
        <v>2235</v>
      </c>
      <c r="F210" s="198" t="s">
        <v>2236</v>
      </c>
    </row>
    <row r="211" spans="2:6">
      <c r="B211" s="198" t="s">
        <v>2192</v>
      </c>
      <c r="C211" s="199" t="s">
        <v>2193</v>
      </c>
      <c r="D211" s="199" t="s">
        <v>2194</v>
      </c>
      <c r="E211" s="200" t="s">
        <v>2237</v>
      </c>
      <c r="F211" s="198" t="s">
        <v>2238</v>
      </c>
    </row>
    <row r="212" spans="2:6">
      <c r="B212" s="198" t="s">
        <v>2195</v>
      </c>
      <c r="C212" s="199" t="s">
        <v>2196</v>
      </c>
      <c r="D212" s="199" t="s">
        <v>2197</v>
      </c>
      <c r="E212" s="200" t="s">
        <v>2239</v>
      </c>
      <c r="F212" s="198" t="s">
        <v>2240</v>
      </c>
    </row>
    <row r="213" spans="2:6">
      <c r="B213" s="198" t="s">
        <v>2032</v>
      </c>
      <c r="C213" s="199" t="s">
        <v>2198</v>
      </c>
      <c r="D213" s="199" t="s">
        <v>2199</v>
      </c>
      <c r="E213" s="200" t="s">
        <v>2241</v>
      </c>
      <c r="F213" s="198" t="s">
        <v>2242</v>
      </c>
    </row>
    <row r="214" spans="2:6">
      <c r="B214" s="198" t="s">
        <v>2200</v>
      </c>
      <c r="C214" s="199" t="s">
        <v>2201</v>
      </c>
      <c r="D214" s="199" t="s">
        <v>2202</v>
      </c>
      <c r="E214" s="200" t="s">
        <v>2243</v>
      </c>
      <c r="F214" s="198" t="s">
        <v>2244</v>
      </c>
    </row>
    <row r="215" spans="2:6">
      <c r="B215" s="198" t="s">
        <v>2203</v>
      </c>
      <c r="C215" s="199" t="s">
        <v>2204</v>
      </c>
      <c r="D215" s="199" t="s">
        <v>2205</v>
      </c>
      <c r="E215" s="200" t="s">
        <v>2245</v>
      </c>
      <c r="F215" s="198" t="s">
        <v>2246</v>
      </c>
    </row>
    <row r="216" spans="2:6">
      <c r="B216" s="198" t="s">
        <v>2206</v>
      </c>
      <c r="C216" s="199" t="s">
        <v>2207</v>
      </c>
      <c r="D216" s="199" t="s">
        <v>2208</v>
      </c>
      <c r="E216" s="200" t="s">
        <v>2247</v>
      </c>
      <c r="F216" s="198" t="s">
        <v>2248</v>
      </c>
    </row>
    <row r="217" spans="2:6">
      <c r="B217" s="198" t="s">
        <v>2209</v>
      </c>
      <c r="C217" s="199" t="s">
        <v>2210</v>
      </c>
      <c r="D217" s="199" t="s">
        <v>2211</v>
      </c>
      <c r="E217" s="200" t="s">
        <v>2249</v>
      </c>
      <c r="F217" s="198" t="s">
        <v>2250</v>
      </c>
    </row>
  </sheetData>
  <mergeCells count="11">
    <mergeCell ref="B80:C80"/>
    <mergeCell ref="B2:T2"/>
    <mergeCell ref="B3:T3"/>
    <mergeCell ref="L63:T63"/>
    <mergeCell ref="B71:T71"/>
    <mergeCell ref="B75:C75"/>
    <mergeCell ref="B85:T85"/>
    <mergeCell ref="B107:T107"/>
    <mergeCell ref="B117:T117"/>
    <mergeCell ref="B174:T174"/>
    <mergeCell ref="B177:T177"/>
  </mergeCells>
  <phoneticPr fontId="28" type="noConversion"/>
  <conditionalFormatting sqref="B119:Z171 B179:Z188">
    <cfRule type="expression" dxfId="448" priority="1">
      <formula>B119=""</formula>
    </cfRule>
  </conditionalFormatting>
  <dataValidations count="8">
    <dataValidation type="list" allowBlank="1" showInputMessage="1" showErrorMessage="1" sqref="O119:O171 E119:E171 O179:O188 E179:E188" xr:uid="{94A3C3BD-C807-4715-BD85-9099C89C1C14}">
      <formula1>"Eligible,Review required,Not eligible"</formula1>
    </dataValidation>
    <dataValidation type="list" allowBlank="1" showInputMessage="1" showErrorMessage="1" sqref="C94:C106" xr:uid="{4A722482-1A59-4154-AA24-0C4BC46F7EFB}">
      <formula1>WR_SourceScope</formula1>
    </dataValidation>
    <dataValidation type="list" allowBlank="1" showInputMessage="1" showErrorMessage="1" sqref="Y119:Y171" xr:uid="{6ADF02AA-EE92-4D20-A55F-E35DAFD2BABE}">
      <formula1>WR_ReviewStatus</formula1>
    </dataValidation>
    <dataValidation type="list" allowBlank="1" showInputMessage="1" showErrorMessage="1" sqref="R119:R171 H119:H171" xr:uid="{491CAAE8-933F-4DBC-A957-AB50A36F5797}">
      <formula1>WR_EffectivenessLevel</formula1>
    </dataValidation>
    <dataValidation type="list" allowBlank="1" showInputMessage="1" showErrorMessage="1" sqref="C77" xr:uid="{ECDD8AEA-87A7-4CBC-9413-D29D7916803F}">
      <formula1>WR_VulnerabilityComponents</formula1>
    </dataValidation>
    <dataValidation type="list" allowBlank="1" showInputMessage="1" showErrorMessage="1" sqref="C76" xr:uid="{43B4B155-A40F-4DDD-B585-6FB113D222FA}">
      <formula1>WR_VulnerabilitySectors</formula1>
    </dataValidation>
    <dataValidation type="list" allowBlank="1" showInputMessage="1" showErrorMessage="1" sqref="C82" xr:uid="{7A5B8484-2548-4405-871D-E1D8269053FC}">
      <formula1>WR_ExposureComponents</formula1>
    </dataValidation>
    <dataValidation type="list" allowBlank="1" showInputMessage="1" showErrorMessage="1" sqref="C81" xr:uid="{1DFA4B75-CCB1-4CA4-81D2-E2F5FCAD69C4}">
      <formula1>WR_ExposureSectors</formula1>
    </dataValidation>
  </dataValidations>
  <hyperlinks>
    <hyperlink ref="G98" r:id="rId1" xr:uid="{BE94EB3F-20EE-411A-A6CE-08E88CEC5A00}"/>
    <hyperlink ref="G104" r:id="rId2" display="https://www.embrapa.br/busca-de-publicacoes/-/publicacao/1181212/ciencia-para-o-clima-e-solucoes-da-agricultura-brasileira-estrategias-tecnologias-e-indicadores-de-adaptacao-a-mudanca-climatica-e-de-controle-de-emissoes-de-gases-de-efeito-estufa-na-agricultura-tropical" xr:uid="{5BF28A7D-F5AB-42A2-9B35-568EBD5CB715}"/>
    <hyperlink ref="G103" r:id="rId3" xr:uid="{7C0F013A-9DA9-47AD-A4F9-B41364A19F72}"/>
  </hyperlinks>
  <pageMargins left="0.7" right="0.7" top="0.75" bottom="0.75" header="0.3" footer="0.3"/>
  <tableParts count="4">
    <tablePart r:id="rId4"/>
    <tablePart r:id="rId5"/>
    <tablePart r:id="rId6"/>
    <tablePart r:id="rId7"/>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2D22B-3C9A-4C20-9176-3B4446C1A5B0}">
  <dimension ref="A2:AJ188"/>
  <sheetViews>
    <sheetView showGridLines="0" topLeftCell="A61" zoomScale="55" zoomScaleNormal="55" workbookViewId="0">
      <selection activeCell="A61" sqref="A1:XFD1048576"/>
    </sheetView>
  </sheetViews>
  <sheetFormatPr baseColWidth="10" defaultRowHeight="15"/>
  <cols>
    <col min="1" max="1" width="6.09765625" style="186" customWidth="1"/>
    <col min="2" max="2" width="32" style="186" customWidth="1"/>
    <col min="3" max="3" width="51.296875" style="186" customWidth="1"/>
    <col min="4" max="4" width="66.796875" style="186" customWidth="1"/>
    <col min="5" max="5" width="28" style="186" customWidth="1"/>
    <col min="6" max="6" width="58" style="186" customWidth="1"/>
    <col min="7" max="7" width="41" style="186" customWidth="1"/>
    <col min="8" max="8" width="51" style="186" customWidth="1"/>
    <col min="9" max="9" width="33" style="186" customWidth="1"/>
    <col min="10" max="10" width="30" style="186" customWidth="1"/>
    <col min="11" max="11" width="30.796875" style="186" customWidth="1"/>
    <col min="12" max="12" width="17.5" style="186" customWidth="1"/>
    <col min="13" max="13" width="22.5" style="186" customWidth="1"/>
    <col min="14" max="14" width="30" style="186" customWidth="1"/>
    <col min="15" max="15" width="19.19921875" style="186" customWidth="1"/>
    <col min="16" max="16" width="24.19921875" style="186" customWidth="1"/>
    <col min="17" max="17" width="14.19921875" style="186" customWidth="1"/>
    <col min="18" max="18" width="30.796875" style="186" customWidth="1"/>
    <col min="19" max="19" width="20" style="186" customWidth="1"/>
    <col min="20" max="20" width="27.5" style="186" customWidth="1"/>
    <col min="21" max="21" width="15.59765625" style="186" bestFit="1" customWidth="1"/>
    <col min="22" max="24" width="11.19921875" style="186"/>
    <col min="25" max="25" width="17.69921875" style="186" bestFit="1" customWidth="1"/>
    <col min="26" max="16384" width="11.19921875" style="186"/>
  </cols>
  <sheetData>
    <row r="2" spans="1:36" ht="24">
      <c r="A2" s="185"/>
      <c r="B2" s="115" t="s">
        <v>2292</v>
      </c>
      <c r="C2" s="115"/>
      <c r="D2" s="115"/>
      <c r="E2" s="115"/>
      <c r="F2" s="115"/>
      <c r="G2" s="115"/>
      <c r="H2" s="115"/>
      <c r="I2" s="115"/>
      <c r="J2" s="115"/>
      <c r="K2" s="115"/>
      <c r="L2" s="115"/>
      <c r="M2" s="115"/>
      <c r="N2" s="115"/>
      <c r="O2" s="115"/>
      <c r="P2" s="115"/>
      <c r="Q2" s="115"/>
      <c r="R2" s="115"/>
      <c r="S2" s="115"/>
      <c r="T2" s="115"/>
    </row>
    <row r="3" spans="1:36">
      <c r="A3" s="185"/>
      <c r="B3" s="187" t="s">
        <v>2564</v>
      </c>
      <c r="C3" s="187"/>
      <c r="D3" s="187"/>
      <c r="E3" s="187"/>
      <c r="F3" s="187"/>
      <c r="G3" s="187"/>
      <c r="H3" s="187"/>
      <c r="I3" s="187"/>
      <c r="J3" s="187"/>
      <c r="K3" s="187"/>
      <c r="L3" s="187"/>
      <c r="M3" s="187"/>
      <c r="N3" s="187"/>
      <c r="O3" s="187"/>
      <c r="P3" s="187"/>
      <c r="Q3" s="187"/>
      <c r="R3" s="187"/>
      <c r="S3" s="187"/>
      <c r="T3" s="187"/>
    </row>
    <row r="4" spans="1:36">
      <c r="A4" s="185"/>
      <c r="B4" s="188" t="s">
        <v>2565</v>
      </c>
      <c r="C4" s="189"/>
      <c r="D4" s="189"/>
      <c r="E4" s="189"/>
      <c r="F4" s="189"/>
      <c r="G4" s="189"/>
      <c r="H4" s="189"/>
      <c r="I4" s="189"/>
      <c r="J4" s="189"/>
      <c r="K4" s="189"/>
      <c r="L4" s="189"/>
      <c r="M4" s="189"/>
      <c r="N4" s="189"/>
      <c r="O4" s="189"/>
      <c r="P4" s="189"/>
      <c r="Q4" s="189"/>
      <c r="R4" s="189"/>
      <c r="S4" s="189"/>
      <c r="T4" s="189"/>
    </row>
    <row r="5" spans="1:36">
      <c r="A5" s="185"/>
    </row>
    <row r="6" spans="1:36" s="185" customFormat="1" ht="17.399999999999999">
      <c r="B6" s="190" t="s">
        <v>2293</v>
      </c>
      <c r="C6" s="190"/>
      <c r="D6" s="190"/>
      <c r="E6" s="190"/>
      <c r="F6" s="190"/>
      <c r="G6" s="190"/>
      <c r="H6" s="190"/>
      <c r="I6" s="190"/>
      <c r="J6" s="87"/>
      <c r="K6" s="87"/>
      <c r="L6" s="87"/>
      <c r="M6" s="87"/>
      <c r="N6" s="87"/>
      <c r="O6" s="87"/>
      <c r="P6" s="87"/>
      <c r="Q6" s="87"/>
      <c r="R6" s="87"/>
      <c r="S6" s="87"/>
      <c r="T6" s="87"/>
    </row>
    <row r="7" spans="1:36" s="185" customFormat="1">
      <c r="B7" s="186" t="s">
        <v>1641</v>
      </c>
      <c r="C7" s="186" t="s">
        <v>1642</v>
      </c>
      <c r="D7" s="186" t="s">
        <v>1643</v>
      </c>
      <c r="E7" s="186" t="s">
        <v>1636</v>
      </c>
      <c r="F7" s="186" t="s">
        <v>1647</v>
      </c>
      <c r="G7" s="186" t="s">
        <v>1644</v>
      </c>
      <c r="H7" s="186" t="s">
        <v>1638</v>
      </c>
      <c r="I7" s="186" t="s">
        <v>1648</v>
      </c>
      <c r="J7" s="186" t="s">
        <v>1645</v>
      </c>
      <c r="K7" s="186" t="s">
        <v>1495</v>
      </c>
      <c r="L7" s="87"/>
      <c r="M7" s="87"/>
      <c r="N7" s="87"/>
      <c r="O7" s="87"/>
      <c r="P7" s="87"/>
      <c r="Q7" s="87"/>
      <c r="R7" s="87"/>
      <c r="S7" s="87"/>
      <c r="T7" s="87"/>
      <c r="U7" s="87"/>
      <c r="V7" s="87"/>
      <c r="AA7" s="186"/>
      <c r="AB7" s="186"/>
      <c r="AC7" s="186"/>
      <c r="AD7" s="186"/>
      <c r="AE7" s="186"/>
      <c r="AF7" s="186"/>
      <c r="AG7" s="186"/>
      <c r="AH7" s="186"/>
      <c r="AI7" s="186"/>
      <c r="AJ7" s="186"/>
    </row>
    <row r="8" spans="1:36" s="185" customFormat="1">
      <c r="B8" s="13" t="str" cm="1">
        <f t="array" ref="B8">IF(ROW()-ROW(tbl_B_EligibilitySummary[#Headers])&lt;=ROWS(tbl_B_Assessment[ActionID]),"Existing action","Additional action")</f>
        <v>Existing action</v>
      </c>
      <c r="C8" s="13" t="str" cm="1">
        <f t="array" ref="C8">IF(ROW()-ROW(tbl_B_EligibilitySummary[#Headers])&lt;=ROWS(tbl_B_Assessment[ActionID]),INDEX(tbl_B_Assessment[ActionID],ROW()-ROW(tbl_B_EligibilitySummary[#Headers])),INDEX(tbl_B_AdditionalActions[AdditionalActionID],ROW()-ROW(tbl_B_EligibilitySummary[#Headers])-ROWS(tbl_B_Assessment[ActionID])))</f>
        <v>c40_0046</v>
      </c>
      <c r="D8" s="13" t="str" cm="1">
        <f t="array" ref="D8">IF(ROW()-ROW(tbl_B_EligibilitySummary[#Headers])&lt;=ROWS(tbl_B_Assessment[ActionID]),INDEX(tbl_B_Assessment[ActionName],ROW()-ROW(tbl_B_EligibilitySummary[#Headers])),INDEX(tbl_B_AdditionalActions[ActionName],ROW()-ROW(tbl_B_EligibilitySummary[#Headers])-ROWS(tbl_B_Assessment[ActionID])))</f>
        <v>Strengthen coastal protection infrastructure</v>
      </c>
      <c r="E8" s="13" t="str" cm="1">
        <f t="array" ref="E8">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8" s="13" t="str" cm="1">
        <f t="array" ref="F8">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8" s="13" t="str" cm="1">
        <f t="array" ref="G8">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8" s="13" t="str" cm="1">
        <f t="array" ref="H8">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8" s="13" t="str" cm="1">
        <f t="array" ref="I8">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8" s="13" t="str" cm="1">
        <f t="array" ref="J8">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8" s="13" t="str" cm="1">
        <f t="array" ref="K8">IF(ROW()-ROW(tbl_B_EligibilitySummary[#Headers])&lt;=ROWS(tbl_B_Assessment[ActionID]),INDEX(tbl_B_Assessment[ReviewStatus],ROW()-ROW(tbl_B_EligibilitySummary[#Headers])),INDEX(tbl_B_AdditionalActions[ReviewStatus],ROW()-ROW(tbl_B_EligibilitySummary[#Headers])-ROWS(tbl_B_Assessment[ActionID])))</f>
        <v>Reviewed</v>
      </c>
      <c r="L8" s="87"/>
      <c r="M8" s="87"/>
      <c r="N8" s="87"/>
      <c r="O8" s="87"/>
      <c r="P8" s="87"/>
      <c r="Q8" s="87"/>
      <c r="R8" s="87"/>
      <c r="S8" s="87"/>
      <c r="T8" s="87"/>
      <c r="U8" s="87"/>
      <c r="V8" s="87"/>
      <c r="AA8" s="186"/>
      <c r="AB8" s="186"/>
      <c r="AC8" s="186"/>
      <c r="AD8" s="186"/>
      <c r="AE8" s="186"/>
      <c r="AF8" s="186"/>
      <c r="AG8" s="186"/>
      <c r="AH8" s="186"/>
      <c r="AI8" s="186"/>
      <c r="AJ8" s="186"/>
    </row>
    <row r="9" spans="1:36" s="185" customFormat="1">
      <c r="B9" s="13" t="str" cm="1">
        <f t="array" ref="B9">IF(ROW()-ROW(tbl_B_EligibilitySummary[#Headers])&lt;=ROWS(tbl_B_Assessment[ActionID]),"Existing action","Additional action")</f>
        <v>Existing action</v>
      </c>
      <c r="C9" s="13" t="str" cm="1">
        <f t="array" ref="C9">IF(ROW()-ROW(tbl_B_EligibilitySummary[#Headers])&lt;=ROWS(tbl_B_Assessment[ActionID]),INDEX(tbl_B_Assessment[ActionID],ROW()-ROW(tbl_B_EligibilitySummary[#Headers])),INDEX(tbl_B_AdditionalActions[AdditionalActionID],ROW()-ROW(tbl_B_EligibilitySummary[#Headers])-ROWS(tbl_B_Assessment[ActionID])))</f>
        <v>c40_0048</v>
      </c>
      <c r="D9" s="13" t="str" cm="1">
        <f t="array" ref="D9">IF(ROW()-ROW(tbl_B_EligibilitySummary[#Headers])&lt;=ROWS(tbl_B_Assessment[ActionID]),INDEX(tbl_B_Assessment[ActionName],ROW()-ROW(tbl_B_EligibilitySummary[#Headers])),INDEX(tbl_B_AdditionalActions[ActionName],ROW()-ROW(tbl_B_EligibilitySummary[#Headers])-ROWS(tbl_B_Assessment[ActionID])))</f>
        <v>Upgrade urban drainage systems</v>
      </c>
      <c r="E9" s="13" t="str" cm="1">
        <f t="array" ref="E9">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9" s="13" t="str" cm="1">
        <f t="array" ref="F9">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9" s="13" t="str" cm="1">
        <f t="array" ref="G9">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9" s="13" t="str" cm="1">
        <f t="array" ref="H9">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9" s="13" t="str" cm="1">
        <f t="array" ref="I9">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9" s="13" t="str" cm="1">
        <f t="array" ref="J9">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9" s="13" t="str" cm="1">
        <f t="array" ref="K9">IF(ROW()-ROW(tbl_B_EligibilitySummary[#Headers])&lt;=ROWS(tbl_B_Assessment[ActionID]),INDEX(tbl_B_Assessment[ReviewStatus],ROW()-ROW(tbl_B_EligibilitySummary[#Headers])),INDEX(tbl_B_AdditionalActions[ReviewStatus],ROW()-ROW(tbl_B_EligibilitySummary[#Headers])-ROWS(tbl_B_Assessment[ActionID])))</f>
        <v>Reviewed</v>
      </c>
      <c r="L9" s="87"/>
      <c r="M9" s="87"/>
      <c r="N9" s="87"/>
      <c r="O9" s="87"/>
      <c r="P9" s="87"/>
      <c r="Q9" s="87"/>
      <c r="R9" s="87"/>
      <c r="S9" s="87"/>
      <c r="T9" s="87"/>
      <c r="U9" s="87"/>
      <c r="V9" s="87"/>
      <c r="AA9" s="186"/>
      <c r="AB9" s="186"/>
      <c r="AC9" s="186"/>
      <c r="AD9" s="186"/>
      <c r="AE9" s="186"/>
      <c r="AF9" s="186"/>
      <c r="AG9" s="186"/>
      <c r="AH9" s="186"/>
      <c r="AI9" s="186"/>
      <c r="AJ9" s="186"/>
    </row>
    <row r="10" spans="1:36" s="185" customFormat="1">
      <c r="B10" s="13" t="str" cm="1">
        <f t="array" ref="B10">IF(ROW()-ROW(tbl_B_EligibilitySummary[#Headers])&lt;=ROWS(tbl_B_Assessment[ActionID]),"Existing action","Additional action")</f>
        <v>Existing action</v>
      </c>
      <c r="C10" s="13" t="str" cm="1">
        <f t="array" ref="C10">IF(ROW()-ROW(tbl_B_EligibilitySummary[#Headers])&lt;=ROWS(tbl_B_Assessment[ActionID]),INDEX(tbl_B_Assessment[ActionID],ROW()-ROW(tbl_B_EligibilitySummary[#Headers])),INDEX(tbl_B_AdditionalActions[AdditionalActionID],ROW()-ROW(tbl_B_EligibilitySummary[#Headers])-ROWS(tbl_B_Assessment[ActionID])))</f>
        <v>c40_0049</v>
      </c>
      <c r="D10" s="13" t="str" cm="1">
        <f t="array" ref="D10">IF(ROW()-ROW(tbl_B_EligibilitySummary[#Headers])&lt;=ROWS(tbl_B_Assessment[ActionID]),INDEX(tbl_B_Assessment[ActionName],ROW()-ROW(tbl_B_EligibilitySummary[#Headers])),INDEX(tbl_B_AdditionalActions[ActionName],ROW()-ROW(tbl_B_EligibilitySummary[#Headers])-ROWS(tbl_B_Assessment[ActionID])))</f>
        <v>Build and maintain shelters for critical climate hazards</v>
      </c>
      <c r="E10" s="13" t="str" cm="1">
        <f t="array" ref="E10">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10" s="13" t="str" cm="1">
        <f t="array" ref="F10">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10" s="13" t="str" cm="1">
        <f t="array" ref="G10">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10" s="13" t="str" cm="1">
        <f t="array" ref="H10">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10" s="13" t="str" cm="1">
        <f t="array" ref="I10">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10" s="13" t="str" cm="1">
        <f t="array" ref="J10">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10" s="13" t="str" cm="1">
        <f t="array" ref="K10">IF(ROW()-ROW(tbl_B_EligibilitySummary[#Headers])&lt;=ROWS(tbl_B_Assessment[ActionID]),INDEX(tbl_B_Assessment[ReviewStatus],ROW()-ROW(tbl_B_EligibilitySummary[#Headers])),INDEX(tbl_B_AdditionalActions[ReviewStatus],ROW()-ROW(tbl_B_EligibilitySummary[#Headers])-ROWS(tbl_B_Assessment[ActionID])))</f>
        <v>Reviewed</v>
      </c>
      <c r="L10" s="87"/>
      <c r="M10" s="87"/>
      <c r="N10" s="87"/>
      <c r="O10" s="87"/>
      <c r="P10" s="87"/>
      <c r="Q10" s="87"/>
      <c r="R10" s="87"/>
      <c r="S10" s="87"/>
      <c r="T10" s="87"/>
      <c r="U10" s="87"/>
      <c r="V10" s="87"/>
      <c r="AA10" s="186"/>
      <c r="AB10" s="186"/>
      <c r="AC10" s="186"/>
      <c r="AD10" s="186"/>
      <c r="AE10" s="186"/>
      <c r="AF10" s="186"/>
      <c r="AG10" s="186"/>
      <c r="AH10" s="186"/>
      <c r="AI10" s="186"/>
      <c r="AJ10" s="186"/>
    </row>
    <row r="11" spans="1:36" s="185" customFormat="1">
      <c r="B11" s="13" t="str" cm="1">
        <f t="array" ref="B11">IF(ROW()-ROW(tbl_B_EligibilitySummary[#Headers])&lt;=ROWS(tbl_B_Assessment[ActionID]),"Existing action","Additional action")</f>
        <v>Existing action</v>
      </c>
      <c r="C11" s="13" t="str" cm="1">
        <f t="array" ref="C11">IF(ROW()-ROW(tbl_B_EligibilitySummary[#Headers])&lt;=ROWS(tbl_B_Assessment[ActionID]),INDEX(tbl_B_Assessment[ActionID],ROW()-ROW(tbl_B_EligibilitySummary[#Headers])),INDEX(tbl_B_AdditionalActions[AdditionalActionID],ROW()-ROW(tbl_B_EligibilitySummary[#Headers])-ROWS(tbl_B_Assessment[ActionID])))</f>
        <v>c40_0051</v>
      </c>
      <c r="D11" s="13" t="str" cm="1">
        <f t="array" ref="D11">IF(ROW()-ROW(tbl_B_EligibilitySummary[#Headers])&lt;=ROWS(tbl_B_Assessment[ActionID]),INDEX(tbl_B_Assessment[ActionName],ROW()-ROW(tbl_B_EligibilitySummary[#Headers])),INDEX(tbl_B_AdditionalActions[ActionName],ROW()-ROW(tbl_B_EligibilitySummary[#Headers])-ROWS(tbl_B_Assessment[ActionID])))</f>
        <v>Provide public shading in heat hotspots</v>
      </c>
      <c r="E11" s="13" t="str" cm="1">
        <f t="array" ref="E11">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11" s="13" t="str" cm="1">
        <f t="array" ref="F11">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11" s="13" t="str" cm="1">
        <f t="array" ref="G11">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11" s="13" t="str" cm="1">
        <f t="array" ref="H11">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11" s="13" t="str" cm="1">
        <f t="array" ref="I11">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11" s="13" t="str" cm="1">
        <f t="array" ref="J11">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11" s="13" t="str" cm="1">
        <f t="array" ref="K11">IF(ROW()-ROW(tbl_B_EligibilitySummary[#Headers])&lt;=ROWS(tbl_B_Assessment[ActionID]),INDEX(tbl_B_Assessment[ReviewStatus],ROW()-ROW(tbl_B_EligibilitySummary[#Headers])),INDEX(tbl_B_AdditionalActions[ReviewStatus],ROW()-ROW(tbl_B_EligibilitySummary[#Headers])-ROWS(tbl_B_Assessment[ActionID])))</f>
        <v>Reviewed</v>
      </c>
      <c r="L11" s="87"/>
      <c r="M11" s="87"/>
      <c r="N11" s="87"/>
      <c r="O11" s="87"/>
      <c r="P11" s="87"/>
      <c r="Q11" s="87"/>
      <c r="R11" s="87"/>
      <c r="S11" s="87"/>
      <c r="T11" s="87"/>
      <c r="U11" s="87"/>
      <c r="V11" s="87"/>
      <c r="AA11" s="186"/>
      <c r="AB11" s="186"/>
      <c r="AC11" s="186"/>
      <c r="AD11" s="186"/>
      <c r="AE11" s="186"/>
      <c r="AF11" s="186"/>
      <c r="AG11" s="186"/>
      <c r="AH11" s="186"/>
      <c r="AI11" s="186"/>
      <c r="AJ11" s="186"/>
    </row>
    <row r="12" spans="1:36" s="185" customFormat="1">
      <c r="B12" s="13" t="str" cm="1">
        <f t="array" ref="B12">IF(ROW()-ROW(tbl_B_EligibilitySummary[#Headers])&lt;=ROWS(tbl_B_Assessment[ActionID]),"Existing action","Additional action")</f>
        <v>Existing action</v>
      </c>
      <c r="C12" s="13" t="str" cm="1">
        <f t="array" ref="C12">IF(ROW()-ROW(tbl_B_EligibilitySummary[#Headers])&lt;=ROWS(tbl_B_Assessment[ActionID]),INDEX(tbl_B_Assessment[ActionID],ROW()-ROW(tbl_B_EligibilitySummary[#Headers])),INDEX(tbl_B_AdditionalActions[AdditionalActionID],ROW()-ROW(tbl_B_EligibilitySummary[#Headers])-ROWS(tbl_B_Assessment[ActionID])))</f>
        <v>c40_0052</v>
      </c>
      <c r="D12" s="13" t="str" cm="1">
        <f t="array" ref="D12">IF(ROW()-ROW(tbl_B_EligibilitySummary[#Headers])&lt;=ROWS(tbl_B_Assessment[ActionID]),INDEX(tbl_B_Assessment[ActionName],ROW()-ROW(tbl_B_EligibilitySummary[#Headers])),INDEX(tbl_B_AdditionalActions[ActionName],ROW()-ROW(tbl_B_EligibilitySummary[#Headers])-ROWS(tbl_B_Assessment[ActionID])))</f>
        <v>Deploy cool pavements and cool roofs on heat‑exposed streets and buildings</v>
      </c>
      <c r="E12" s="13" t="str" cm="1">
        <f t="array" ref="E12">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12" s="13" t="str" cm="1">
        <f t="array" ref="F12">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12" s="13" t="str" cm="1">
        <f t="array" ref="G12">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12" s="13" t="str" cm="1">
        <f t="array" ref="H12">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12" s="13" t="str" cm="1">
        <f t="array" ref="I12">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12" s="13" t="str" cm="1">
        <f t="array" ref="J12">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12" s="13" t="str" cm="1">
        <f t="array" ref="K12">IF(ROW()-ROW(tbl_B_EligibilitySummary[#Headers])&lt;=ROWS(tbl_B_Assessment[ActionID]),INDEX(tbl_B_Assessment[ReviewStatus],ROW()-ROW(tbl_B_EligibilitySummary[#Headers])),INDEX(tbl_B_AdditionalActions[ReviewStatus],ROW()-ROW(tbl_B_EligibilitySummary[#Headers])-ROWS(tbl_B_Assessment[ActionID])))</f>
        <v>Reviewed</v>
      </c>
      <c r="L12" s="87"/>
      <c r="M12" s="87"/>
      <c r="N12" s="87"/>
      <c r="O12" s="87"/>
      <c r="P12" s="87"/>
      <c r="Q12" s="87"/>
      <c r="R12" s="87"/>
      <c r="S12" s="87"/>
      <c r="T12" s="87"/>
      <c r="U12" s="87"/>
      <c r="V12" s="87"/>
      <c r="AA12" s="186"/>
      <c r="AB12" s="186"/>
      <c r="AC12" s="186"/>
      <c r="AD12" s="186"/>
      <c r="AE12" s="186"/>
      <c r="AF12" s="186"/>
      <c r="AG12" s="186"/>
      <c r="AH12" s="186"/>
      <c r="AI12" s="186"/>
      <c r="AJ12" s="186"/>
    </row>
    <row r="13" spans="1:36" s="185" customFormat="1">
      <c r="B13" s="13" t="str" cm="1">
        <f t="array" ref="B13">IF(ROW()-ROW(tbl_B_EligibilitySummary[#Headers])&lt;=ROWS(tbl_B_Assessment[ActionID]),"Existing action","Additional action")</f>
        <v>Existing action</v>
      </c>
      <c r="C13" s="13" t="str" cm="1">
        <f t="array" ref="C13">IF(ROW()-ROW(tbl_B_EligibilitySummary[#Headers])&lt;=ROWS(tbl_B_Assessment[ActionID]),INDEX(tbl_B_Assessment[ActionID],ROW()-ROW(tbl_B_EligibilitySummary[#Headers])),INDEX(tbl_B_AdditionalActions[AdditionalActionID],ROW()-ROW(tbl_B_EligibilitySummary[#Headers])-ROWS(tbl_B_Assessment[ActionID])))</f>
        <v>c40_0053</v>
      </c>
      <c r="D13" s="13" t="str" cm="1">
        <f t="array" ref="D13">IF(ROW()-ROW(tbl_B_EligibilitySummary[#Headers])&lt;=ROWS(tbl_B_Assessment[ActionID]),INDEX(tbl_B_Assessment[ActionName],ROW()-ROW(tbl_B_EligibilitySummary[#Headers])),INDEX(tbl_B_AdditionalActions[ActionName],ROW()-ROW(tbl_B_EligibilitySummary[#Headers])-ROWS(tbl_B_Assessment[ActionID])))</f>
        <v>Promote water-saving technologies and practices</v>
      </c>
      <c r="E13" s="13" t="str" cm="1">
        <f t="array" ref="E13">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13" s="13" t="str" cm="1">
        <f t="array" ref="F13">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13" s="13" t="str" cm="1">
        <f t="array" ref="G13">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13" s="13" t="str" cm="1">
        <f t="array" ref="H13">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13" s="13" t="str" cm="1">
        <f t="array" ref="I13">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13" s="13" t="str" cm="1">
        <f t="array" ref="J13">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13" s="13" t="str" cm="1">
        <f t="array" ref="K13">IF(ROW()-ROW(tbl_B_EligibilitySummary[#Headers])&lt;=ROWS(tbl_B_Assessment[ActionID]),INDEX(tbl_B_Assessment[ReviewStatus],ROW()-ROW(tbl_B_EligibilitySummary[#Headers])),INDEX(tbl_B_AdditionalActions[ReviewStatus],ROW()-ROW(tbl_B_EligibilitySummary[#Headers])-ROWS(tbl_B_Assessment[ActionID])))</f>
        <v>Reviewed</v>
      </c>
      <c r="L13" s="87"/>
      <c r="M13" s="87"/>
      <c r="N13" s="87"/>
      <c r="O13" s="87"/>
      <c r="P13" s="87"/>
      <c r="Q13" s="87"/>
      <c r="R13" s="87"/>
      <c r="S13" s="87"/>
      <c r="T13" s="87"/>
      <c r="U13" s="87"/>
      <c r="V13" s="87"/>
      <c r="AA13" s="186"/>
      <c r="AB13" s="186"/>
      <c r="AC13" s="186"/>
      <c r="AD13" s="186"/>
      <c r="AE13" s="186"/>
      <c r="AF13" s="186"/>
      <c r="AG13" s="186"/>
      <c r="AH13" s="186"/>
      <c r="AI13" s="186"/>
      <c r="AJ13" s="186"/>
    </row>
    <row r="14" spans="1:36" s="185" customFormat="1">
      <c r="B14" s="13" t="str" cm="1">
        <f t="array" ref="B14">IF(ROW()-ROW(tbl_B_EligibilitySummary[#Headers])&lt;=ROWS(tbl_B_Assessment[ActionID]),"Existing action","Additional action")</f>
        <v>Existing action</v>
      </c>
      <c r="C14" s="13" t="str" cm="1">
        <f t="array" ref="C14">IF(ROW()-ROW(tbl_B_EligibilitySummary[#Headers])&lt;=ROWS(tbl_B_Assessment[ActionID]),INDEX(tbl_B_Assessment[ActionID],ROW()-ROW(tbl_B_EligibilitySummary[#Headers])),INDEX(tbl_B_AdditionalActions[AdditionalActionID],ROW()-ROW(tbl_B_EligibilitySummary[#Headers])-ROWS(tbl_B_Assessment[ActionID])))</f>
        <v>c40_0056</v>
      </c>
      <c r="D14" s="13" t="str" cm="1">
        <f t="array" ref="D14">IF(ROW()-ROW(tbl_B_EligibilitySummary[#Headers])&lt;=ROWS(tbl_B_Assessment[ActionID]),INDEX(tbl_B_Assessment[ActionName],ROW()-ROW(tbl_B_EligibilitySummary[#Headers])),INDEX(tbl_B_AdditionalActions[ActionName],ROW()-ROW(tbl_B_EligibilitySummary[#Headers])-ROWS(tbl_B_Assessment[ActionID])))</f>
        <v>Improve Watershed Protection and Management</v>
      </c>
      <c r="E14" s="13" t="str" cm="1">
        <f t="array" ref="E14">IF(ROW()-ROW(tbl_B_EligibilitySummary[#Headers])&lt;=ROWS(tbl_B_Assessment[ActionID]),INDEX(tbl_B_Assessment[Vulnerability Eligibility],ROW()-ROW(tbl_B_EligibilitySummary[#Headers])),INDEX(tbl_B_AdditionalActions[Vulnerability Eligibility],ROW()-ROW(tbl_B_EligibilitySummary[#Headers])-ROWS(tbl_B_Assessment[ActionID])))</f>
        <v>Eligible</v>
      </c>
      <c r="F14" s="13" t="str" cm="1">
        <f t="array" ref="F14">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14" s="13" t="str" cm="1">
        <f t="array" ref="G14">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
      </c>
      <c r="H14" s="13" t="str" cm="1">
        <f t="array" ref="H14">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14" s="13" t="str" cm="1">
        <f t="array" ref="I14">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14" s="13" t="str" cm="1">
        <f t="array" ref="J14">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14" s="13" t="str" cm="1">
        <f t="array" ref="K14">IF(ROW()-ROW(tbl_B_EligibilitySummary[#Headers])&lt;=ROWS(tbl_B_Assessment[ActionID]),INDEX(tbl_B_Assessment[ReviewStatus],ROW()-ROW(tbl_B_EligibilitySummary[#Headers])),INDEX(tbl_B_AdditionalActions[ReviewStatus],ROW()-ROW(tbl_B_EligibilitySummary[#Headers])-ROWS(tbl_B_Assessment[ActionID])))</f>
        <v>Reviewed</v>
      </c>
      <c r="L14" s="87"/>
      <c r="M14" s="87"/>
      <c r="N14" s="87"/>
      <c r="O14" s="87"/>
      <c r="P14" s="87"/>
      <c r="Q14" s="87"/>
      <c r="R14" s="87"/>
      <c r="S14" s="87"/>
      <c r="T14" s="87"/>
      <c r="U14" s="87"/>
      <c r="V14" s="87"/>
      <c r="AA14" s="186"/>
      <c r="AB14" s="186"/>
      <c r="AC14" s="186"/>
      <c r="AD14" s="186"/>
      <c r="AE14" s="186"/>
      <c r="AF14" s="186"/>
      <c r="AG14" s="186"/>
      <c r="AH14" s="186"/>
      <c r="AI14" s="186"/>
      <c r="AJ14" s="186"/>
    </row>
    <row r="15" spans="1:36" s="185" customFormat="1">
      <c r="B15" s="13" t="str" cm="1">
        <f t="array" ref="B15">IF(ROW()-ROW(tbl_B_EligibilitySummary[#Headers])&lt;=ROWS(tbl_B_Assessment[ActionID]),"Existing action","Additional action")</f>
        <v>Existing action</v>
      </c>
      <c r="C15" s="13" t="str" cm="1">
        <f t="array" ref="C15">IF(ROW()-ROW(tbl_B_EligibilitySummary[#Headers])&lt;=ROWS(tbl_B_Assessment[ActionID]),INDEX(tbl_B_Assessment[ActionID],ROW()-ROW(tbl_B_EligibilitySummary[#Headers])),INDEX(tbl_B_AdditionalActions[AdditionalActionID],ROW()-ROW(tbl_B_EligibilitySummary[#Headers])-ROWS(tbl_B_Assessment[ActionID])))</f>
        <v>c40_0062</v>
      </c>
      <c r="D15" s="13" t="str" cm="1">
        <f t="array" ref="D15">IF(ROW()-ROW(tbl_B_EligibilitySummary[#Headers])&lt;=ROWS(tbl_B_Assessment[ActionID]),INDEX(tbl_B_Assessment[ActionName],ROW()-ROW(tbl_B_EligibilitySummary[#Headers])),INDEX(tbl_B_AdditionalActions[ActionName],ROW()-ROW(tbl_B_EligibilitySummary[#Headers])-ROWS(tbl_B_Assessment[ActionID])))</f>
        <v>Reform water tariffs to support efficiency and equity</v>
      </c>
      <c r="E15" s="13" t="str" cm="1">
        <f t="array" ref="E15">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15" s="13" t="str" cm="1">
        <f t="array" ref="F15">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15" s="13" t="str" cm="1">
        <f t="array" ref="G15">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15" s="13" t="str" cm="1">
        <f t="array" ref="H15">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15" s="13" t="str" cm="1">
        <f t="array" ref="I15">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15" s="13" t="str" cm="1">
        <f t="array" ref="J15">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15" s="13" t="str" cm="1">
        <f t="array" ref="K15">IF(ROW()-ROW(tbl_B_EligibilitySummary[#Headers])&lt;=ROWS(tbl_B_Assessment[ActionID]),INDEX(tbl_B_Assessment[ReviewStatus],ROW()-ROW(tbl_B_EligibilitySummary[#Headers])),INDEX(tbl_B_AdditionalActions[ReviewStatus],ROW()-ROW(tbl_B_EligibilitySummary[#Headers])-ROWS(tbl_B_Assessment[ActionID])))</f>
        <v>Reviewed</v>
      </c>
      <c r="L15" s="87"/>
      <c r="M15" s="87"/>
      <c r="N15" s="87"/>
      <c r="O15" s="87"/>
      <c r="P15" s="87"/>
      <c r="Q15" s="87"/>
      <c r="R15" s="87"/>
      <c r="S15" s="87"/>
      <c r="T15" s="87"/>
      <c r="U15" s="87"/>
      <c r="V15" s="87"/>
      <c r="AA15" s="186"/>
      <c r="AB15" s="186"/>
      <c r="AC15" s="186"/>
      <c r="AD15" s="186"/>
      <c r="AE15" s="186"/>
      <c r="AF15" s="186"/>
      <c r="AG15" s="186"/>
      <c r="AH15" s="186"/>
      <c r="AI15" s="186"/>
      <c r="AJ15" s="186"/>
    </row>
    <row r="16" spans="1:36" s="185" customFormat="1">
      <c r="B16" s="13" t="str" cm="1">
        <f t="array" ref="B16">IF(ROW()-ROW(tbl_B_EligibilitySummary[#Headers])&lt;=ROWS(tbl_B_Assessment[ActionID]),"Existing action","Additional action")</f>
        <v>Existing action</v>
      </c>
      <c r="C16" s="13" t="str" cm="1">
        <f t="array" ref="C16">IF(ROW()-ROW(tbl_B_EligibilitySummary[#Headers])&lt;=ROWS(tbl_B_Assessment[ActionID]),INDEX(tbl_B_Assessment[ActionID],ROW()-ROW(tbl_B_EligibilitySummary[#Headers])),INDEX(tbl_B_AdditionalActions[AdditionalActionID],ROW()-ROW(tbl_B_EligibilitySummary[#Headers])-ROWS(tbl_B_Assessment[ActionID])))</f>
        <v>icare_0144</v>
      </c>
      <c r="D16" s="13" t="str" cm="1">
        <f t="array" ref="D16">IF(ROW()-ROW(tbl_B_EligibilitySummary[#Headers])&lt;=ROWS(tbl_B_Assessment[ActionID]),INDEX(tbl_B_Assessment[ActionName],ROW()-ROW(tbl_B_EligibilitySummary[#Headers])),INDEX(tbl_B_AdditionalActions[ActionName],ROW()-ROW(tbl_B_EligibilitySummary[#Headers])-ROWS(tbl_B_Assessment[ActionID])))</f>
        <v>Establish a financial support program for extreme weather events</v>
      </c>
      <c r="E16" s="13" t="str" cm="1">
        <f t="array" ref="E16">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16" s="13" t="str" cm="1">
        <f t="array" ref="F16">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16" s="13" t="str" cm="1">
        <f t="array" ref="G16">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16" s="13" t="str" cm="1">
        <f t="array" ref="H16">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16" s="13" t="str" cm="1">
        <f t="array" ref="I16">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16" s="13" t="str" cm="1">
        <f t="array" ref="J16">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16" s="13" t="str" cm="1">
        <f t="array" ref="K16">IF(ROW()-ROW(tbl_B_EligibilitySummary[#Headers])&lt;=ROWS(tbl_B_Assessment[ActionID]),INDEX(tbl_B_Assessment[ReviewStatus],ROW()-ROW(tbl_B_EligibilitySummary[#Headers])),INDEX(tbl_B_AdditionalActions[ReviewStatus],ROW()-ROW(tbl_B_EligibilitySummary[#Headers])-ROWS(tbl_B_Assessment[ActionID])))</f>
        <v>Reviewed</v>
      </c>
      <c r="L16" s="87"/>
      <c r="M16" s="87"/>
      <c r="N16" s="87"/>
      <c r="O16" s="87"/>
      <c r="P16" s="87"/>
      <c r="Q16" s="87"/>
      <c r="R16" s="87"/>
      <c r="S16" s="87"/>
      <c r="T16" s="87"/>
      <c r="U16" s="87"/>
      <c r="V16" s="87"/>
      <c r="AA16" s="186"/>
      <c r="AB16" s="186"/>
      <c r="AC16" s="186"/>
      <c r="AD16" s="186"/>
      <c r="AE16" s="186"/>
      <c r="AF16" s="186"/>
      <c r="AG16" s="186"/>
      <c r="AH16" s="186"/>
      <c r="AI16" s="186"/>
      <c r="AJ16" s="186"/>
    </row>
    <row r="17" spans="2:36" s="185" customFormat="1">
      <c r="B17" s="13" t="str" cm="1">
        <f t="array" ref="B17">IF(ROW()-ROW(tbl_B_EligibilitySummary[#Headers])&lt;=ROWS(tbl_B_Assessment[ActionID]),"Existing action","Additional action")</f>
        <v>Existing action</v>
      </c>
      <c r="C17" s="13" t="str" cm="1">
        <f t="array" ref="C17">IF(ROW()-ROW(tbl_B_EligibilitySummary[#Headers])&lt;=ROWS(tbl_B_Assessment[ActionID]),INDEX(tbl_B_Assessment[ActionID],ROW()-ROW(tbl_B_EligibilitySummary[#Headers])),INDEX(tbl_B_AdditionalActions[AdditionalActionID],ROW()-ROW(tbl_B_EligibilitySummary[#Headers])-ROWS(tbl_B_Assessment[ActionID])))</f>
        <v>icare_0145</v>
      </c>
      <c r="D17" s="13" t="str" cm="1">
        <f t="array" ref="D17">IF(ROW()-ROW(tbl_B_EligibilitySummary[#Headers])&lt;=ROWS(tbl_B_Assessment[ActionID]),INDEX(tbl_B_Assessment[ActionName],ROW()-ROW(tbl_B_EligibilitySummary[#Headers])),INDEX(tbl_B_AdditionalActions[ActionName],ROW()-ROW(tbl_B_EligibilitySummary[#Headers])-ROWS(tbl_B_Assessment[ActionID])))</f>
        <v>Strengthen the healthcare system to respond effectively to extreme events</v>
      </c>
      <c r="E17" s="13" t="str" cm="1">
        <f t="array" ref="E17">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17" s="13" t="str" cm="1">
        <f t="array" ref="F17">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17" s="13" t="str" cm="1">
        <f t="array" ref="G17">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17" s="13" t="str" cm="1">
        <f t="array" ref="H17">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17" s="13" t="str" cm="1">
        <f t="array" ref="I17">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17" s="13" t="str" cm="1">
        <f t="array" ref="J17">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17" s="13" t="str" cm="1">
        <f t="array" ref="K17">IF(ROW()-ROW(tbl_B_EligibilitySummary[#Headers])&lt;=ROWS(tbl_B_Assessment[ActionID]),INDEX(tbl_B_Assessment[ReviewStatus],ROW()-ROW(tbl_B_EligibilitySummary[#Headers])),INDEX(tbl_B_AdditionalActions[ReviewStatus],ROW()-ROW(tbl_B_EligibilitySummary[#Headers])-ROWS(tbl_B_Assessment[ActionID])))</f>
        <v>Reviewed</v>
      </c>
      <c r="L17" s="87"/>
      <c r="M17" s="87"/>
      <c r="N17" s="87"/>
      <c r="O17" s="87"/>
      <c r="P17" s="87"/>
      <c r="Q17" s="87"/>
      <c r="R17" s="87"/>
      <c r="S17" s="87"/>
      <c r="T17" s="87"/>
      <c r="U17" s="87"/>
      <c r="V17" s="87"/>
      <c r="AA17" s="186"/>
      <c r="AB17" s="186"/>
      <c r="AC17" s="186"/>
      <c r="AD17" s="186"/>
      <c r="AE17" s="186"/>
      <c r="AF17" s="186"/>
      <c r="AG17" s="186"/>
      <c r="AH17" s="186"/>
      <c r="AI17" s="186"/>
      <c r="AJ17" s="186"/>
    </row>
    <row r="18" spans="2:36" s="185" customFormat="1">
      <c r="B18" s="13" t="str" cm="1">
        <f t="array" ref="B18">IF(ROW()-ROW(tbl_B_EligibilitySummary[#Headers])&lt;=ROWS(tbl_B_Assessment[ActionID]),"Existing action","Additional action")</f>
        <v>Existing action</v>
      </c>
      <c r="C18" s="13" t="str" cm="1">
        <f t="array" ref="C18">IF(ROW()-ROW(tbl_B_EligibilitySummary[#Headers])&lt;=ROWS(tbl_B_Assessment[ActionID]),INDEX(tbl_B_Assessment[ActionID],ROW()-ROW(tbl_B_EligibilitySummary[#Headers])),INDEX(tbl_B_AdditionalActions[AdditionalActionID],ROW()-ROW(tbl_B_EligibilitySummary[#Headers])-ROWS(tbl_B_Assessment[ActionID])))</f>
        <v>icare_0154</v>
      </c>
      <c r="D18" s="13" t="str" cm="1">
        <f t="array" ref="D18">IF(ROW()-ROW(tbl_B_EligibilitySummary[#Headers])&lt;=ROWS(tbl_B_Assessment[ActionID]),INDEX(tbl_B_Assessment[ActionName],ROW()-ROW(tbl_B_EligibilitySummary[#Headers])),INDEX(tbl_B_AdditionalActions[ActionName],ROW()-ROW(tbl_B_EligibilitySummary[#Headers])-ROWS(tbl_B_Assessment[ActionID])))</f>
        <v>Clean and unclog drainage channels and install eco-barriers</v>
      </c>
      <c r="E18" s="13" t="str" cm="1">
        <f t="array" ref="E18">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18" s="13" t="str" cm="1">
        <f t="array" ref="F18">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18" s="13" t="str" cm="1">
        <f t="array" ref="G18">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18" s="13" t="str" cm="1">
        <f t="array" ref="H18">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18" s="13" t="str" cm="1">
        <f t="array" ref="I18">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18" s="13" t="str" cm="1">
        <f t="array" ref="J18">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18" s="13" t="str" cm="1">
        <f t="array" ref="K18">IF(ROW()-ROW(tbl_B_EligibilitySummary[#Headers])&lt;=ROWS(tbl_B_Assessment[ActionID]),INDEX(tbl_B_Assessment[ReviewStatus],ROW()-ROW(tbl_B_EligibilitySummary[#Headers])),INDEX(tbl_B_AdditionalActions[ReviewStatus],ROW()-ROW(tbl_B_EligibilitySummary[#Headers])-ROWS(tbl_B_Assessment[ActionID])))</f>
        <v>Reviewed</v>
      </c>
      <c r="L18" s="87"/>
      <c r="M18" s="87"/>
      <c r="N18" s="87"/>
      <c r="O18" s="87"/>
      <c r="P18" s="87"/>
      <c r="Q18" s="87"/>
      <c r="R18" s="87"/>
      <c r="S18" s="87"/>
      <c r="T18" s="87"/>
      <c r="U18" s="87"/>
      <c r="V18" s="87"/>
      <c r="AA18" s="186"/>
      <c r="AB18" s="186"/>
      <c r="AC18" s="186"/>
      <c r="AD18" s="186"/>
      <c r="AE18" s="186"/>
      <c r="AF18" s="186"/>
      <c r="AG18" s="186"/>
      <c r="AH18" s="186"/>
      <c r="AI18" s="186"/>
      <c r="AJ18" s="186"/>
    </row>
    <row r="19" spans="2:36" s="185" customFormat="1">
      <c r="B19" s="13" t="str" cm="1">
        <f t="array" ref="B19">IF(ROW()-ROW(tbl_B_EligibilitySummary[#Headers])&lt;=ROWS(tbl_B_Assessment[ActionID]),"Existing action","Additional action")</f>
        <v>Existing action</v>
      </c>
      <c r="C19" s="13" t="str" cm="1">
        <f t="array" ref="C19">IF(ROW()-ROW(tbl_B_EligibilitySummary[#Headers])&lt;=ROWS(tbl_B_Assessment[ActionID]),INDEX(tbl_B_Assessment[ActionID],ROW()-ROW(tbl_B_EligibilitySummary[#Headers])),INDEX(tbl_B_AdditionalActions[AdditionalActionID],ROW()-ROW(tbl_B_EligibilitySummary[#Headers])-ROWS(tbl_B_Assessment[ActionID])))</f>
        <v>icare_0156</v>
      </c>
      <c r="D19" s="13" t="str" cm="1">
        <f t="array" ref="D19">IF(ROW()-ROW(tbl_B_EligibilitySummary[#Headers])&lt;=ROWS(tbl_B_Assessment[ActionID]),INDEX(tbl_B_Assessment[ActionName],ROW()-ROW(tbl_B_EligibilitySummary[#Headers])),INDEX(tbl_B_AdditionalActions[ActionName],ROW()-ROW(tbl_B_EligibilitySummary[#Headers])-ROWS(tbl_B_Assessment[ActionID])))</f>
        <v>Improve Implementation of urban gardens</v>
      </c>
      <c r="E19" s="13" t="str" cm="1">
        <f t="array" ref="E19">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19" s="13" t="str" cm="1">
        <f t="array" ref="F19">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19" s="13" t="str" cm="1">
        <f t="array" ref="G19">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19" s="13" t="str" cm="1">
        <f t="array" ref="H19">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19" s="13" t="str" cm="1">
        <f t="array" ref="I19">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19" s="13" t="str" cm="1">
        <f t="array" ref="J19">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19" s="13" t="str" cm="1">
        <f t="array" ref="K19">IF(ROW()-ROW(tbl_B_EligibilitySummary[#Headers])&lt;=ROWS(tbl_B_Assessment[ActionID]),INDEX(tbl_B_Assessment[ReviewStatus],ROW()-ROW(tbl_B_EligibilitySummary[#Headers])),INDEX(tbl_B_AdditionalActions[ReviewStatus],ROW()-ROW(tbl_B_EligibilitySummary[#Headers])-ROWS(tbl_B_Assessment[ActionID])))</f>
        <v>Reviewed</v>
      </c>
      <c r="L19" s="87"/>
      <c r="M19" s="87"/>
      <c r="N19" s="87"/>
      <c r="O19" s="87"/>
      <c r="P19" s="87"/>
      <c r="Q19" s="87"/>
      <c r="R19" s="87"/>
      <c r="S19" s="87"/>
      <c r="T19" s="87"/>
      <c r="U19" s="87"/>
      <c r="V19" s="87"/>
      <c r="AA19" s="186"/>
      <c r="AB19" s="186"/>
      <c r="AC19" s="186"/>
      <c r="AD19" s="186"/>
      <c r="AE19" s="186"/>
      <c r="AF19" s="186"/>
      <c r="AG19" s="186"/>
      <c r="AH19" s="186"/>
      <c r="AI19" s="186"/>
      <c r="AJ19" s="186"/>
    </row>
    <row r="20" spans="2:36" s="185" customFormat="1">
      <c r="B20" s="13" t="str" cm="1">
        <f t="array" ref="B20">IF(ROW()-ROW(tbl_B_EligibilitySummary[#Headers])&lt;=ROWS(tbl_B_Assessment[ActionID]),"Existing action","Additional action")</f>
        <v>Existing action</v>
      </c>
      <c r="C20" s="13" t="str" cm="1">
        <f t="array" ref="C20">IF(ROW()-ROW(tbl_B_EligibilitySummary[#Headers])&lt;=ROWS(tbl_B_Assessment[ActionID]),INDEX(tbl_B_Assessment[ActionID],ROW()-ROW(tbl_B_EligibilitySummary[#Headers])),INDEX(tbl_B_AdditionalActions[AdditionalActionID],ROW()-ROW(tbl_B_EligibilitySummary[#Headers])-ROWS(tbl_B_Assessment[ActionID])))</f>
        <v>icare_0160</v>
      </c>
      <c r="D20" s="13" t="str" cm="1">
        <f t="array" ref="D20">IF(ROW()-ROW(tbl_B_EligibilitySummary[#Headers])&lt;=ROWS(tbl_B_Assessment[ActionID]),INDEX(tbl_B_Assessment[ActionName],ROW()-ROW(tbl_B_EligibilitySummary[#Headers])),INDEX(tbl_B_AdditionalActions[ActionName],ROW()-ROW(tbl_B_EligibilitySummary[#Headers])-ROWS(tbl_B_Assessment[ActionID])))</f>
        <v>Establish mechanisms for intersectoral coordination and public participation in climate policy</v>
      </c>
      <c r="E20" s="13" t="str" cm="1">
        <f t="array" ref="E20">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20" s="13" t="str" cm="1">
        <f t="array" ref="F20">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20" s="13" t="str" cm="1">
        <f t="array" ref="G20">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20" s="13" t="str" cm="1">
        <f t="array" ref="H20">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20" s="13" t="str" cm="1">
        <f t="array" ref="I20">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20" s="13" t="str" cm="1">
        <f t="array" ref="J20">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20" s="13" t="str" cm="1">
        <f t="array" ref="K20">IF(ROW()-ROW(tbl_B_EligibilitySummary[#Headers])&lt;=ROWS(tbl_B_Assessment[ActionID]),INDEX(tbl_B_Assessment[ReviewStatus],ROW()-ROW(tbl_B_EligibilitySummary[#Headers])),INDEX(tbl_B_AdditionalActions[ReviewStatus],ROW()-ROW(tbl_B_EligibilitySummary[#Headers])-ROWS(tbl_B_Assessment[ActionID])))</f>
        <v>Reviewed</v>
      </c>
      <c r="L20" s="87"/>
      <c r="M20" s="87"/>
      <c r="N20" s="87"/>
      <c r="O20" s="87"/>
      <c r="P20" s="87"/>
      <c r="Q20" s="87"/>
      <c r="R20" s="87"/>
      <c r="S20" s="87"/>
      <c r="T20" s="87"/>
      <c r="U20" s="87"/>
      <c r="V20" s="87"/>
      <c r="AA20" s="186"/>
      <c r="AB20" s="186"/>
      <c r="AC20" s="186"/>
      <c r="AD20" s="186"/>
      <c r="AE20" s="186"/>
      <c r="AF20" s="186"/>
      <c r="AG20" s="186"/>
      <c r="AH20" s="186"/>
      <c r="AI20" s="186"/>
      <c r="AJ20" s="186"/>
    </row>
    <row r="21" spans="2:36" s="185" customFormat="1">
      <c r="B21" s="13" t="str" cm="1">
        <f t="array" ref="B21">IF(ROW()-ROW(tbl_B_EligibilitySummary[#Headers])&lt;=ROWS(tbl_B_Assessment[ActionID]),"Existing action","Additional action")</f>
        <v>Existing action</v>
      </c>
      <c r="C21" s="13" t="str" cm="1">
        <f t="array" ref="C21">IF(ROW()-ROW(tbl_B_EligibilitySummary[#Headers])&lt;=ROWS(tbl_B_Assessment[ActionID]),INDEX(tbl_B_Assessment[ActionID],ROW()-ROW(tbl_B_EligibilitySummary[#Headers])),INDEX(tbl_B_AdditionalActions[AdditionalActionID],ROW()-ROW(tbl_B_EligibilitySummary[#Headers])-ROWS(tbl_B_Assessment[ActionID])))</f>
        <v>icare_0162</v>
      </c>
      <c r="D21" s="13" t="str" cm="1">
        <f t="array" ref="D21">IF(ROW()-ROW(tbl_B_EligibilitySummary[#Headers])&lt;=ROWS(tbl_B_Assessment[ActionID]),INDEX(tbl_B_Assessment[ActionName],ROW()-ROW(tbl_B_EligibilitySummary[#Headers])),INDEX(tbl_B_AdditionalActions[ActionName],ROW()-ROW(tbl_B_EligibilitySummary[#Headers])-ROWS(tbl_B_Assessment[ActionID])))</f>
        <v>Strengthen programs for control and conservation of protected areas</v>
      </c>
      <c r="E21" s="13" t="str" cm="1">
        <f t="array" ref="E21">IF(ROW()-ROW(tbl_B_EligibilitySummary[#Headers])&lt;=ROWS(tbl_B_Assessment[ActionID]),INDEX(tbl_B_Assessment[Vulnerability Eligibility],ROW()-ROW(tbl_B_EligibilitySummary[#Headers])),INDEX(tbl_B_AdditionalActions[Vulnerability Eligibility],ROW()-ROW(tbl_B_EligibilitySummary[#Headers])-ROWS(tbl_B_Assessment[ActionID])))</f>
        <v>Eligible</v>
      </c>
      <c r="F21" s="13" t="str" cm="1">
        <f t="array" ref="F21">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21" s="13" t="str" cm="1">
        <f t="array" ref="G21">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
      </c>
      <c r="H21" s="13" t="str" cm="1">
        <f t="array" ref="H21">IF(ROW()-ROW(tbl_B_EligibilitySummary[#Headers])&lt;=ROWS(tbl_B_Assessment[ActionID]),INDEX(tbl_B_Assessment[Exposure Eligibility],ROW()-ROW(tbl_B_EligibilitySummary[#Headers])),INDEX(tbl_B_AdditionalActions[Exposure Eligibility],ROW()-ROW(tbl_B_EligibilitySummary[#Headers])-ROWS(tbl_B_Assessment[ActionID])))</f>
        <v>Eligible</v>
      </c>
      <c r="I21" s="13" cm="1">
        <f t="array" ref="I21">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1</v>
      </c>
      <c r="J21" s="13" t="str" cm="1">
        <f t="array" ref="J21">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No demonstrated effectiveness</v>
      </c>
      <c r="K21" s="13" t="str" cm="1">
        <f t="array" ref="K21">IF(ROW()-ROW(tbl_B_EligibilitySummary[#Headers])&lt;=ROWS(tbl_B_Assessment[ActionID]),INDEX(tbl_B_Assessment[ReviewStatus],ROW()-ROW(tbl_B_EligibilitySummary[#Headers])),INDEX(tbl_B_AdditionalActions[ReviewStatus],ROW()-ROW(tbl_B_EligibilitySummary[#Headers])-ROWS(tbl_B_Assessment[ActionID])))</f>
        <v>Reviewed</v>
      </c>
      <c r="L21" s="87"/>
      <c r="M21" s="87"/>
      <c r="N21" s="87"/>
      <c r="O21" s="87"/>
      <c r="P21" s="87"/>
      <c r="Q21" s="87"/>
      <c r="R21" s="87"/>
      <c r="S21" s="87"/>
      <c r="T21" s="87"/>
      <c r="U21" s="87"/>
      <c r="V21" s="87"/>
      <c r="AA21" s="186"/>
      <c r="AB21" s="186"/>
      <c r="AC21" s="186"/>
      <c r="AD21" s="186"/>
      <c r="AE21" s="186"/>
      <c r="AF21" s="186"/>
      <c r="AG21" s="186"/>
      <c r="AH21" s="186"/>
      <c r="AI21" s="186"/>
      <c r="AJ21" s="186"/>
    </row>
    <row r="22" spans="2:36" s="185" customFormat="1">
      <c r="B22" s="13" t="str" cm="1">
        <f t="array" ref="B22">IF(ROW()-ROW(tbl_B_EligibilitySummary[#Headers])&lt;=ROWS(tbl_B_Assessment[ActionID]),"Existing action","Additional action")</f>
        <v>Existing action</v>
      </c>
      <c r="C22" s="13" t="str" cm="1">
        <f t="array" ref="C22">IF(ROW()-ROW(tbl_B_EligibilitySummary[#Headers])&lt;=ROWS(tbl_B_Assessment[ActionID]),INDEX(tbl_B_Assessment[ActionID],ROW()-ROW(tbl_B_EligibilitySummary[#Headers])),INDEX(tbl_B_AdditionalActions[AdditionalActionID],ROW()-ROW(tbl_B_EligibilitySummary[#Headers])-ROWS(tbl_B_Assessment[ActionID])))</f>
        <v>icare_0163</v>
      </c>
      <c r="D22" s="13" t="str" cm="1">
        <f t="array" ref="D22">IF(ROW()-ROW(tbl_B_EligibilitySummary[#Headers])&lt;=ROWS(tbl_B_Assessment[ActionID]),INDEX(tbl_B_Assessment[ActionName],ROW()-ROW(tbl_B_EligibilitySummary[#Headers])),INDEX(tbl_B_AdditionalActions[ActionName],ROW()-ROW(tbl_B_EligibilitySummary[#Headers])-ROWS(tbl_B_Assessment[ActionID])))</f>
        <v>Establish a first‑response firefighting brigade</v>
      </c>
      <c r="E22" s="13" t="str" cm="1">
        <f t="array" ref="E22">IF(ROW()-ROW(tbl_B_EligibilitySummary[#Headers])&lt;=ROWS(tbl_B_Assessment[ActionID]),INDEX(tbl_B_Assessment[Vulnerability Eligibility],ROW()-ROW(tbl_B_EligibilitySummary[#Headers])),INDEX(tbl_B_AdditionalActions[Vulnerability Eligibility],ROW()-ROW(tbl_B_EligibilitySummary[#Headers])-ROWS(tbl_B_Assessment[ActionID])))</f>
        <v>Eligible</v>
      </c>
      <c r="F22" s="13" t="str" cm="1">
        <f t="array" ref="F22">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22" s="13" t="str" cm="1">
        <f t="array" ref="G22">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
      </c>
      <c r="H22" s="13" t="str" cm="1">
        <f t="array" ref="H22">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22" s="13" t="str" cm="1">
        <f t="array" ref="I22">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22" s="13" t="str" cm="1">
        <f t="array" ref="J22">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22" s="13" t="str" cm="1">
        <f t="array" ref="K22">IF(ROW()-ROW(tbl_B_EligibilitySummary[#Headers])&lt;=ROWS(tbl_B_Assessment[ActionID]),INDEX(tbl_B_Assessment[ReviewStatus],ROW()-ROW(tbl_B_EligibilitySummary[#Headers])),INDEX(tbl_B_AdditionalActions[ReviewStatus],ROW()-ROW(tbl_B_EligibilitySummary[#Headers])-ROWS(tbl_B_Assessment[ActionID])))</f>
        <v>Reviewed</v>
      </c>
      <c r="L22" s="87"/>
      <c r="M22" s="87"/>
      <c r="N22" s="87"/>
      <c r="O22" s="87"/>
      <c r="P22" s="87"/>
      <c r="Q22" s="87"/>
      <c r="R22" s="87"/>
      <c r="S22" s="87"/>
      <c r="T22" s="87"/>
      <c r="U22" s="87"/>
      <c r="V22" s="87"/>
      <c r="AA22" s="186"/>
      <c r="AB22" s="186"/>
      <c r="AC22" s="186"/>
      <c r="AD22" s="186"/>
      <c r="AE22" s="186"/>
      <c r="AF22" s="186"/>
      <c r="AG22" s="186"/>
      <c r="AH22" s="186"/>
      <c r="AI22" s="186"/>
      <c r="AJ22" s="186"/>
    </row>
    <row r="23" spans="2:36" s="185" customFormat="1">
      <c r="B23" s="13" t="str" cm="1">
        <f t="array" ref="B23">IF(ROW()-ROW(tbl_B_EligibilitySummary[#Headers])&lt;=ROWS(tbl_B_Assessment[ActionID]),"Existing action","Additional action")</f>
        <v>Existing action</v>
      </c>
      <c r="C23" s="13" t="str" cm="1">
        <f t="array" ref="C23">IF(ROW()-ROW(tbl_B_EligibilitySummary[#Headers])&lt;=ROWS(tbl_B_Assessment[ActionID]),INDEX(tbl_B_Assessment[ActionID],ROW()-ROW(tbl_B_EligibilitySummary[#Headers])),INDEX(tbl_B_AdditionalActions[AdditionalActionID],ROW()-ROW(tbl_B_EligibilitySummary[#Headers])-ROWS(tbl_B_Assessment[ActionID])))</f>
        <v>icare_0164</v>
      </c>
      <c r="D23" s="13" t="str" cm="1">
        <f t="array" ref="D23">IF(ROW()-ROW(tbl_B_EligibilitySummary[#Headers])&lt;=ROWS(tbl_B_Assessment[ActionID]),INDEX(tbl_B_Assessment[ActionName],ROW()-ROW(tbl_B_EligibilitySummary[#Headers])),INDEX(tbl_B_AdditionalActions[ActionName],ROW()-ROW(tbl_B_EligibilitySummary[#Headers])-ROWS(tbl_B_Assessment[ActionID])))</f>
        <v>Improve Hydrological Monitoring System with Telemetry Stations</v>
      </c>
      <c r="E23" s="13" t="str" cm="1">
        <f t="array" ref="E23">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23" s="13" t="str" cm="1">
        <f t="array" ref="F23">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23" s="13" t="str" cm="1">
        <f t="array" ref="G23">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23" s="13" t="str" cm="1">
        <f t="array" ref="H23">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23" s="13" t="str" cm="1">
        <f t="array" ref="I23">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23" s="13" t="str" cm="1">
        <f t="array" ref="J23">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23" s="13" t="str" cm="1">
        <f t="array" ref="K23">IF(ROW()-ROW(tbl_B_EligibilitySummary[#Headers])&lt;=ROWS(tbl_B_Assessment[ActionID]),INDEX(tbl_B_Assessment[ReviewStatus],ROW()-ROW(tbl_B_EligibilitySummary[#Headers])),INDEX(tbl_B_AdditionalActions[ReviewStatus],ROW()-ROW(tbl_B_EligibilitySummary[#Headers])-ROWS(tbl_B_Assessment[ActionID])))</f>
        <v>Reviewed</v>
      </c>
      <c r="L23" s="87"/>
      <c r="M23" s="87"/>
      <c r="N23" s="87"/>
      <c r="O23" s="87"/>
      <c r="P23" s="87"/>
      <c r="Q23" s="87"/>
      <c r="R23" s="87"/>
      <c r="S23" s="87"/>
      <c r="T23" s="87"/>
      <c r="U23" s="87"/>
      <c r="V23" s="87"/>
      <c r="AA23" s="186"/>
      <c r="AB23" s="186"/>
      <c r="AC23" s="186"/>
      <c r="AD23" s="186"/>
      <c r="AE23" s="186"/>
      <c r="AF23" s="186"/>
      <c r="AG23" s="186"/>
      <c r="AH23" s="186"/>
      <c r="AI23" s="186"/>
      <c r="AJ23" s="186"/>
    </row>
    <row r="24" spans="2:36" s="185" customFormat="1">
      <c r="B24" s="13" t="str" cm="1">
        <f t="array" ref="B24">IF(ROW()-ROW(tbl_B_EligibilitySummary[#Headers])&lt;=ROWS(tbl_B_Assessment[ActionID]),"Existing action","Additional action")</f>
        <v>Existing action</v>
      </c>
      <c r="C24" s="13" t="str" cm="1">
        <f t="array" ref="C24">IF(ROW()-ROW(tbl_B_EligibilitySummary[#Headers])&lt;=ROWS(tbl_B_Assessment[ActionID]),INDEX(tbl_B_Assessment[ActionID],ROW()-ROW(tbl_B_EligibilitySummary[#Headers])),INDEX(tbl_B_AdditionalActions[AdditionalActionID],ROW()-ROW(tbl_B_EligibilitySummary[#Headers])-ROWS(tbl_B_Assessment[ActionID])))</f>
        <v>icare_0165</v>
      </c>
      <c r="D24" s="13" t="str" cm="1">
        <f t="array" ref="D24">IF(ROW()-ROW(tbl_B_EligibilitySummary[#Headers])&lt;=ROWS(tbl_B_Assessment[ActionID]),INDEX(tbl_B_Assessment[ActionName],ROW()-ROW(tbl_B_EligibilitySummary[#Headers])),INDEX(tbl_B_AdditionalActions[ActionName],ROW()-ROW(tbl_B_EligibilitySummary[#Headers])-ROWS(tbl_B_Assessment[ActionID])))</f>
        <v>Develop an Environmental Education Plan</v>
      </c>
      <c r="E24" s="13" t="str" cm="1">
        <f t="array" ref="E24">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24" s="13" t="str" cm="1">
        <f t="array" ref="F24">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24" s="13" t="str" cm="1">
        <f t="array" ref="G24">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24" s="13" t="str" cm="1">
        <f t="array" ref="H24">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24" s="13" t="str" cm="1">
        <f t="array" ref="I24">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24" s="13" t="str" cm="1">
        <f t="array" ref="J24">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24" s="13" t="str" cm="1">
        <f t="array" ref="K24">IF(ROW()-ROW(tbl_B_EligibilitySummary[#Headers])&lt;=ROWS(tbl_B_Assessment[ActionID]),INDEX(tbl_B_Assessment[ReviewStatus],ROW()-ROW(tbl_B_EligibilitySummary[#Headers])),INDEX(tbl_B_AdditionalActions[ReviewStatus],ROW()-ROW(tbl_B_EligibilitySummary[#Headers])-ROWS(tbl_B_Assessment[ActionID])))</f>
        <v>Reviewed</v>
      </c>
      <c r="L24" s="87"/>
      <c r="M24" s="87"/>
      <c r="N24" s="87"/>
      <c r="O24" s="87"/>
      <c r="P24" s="87"/>
      <c r="Q24" s="87"/>
      <c r="R24" s="87"/>
      <c r="S24" s="87"/>
      <c r="T24" s="87"/>
      <c r="U24" s="87"/>
      <c r="V24" s="87"/>
      <c r="AA24" s="186"/>
      <c r="AB24" s="186"/>
      <c r="AC24" s="186"/>
      <c r="AD24" s="186"/>
      <c r="AE24" s="186"/>
      <c r="AF24" s="186"/>
      <c r="AG24" s="186"/>
      <c r="AH24" s="186"/>
      <c r="AI24" s="186"/>
      <c r="AJ24" s="186"/>
    </row>
    <row r="25" spans="2:36" s="185" customFormat="1">
      <c r="B25" s="13" t="str" cm="1">
        <f t="array" ref="B25">IF(ROW()-ROW(tbl_B_EligibilitySummary[#Headers])&lt;=ROWS(tbl_B_Assessment[ActionID]),"Existing action","Additional action")</f>
        <v>Existing action</v>
      </c>
      <c r="C25" s="13" t="str" cm="1">
        <f t="array" ref="C25">IF(ROW()-ROW(tbl_B_EligibilitySummary[#Headers])&lt;=ROWS(tbl_B_Assessment[ActionID]),INDEX(tbl_B_Assessment[ActionID],ROW()-ROW(tbl_B_EligibilitySummary[#Headers])),INDEX(tbl_B_AdditionalActions[AdditionalActionID],ROW()-ROW(tbl_B_EligibilitySummary[#Headers])-ROWS(tbl_B_Assessment[ActionID])))</f>
        <v>icare_0169</v>
      </c>
      <c r="D25" s="13" t="str" cm="1">
        <f t="array" ref="D25">IF(ROW()-ROW(tbl_B_EligibilitySummary[#Headers])&lt;=ROWS(tbl_B_Assessment[ActionID]),INDEX(tbl_B_Assessment[ActionName],ROW()-ROW(tbl_B_EligibilitySummary[#Headers])),INDEX(tbl_B_AdditionalActions[ActionName],ROW()-ROW(tbl_B_EligibilitySummary[#Headers])-ROWS(tbl_B_Assessment[ActionID])))</f>
        <v>Establish a Plan for Preparation and Emergency Response Measures in the event of extreme weather events</v>
      </c>
      <c r="E25" s="13" t="str" cm="1">
        <f t="array" ref="E25">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25" s="13" t="str" cm="1">
        <f t="array" ref="F25">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25" s="13" t="str" cm="1">
        <f t="array" ref="G25">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25" s="13" t="str" cm="1">
        <f t="array" ref="H25">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25" s="13" t="str" cm="1">
        <f t="array" ref="I25">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25" s="13" t="str" cm="1">
        <f t="array" ref="J25">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25" s="13" t="str" cm="1">
        <f t="array" ref="K25">IF(ROW()-ROW(tbl_B_EligibilitySummary[#Headers])&lt;=ROWS(tbl_B_Assessment[ActionID]),INDEX(tbl_B_Assessment[ReviewStatus],ROW()-ROW(tbl_B_EligibilitySummary[#Headers])),INDEX(tbl_B_AdditionalActions[ReviewStatus],ROW()-ROW(tbl_B_EligibilitySummary[#Headers])-ROWS(tbl_B_Assessment[ActionID])))</f>
        <v>Reviewed</v>
      </c>
      <c r="L25" s="87"/>
      <c r="M25" s="87"/>
      <c r="N25" s="87"/>
      <c r="O25" s="87"/>
      <c r="P25" s="87"/>
      <c r="Q25" s="87"/>
      <c r="R25" s="87"/>
      <c r="S25" s="87"/>
      <c r="T25" s="87"/>
      <c r="U25" s="87"/>
      <c r="V25" s="87"/>
      <c r="AA25" s="186"/>
      <c r="AB25" s="186"/>
      <c r="AC25" s="186"/>
      <c r="AD25" s="186"/>
      <c r="AE25" s="186"/>
      <c r="AF25" s="186"/>
      <c r="AG25" s="186"/>
      <c r="AH25" s="186"/>
      <c r="AI25" s="186"/>
      <c r="AJ25" s="186"/>
    </row>
    <row r="26" spans="2:36" s="185" customFormat="1">
      <c r="B26" s="13" t="str" cm="1">
        <f t="array" ref="B26">IF(ROW()-ROW(tbl_B_EligibilitySummary[#Headers])&lt;=ROWS(tbl_B_Assessment[ActionID]),"Existing action","Additional action")</f>
        <v>Existing action</v>
      </c>
      <c r="C26" s="13" t="str" cm="1">
        <f t="array" ref="C26">IF(ROW()-ROW(tbl_B_EligibilitySummary[#Headers])&lt;=ROWS(tbl_B_Assessment[ActionID]),INDEX(tbl_B_Assessment[ActionID],ROW()-ROW(tbl_B_EligibilitySummary[#Headers])),INDEX(tbl_B_AdditionalActions[AdditionalActionID],ROW()-ROW(tbl_B_EligibilitySummary[#Headers])-ROWS(tbl_B_Assessment[ActionID])))</f>
        <v>icare_0170</v>
      </c>
      <c r="D26" s="13" t="str" cm="1">
        <f t="array" ref="D26">IF(ROW()-ROW(tbl_B_EligibilitySummary[#Headers])&lt;=ROWS(tbl_B_Assessment[ActionID]),INDEX(tbl_B_Assessment[ActionName],ROW()-ROW(tbl_B_EligibilitySummary[#Headers])),INDEX(tbl_B_AdditionalActions[ActionName],ROW()-ROW(tbl_B_EligibilitySummary[#Headers])-ROWS(tbl_B_Assessment[ActionID])))</f>
        <v>Build safe housing and implement urban rehabilitation projects for populations living in high-risk areas</v>
      </c>
      <c r="E26" s="13" t="str" cm="1">
        <f t="array" ref="E26">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26" s="13" t="str" cm="1">
        <f t="array" ref="F26">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26" s="13" t="str" cm="1">
        <f t="array" ref="G26">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26" s="13" t="str" cm="1">
        <f t="array" ref="H26">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26" s="13" t="str" cm="1">
        <f t="array" ref="I26">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26" s="13" t="str" cm="1">
        <f t="array" ref="J26">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26" s="13" t="str" cm="1">
        <f t="array" ref="K26">IF(ROW()-ROW(tbl_B_EligibilitySummary[#Headers])&lt;=ROWS(tbl_B_Assessment[ActionID]),INDEX(tbl_B_Assessment[ReviewStatus],ROW()-ROW(tbl_B_EligibilitySummary[#Headers])),INDEX(tbl_B_AdditionalActions[ReviewStatus],ROW()-ROW(tbl_B_EligibilitySummary[#Headers])-ROWS(tbl_B_Assessment[ActionID])))</f>
        <v>Reviewed</v>
      </c>
      <c r="L26" s="87"/>
      <c r="M26" s="87"/>
      <c r="N26" s="87"/>
      <c r="O26" s="87"/>
      <c r="P26" s="87"/>
      <c r="Q26" s="87"/>
      <c r="R26" s="87"/>
      <c r="S26" s="87"/>
      <c r="T26" s="87"/>
      <c r="U26" s="87"/>
      <c r="V26" s="87"/>
      <c r="AA26" s="186"/>
      <c r="AB26" s="186"/>
      <c r="AC26" s="186"/>
      <c r="AD26" s="186"/>
      <c r="AE26" s="186"/>
      <c r="AF26" s="186"/>
      <c r="AG26" s="186"/>
      <c r="AH26" s="186"/>
      <c r="AI26" s="186"/>
      <c r="AJ26" s="186"/>
    </row>
    <row r="27" spans="2:36" s="185" customFormat="1">
      <c r="B27" s="13" t="str" cm="1">
        <f t="array" ref="B27">IF(ROW()-ROW(tbl_B_EligibilitySummary[#Headers])&lt;=ROWS(tbl_B_Assessment[ActionID]),"Existing action","Additional action")</f>
        <v>Existing action</v>
      </c>
      <c r="C27" s="13" t="str" cm="1">
        <f t="array" ref="C27">IF(ROW()-ROW(tbl_B_EligibilitySummary[#Headers])&lt;=ROWS(tbl_B_Assessment[ActionID]),INDEX(tbl_B_Assessment[ActionID],ROW()-ROW(tbl_B_EligibilitySummary[#Headers])),INDEX(tbl_B_AdditionalActions[AdditionalActionID],ROW()-ROW(tbl_B_EligibilitySummary[#Headers])-ROWS(tbl_B_Assessment[ActionID])))</f>
        <v>icare_0171</v>
      </c>
      <c r="D27" s="13" t="str" cm="1">
        <f t="array" ref="D27">IF(ROW()-ROW(tbl_B_EligibilitySummary[#Headers])&lt;=ROWS(tbl_B_Assessment[ActionID]),INDEX(tbl_B_Assessment[ActionName],ROW()-ROW(tbl_B_EligibilitySummary[#Headers])),INDEX(tbl_B_AdditionalActions[ActionName],ROW()-ROW(tbl_B_EligibilitySummary[#Headers])-ROWS(tbl_B_Assessment[ActionID])))</f>
        <v>Improve the hydrometeorological forecasting, monitoring, and alert system for climate risks</v>
      </c>
      <c r="E27" s="13" t="str" cm="1">
        <f t="array" ref="E27">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27" s="13" t="str" cm="1">
        <f t="array" ref="F27">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27" s="13" t="str" cm="1">
        <f t="array" ref="G27">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27" s="13" t="str" cm="1">
        <f t="array" ref="H27">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27" s="13" t="str" cm="1">
        <f t="array" ref="I27">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27" s="13" t="str" cm="1">
        <f t="array" ref="J27">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27" s="13" t="str" cm="1">
        <f t="array" ref="K27">IF(ROW()-ROW(tbl_B_EligibilitySummary[#Headers])&lt;=ROWS(tbl_B_Assessment[ActionID]),INDEX(tbl_B_Assessment[ReviewStatus],ROW()-ROW(tbl_B_EligibilitySummary[#Headers])),INDEX(tbl_B_AdditionalActions[ReviewStatus],ROW()-ROW(tbl_B_EligibilitySummary[#Headers])-ROWS(tbl_B_Assessment[ActionID])))</f>
        <v>Reviewed</v>
      </c>
      <c r="L27" s="87"/>
      <c r="M27" s="87"/>
      <c r="N27" s="87"/>
      <c r="O27" s="87"/>
      <c r="P27" s="87"/>
      <c r="Q27" s="87"/>
      <c r="R27" s="87"/>
      <c r="S27" s="87"/>
      <c r="T27" s="87"/>
      <c r="U27" s="87"/>
      <c r="V27" s="87"/>
      <c r="AA27" s="186"/>
      <c r="AB27" s="186"/>
      <c r="AC27" s="186"/>
      <c r="AD27" s="186"/>
      <c r="AE27" s="186"/>
      <c r="AF27" s="186"/>
      <c r="AG27" s="186"/>
      <c r="AH27" s="186"/>
      <c r="AI27" s="186"/>
      <c r="AJ27" s="186"/>
    </row>
    <row r="28" spans="2:36" s="185" customFormat="1">
      <c r="B28" s="13" t="str" cm="1">
        <f t="array" ref="B28">IF(ROW()-ROW(tbl_B_EligibilitySummary[#Headers])&lt;=ROWS(tbl_B_Assessment[ActionID]),"Existing action","Additional action")</f>
        <v>Existing action</v>
      </c>
      <c r="C28" s="13" t="str" cm="1">
        <f t="array" ref="C28">IF(ROW()-ROW(tbl_B_EligibilitySummary[#Headers])&lt;=ROWS(tbl_B_Assessment[ActionID]),INDEX(tbl_B_Assessment[ActionID],ROW()-ROW(tbl_B_EligibilitySummary[#Headers])),INDEX(tbl_B_AdditionalActions[AdditionalActionID],ROW()-ROW(tbl_B_EligibilitySummary[#Headers])-ROWS(tbl_B_Assessment[ActionID])))</f>
        <v>icare_0172</v>
      </c>
      <c r="D28" s="13" t="str" cm="1">
        <f t="array" ref="D28">IF(ROW()-ROW(tbl_B_EligibilitySummary[#Headers])&lt;=ROWS(tbl_B_Assessment[ActionID]),INDEX(tbl_B_Assessment[ActionName],ROW()-ROW(tbl_B_EligibilitySummary[#Headers])),INDEX(tbl_B_AdditionalActions[ActionName],ROW()-ROW(tbl_B_EligibilitySummary[#Headers])-ROWS(tbl_B_Assessment[ActionID])))</f>
        <v>Develop and implement the Municipal Risk Reduction Plan (PMRR) and identify population groups vulnerable to climate risks.</v>
      </c>
      <c r="E28" s="13" t="str" cm="1">
        <f t="array" ref="E28">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28" s="13" t="str" cm="1">
        <f t="array" ref="F28">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28" s="13" t="str" cm="1">
        <f t="array" ref="G28">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28" s="13" t="str" cm="1">
        <f t="array" ref="H28">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28" s="13" t="str" cm="1">
        <f t="array" ref="I28">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28" s="13" t="str" cm="1">
        <f t="array" ref="J28">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28" s="13" t="str" cm="1">
        <f t="array" ref="K28">IF(ROW()-ROW(tbl_B_EligibilitySummary[#Headers])&lt;=ROWS(tbl_B_Assessment[ActionID]),INDEX(tbl_B_Assessment[ReviewStatus],ROW()-ROW(tbl_B_EligibilitySummary[#Headers])),INDEX(tbl_B_AdditionalActions[ReviewStatus],ROW()-ROW(tbl_B_EligibilitySummary[#Headers])-ROWS(tbl_B_Assessment[ActionID])))</f>
        <v>Reviewed</v>
      </c>
      <c r="L28" s="87"/>
      <c r="M28" s="87"/>
      <c r="N28" s="87"/>
      <c r="O28" s="87"/>
      <c r="P28" s="87"/>
      <c r="Q28" s="87"/>
      <c r="R28" s="87"/>
      <c r="S28" s="87"/>
      <c r="T28" s="87"/>
      <c r="U28" s="87"/>
      <c r="V28" s="87"/>
      <c r="AA28" s="186"/>
      <c r="AB28" s="186"/>
      <c r="AC28" s="186"/>
      <c r="AD28" s="186"/>
      <c r="AE28" s="186"/>
      <c r="AF28" s="186"/>
      <c r="AG28" s="186"/>
      <c r="AH28" s="186"/>
      <c r="AI28" s="186"/>
      <c r="AJ28" s="186"/>
    </row>
    <row r="29" spans="2:36" s="185" customFormat="1">
      <c r="B29" s="13" t="str" cm="1">
        <f t="array" ref="B29">IF(ROW()-ROW(tbl_B_EligibilitySummary[#Headers])&lt;=ROWS(tbl_B_Assessment[ActionID]),"Existing action","Additional action")</f>
        <v>Existing action</v>
      </c>
      <c r="C29" s="13" t="str" cm="1">
        <f t="array" ref="C29">IF(ROW()-ROW(tbl_B_EligibilitySummary[#Headers])&lt;=ROWS(tbl_B_Assessment[ActionID]),INDEX(tbl_B_Assessment[ActionID],ROW()-ROW(tbl_B_EligibilitySummary[#Headers])),INDEX(tbl_B_AdditionalActions[AdditionalActionID],ROW()-ROW(tbl_B_EligibilitySummary[#Headers])-ROWS(tbl_B_Assessment[ActionID])))</f>
        <v>icare_0173</v>
      </c>
      <c r="D29" s="13" t="str" cm="1">
        <f t="array" ref="D29">IF(ROW()-ROW(tbl_B_EligibilitySummary[#Headers])&lt;=ROWS(tbl_B_Assessment[ActionID]),INDEX(tbl_B_Assessment[ActionName],ROW()-ROW(tbl_B_EligibilitySummary[#Headers])),INDEX(tbl_B_AdditionalActions[ActionName],ROW()-ROW(tbl_B_EligibilitySummary[#Headers])-ROWS(tbl_B_Assessment[ActionID])))</f>
        <v>Preventive maintenance of drainage systems</v>
      </c>
      <c r="E29" s="13" t="str" cm="1">
        <f t="array" ref="E29">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29" s="13" t="str" cm="1">
        <f t="array" ref="F29">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29" s="13" t="str" cm="1">
        <f t="array" ref="G29">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29" s="13" t="str" cm="1">
        <f t="array" ref="H29">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29" s="13" t="str" cm="1">
        <f t="array" ref="I29">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29" s="13" t="str" cm="1">
        <f t="array" ref="J29">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29" s="13" t="str" cm="1">
        <f t="array" ref="K29">IF(ROW()-ROW(tbl_B_EligibilitySummary[#Headers])&lt;=ROWS(tbl_B_Assessment[ActionID]),INDEX(tbl_B_Assessment[ReviewStatus],ROW()-ROW(tbl_B_EligibilitySummary[#Headers])),INDEX(tbl_B_AdditionalActions[ReviewStatus],ROW()-ROW(tbl_B_EligibilitySummary[#Headers])-ROWS(tbl_B_Assessment[ActionID])))</f>
        <v>Reviewed</v>
      </c>
      <c r="L29" s="87"/>
      <c r="M29" s="87"/>
      <c r="N29" s="87"/>
      <c r="O29" s="87"/>
      <c r="P29" s="87"/>
      <c r="Q29" s="87"/>
      <c r="R29" s="87"/>
      <c r="S29" s="87"/>
      <c r="T29" s="87"/>
      <c r="U29" s="87"/>
      <c r="V29" s="87"/>
      <c r="AA29" s="186"/>
      <c r="AB29" s="186"/>
      <c r="AC29" s="186"/>
      <c r="AD29" s="186"/>
      <c r="AE29" s="186"/>
      <c r="AF29" s="186"/>
      <c r="AG29" s="186"/>
      <c r="AH29" s="186"/>
      <c r="AI29" s="186"/>
      <c r="AJ29" s="186"/>
    </row>
    <row r="30" spans="2:36" s="185" customFormat="1">
      <c r="B30" s="13" t="str" cm="1">
        <f t="array" ref="B30">IF(ROW()-ROW(tbl_B_EligibilitySummary[#Headers])&lt;=ROWS(tbl_B_Assessment[ActionID]),"Existing action","Additional action")</f>
        <v>Existing action</v>
      </c>
      <c r="C30" s="13" t="str" cm="1">
        <f t="array" ref="C30">IF(ROW()-ROW(tbl_B_EligibilitySummary[#Headers])&lt;=ROWS(tbl_B_Assessment[ActionID]),INDEX(tbl_B_Assessment[ActionID],ROW()-ROW(tbl_B_EligibilitySummary[#Headers])),INDEX(tbl_B_AdditionalActions[AdditionalActionID],ROW()-ROW(tbl_B_EligibilitySummary[#Headers])-ROWS(tbl_B_Assessment[ActionID])))</f>
        <v>icare_0176</v>
      </c>
      <c r="D30" s="13" t="str" cm="1">
        <f t="array" ref="D30">IF(ROW()-ROW(tbl_B_EligibilitySummary[#Headers])&lt;=ROWS(tbl_B_Assessment[ActionID]),INDEX(tbl_B_Assessment[ActionName],ROW()-ROW(tbl_B_EligibilitySummary[#Headers])),INDEX(tbl_B_AdditionalActions[ActionName],ROW()-ROW(tbl_B_EligibilitySummary[#Headers])-ROWS(tbl_B_Assessment[ActionID])))</f>
        <v>Develop a Climate Action Plan</v>
      </c>
      <c r="E30" s="13" t="str" cm="1">
        <f t="array" ref="E30">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30" s="13" t="str" cm="1">
        <f t="array" ref="F30">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30" s="13" t="str" cm="1">
        <f t="array" ref="G30">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30" s="13" t="str" cm="1">
        <f t="array" ref="H30">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30" s="13" t="str" cm="1">
        <f t="array" ref="I30">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30" s="13" t="str" cm="1">
        <f t="array" ref="J30">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30" s="13" t="str" cm="1">
        <f t="array" ref="K30">IF(ROW()-ROW(tbl_B_EligibilitySummary[#Headers])&lt;=ROWS(tbl_B_Assessment[ActionID]),INDEX(tbl_B_Assessment[ReviewStatus],ROW()-ROW(tbl_B_EligibilitySummary[#Headers])),INDEX(tbl_B_AdditionalActions[ReviewStatus],ROW()-ROW(tbl_B_EligibilitySummary[#Headers])-ROWS(tbl_B_Assessment[ActionID])))</f>
        <v>Reviewed</v>
      </c>
      <c r="L30" s="87"/>
      <c r="M30" s="87"/>
      <c r="N30" s="87"/>
      <c r="O30" s="87"/>
      <c r="P30" s="87"/>
      <c r="Q30" s="87"/>
      <c r="R30" s="87"/>
      <c r="S30" s="87"/>
      <c r="T30" s="87"/>
      <c r="U30" s="87"/>
      <c r="V30" s="87"/>
      <c r="AA30" s="186"/>
      <c r="AB30" s="186"/>
      <c r="AC30" s="186"/>
      <c r="AD30" s="186"/>
      <c r="AE30" s="186"/>
      <c r="AF30" s="186"/>
      <c r="AG30" s="186"/>
      <c r="AH30" s="186"/>
      <c r="AI30" s="186"/>
      <c r="AJ30" s="186"/>
    </row>
    <row r="31" spans="2:36" s="185" customFormat="1">
      <c r="B31" s="13" t="str" cm="1">
        <f t="array" ref="B31">IF(ROW()-ROW(tbl_B_EligibilitySummary[#Headers])&lt;=ROWS(tbl_B_Assessment[ActionID]),"Existing action","Additional action")</f>
        <v>Existing action</v>
      </c>
      <c r="C31" s="13" t="str" cm="1">
        <f t="array" ref="C31">IF(ROW()-ROW(tbl_B_EligibilitySummary[#Headers])&lt;=ROWS(tbl_B_Assessment[ActionID]),INDEX(tbl_B_Assessment[ActionID],ROW()-ROW(tbl_B_EligibilitySummary[#Headers])),INDEX(tbl_B_AdditionalActions[AdditionalActionID],ROW()-ROW(tbl_B_EligibilitySummary[#Headers])-ROWS(tbl_B_Assessment[ActionID])))</f>
        <v>icare_0178</v>
      </c>
      <c r="D31" s="13" t="str" cm="1">
        <f t="array" ref="D31">IF(ROW()-ROW(tbl_B_EligibilitySummary[#Headers])&lt;=ROWS(tbl_B_Assessment[ActionID]),INDEX(tbl_B_Assessment[ActionName],ROW()-ROW(tbl_B_EligibilitySummary[#Headers])),INDEX(tbl_B_AdditionalActions[ActionName],ROW()-ROW(tbl_B_EligibilitySummary[#Headers])-ROWS(tbl_B_Assessment[ActionID])))</f>
        <v>Redirect urban development through climate‑risk spatial planning</v>
      </c>
      <c r="E31" s="13" t="str" cm="1">
        <f t="array" ref="E31">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31" s="13" t="str" cm="1">
        <f t="array" ref="F31">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31" s="13" t="str" cm="1">
        <f t="array" ref="G31">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31" s="13" t="str" cm="1">
        <f t="array" ref="H31">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31" s="13" t="str" cm="1">
        <f t="array" ref="I31">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31" s="13" t="str" cm="1">
        <f t="array" ref="J31">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31" s="13" t="str" cm="1">
        <f t="array" ref="K31">IF(ROW()-ROW(tbl_B_EligibilitySummary[#Headers])&lt;=ROWS(tbl_B_Assessment[ActionID]),INDEX(tbl_B_Assessment[ReviewStatus],ROW()-ROW(tbl_B_EligibilitySummary[#Headers])),INDEX(tbl_B_AdditionalActions[ReviewStatus],ROW()-ROW(tbl_B_EligibilitySummary[#Headers])-ROWS(tbl_B_Assessment[ActionID])))</f>
        <v>Reviewed</v>
      </c>
      <c r="L31" s="87"/>
      <c r="M31" s="87"/>
      <c r="N31" s="87"/>
      <c r="O31" s="87"/>
      <c r="P31" s="87"/>
      <c r="Q31" s="87"/>
      <c r="R31" s="87"/>
      <c r="S31" s="87"/>
      <c r="T31" s="87"/>
      <c r="U31" s="87"/>
      <c r="V31" s="87"/>
      <c r="AA31" s="186"/>
      <c r="AB31" s="186"/>
      <c r="AC31" s="186"/>
      <c r="AD31" s="186"/>
      <c r="AE31" s="186"/>
      <c r="AF31" s="186"/>
      <c r="AG31" s="186"/>
      <c r="AH31" s="186"/>
      <c r="AI31" s="186"/>
      <c r="AJ31" s="186"/>
    </row>
    <row r="32" spans="2:36" s="185" customFormat="1">
      <c r="B32" s="13" t="str" cm="1">
        <f t="array" ref="B32">IF(ROW()-ROW(tbl_B_EligibilitySummary[#Headers])&lt;=ROWS(tbl_B_Assessment[ActionID]),"Existing action","Additional action")</f>
        <v>Existing action</v>
      </c>
      <c r="C32" s="13" t="str" cm="1">
        <f t="array" ref="C32">IF(ROW()-ROW(tbl_B_EligibilitySummary[#Headers])&lt;=ROWS(tbl_B_Assessment[ActionID]),INDEX(tbl_B_Assessment[ActionID],ROW()-ROW(tbl_B_EligibilitySummary[#Headers])),INDEX(tbl_B_AdditionalActions[AdditionalActionID],ROW()-ROW(tbl_B_EligibilitySummary[#Headers])-ROWS(tbl_B_Assessment[ActionID])))</f>
        <v>icare_0180</v>
      </c>
      <c r="D32" s="13" t="str" cm="1">
        <f t="array" ref="D32">IF(ROW()-ROW(tbl_B_EligibilitySummary[#Headers])&lt;=ROWS(tbl_B_Assessment[ActionID]),INDEX(tbl_B_Assessment[ActionName],ROW()-ROW(tbl_B_EligibilitySummary[#Headers])),INDEX(tbl_B_AdditionalActions[ActionName],ROW()-ROW(tbl_B_EligibilitySummary[#Headers])-ROWS(tbl_B_Assessment[ActionID])))</f>
        <v>Expand urban green-blue networks and corridors</v>
      </c>
      <c r="E32" s="13" t="str" cm="1">
        <f t="array" ref="E32">IF(ROW()-ROW(tbl_B_EligibilitySummary[#Headers])&lt;=ROWS(tbl_B_Assessment[ActionID]),INDEX(tbl_B_Assessment[Vulnerability Eligibility],ROW()-ROW(tbl_B_EligibilitySummary[#Headers])),INDEX(tbl_B_AdditionalActions[Vulnerability Eligibility],ROW()-ROW(tbl_B_EligibilitySummary[#Headers])-ROWS(tbl_B_Assessment[ActionID])))</f>
        <v>Eligible</v>
      </c>
      <c r="F32" s="13" t="str" cm="1">
        <f t="array" ref="F32">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32" s="13" t="str" cm="1">
        <f t="array" ref="G32">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
      </c>
      <c r="H32" s="13" t="str" cm="1">
        <f t="array" ref="H32">IF(ROW()-ROW(tbl_B_EligibilitySummary[#Headers])&lt;=ROWS(tbl_B_Assessment[ActionID]),INDEX(tbl_B_Assessment[Exposure Eligibility],ROW()-ROW(tbl_B_EligibilitySummary[#Headers])),INDEX(tbl_B_AdditionalActions[Exposure Eligibility],ROW()-ROW(tbl_B_EligibilitySummary[#Headers])-ROWS(tbl_B_Assessment[ActionID])))</f>
        <v>Eligible</v>
      </c>
      <c r="I32" s="13" t="str" cm="1">
        <f t="array" ref="I32">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32" s="13" t="str" cm="1">
        <f t="array" ref="J32">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
      </c>
      <c r="K32" s="13" t="str" cm="1">
        <f t="array" ref="K32">IF(ROW()-ROW(tbl_B_EligibilitySummary[#Headers])&lt;=ROWS(tbl_B_Assessment[ActionID]),INDEX(tbl_B_Assessment[ReviewStatus],ROW()-ROW(tbl_B_EligibilitySummary[#Headers])),INDEX(tbl_B_AdditionalActions[ReviewStatus],ROW()-ROW(tbl_B_EligibilitySummary[#Headers])-ROWS(tbl_B_Assessment[ActionID])))</f>
        <v>Reviewed</v>
      </c>
      <c r="L32" s="87"/>
      <c r="M32" s="87"/>
      <c r="N32" s="87"/>
      <c r="O32" s="87"/>
      <c r="P32" s="87"/>
      <c r="Q32" s="87"/>
      <c r="R32" s="87"/>
      <c r="S32" s="87"/>
      <c r="T32" s="87"/>
      <c r="U32" s="87"/>
      <c r="V32" s="87"/>
      <c r="AA32" s="186"/>
      <c r="AB32" s="186"/>
      <c r="AC32" s="186"/>
      <c r="AD32" s="186"/>
      <c r="AE32" s="186"/>
      <c r="AF32" s="186"/>
      <c r="AG32" s="186"/>
      <c r="AH32" s="186"/>
      <c r="AI32" s="186"/>
      <c r="AJ32" s="186"/>
    </row>
    <row r="33" spans="2:36" s="185" customFormat="1">
      <c r="B33" s="13" t="str" cm="1">
        <f t="array" ref="B33">IF(ROW()-ROW(tbl_B_EligibilitySummary[#Headers])&lt;=ROWS(tbl_B_Assessment[ActionID]),"Existing action","Additional action")</f>
        <v>Existing action</v>
      </c>
      <c r="C33" s="13" t="str" cm="1">
        <f t="array" ref="C33">IF(ROW()-ROW(tbl_B_EligibilitySummary[#Headers])&lt;=ROWS(tbl_B_Assessment[ActionID]),INDEX(tbl_B_Assessment[ActionID],ROW()-ROW(tbl_B_EligibilitySummary[#Headers])),INDEX(tbl_B_AdditionalActions[AdditionalActionID],ROW()-ROW(tbl_B_EligibilitySummary[#Headers])-ROWS(tbl_B_Assessment[ActionID])))</f>
        <v>icare_0181</v>
      </c>
      <c r="D33" s="13" t="str" cm="1">
        <f t="array" ref="D33">IF(ROW()-ROW(tbl_B_EligibilitySummary[#Headers])&lt;=ROWS(tbl_B_Assessment[ActionID]),INDEX(tbl_B_Assessment[ActionName],ROW()-ROW(tbl_B_EligibilitySummary[#Headers])),INDEX(tbl_B_AdditionalActions[ActionName],ROW()-ROW(tbl_B_EligibilitySummary[#Headers])-ROWS(tbl_B_Assessment[ActionID])))</f>
        <v>Restore in Vulnerable Areas</v>
      </c>
      <c r="E33" s="13" t="str" cm="1">
        <f t="array" ref="E33">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33" s="13" t="str" cm="1">
        <f t="array" ref="F33">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33" s="13" t="str" cm="1">
        <f t="array" ref="G33">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33" s="13" t="str" cm="1">
        <f t="array" ref="H33">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33" s="13" t="str" cm="1">
        <f t="array" ref="I33">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33" s="13" t="str" cm="1">
        <f t="array" ref="J33">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33" s="13" t="str" cm="1">
        <f t="array" ref="K33">IF(ROW()-ROW(tbl_B_EligibilitySummary[#Headers])&lt;=ROWS(tbl_B_Assessment[ActionID]),INDEX(tbl_B_Assessment[ReviewStatus],ROW()-ROW(tbl_B_EligibilitySummary[#Headers])),INDEX(tbl_B_AdditionalActions[ReviewStatus],ROW()-ROW(tbl_B_EligibilitySummary[#Headers])-ROWS(tbl_B_Assessment[ActionID])))</f>
        <v>Reviewed</v>
      </c>
      <c r="L33" s="87"/>
      <c r="M33" s="87"/>
      <c r="N33" s="87"/>
      <c r="O33" s="87"/>
      <c r="P33" s="87"/>
      <c r="Q33" s="87"/>
      <c r="R33" s="87"/>
      <c r="S33" s="87"/>
      <c r="T33" s="87"/>
      <c r="U33" s="87"/>
      <c r="V33" s="87"/>
      <c r="AA33" s="186"/>
      <c r="AB33" s="186"/>
      <c r="AC33" s="186"/>
      <c r="AD33" s="186"/>
      <c r="AE33" s="186"/>
      <c r="AF33" s="186"/>
      <c r="AG33" s="186"/>
      <c r="AH33" s="186"/>
      <c r="AI33" s="186"/>
      <c r="AJ33" s="186"/>
    </row>
    <row r="34" spans="2:36" s="185" customFormat="1">
      <c r="B34" s="13" t="str" cm="1">
        <f t="array" ref="B34">IF(ROW()-ROW(tbl_B_EligibilitySummary[#Headers])&lt;=ROWS(tbl_B_Assessment[ActionID]),"Existing action","Additional action")</f>
        <v>Existing action</v>
      </c>
      <c r="C34" s="13" t="str" cm="1">
        <f t="array" ref="C34">IF(ROW()-ROW(tbl_B_EligibilitySummary[#Headers])&lt;=ROWS(tbl_B_Assessment[ActionID]),INDEX(tbl_B_Assessment[ActionID],ROW()-ROW(tbl_B_EligibilitySummary[#Headers])),INDEX(tbl_B_AdditionalActions[AdditionalActionID],ROW()-ROW(tbl_B_EligibilitySummary[#Headers])-ROWS(tbl_B_Assessment[ActionID])))</f>
        <v>icare_0182</v>
      </c>
      <c r="D34" s="13" t="str" cm="1">
        <f t="array" ref="D34">IF(ROW()-ROW(tbl_B_EligibilitySummary[#Headers])&lt;=ROWS(tbl_B_Assessment[ActionID]),INDEX(tbl_B_Assessment[ActionName],ROW()-ROW(tbl_B_EligibilitySummary[#Headers])),INDEX(tbl_B_AdditionalActions[ActionName],ROW()-ROW(tbl_B_EligibilitySummary[#Headers])-ROWS(tbl_B_Assessment[ActionID])))</f>
        <v>Develop an Urban Afforestation Plan</v>
      </c>
      <c r="E34" s="13" t="str" cm="1">
        <f t="array" ref="E34">IF(ROW()-ROW(tbl_B_EligibilitySummary[#Headers])&lt;=ROWS(tbl_B_Assessment[ActionID]),INDEX(tbl_B_Assessment[Vulnerability Eligibility],ROW()-ROW(tbl_B_EligibilitySummary[#Headers])),INDEX(tbl_B_AdditionalActions[Vulnerability Eligibility],ROW()-ROW(tbl_B_EligibilitySummary[#Headers])-ROWS(tbl_B_Assessment[ActionID])))</f>
        <v>Eligible</v>
      </c>
      <c r="F34" s="13" t="str" cm="1">
        <f t="array" ref="F34">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34" s="13" t="str" cm="1">
        <f t="array" ref="G34">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
      </c>
      <c r="H34" s="13" t="str" cm="1">
        <f t="array" ref="H34">IF(ROW()-ROW(tbl_B_EligibilitySummary[#Headers])&lt;=ROWS(tbl_B_Assessment[ActionID]),INDEX(tbl_B_Assessment[Exposure Eligibility],ROW()-ROW(tbl_B_EligibilitySummary[#Headers])),INDEX(tbl_B_AdditionalActions[Exposure Eligibility],ROW()-ROW(tbl_B_EligibilitySummary[#Headers])-ROWS(tbl_B_Assessment[ActionID])))</f>
        <v>Eligible</v>
      </c>
      <c r="I34" s="13" t="str" cm="1">
        <f t="array" ref="I34">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34" s="13" t="str" cm="1">
        <f t="array" ref="J34">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
      </c>
      <c r="K34" s="13" t="str" cm="1">
        <f t="array" ref="K34">IF(ROW()-ROW(tbl_B_EligibilitySummary[#Headers])&lt;=ROWS(tbl_B_Assessment[ActionID]),INDEX(tbl_B_Assessment[ReviewStatus],ROW()-ROW(tbl_B_EligibilitySummary[#Headers])),INDEX(tbl_B_AdditionalActions[ReviewStatus],ROW()-ROW(tbl_B_EligibilitySummary[#Headers])-ROWS(tbl_B_Assessment[ActionID])))</f>
        <v>Reviewed</v>
      </c>
      <c r="L34" s="87"/>
      <c r="M34" s="87"/>
      <c r="N34" s="87"/>
      <c r="O34" s="87"/>
      <c r="P34" s="87"/>
      <c r="Q34" s="87"/>
      <c r="R34" s="87"/>
      <c r="S34" s="87"/>
      <c r="T34" s="87"/>
      <c r="U34" s="87"/>
      <c r="V34" s="87"/>
      <c r="AA34" s="186"/>
      <c r="AB34" s="186"/>
      <c r="AC34" s="186"/>
      <c r="AD34" s="186"/>
      <c r="AE34" s="186"/>
      <c r="AF34" s="186"/>
      <c r="AG34" s="186"/>
      <c r="AH34" s="186"/>
      <c r="AI34" s="186"/>
      <c r="AJ34" s="186"/>
    </row>
    <row r="35" spans="2:36" s="185" customFormat="1">
      <c r="B35" s="13" t="str" cm="1">
        <f t="array" ref="B35">IF(ROW()-ROW(tbl_B_EligibilitySummary[#Headers])&lt;=ROWS(tbl_B_Assessment[ActionID]),"Existing action","Additional action")</f>
        <v>Existing action</v>
      </c>
      <c r="C35" s="13" t="str" cm="1">
        <f t="array" ref="C35">IF(ROW()-ROW(tbl_B_EligibilitySummary[#Headers])&lt;=ROWS(tbl_B_Assessment[ActionID]),INDEX(tbl_B_Assessment[ActionID],ROW()-ROW(tbl_B_EligibilitySummary[#Headers])),INDEX(tbl_B_AdditionalActions[AdditionalActionID],ROW()-ROW(tbl_B_EligibilitySummary[#Headers])-ROWS(tbl_B_Assessment[ActionID])))</f>
        <v>icare_0183</v>
      </c>
      <c r="D35" s="13" t="str" cm="1">
        <f t="array" ref="D35">IF(ROW()-ROW(tbl_B_EligibilitySummary[#Headers])&lt;=ROWS(tbl_B_Assessment[ActionID]),INDEX(tbl_B_Assessment[ActionName],ROW()-ROW(tbl_B_EligibilitySummary[#Headers])),INDEX(tbl_B_AdditionalActions[ActionName],ROW()-ROW(tbl_B_EligibilitySummary[#Headers])-ROWS(tbl_B_Assessment[ActionID])))</f>
        <v>Implement Multi-hazard Early Warning Systems (MH-EWS)</v>
      </c>
      <c r="E35" s="13" t="str" cm="1">
        <f t="array" ref="E35">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35" s="13" t="str" cm="1">
        <f t="array" ref="F35">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35" s="13" t="str" cm="1">
        <f t="array" ref="G35">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35" s="13" t="str" cm="1">
        <f t="array" ref="H35">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35" s="13" t="str" cm="1">
        <f t="array" ref="I35">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35" s="13" t="str" cm="1">
        <f t="array" ref="J35">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35" s="13" t="str" cm="1">
        <f t="array" ref="K35">IF(ROW()-ROW(tbl_B_EligibilitySummary[#Headers])&lt;=ROWS(tbl_B_Assessment[ActionID]),INDEX(tbl_B_Assessment[ReviewStatus],ROW()-ROW(tbl_B_EligibilitySummary[#Headers])),INDEX(tbl_B_AdditionalActions[ReviewStatus],ROW()-ROW(tbl_B_EligibilitySummary[#Headers])-ROWS(tbl_B_Assessment[ActionID])))</f>
        <v>Reviewed</v>
      </c>
      <c r="L35" s="87"/>
      <c r="M35" s="87"/>
      <c r="N35" s="87"/>
      <c r="O35" s="87"/>
      <c r="P35" s="87"/>
      <c r="Q35" s="87"/>
      <c r="R35" s="87"/>
      <c r="S35" s="87"/>
      <c r="T35" s="87"/>
      <c r="U35" s="87"/>
      <c r="V35" s="87"/>
      <c r="AA35" s="186"/>
      <c r="AB35" s="186"/>
      <c r="AC35" s="186"/>
      <c r="AD35" s="186"/>
      <c r="AE35" s="186"/>
      <c r="AF35" s="186"/>
      <c r="AG35" s="186"/>
      <c r="AH35" s="186"/>
      <c r="AI35" s="186"/>
      <c r="AJ35" s="186"/>
    </row>
    <row r="36" spans="2:36" s="185" customFormat="1">
      <c r="B36" s="13" t="str" cm="1">
        <f t="array" ref="B36">IF(ROW()-ROW(tbl_B_EligibilitySummary[#Headers])&lt;=ROWS(tbl_B_Assessment[ActionID]),"Existing action","Additional action")</f>
        <v>Existing action</v>
      </c>
      <c r="C36" s="13" t="str" cm="1">
        <f t="array" ref="C36">IF(ROW()-ROW(tbl_B_EligibilitySummary[#Headers])&lt;=ROWS(tbl_B_Assessment[ActionID]),INDEX(tbl_B_Assessment[ActionID],ROW()-ROW(tbl_B_EligibilitySummary[#Headers])),INDEX(tbl_B_AdditionalActions[AdditionalActionID],ROW()-ROW(tbl_B_EligibilitySummary[#Headers])-ROWS(tbl_B_Assessment[ActionID])))</f>
        <v>icare_0184</v>
      </c>
      <c r="D36" s="13" t="str" cm="1">
        <f t="array" ref="D36">IF(ROW()-ROW(tbl_B_EligibilitySummary[#Headers])&lt;=ROWS(tbl_B_Assessment[ActionID]),INDEX(tbl_B_Assessment[ActionName],ROW()-ROW(tbl_B_EligibilitySummary[#Headers])),INDEX(tbl_B_AdditionalActions[ActionName],ROW()-ROW(tbl_B_EligibilitySummary[#Headers])-ROWS(tbl_B_Assessment[ActionID])))</f>
        <v>Upgrade Slope stabilization and drainage</v>
      </c>
      <c r="E36" s="13" t="str" cm="1">
        <f t="array" ref="E36">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36" s="13" t="str" cm="1">
        <f t="array" ref="F36">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36" s="13" t="str" cm="1">
        <f t="array" ref="G36">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36" s="13" t="str" cm="1">
        <f t="array" ref="H36">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36" s="13" t="str" cm="1">
        <f t="array" ref="I36">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36" s="13" t="str" cm="1">
        <f t="array" ref="J36">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36" s="13" t="str" cm="1">
        <f t="array" ref="K36">IF(ROW()-ROW(tbl_B_EligibilitySummary[#Headers])&lt;=ROWS(tbl_B_Assessment[ActionID]),INDEX(tbl_B_Assessment[ReviewStatus],ROW()-ROW(tbl_B_EligibilitySummary[#Headers])),INDEX(tbl_B_AdditionalActions[ReviewStatus],ROW()-ROW(tbl_B_EligibilitySummary[#Headers])-ROWS(tbl_B_Assessment[ActionID])))</f>
        <v>Reviewed</v>
      </c>
      <c r="L36" s="87"/>
      <c r="M36" s="87"/>
      <c r="N36" s="87"/>
      <c r="O36" s="87"/>
      <c r="P36" s="87"/>
      <c r="Q36" s="87"/>
      <c r="R36" s="87"/>
      <c r="S36" s="87"/>
      <c r="T36" s="87"/>
      <c r="U36" s="87"/>
      <c r="V36" s="87"/>
      <c r="AA36" s="186"/>
      <c r="AB36" s="186"/>
      <c r="AC36" s="186"/>
      <c r="AD36" s="186"/>
      <c r="AE36" s="186"/>
      <c r="AF36" s="186"/>
      <c r="AG36" s="186"/>
      <c r="AH36" s="186"/>
      <c r="AI36" s="186"/>
      <c r="AJ36" s="186"/>
    </row>
    <row r="37" spans="2:36" s="185" customFormat="1">
      <c r="B37" s="13" t="str" cm="1">
        <f t="array" ref="B37">IF(ROW()-ROW(tbl_B_EligibilitySummary[#Headers])&lt;=ROWS(tbl_B_Assessment[ActionID]),"Existing action","Additional action")</f>
        <v>Existing action</v>
      </c>
      <c r="C37" s="13" t="str" cm="1">
        <f t="array" ref="C37">IF(ROW()-ROW(tbl_B_EligibilitySummary[#Headers])&lt;=ROWS(tbl_B_Assessment[ActionID]),INDEX(tbl_B_Assessment[ActionID],ROW()-ROW(tbl_B_EligibilitySummary[#Headers])),INDEX(tbl_B_AdditionalActions[AdditionalActionID],ROW()-ROW(tbl_B_EligibilitySummary[#Headers])-ROWS(tbl_B_Assessment[ActionID])))</f>
        <v>icare_0185</v>
      </c>
      <c r="D37" s="13" t="str" cm="1">
        <f t="array" ref="D37">IF(ROW()-ROW(tbl_B_EligibilitySummary[#Headers])&lt;=ROWS(tbl_B_Assessment[ActionID]),INDEX(tbl_B_Assessment[ActionName],ROW()-ROW(tbl_B_EligibilitySummary[#Headers])),INDEX(tbl_B_AdditionalActions[ActionName],ROW()-ROW(tbl_B_EligibilitySummary[#Headers])-ROWS(tbl_B_Assessment[ActionID])))</f>
        <v>Improve Creation of An Epidemiological Intelligence Center</v>
      </c>
      <c r="E37" s="13" t="str" cm="1">
        <f t="array" ref="E37">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37" s="13" t="str" cm="1">
        <f t="array" ref="F37">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37" s="13" t="str" cm="1">
        <f t="array" ref="G37">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37" s="13" t="str" cm="1">
        <f t="array" ref="H37">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37" s="13" t="str" cm="1">
        <f t="array" ref="I37">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37" s="13" t="str" cm="1">
        <f t="array" ref="J37">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37" s="13" t="str" cm="1">
        <f t="array" ref="K37">IF(ROW()-ROW(tbl_B_EligibilitySummary[#Headers])&lt;=ROWS(tbl_B_Assessment[ActionID]),INDEX(tbl_B_Assessment[ReviewStatus],ROW()-ROW(tbl_B_EligibilitySummary[#Headers])),INDEX(tbl_B_AdditionalActions[ReviewStatus],ROW()-ROW(tbl_B_EligibilitySummary[#Headers])-ROWS(tbl_B_Assessment[ActionID])))</f>
        <v>Reviewed</v>
      </c>
      <c r="L37" s="87"/>
      <c r="M37" s="87"/>
      <c r="N37" s="87"/>
      <c r="O37" s="87"/>
      <c r="P37" s="87"/>
      <c r="Q37" s="87"/>
      <c r="R37" s="87"/>
      <c r="S37" s="87"/>
      <c r="T37" s="87"/>
      <c r="U37" s="87"/>
      <c r="V37" s="87"/>
      <c r="AA37" s="186"/>
      <c r="AB37" s="186"/>
      <c r="AC37" s="186"/>
      <c r="AD37" s="186"/>
      <c r="AE37" s="186"/>
      <c r="AF37" s="186"/>
      <c r="AG37" s="186"/>
      <c r="AH37" s="186"/>
      <c r="AI37" s="186"/>
      <c r="AJ37" s="186"/>
    </row>
    <row r="38" spans="2:36" s="185" customFormat="1">
      <c r="B38" s="13" t="str" cm="1">
        <f t="array" ref="B38">IF(ROW()-ROW(tbl_B_EligibilitySummary[#Headers])&lt;=ROWS(tbl_B_Assessment[ActionID]),"Existing action","Additional action")</f>
        <v>Existing action</v>
      </c>
      <c r="C38" s="13" t="str" cm="1">
        <f t="array" ref="C38">IF(ROW()-ROW(tbl_B_EligibilitySummary[#Headers])&lt;=ROWS(tbl_B_Assessment[ActionID]),INDEX(tbl_B_Assessment[ActionID],ROW()-ROW(tbl_B_EligibilitySummary[#Headers])),INDEX(tbl_B_AdditionalActions[AdditionalActionID],ROW()-ROW(tbl_B_EligibilitySummary[#Headers])-ROWS(tbl_B_Assessment[ActionID])))</f>
        <v>icare_0186</v>
      </c>
      <c r="D38" s="13" t="str" cm="1">
        <f t="array" ref="D38">IF(ROW()-ROW(tbl_B_EligibilitySummary[#Headers])&lt;=ROWS(tbl_B_Assessment[ActionID]),INDEX(tbl_B_Assessment[ActionName],ROW()-ROW(tbl_B_EligibilitySummary[#Headers])),INDEX(tbl_B_AdditionalActions[ActionName],ROW()-ROW(tbl_B_EligibilitySummary[#Headers])-ROWS(tbl_B_Assessment[ActionID])))</f>
        <v>Implement integrated coastal zone management</v>
      </c>
      <c r="E38" s="13" t="str" cm="1">
        <f t="array" ref="E38">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38" s="13" t="str" cm="1">
        <f t="array" ref="F38">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38" s="13" t="str" cm="1">
        <f t="array" ref="G38">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38" s="13" t="str" cm="1">
        <f t="array" ref="H38">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38" s="13" t="str" cm="1">
        <f t="array" ref="I38">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38" s="13" t="str" cm="1">
        <f t="array" ref="J38">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38" s="13" t="str" cm="1">
        <f t="array" ref="K38">IF(ROW()-ROW(tbl_B_EligibilitySummary[#Headers])&lt;=ROWS(tbl_B_Assessment[ActionID]),INDEX(tbl_B_Assessment[ReviewStatus],ROW()-ROW(tbl_B_EligibilitySummary[#Headers])),INDEX(tbl_B_AdditionalActions[ReviewStatus],ROW()-ROW(tbl_B_EligibilitySummary[#Headers])-ROWS(tbl_B_Assessment[ActionID])))</f>
        <v>Reviewed</v>
      </c>
      <c r="L38" s="87"/>
      <c r="M38" s="87"/>
      <c r="N38" s="87"/>
      <c r="O38" s="87"/>
      <c r="P38" s="87"/>
      <c r="Q38" s="87"/>
      <c r="R38" s="87"/>
      <c r="S38" s="87"/>
      <c r="T38" s="87"/>
      <c r="U38" s="87"/>
      <c r="V38" s="87"/>
      <c r="AA38" s="186"/>
      <c r="AB38" s="186"/>
      <c r="AC38" s="186"/>
      <c r="AD38" s="186"/>
      <c r="AE38" s="186"/>
      <c r="AF38" s="186"/>
      <c r="AG38" s="186"/>
      <c r="AH38" s="186"/>
      <c r="AI38" s="186"/>
      <c r="AJ38" s="186"/>
    </row>
    <row r="39" spans="2:36" s="185" customFormat="1">
      <c r="B39" s="13" t="str" cm="1">
        <f t="array" ref="B39">IF(ROW()-ROW(tbl_B_EligibilitySummary[#Headers])&lt;=ROWS(tbl_B_Assessment[ActionID]),"Existing action","Additional action")</f>
        <v>Existing action</v>
      </c>
      <c r="C39" s="13" t="str" cm="1">
        <f t="array" ref="C39">IF(ROW()-ROW(tbl_B_EligibilitySummary[#Headers])&lt;=ROWS(tbl_B_Assessment[ActionID]),INDEX(tbl_B_Assessment[ActionID],ROW()-ROW(tbl_B_EligibilitySummary[#Headers])),INDEX(tbl_B_AdditionalActions[AdditionalActionID],ROW()-ROW(tbl_B_EligibilitySummary[#Headers])-ROWS(tbl_B_Assessment[ActionID])))</f>
        <v>icare_0188</v>
      </c>
      <c r="D39" s="13" t="str" cm="1">
        <f t="array" ref="D39">IF(ROW()-ROW(tbl_B_EligibilitySummary[#Headers])&lt;=ROWS(tbl_B_Assessment[ActionID]),INDEX(tbl_B_Assessment[ActionName],ROW()-ROW(tbl_B_EligibilitySummary[#Headers])),INDEX(tbl_B_AdditionalActions[ActionName],ROW()-ROW(tbl_B_EligibilitySummary[#Headers])-ROWS(tbl_B_Assessment[ActionID])))</f>
        <v>Create an Environmental Health Surveillance Program related to Populations Exposed to Air Pollution, Noise Pollution, Water Pollution, and Soil Pollution.</v>
      </c>
      <c r="E39" s="13" t="str" cm="1">
        <f t="array" ref="E39">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39" s="13" t="str" cm="1">
        <f t="array" ref="F39">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39" s="13" t="str" cm="1">
        <f t="array" ref="G39">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39" s="13" t="str" cm="1">
        <f t="array" ref="H39">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39" s="13" t="str" cm="1">
        <f t="array" ref="I39">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39" s="13" t="str" cm="1">
        <f t="array" ref="J39">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39" s="13" t="str" cm="1">
        <f t="array" ref="K39">IF(ROW()-ROW(tbl_B_EligibilitySummary[#Headers])&lt;=ROWS(tbl_B_Assessment[ActionID]),INDEX(tbl_B_Assessment[ReviewStatus],ROW()-ROW(tbl_B_EligibilitySummary[#Headers])),INDEX(tbl_B_AdditionalActions[ReviewStatus],ROW()-ROW(tbl_B_EligibilitySummary[#Headers])-ROWS(tbl_B_Assessment[ActionID])))</f>
        <v>Reviewed</v>
      </c>
      <c r="L39" s="87"/>
      <c r="M39" s="87"/>
      <c r="N39" s="87"/>
      <c r="O39" s="87"/>
      <c r="P39" s="87"/>
      <c r="Q39" s="87"/>
      <c r="R39" s="87"/>
      <c r="S39" s="87"/>
      <c r="T39" s="87"/>
      <c r="U39" s="87"/>
      <c r="V39" s="87"/>
      <c r="AA39" s="186"/>
      <c r="AB39" s="186"/>
      <c r="AC39" s="186"/>
      <c r="AD39" s="186"/>
      <c r="AE39" s="186"/>
      <c r="AF39" s="186"/>
      <c r="AG39" s="186"/>
      <c r="AH39" s="186"/>
      <c r="AI39" s="186"/>
      <c r="AJ39" s="186"/>
    </row>
    <row r="40" spans="2:36" s="185" customFormat="1">
      <c r="B40" s="13" t="str" cm="1">
        <f t="array" ref="B40">IF(ROW()-ROW(tbl_B_EligibilitySummary[#Headers])&lt;=ROWS(tbl_B_Assessment[ActionID]),"Existing action","Additional action")</f>
        <v>Existing action</v>
      </c>
      <c r="C40" s="13" t="str" cm="1">
        <f t="array" ref="C40">IF(ROW()-ROW(tbl_B_EligibilitySummary[#Headers])&lt;=ROWS(tbl_B_Assessment[ActionID]),INDEX(tbl_B_Assessment[ActionID],ROW()-ROW(tbl_B_EligibilitySummary[#Headers])),INDEX(tbl_B_AdditionalActions[AdditionalActionID],ROW()-ROW(tbl_B_EligibilitySummary[#Headers])-ROWS(tbl_B_Assessment[ActionID])))</f>
        <v>ipcc_0078</v>
      </c>
      <c r="D40" s="13" t="str" cm="1">
        <f t="array" ref="D40">IF(ROW()-ROW(tbl_B_EligibilitySummary[#Headers])&lt;=ROWS(tbl_B_Assessment[ActionID]),INDEX(tbl_B_Assessment[ActionName],ROW()-ROW(tbl_B_EligibilitySummary[#Headers])),INDEX(tbl_B_AdditionalActions[ActionName],ROW()-ROW(tbl_B_EligibilitySummary[#Headers])-ROWS(tbl_B_Assessment[ActionID])))</f>
        <v>Implement green roofs and walls</v>
      </c>
      <c r="E40" s="13" t="str" cm="1">
        <f t="array" ref="E40">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40" s="13" t="str" cm="1">
        <f t="array" ref="F40">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40" s="13" t="str" cm="1">
        <f t="array" ref="G40">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40" s="13" t="str" cm="1">
        <f t="array" ref="H40">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40" s="13" t="str" cm="1">
        <f t="array" ref="I40">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40" s="13" t="str" cm="1">
        <f t="array" ref="J40">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40" s="13" t="str" cm="1">
        <f t="array" ref="K40">IF(ROW()-ROW(tbl_B_EligibilitySummary[#Headers])&lt;=ROWS(tbl_B_Assessment[ActionID]),INDEX(tbl_B_Assessment[ReviewStatus],ROW()-ROW(tbl_B_EligibilitySummary[#Headers])),INDEX(tbl_B_AdditionalActions[ReviewStatus],ROW()-ROW(tbl_B_EligibilitySummary[#Headers])-ROWS(tbl_B_Assessment[ActionID])))</f>
        <v>Reviewed</v>
      </c>
      <c r="L40" s="87"/>
      <c r="M40" s="87"/>
      <c r="N40" s="87"/>
      <c r="O40" s="87"/>
      <c r="P40" s="87"/>
      <c r="Q40" s="87"/>
      <c r="R40" s="87"/>
      <c r="S40" s="87"/>
      <c r="T40" s="87"/>
      <c r="U40" s="87"/>
      <c r="V40" s="87"/>
      <c r="AA40" s="186"/>
      <c r="AB40" s="186"/>
      <c r="AC40" s="186"/>
      <c r="AD40" s="186"/>
      <c r="AE40" s="186"/>
      <c r="AF40" s="186"/>
      <c r="AG40" s="186"/>
      <c r="AH40" s="186"/>
      <c r="AI40" s="186"/>
      <c r="AJ40" s="186"/>
    </row>
    <row r="41" spans="2:36" s="185" customFormat="1">
      <c r="B41" s="13" t="str" cm="1">
        <f t="array" ref="B41">IF(ROW()-ROW(tbl_B_EligibilitySummary[#Headers])&lt;=ROWS(tbl_B_Assessment[ActionID]),"Existing action","Additional action")</f>
        <v>Existing action</v>
      </c>
      <c r="C41" s="13" t="str" cm="1">
        <f t="array" ref="C41">IF(ROW()-ROW(tbl_B_EligibilitySummary[#Headers])&lt;=ROWS(tbl_B_Assessment[ActionID]),INDEX(tbl_B_Assessment[ActionID],ROW()-ROW(tbl_B_EligibilitySummary[#Headers])),INDEX(tbl_B_AdditionalActions[AdditionalActionID],ROW()-ROW(tbl_B_EligibilitySummary[#Headers])-ROWS(tbl_B_Assessment[ActionID])))</f>
        <v>ipcc_0083</v>
      </c>
      <c r="D41" s="13" t="str" cm="1">
        <f t="array" ref="D41">IF(ROW()-ROW(tbl_B_EligibilitySummary[#Headers])&lt;=ROWS(tbl_B_Assessment[ActionID]),INDEX(tbl_B_Assessment[ActionName],ROW()-ROW(tbl_B_EligibilitySummary[#Headers])),INDEX(tbl_B_AdditionalActions[ActionName],ROW()-ROW(tbl_B_EligibilitySummary[#Headers])-ROWS(tbl_B_Assessment[ActionID])))</f>
        <v>Plan strategic coastal retreat for vulnerable communities</v>
      </c>
      <c r="E41" s="13" t="str" cm="1">
        <f t="array" ref="E41">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41" s="13" t="str" cm="1">
        <f t="array" ref="F41">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41" s="13" t="str" cm="1">
        <f t="array" ref="G41">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41" s="13" t="str" cm="1">
        <f t="array" ref="H41">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41" s="13" t="str" cm="1">
        <f t="array" ref="I41">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41" s="13" t="str" cm="1">
        <f t="array" ref="J41">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41" s="13" t="str" cm="1">
        <f t="array" ref="K41">IF(ROW()-ROW(tbl_B_EligibilitySummary[#Headers])&lt;=ROWS(tbl_B_Assessment[ActionID]),INDEX(tbl_B_Assessment[ReviewStatus],ROW()-ROW(tbl_B_EligibilitySummary[#Headers])),INDEX(tbl_B_AdditionalActions[ReviewStatus],ROW()-ROW(tbl_B_EligibilitySummary[#Headers])-ROWS(tbl_B_Assessment[ActionID])))</f>
        <v>Reviewed</v>
      </c>
      <c r="L41" s="87"/>
      <c r="M41" s="87"/>
      <c r="N41" s="87"/>
      <c r="O41" s="87"/>
      <c r="P41" s="87"/>
      <c r="Q41" s="87"/>
      <c r="R41" s="87"/>
      <c r="S41" s="87"/>
      <c r="T41" s="87"/>
      <c r="U41" s="87"/>
      <c r="V41" s="87"/>
      <c r="AA41" s="186"/>
      <c r="AB41" s="186"/>
      <c r="AC41" s="186"/>
      <c r="AD41" s="186"/>
      <c r="AE41" s="186"/>
      <c r="AF41" s="186"/>
      <c r="AG41" s="186"/>
      <c r="AH41" s="186"/>
      <c r="AI41" s="186"/>
      <c r="AJ41" s="186"/>
    </row>
    <row r="42" spans="2:36" s="185" customFormat="1">
      <c r="B42" s="13" t="str" cm="1">
        <f t="array" ref="B42">IF(ROW()-ROW(tbl_B_EligibilitySummary[#Headers])&lt;=ROWS(tbl_B_Assessment[ActionID]),"Existing action","Additional action")</f>
        <v>Existing action</v>
      </c>
      <c r="C42" s="13" t="str" cm="1">
        <f t="array" ref="C42">IF(ROW()-ROW(tbl_B_EligibilitySummary[#Headers])&lt;=ROWS(tbl_B_Assessment[ActionID]),INDEX(tbl_B_Assessment[ActionID],ROW()-ROW(tbl_B_EligibilitySummary[#Headers])),INDEX(tbl_B_AdditionalActions[AdditionalActionID],ROW()-ROW(tbl_B_EligibilitySummary[#Headers])-ROWS(tbl_B_Assessment[ActionID])))</f>
        <v>ipcc_0084</v>
      </c>
      <c r="D42" s="13" t="str" cm="1">
        <f t="array" ref="D42">IF(ROW()-ROW(tbl_B_EligibilitySummary[#Headers])&lt;=ROWS(tbl_B_Assessment[ActionID]),INDEX(tbl_B_Assessment[ActionName],ROW()-ROW(tbl_B_EligibilitySummary[#Headers])),INDEX(tbl_B_AdditionalActions[ActionName],ROW()-ROW(tbl_B_EligibilitySummary[#Headers])-ROWS(tbl_B_Assessment[ActionID])))</f>
        <v>Restore/create natural areas</v>
      </c>
      <c r="E42" s="13" t="str" cm="1">
        <f t="array" ref="E42">IF(ROW()-ROW(tbl_B_EligibilitySummary[#Headers])&lt;=ROWS(tbl_B_Assessment[ActionID]),INDEX(tbl_B_Assessment[Vulnerability Eligibility],ROW()-ROW(tbl_B_EligibilitySummary[#Headers])),INDEX(tbl_B_AdditionalActions[Vulnerability Eligibility],ROW()-ROW(tbl_B_EligibilitySummary[#Headers])-ROWS(tbl_B_Assessment[ActionID])))</f>
        <v>Eligible</v>
      </c>
      <c r="F42" s="13" t="str" cm="1">
        <f t="array" ref="F42">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42" s="13" t="str" cm="1">
        <f t="array" ref="G42">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
      </c>
      <c r="H42" s="13" t="str" cm="1">
        <f t="array" ref="H42">IF(ROW()-ROW(tbl_B_EligibilitySummary[#Headers])&lt;=ROWS(tbl_B_Assessment[ActionID]),INDEX(tbl_B_Assessment[Exposure Eligibility],ROW()-ROW(tbl_B_EligibilitySummary[#Headers])),INDEX(tbl_B_AdditionalActions[Exposure Eligibility],ROW()-ROW(tbl_B_EligibilitySummary[#Headers])-ROWS(tbl_B_Assessment[ActionID])))</f>
        <v>Eligible</v>
      </c>
      <c r="I42" s="13" t="str" cm="1">
        <f t="array" ref="I42">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42" s="13" t="str" cm="1">
        <f t="array" ref="J42">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
      </c>
      <c r="K42" s="13" t="str" cm="1">
        <f t="array" ref="K42">IF(ROW()-ROW(tbl_B_EligibilitySummary[#Headers])&lt;=ROWS(tbl_B_Assessment[ActionID]),INDEX(tbl_B_Assessment[ReviewStatus],ROW()-ROW(tbl_B_EligibilitySummary[#Headers])),INDEX(tbl_B_AdditionalActions[ReviewStatus],ROW()-ROW(tbl_B_EligibilitySummary[#Headers])-ROWS(tbl_B_Assessment[ActionID])))</f>
        <v>Reviewed</v>
      </c>
      <c r="L42" s="87"/>
      <c r="M42" s="87"/>
      <c r="N42" s="87"/>
      <c r="O42" s="87"/>
      <c r="P42" s="87"/>
      <c r="Q42" s="87"/>
      <c r="R42" s="87"/>
      <c r="S42" s="87"/>
      <c r="T42" s="87"/>
      <c r="U42" s="87"/>
      <c r="V42" s="87"/>
      <c r="AA42" s="186"/>
      <c r="AB42" s="186"/>
      <c r="AC42" s="186"/>
      <c r="AD42" s="186"/>
      <c r="AE42" s="186"/>
      <c r="AF42" s="186"/>
      <c r="AG42" s="186"/>
      <c r="AH42" s="186"/>
      <c r="AI42" s="186"/>
      <c r="AJ42" s="186"/>
    </row>
    <row r="43" spans="2:36" s="185" customFormat="1">
      <c r="B43" s="13" t="str" cm="1">
        <f t="array" ref="B43">IF(ROW()-ROW(tbl_B_EligibilitySummary[#Headers])&lt;=ROWS(tbl_B_Assessment[ActionID]),"Existing action","Additional action")</f>
        <v>Existing action</v>
      </c>
      <c r="C43" s="13" t="str" cm="1">
        <f t="array" ref="C43">IF(ROW()-ROW(tbl_B_EligibilitySummary[#Headers])&lt;=ROWS(tbl_B_Assessment[ActionID]),INDEX(tbl_B_Assessment[ActionID],ROW()-ROW(tbl_B_EligibilitySummary[#Headers])),INDEX(tbl_B_AdditionalActions[AdditionalActionID],ROW()-ROW(tbl_B_EligibilitySummary[#Headers])-ROWS(tbl_B_Assessment[ActionID])))</f>
        <v>ipcc_0085</v>
      </c>
      <c r="D43" s="13" t="str" cm="1">
        <f t="array" ref="D43">IF(ROW()-ROW(tbl_B_EligibilitySummary[#Headers])&lt;=ROWS(tbl_B_Assessment[ActionID]),INDEX(tbl_B_Assessment[ActionName],ROW()-ROW(tbl_B_EligibilitySummary[#Headers])),INDEX(tbl_B_AdditionalActions[ActionName],ROW()-ROW(tbl_B_EligibilitySummary[#Headers])-ROWS(tbl_B_Assessment[ActionID])))</f>
        <v>Reduce pressures on ecosystems to build resilience</v>
      </c>
      <c r="E43" s="13" t="str" cm="1">
        <f t="array" ref="E43">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43" s="13" t="str" cm="1">
        <f t="array" ref="F43">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43" s="13" t="str" cm="1">
        <f t="array" ref="G43">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43" s="13" t="str" cm="1">
        <f t="array" ref="H43">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43" s="13" t="str" cm="1">
        <f t="array" ref="I43">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43" s="13" t="str" cm="1">
        <f t="array" ref="J43">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43" s="13" t="str" cm="1">
        <f t="array" ref="K43">IF(ROW()-ROW(tbl_B_EligibilitySummary[#Headers])&lt;=ROWS(tbl_B_Assessment[ActionID]),INDEX(tbl_B_Assessment[ReviewStatus],ROW()-ROW(tbl_B_EligibilitySummary[#Headers])),INDEX(tbl_B_AdditionalActions[ReviewStatus],ROW()-ROW(tbl_B_EligibilitySummary[#Headers])-ROWS(tbl_B_Assessment[ActionID])))</f>
        <v>Reviewed</v>
      </c>
      <c r="L43" s="87"/>
      <c r="M43" s="87"/>
      <c r="N43" s="87"/>
      <c r="O43" s="87"/>
      <c r="P43" s="87"/>
      <c r="Q43" s="87"/>
      <c r="R43" s="87"/>
      <c r="S43" s="87"/>
      <c r="T43" s="87"/>
      <c r="U43" s="87"/>
      <c r="V43" s="87"/>
      <c r="AA43" s="186"/>
      <c r="AB43" s="186"/>
      <c r="AC43" s="186"/>
      <c r="AD43" s="186"/>
      <c r="AE43" s="186"/>
      <c r="AF43" s="186"/>
      <c r="AG43" s="186"/>
      <c r="AH43" s="186"/>
      <c r="AI43" s="186"/>
      <c r="AJ43" s="186"/>
    </row>
    <row r="44" spans="2:36" s="185" customFormat="1">
      <c r="B44" s="13" t="str" cm="1">
        <f t="array" ref="B44">IF(ROW()-ROW(tbl_B_EligibilitySummary[#Headers])&lt;=ROWS(tbl_B_Assessment[ActionID]),"Existing action","Additional action")</f>
        <v>Existing action</v>
      </c>
      <c r="C44" s="13" t="str" cm="1">
        <f t="array" ref="C44">IF(ROW()-ROW(tbl_B_EligibilitySummary[#Headers])&lt;=ROWS(tbl_B_Assessment[ActionID]),INDEX(tbl_B_Assessment[ActionID],ROW()-ROW(tbl_B_EligibilitySummary[#Headers])),INDEX(tbl_B_AdditionalActions[AdditionalActionID],ROW()-ROW(tbl_B_EligibilitySummary[#Headers])-ROWS(tbl_B_Assessment[ActionID])))</f>
        <v>ipcc_0086</v>
      </c>
      <c r="D44" s="13" t="str" cm="1">
        <f t="array" ref="D44">IF(ROW()-ROW(tbl_B_EligibilitySummary[#Headers])&lt;=ROWS(tbl_B_Assessment[ActionID]),INDEX(tbl_B_Assessment[ActionName],ROW()-ROW(tbl_B_EligibilitySummary[#Headers])),INDEX(tbl_B_AdditionalActions[ActionName],ROW()-ROW(tbl_B_EligibilitySummary[#Headers])-ROWS(tbl_B_Assessment[ActionID])))</f>
        <v>Implement ecosystem‑based adaptation measures</v>
      </c>
      <c r="E44" s="13" t="str" cm="1">
        <f t="array" ref="E44">IF(ROW()-ROW(tbl_B_EligibilitySummary[#Headers])&lt;=ROWS(tbl_B_Assessment[ActionID]),INDEX(tbl_B_Assessment[Vulnerability Eligibility],ROW()-ROW(tbl_B_EligibilitySummary[#Headers])),INDEX(tbl_B_AdditionalActions[Vulnerability Eligibility],ROW()-ROW(tbl_B_EligibilitySummary[#Headers])-ROWS(tbl_B_Assessment[ActionID])))</f>
        <v>Eligible</v>
      </c>
      <c r="F44" s="13" t="str" cm="1">
        <f t="array" ref="F44">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44" s="13" t="str" cm="1">
        <f t="array" ref="G44">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
      </c>
      <c r="H44" s="13" t="str" cm="1">
        <f t="array" ref="H44">IF(ROW()-ROW(tbl_B_EligibilitySummary[#Headers])&lt;=ROWS(tbl_B_Assessment[ActionID]),INDEX(tbl_B_Assessment[Exposure Eligibility],ROW()-ROW(tbl_B_EligibilitySummary[#Headers])),INDEX(tbl_B_AdditionalActions[Exposure Eligibility],ROW()-ROW(tbl_B_EligibilitySummary[#Headers])-ROWS(tbl_B_Assessment[ActionID])))</f>
        <v>Eligible</v>
      </c>
      <c r="I44" s="13" t="str" cm="1">
        <f t="array" ref="I44">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44" s="13" t="str" cm="1">
        <f t="array" ref="J44">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
      </c>
      <c r="K44" s="13" t="str" cm="1">
        <f t="array" ref="K44">IF(ROW()-ROW(tbl_B_EligibilitySummary[#Headers])&lt;=ROWS(tbl_B_Assessment[ActionID]),INDEX(tbl_B_Assessment[ReviewStatus],ROW()-ROW(tbl_B_EligibilitySummary[#Headers])),INDEX(tbl_B_AdditionalActions[ReviewStatus],ROW()-ROW(tbl_B_EligibilitySummary[#Headers])-ROWS(tbl_B_Assessment[ActionID])))</f>
        <v>Reviewed</v>
      </c>
      <c r="L44" s="87"/>
      <c r="M44" s="87"/>
      <c r="N44" s="87"/>
      <c r="O44" s="87"/>
      <c r="P44" s="87"/>
      <c r="Q44" s="87"/>
      <c r="R44" s="87"/>
      <c r="S44" s="87"/>
      <c r="T44" s="87"/>
      <c r="U44" s="87"/>
      <c r="V44" s="87"/>
      <c r="AA44" s="186"/>
      <c r="AB44" s="186"/>
      <c r="AC44" s="186"/>
      <c r="AD44" s="186"/>
      <c r="AE44" s="186"/>
      <c r="AF44" s="186"/>
      <c r="AG44" s="186"/>
      <c r="AH44" s="186"/>
      <c r="AI44" s="186"/>
      <c r="AJ44" s="186"/>
    </row>
    <row r="45" spans="2:36" s="185" customFormat="1">
      <c r="B45" s="13" t="str" cm="1">
        <f t="array" ref="B45">IF(ROW()-ROW(tbl_B_EligibilitySummary[#Headers])&lt;=ROWS(tbl_B_Assessment[ActionID]),"Existing action","Additional action")</f>
        <v>Existing action</v>
      </c>
      <c r="C45" s="13" t="str" cm="1">
        <f t="array" ref="C45">IF(ROW()-ROW(tbl_B_EligibilitySummary[#Headers])&lt;=ROWS(tbl_B_Assessment[ActionID]),INDEX(tbl_B_Assessment[ActionID],ROW()-ROW(tbl_B_EligibilitySummary[#Headers])),INDEX(tbl_B_AdditionalActions[AdditionalActionID],ROW()-ROW(tbl_B_EligibilitySummary[#Headers])-ROWS(tbl_B_Assessment[ActionID])))</f>
        <v>ipcc_0087</v>
      </c>
      <c r="D45" s="13" t="str" cm="1">
        <f t="array" ref="D45">IF(ROW()-ROW(tbl_B_EligibilitySummary[#Headers])&lt;=ROWS(tbl_B_Assessment[ActionID]),INDEX(tbl_B_Assessment[ActionName],ROW()-ROW(tbl_B_EligibilitySummary[#Headers])),INDEX(tbl_B_AdditionalActions[ActionName],ROW()-ROW(tbl_B_EligibilitySummary[#Headers])-ROWS(tbl_B_Assessment[ActionID])))</f>
        <v>Improve Infrastructure retrofitting</v>
      </c>
      <c r="E45" s="13" t="str" cm="1">
        <f t="array" ref="E45">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45" s="13" t="str" cm="1">
        <f t="array" ref="F45">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45" s="13" t="str" cm="1">
        <f t="array" ref="G45">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45" s="13" t="str" cm="1">
        <f t="array" ref="H45">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45" s="13" t="str" cm="1">
        <f t="array" ref="I45">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45" s="13" t="str" cm="1">
        <f t="array" ref="J45">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45" s="13" t="str" cm="1">
        <f t="array" ref="K45">IF(ROW()-ROW(tbl_B_EligibilitySummary[#Headers])&lt;=ROWS(tbl_B_Assessment[ActionID]),INDEX(tbl_B_Assessment[ReviewStatus],ROW()-ROW(tbl_B_EligibilitySummary[#Headers])),INDEX(tbl_B_AdditionalActions[ReviewStatus],ROW()-ROW(tbl_B_EligibilitySummary[#Headers])-ROWS(tbl_B_Assessment[ActionID])))</f>
        <v>Reviewed</v>
      </c>
      <c r="L45" s="87"/>
      <c r="M45" s="87"/>
      <c r="N45" s="87"/>
      <c r="O45" s="87"/>
      <c r="P45" s="87"/>
      <c r="Q45" s="87"/>
      <c r="R45" s="87"/>
      <c r="S45" s="87"/>
      <c r="T45" s="87"/>
      <c r="U45" s="87"/>
      <c r="V45" s="87"/>
      <c r="AA45" s="186"/>
      <c r="AB45" s="186"/>
      <c r="AC45" s="186"/>
      <c r="AD45" s="186"/>
      <c r="AE45" s="186"/>
      <c r="AF45" s="186"/>
      <c r="AG45" s="186"/>
      <c r="AH45" s="186"/>
      <c r="AI45" s="186"/>
      <c r="AJ45" s="186"/>
    </row>
    <row r="46" spans="2:36" s="185" customFormat="1">
      <c r="B46" s="13" t="str" cm="1">
        <f t="array" ref="B46">IF(ROW()-ROW(tbl_B_EligibilitySummary[#Headers])&lt;=ROWS(tbl_B_Assessment[ActionID]),"Existing action","Additional action")</f>
        <v>Existing action</v>
      </c>
      <c r="C46" s="13" t="str" cm="1">
        <f t="array" ref="C46">IF(ROW()-ROW(tbl_B_EligibilitySummary[#Headers])&lt;=ROWS(tbl_B_Assessment[ActionID]),INDEX(tbl_B_Assessment[ActionID],ROW()-ROW(tbl_B_EligibilitySummary[#Headers])),INDEX(tbl_B_AdditionalActions[AdditionalActionID],ROW()-ROW(tbl_B_EligibilitySummary[#Headers])-ROWS(tbl_B_Assessment[ActionID])))</f>
        <v>ipcc_0088</v>
      </c>
      <c r="D46" s="13" t="str" cm="1">
        <f t="array" ref="D46">IF(ROW()-ROW(tbl_B_EligibilitySummary[#Headers])&lt;=ROWS(tbl_B_Assessment[ActionID]),INDEX(tbl_B_Assessment[ActionName],ROW()-ROW(tbl_B_EligibilitySummary[#Headers])),INDEX(tbl_B_AdditionalActions[ActionName],ROW()-ROW(tbl_B_EligibilitySummary[#Headers])-ROWS(tbl_B_Assessment[ActionID])))</f>
        <v>Update and enforce climate‑resilient building codes</v>
      </c>
      <c r="E46" s="13" t="str" cm="1">
        <f t="array" ref="E46">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46" s="13" t="str" cm="1">
        <f t="array" ref="F46">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46" s="13" t="str" cm="1">
        <f t="array" ref="G46">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46" s="13" t="str" cm="1">
        <f t="array" ref="H46">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46" s="13" t="str" cm="1">
        <f t="array" ref="I46">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46" s="13" t="str" cm="1">
        <f t="array" ref="J46">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46" s="13" t="str" cm="1">
        <f t="array" ref="K46">IF(ROW()-ROW(tbl_B_EligibilitySummary[#Headers])&lt;=ROWS(tbl_B_Assessment[ActionID]),INDEX(tbl_B_Assessment[ReviewStatus],ROW()-ROW(tbl_B_EligibilitySummary[#Headers])),INDEX(tbl_B_AdditionalActions[ReviewStatus],ROW()-ROW(tbl_B_EligibilitySummary[#Headers])-ROWS(tbl_B_Assessment[ActionID])))</f>
        <v>Reviewed</v>
      </c>
      <c r="L46" s="87"/>
      <c r="M46" s="87"/>
      <c r="N46" s="87"/>
      <c r="O46" s="87"/>
      <c r="P46" s="87"/>
      <c r="Q46" s="87"/>
      <c r="R46" s="87"/>
      <c r="S46" s="87"/>
      <c r="T46" s="87"/>
      <c r="U46" s="87"/>
      <c r="V46" s="87"/>
      <c r="AA46" s="186"/>
      <c r="AB46" s="186"/>
      <c r="AC46" s="186"/>
      <c r="AD46" s="186"/>
      <c r="AE46" s="186"/>
      <c r="AF46" s="186"/>
      <c r="AG46" s="186"/>
      <c r="AH46" s="186"/>
      <c r="AI46" s="186"/>
      <c r="AJ46" s="186"/>
    </row>
    <row r="47" spans="2:36" s="185" customFormat="1">
      <c r="B47" s="13" t="str" cm="1">
        <f t="array" ref="B47">IF(ROW()-ROW(tbl_B_EligibilitySummary[#Headers])&lt;=ROWS(tbl_B_Assessment[ActionID]),"Existing action","Additional action")</f>
        <v>Existing action</v>
      </c>
      <c r="C47" s="13" t="str" cm="1">
        <f t="array" ref="C47">IF(ROW()-ROW(tbl_B_EligibilitySummary[#Headers])&lt;=ROWS(tbl_B_Assessment[ActionID]),INDEX(tbl_B_Assessment[ActionID],ROW()-ROW(tbl_B_EligibilitySummary[#Headers])),INDEX(tbl_B_AdditionalActions[AdditionalActionID],ROW()-ROW(tbl_B_EligibilitySummary[#Headers])-ROWS(tbl_B_Assessment[ActionID])))</f>
        <v>ipcc_0089</v>
      </c>
      <c r="D47" s="13" t="str" cm="1">
        <f t="array" ref="D47">IF(ROW()-ROW(tbl_B_EligibilitySummary[#Headers])&lt;=ROWS(tbl_B_Assessment[ActionID]),INDEX(tbl_B_Assessment[ActionName],ROW()-ROW(tbl_B_EligibilitySummary[#Headers])),INDEX(tbl_B_AdditionalActions[ActionName],ROW()-ROW(tbl_B_EligibilitySummary[#Headers])-ROWS(tbl_B_Assessment[ActionID])))</f>
        <v>Spatially redirect development</v>
      </c>
      <c r="E47" s="13" t="str" cm="1">
        <f t="array" ref="E47">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47" s="13" t="str" cm="1">
        <f t="array" ref="F47">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47" s="13" t="str" cm="1">
        <f t="array" ref="G47">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47" s="13" t="str" cm="1">
        <f t="array" ref="H47">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47" s="13" t="str" cm="1">
        <f t="array" ref="I47">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47" s="13" t="str" cm="1">
        <f t="array" ref="J47">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47" s="13" t="str" cm="1">
        <f t="array" ref="K47">IF(ROW()-ROW(tbl_B_EligibilitySummary[#Headers])&lt;=ROWS(tbl_B_Assessment[ActionID]),INDEX(tbl_B_Assessment[ReviewStatus],ROW()-ROW(tbl_B_EligibilitySummary[#Headers])),INDEX(tbl_B_AdditionalActions[ReviewStatus],ROW()-ROW(tbl_B_EligibilitySummary[#Headers])-ROWS(tbl_B_Assessment[ActionID])))</f>
        <v>Reviewed</v>
      </c>
      <c r="L47" s="87"/>
      <c r="M47" s="87"/>
      <c r="N47" s="87"/>
      <c r="O47" s="87"/>
      <c r="P47" s="87"/>
      <c r="Q47" s="87"/>
      <c r="R47" s="87"/>
      <c r="S47" s="87"/>
      <c r="T47" s="87"/>
      <c r="U47" s="87"/>
      <c r="V47" s="87"/>
      <c r="AA47" s="186"/>
      <c r="AB47" s="186"/>
      <c r="AC47" s="186"/>
      <c r="AD47" s="186"/>
      <c r="AE47" s="186"/>
      <c r="AF47" s="186"/>
      <c r="AG47" s="186"/>
      <c r="AH47" s="186"/>
      <c r="AI47" s="186"/>
      <c r="AJ47" s="186"/>
    </row>
    <row r="48" spans="2:36" s="185" customFormat="1">
      <c r="B48" s="13" t="str" cm="1">
        <f t="array" ref="B48">IF(ROW()-ROW(tbl_B_EligibilitySummary[#Headers])&lt;=ROWS(tbl_B_Assessment[ActionID]),"Existing action","Additional action")</f>
        <v>Existing action</v>
      </c>
      <c r="C48" s="13" t="str" cm="1">
        <f t="array" ref="C48">IF(ROW()-ROW(tbl_B_EligibilitySummary[#Headers])&lt;=ROWS(tbl_B_Assessment[ActionID]),INDEX(tbl_B_Assessment[ActionID],ROW()-ROW(tbl_B_EligibilitySummary[#Headers])),INDEX(tbl_B_AdditionalActions[AdditionalActionID],ROW()-ROW(tbl_B_EligibilitySummary[#Headers])-ROWS(tbl_B_Assessment[ActionID])))</f>
        <v>ipcc_0090</v>
      </c>
      <c r="D48" s="13" t="str" cm="1">
        <f t="array" ref="D48">IF(ROW()-ROW(tbl_B_EligibilitySummary[#Headers])&lt;=ROWS(tbl_B_Assessment[ActionID]),INDEX(tbl_B_Assessment[ActionName],ROW()-ROW(tbl_B_EligibilitySummary[#Headers])),INDEX(tbl_B_AdditionalActions[ActionName],ROW()-ROW(tbl_B_EligibilitySummary[#Headers])-ROWS(tbl_B_Assessment[ActionID])))</f>
        <v>Expand climate risk insurance coverage</v>
      </c>
      <c r="E48" s="13" t="str" cm="1">
        <f t="array" ref="E48">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48" s="13" t="str" cm="1">
        <f t="array" ref="F48">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48" s="13" t="str" cm="1">
        <f t="array" ref="G48">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48" s="13" t="str" cm="1">
        <f t="array" ref="H48">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48" s="13" t="str" cm="1">
        <f t="array" ref="I48">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48" s="13" t="str" cm="1">
        <f t="array" ref="J48">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48" s="13" t="str" cm="1">
        <f t="array" ref="K48">IF(ROW()-ROW(tbl_B_EligibilitySummary[#Headers])&lt;=ROWS(tbl_B_Assessment[ActionID]),INDEX(tbl_B_Assessment[ReviewStatus],ROW()-ROW(tbl_B_EligibilitySummary[#Headers])),INDEX(tbl_B_AdditionalActions[ReviewStatus],ROW()-ROW(tbl_B_EligibilitySummary[#Headers])-ROWS(tbl_B_Assessment[ActionID])))</f>
        <v>Reviewed</v>
      </c>
      <c r="L48" s="87"/>
      <c r="M48" s="87"/>
      <c r="N48" s="87"/>
      <c r="O48" s="87"/>
      <c r="P48" s="87"/>
      <c r="Q48" s="87"/>
      <c r="R48" s="87"/>
      <c r="S48" s="87"/>
      <c r="T48" s="87"/>
      <c r="U48" s="87"/>
      <c r="V48" s="87"/>
      <c r="AA48" s="186"/>
      <c r="AB48" s="186"/>
      <c r="AC48" s="186"/>
      <c r="AD48" s="186"/>
      <c r="AE48" s="186"/>
      <c r="AF48" s="186"/>
      <c r="AG48" s="186"/>
      <c r="AH48" s="186"/>
      <c r="AI48" s="186"/>
      <c r="AJ48" s="186"/>
    </row>
    <row r="49" spans="1:36" s="185" customFormat="1">
      <c r="B49" s="13" t="str" cm="1">
        <f t="array" ref="B49">IF(ROW()-ROW(tbl_B_EligibilitySummary[#Headers])&lt;=ROWS(tbl_B_Assessment[ActionID]),"Existing action","Additional action")</f>
        <v>Existing action</v>
      </c>
      <c r="C49" s="13" t="str" cm="1">
        <f t="array" ref="C49">IF(ROW()-ROW(tbl_B_EligibilitySummary[#Headers])&lt;=ROWS(tbl_B_Assessment[ActionID]),INDEX(tbl_B_Assessment[ActionID],ROW()-ROW(tbl_B_EligibilitySummary[#Headers])),INDEX(tbl_B_AdditionalActions[AdditionalActionID],ROW()-ROW(tbl_B_EligibilitySummary[#Headers])-ROWS(tbl_B_Assessment[ActionID])))</f>
        <v>ipcc_0091</v>
      </c>
      <c r="D49" s="13" t="str" cm="1">
        <f t="array" ref="D49">IF(ROW()-ROW(tbl_B_EligibilitySummary[#Headers])&lt;=ROWS(tbl_B_Assessment[ActionID]),INDEX(tbl_B_Assessment[ActionName],ROW()-ROW(tbl_B_EligibilitySummary[#Headers])),INDEX(tbl_B_AdditionalActions[ActionName],ROW()-ROW(tbl_B_EligibilitySummary[#Headers])-ROWS(tbl_B_Assessment[ActionID])))</f>
        <v>Support livelihood diversification for climate resilience</v>
      </c>
      <c r="E49" s="13" t="str" cm="1">
        <f t="array" ref="E49">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49" s="13" t="str" cm="1">
        <f t="array" ref="F49">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49" s="13" t="str" cm="1">
        <f t="array" ref="G49">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49" s="13" t="str" cm="1">
        <f t="array" ref="H49">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49" s="13" t="str" cm="1">
        <f t="array" ref="I49">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49" s="13" t="str" cm="1">
        <f t="array" ref="J49">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49" s="13" t="str" cm="1">
        <f t="array" ref="K49">IF(ROW()-ROW(tbl_B_EligibilitySummary[#Headers])&lt;=ROWS(tbl_B_Assessment[ActionID]),INDEX(tbl_B_Assessment[ReviewStatus],ROW()-ROW(tbl_B_EligibilitySummary[#Headers])),INDEX(tbl_B_AdditionalActions[ReviewStatus],ROW()-ROW(tbl_B_EligibilitySummary[#Headers])-ROWS(tbl_B_Assessment[ActionID])))</f>
        <v>Reviewed</v>
      </c>
      <c r="L49" s="87"/>
      <c r="M49" s="87"/>
      <c r="N49" s="87"/>
      <c r="O49" s="87"/>
      <c r="P49" s="87"/>
      <c r="Q49" s="87"/>
      <c r="R49" s="87"/>
      <c r="S49" s="87"/>
      <c r="T49" s="87"/>
      <c r="U49" s="87"/>
      <c r="V49" s="87"/>
      <c r="AA49" s="186"/>
      <c r="AB49" s="186"/>
      <c r="AC49" s="186"/>
      <c r="AD49" s="186"/>
      <c r="AE49" s="186"/>
      <c r="AF49" s="186"/>
      <c r="AG49" s="186"/>
      <c r="AH49" s="186"/>
      <c r="AI49" s="186"/>
      <c r="AJ49" s="186"/>
    </row>
    <row r="50" spans="1:36" s="185" customFormat="1">
      <c r="B50" s="13" t="str" cm="1">
        <f t="array" ref="B50">IF(ROW()-ROW(tbl_B_EligibilitySummary[#Headers])&lt;=ROWS(tbl_B_Assessment[ActionID]),"Existing action","Additional action")</f>
        <v>Existing action</v>
      </c>
      <c r="C50" s="13" t="str" cm="1">
        <f t="array" ref="C50">IF(ROW()-ROW(tbl_B_EligibilitySummary[#Headers])&lt;=ROWS(tbl_B_Assessment[ActionID]),INDEX(tbl_B_Assessment[ActionID],ROW()-ROW(tbl_B_EligibilitySummary[#Headers])),INDEX(tbl_B_AdditionalActions[AdditionalActionID],ROW()-ROW(tbl_B_EligibilitySummary[#Headers])-ROWS(tbl_B_Assessment[ActionID])))</f>
        <v>ipcc_0092</v>
      </c>
      <c r="D50" s="13" t="str" cm="1">
        <f t="array" ref="D50">IF(ROW()-ROW(tbl_B_EligibilitySummary[#Headers])&lt;=ROWS(tbl_B_Assessment[ActionID]),INDEX(tbl_B_Assessment[ActionName],ROW()-ROW(tbl_B_EligibilitySummary[#Headers])),INDEX(tbl_B_AdditionalActions[ActionName],ROW()-ROW(tbl_B_EligibilitySummary[#Headers])-ROWS(tbl_B_Assessment[ActionID])))</f>
        <v>Expand climate‑responsive social safety nets</v>
      </c>
      <c r="E50" s="13" t="str" cm="1">
        <f t="array" ref="E50">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50" s="13" t="str" cm="1">
        <f t="array" ref="F50">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50" s="13" t="str" cm="1">
        <f t="array" ref="G50">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50" s="13" t="str" cm="1">
        <f t="array" ref="H50">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50" s="13" t="str" cm="1">
        <f t="array" ref="I50">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50" s="13" t="str" cm="1">
        <f t="array" ref="J50">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50" s="13" t="str" cm="1">
        <f t="array" ref="K50">IF(ROW()-ROW(tbl_B_EligibilitySummary[#Headers])&lt;=ROWS(tbl_B_Assessment[ActionID]),INDEX(tbl_B_Assessment[ReviewStatus],ROW()-ROW(tbl_B_EligibilitySummary[#Headers])),INDEX(tbl_B_AdditionalActions[ReviewStatus],ROW()-ROW(tbl_B_EligibilitySummary[#Headers])-ROWS(tbl_B_Assessment[ActionID])))</f>
        <v>Reviewed</v>
      </c>
      <c r="L50" s="87"/>
      <c r="M50" s="87"/>
      <c r="N50" s="87"/>
      <c r="O50" s="87"/>
      <c r="P50" s="87"/>
      <c r="Q50" s="87"/>
      <c r="R50" s="87"/>
      <c r="S50" s="87"/>
      <c r="T50" s="87"/>
      <c r="U50" s="87"/>
      <c r="V50" s="87"/>
      <c r="AA50" s="186"/>
      <c r="AB50" s="186"/>
      <c r="AC50" s="186"/>
      <c r="AD50" s="186"/>
      <c r="AE50" s="186"/>
      <c r="AF50" s="186"/>
      <c r="AG50" s="186"/>
      <c r="AH50" s="186"/>
      <c r="AI50" s="186"/>
      <c r="AJ50" s="186"/>
    </row>
    <row r="51" spans="1:36" s="185" customFormat="1">
      <c r="B51" s="13" t="str" cm="1">
        <f t="array" ref="B51">IF(ROW()-ROW(tbl_B_EligibilitySummary[#Headers])&lt;=ROWS(tbl_B_Assessment[ActionID]),"Existing action","Additional action")</f>
        <v>Existing action</v>
      </c>
      <c r="C51" s="13" t="str" cm="1">
        <f t="array" ref="C51">IF(ROW()-ROW(tbl_B_EligibilitySummary[#Headers])&lt;=ROWS(tbl_B_Assessment[ActionID]),INDEX(tbl_B_Assessment[ActionID],ROW()-ROW(tbl_B_EligibilitySummary[#Headers])),INDEX(tbl_B_AdditionalActions[AdditionalActionID],ROW()-ROW(tbl_B_EligibilitySummary[#Headers])-ROWS(tbl_B_Assessment[ActionID])))</f>
        <v>ipcc_0094</v>
      </c>
      <c r="D51" s="13" t="str" cm="1">
        <f t="array" ref="D51">IF(ROW()-ROW(tbl_B_EligibilitySummary[#Headers])&lt;=ROWS(tbl_B_Assessment[ActionID]),INDEX(tbl_B_Assessment[ActionName],ROW()-ROW(tbl_B_EligibilitySummary[#Headers])),INDEX(tbl_B_AdditionalActions[ActionName],ROW()-ROW(tbl_B_EligibilitySummary[#Headers])-ROWS(tbl_B_Assessment[ActionID])))</f>
        <v>Strengthen climate‑resilient health services</v>
      </c>
      <c r="E51" s="13" t="str" cm="1">
        <f t="array" ref="E51">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51" s="13" t="str" cm="1">
        <f t="array" ref="F51">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51" s="13" t="str" cm="1">
        <f t="array" ref="G51">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51" s="13" t="str" cm="1">
        <f t="array" ref="H51">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51" s="13" t="str" cm="1">
        <f t="array" ref="I51">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51" s="13" t="str" cm="1">
        <f t="array" ref="J51">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51" s="13" t="str" cm="1">
        <f t="array" ref="K51">IF(ROW()-ROW(tbl_B_EligibilitySummary[#Headers])&lt;=ROWS(tbl_B_Assessment[ActionID]),INDEX(tbl_B_Assessment[ReviewStatus],ROW()-ROW(tbl_B_EligibilitySummary[#Headers])),INDEX(tbl_B_AdditionalActions[ReviewStatus],ROW()-ROW(tbl_B_EligibilitySummary[#Headers])-ROWS(tbl_B_Assessment[ActionID])))</f>
        <v>Reviewed</v>
      </c>
      <c r="L51" s="87"/>
      <c r="M51" s="87"/>
      <c r="N51" s="87"/>
      <c r="O51" s="87"/>
      <c r="P51" s="87"/>
      <c r="Q51" s="87"/>
      <c r="R51" s="87"/>
      <c r="S51" s="87"/>
      <c r="T51" s="87"/>
      <c r="U51" s="87"/>
      <c r="V51" s="87"/>
      <c r="AA51" s="186"/>
      <c r="AB51" s="186"/>
      <c r="AC51" s="186"/>
      <c r="AD51" s="186"/>
      <c r="AE51" s="186"/>
      <c r="AF51" s="186"/>
      <c r="AG51" s="186"/>
      <c r="AH51" s="186"/>
      <c r="AI51" s="186"/>
      <c r="AJ51" s="186"/>
    </row>
    <row r="52" spans="1:36" s="185" customFormat="1">
      <c r="B52" s="13" t="str" cm="1">
        <f t="array" ref="B52">IF(ROW()-ROW(tbl_B_EligibilitySummary[#Headers])&lt;=ROWS(tbl_B_Assessment[ActionID]),"Existing action","Additional action")</f>
        <v>Existing action</v>
      </c>
      <c r="C52" s="13" t="str" cm="1">
        <f t="array" ref="C52">IF(ROW()-ROW(tbl_B_EligibilitySummary[#Headers])&lt;=ROWS(tbl_B_Assessment[ActionID]),INDEX(tbl_B_Assessment[ActionID],ROW()-ROW(tbl_B_EligibilitySummary[#Headers])),INDEX(tbl_B_AdditionalActions[AdditionalActionID],ROW()-ROW(tbl_B_EligibilitySummary[#Headers])-ROWS(tbl_B_Assessment[ActionID])))</f>
        <v>ipcc_0096</v>
      </c>
      <c r="D52" s="13" t="str" cm="1">
        <f t="array" ref="D52">IF(ROW()-ROW(tbl_B_EligibilitySummary[#Headers])&lt;=ROWS(tbl_B_Assessment[ActionID]),INDEX(tbl_B_Assessment[ActionName],ROW()-ROW(tbl_B_EligibilitySummary[#Headers])),INDEX(tbl_B_AdditionalActions[ActionName],ROW()-ROW(tbl_B_EligibilitySummary[#Headers])-ROWS(tbl_B_Assessment[ActionID])))</f>
        <v>Strengthen climate resilience in farming and fisheries</v>
      </c>
      <c r="E52" s="13" t="str" cm="1">
        <f t="array" ref="E52">IF(ROW()-ROW(tbl_B_EligibilitySummary[#Headers])&lt;=ROWS(tbl_B_Assessment[ActionID]),INDEX(tbl_B_Assessment[Vulnerability Eligibility],ROW()-ROW(tbl_B_EligibilitySummary[#Headers])),INDEX(tbl_B_AdditionalActions[Vulnerability Eligibility],ROW()-ROW(tbl_B_EligibilitySummary[#Headers])-ROWS(tbl_B_Assessment[ActionID])))</f>
        <v>Eligible</v>
      </c>
      <c r="F52" s="13" t="str" cm="1">
        <f t="array" ref="F52">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52" s="13" t="str" cm="1">
        <f t="array" ref="G52">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
      </c>
      <c r="H52" s="13" t="str" cm="1">
        <f t="array" ref="H52">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52" s="13" t="str" cm="1">
        <f t="array" ref="I52">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52" s="13" t="str" cm="1">
        <f t="array" ref="J52">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52" s="13" t="str" cm="1">
        <f t="array" ref="K52">IF(ROW()-ROW(tbl_B_EligibilitySummary[#Headers])&lt;=ROWS(tbl_B_Assessment[ActionID]),INDEX(tbl_B_Assessment[ReviewStatus],ROW()-ROW(tbl_B_EligibilitySummary[#Headers])),INDEX(tbl_B_AdditionalActions[ReviewStatus],ROW()-ROW(tbl_B_EligibilitySummary[#Headers])-ROWS(tbl_B_Assessment[ActionID])))</f>
        <v>Reviewed</v>
      </c>
      <c r="L52" s="87"/>
      <c r="M52" s="87"/>
      <c r="N52" s="87"/>
      <c r="O52" s="87"/>
      <c r="P52" s="87"/>
      <c r="Q52" s="87"/>
      <c r="R52" s="87"/>
      <c r="S52" s="87"/>
      <c r="T52" s="87"/>
      <c r="U52" s="87"/>
      <c r="V52" s="87"/>
      <c r="AA52" s="186"/>
      <c r="AB52" s="186"/>
      <c r="AC52" s="186"/>
      <c r="AD52" s="186"/>
      <c r="AE52" s="186"/>
      <c r="AF52" s="186"/>
      <c r="AG52" s="186"/>
      <c r="AH52" s="186"/>
      <c r="AI52" s="186"/>
      <c r="AJ52" s="186"/>
    </row>
    <row r="53" spans="1:36" s="185" customFormat="1">
      <c r="B53" s="13" t="str" cm="1">
        <f t="array" ref="B53">IF(ROW()-ROW(tbl_B_EligibilitySummary[#Headers])&lt;=ROWS(tbl_B_Assessment[ActionID]),"Existing action","Additional action")</f>
        <v>Existing action</v>
      </c>
      <c r="C53" s="13" t="str" cm="1">
        <f t="array" ref="C53">IF(ROW()-ROW(tbl_B_EligibilitySummary[#Headers])&lt;=ROWS(tbl_B_Assessment[ActionID]),INDEX(tbl_B_Assessment[ActionID],ROW()-ROW(tbl_B_EligibilitySummary[#Headers])),INDEX(tbl_B_AdditionalActions[AdditionalActionID],ROW()-ROW(tbl_B_EligibilitySummary[#Headers])-ROWS(tbl_B_Assessment[ActionID])))</f>
        <v>ipcc_0097</v>
      </c>
      <c r="D53" s="13" t="str" cm="1">
        <f t="array" ref="D53">IF(ROW()-ROW(tbl_B_EligibilitySummary[#Headers])&lt;=ROWS(tbl_B_Assessment[ActionID]),INDEX(tbl_B_Assessment[ActionName],ROW()-ROW(tbl_B_EligibilitySummary[#Headers])),INDEX(tbl_B_AdditionalActions[ActionName],ROW()-ROW(tbl_B_EligibilitySummary[#Headers])-ROWS(tbl_B_Assessment[ActionID])))</f>
        <v>Upgrade food storage and distribution for climate resilience</v>
      </c>
      <c r="E53" s="13" t="str" cm="1">
        <f t="array" ref="E53">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53" s="13" t="str" cm="1">
        <f t="array" ref="F53">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53" s="13" t="str" cm="1">
        <f t="array" ref="G53">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53" s="13" t="str" cm="1">
        <f t="array" ref="H53">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53" s="13" t="str" cm="1">
        <f t="array" ref="I53">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53" s="13" t="str" cm="1">
        <f t="array" ref="J53">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53" s="13" t="str" cm="1">
        <f t="array" ref="K53">IF(ROW()-ROW(tbl_B_EligibilitySummary[#Headers])&lt;=ROWS(tbl_B_Assessment[ActionID]),INDEX(tbl_B_Assessment[ReviewStatus],ROW()-ROW(tbl_B_EligibilitySummary[#Headers])),INDEX(tbl_B_AdditionalActions[ReviewStatus],ROW()-ROW(tbl_B_EligibilitySummary[#Headers])-ROWS(tbl_B_Assessment[ActionID])))</f>
        <v>Reviewed</v>
      </c>
      <c r="L53" s="87"/>
      <c r="M53" s="87"/>
      <c r="N53" s="87"/>
      <c r="O53" s="87"/>
      <c r="P53" s="87"/>
      <c r="Q53" s="87"/>
      <c r="R53" s="87"/>
      <c r="S53" s="87"/>
      <c r="T53" s="87"/>
      <c r="U53" s="87"/>
      <c r="V53" s="87"/>
      <c r="AA53" s="186"/>
      <c r="AB53" s="186"/>
      <c r="AC53" s="186"/>
      <c r="AD53" s="186"/>
      <c r="AE53" s="186"/>
      <c r="AF53" s="186"/>
      <c r="AG53" s="186"/>
      <c r="AH53" s="186"/>
      <c r="AI53" s="186"/>
      <c r="AJ53" s="186"/>
    </row>
    <row r="54" spans="1:36" s="185" customFormat="1">
      <c r="B54" s="13" t="str" cm="1">
        <f t="array" ref="B54">IF(ROW()-ROW(tbl_B_EligibilitySummary[#Headers])&lt;=ROWS(tbl_B_Assessment[ActionID]),"Existing action","Additional action")</f>
        <v>Existing action</v>
      </c>
      <c r="C54" s="13" t="str" cm="1">
        <f t="array" ref="C54">IF(ROW()-ROW(tbl_B_EligibilitySummary[#Headers])&lt;=ROWS(tbl_B_Assessment[ActionID]),INDEX(tbl_B_Assessment[ActionID],ROW()-ROW(tbl_B_EligibilitySummary[#Headers])),INDEX(tbl_B_AdditionalActions[AdditionalActionID],ROW()-ROW(tbl_B_EligibilitySummary[#Headers])-ROWS(tbl_B_Assessment[ActionID])))</f>
        <v>ipcc_0098</v>
      </c>
      <c r="D54" s="13" t="str" cm="1">
        <f t="array" ref="D54">IF(ROW()-ROW(tbl_B_EligibilitySummary[#Headers])&lt;=ROWS(tbl_B_Assessment[ActionID]),INDEX(tbl_B_Assessment[ActionName],ROW()-ROW(tbl_B_EligibilitySummary[#Headers])),INDEX(tbl_B_AdditionalActions[ActionName],ROW()-ROW(tbl_B_EligibilitySummary[#Headers])-ROWS(tbl_B_Assessment[ActionID])))</f>
        <v>Increase resilience by improving access to food, improving livelihoods and promoting dietary shifts and food waste reduction</v>
      </c>
      <c r="E54" s="13" t="str" cm="1">
        <f t="array" ref="E54">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54" s="13" t="str" cm="1">
        <f t="array" ref="F54">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54" s="13" t="str" cm="1">
        <f t="array" ref="G54">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54" s="13" t="str" cm="1">
        <f t="array" ref="H54">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54" s="13" t="str" cm="1">
        <f t="array" ref="I54">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54" s="13" t="str" cm="1">
        <f t="array" ref="J54">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54" s="13" t="str" cm="1">
        <f t="array" ref="K54">IF(ROW()-ROW(tbl_B_EligibilitySummary[#Headers])&lt;=ROWS(tbl_B_Assessment[ActionID]),INDEX(tbl_B_Assessment[ReviewStatus],ROW()-ROW(tbl_B_EligibilitySummary[#Headers])),INDEX(tbl_B_AdditionalActions[ReviewStatus],ROW()-ROW(tbl_B_EligibilitySummary[#Headers])-ROWS(tbl_B_Assessment[ActionID])))</f>
        <v>Reviewed</v>
      </c>
      <c r="L54" s="87"/>
      <c r="M54" s="87"/>
      <c r="N54" s="87"/>
      <c r="O54" s="87"/>
      <c r="P54" s="87"/>
      <c r="Q54" s="87"/>
      <c r="R54" s="87"/>
      <c r="S54" s="87"/>
      <c r="T54" s="87"/>
      <c r="U54" s="87"/>
      <c r="V54" s="87"/>
      <c r="AA54" s="186"/>
      <c r="AB54" s="186"/>
      <c r="AC54" s="186"/>
      <c r="AD54" s="186"/>
      <c r="AE54" s="186"/>
      <c r="AF54" s="186"/>
      <c r="AG54" s="186"/>
      <c r="AH54" s="186"/>
      <c r="AI54" s="186"/>
      <c r="AJ54" s="186"/>
    </row>
    <row r="55" spans="1:36" s="185" customFormat="1">
      <c r="B55" s="13" t="str" cm="1">
        <f t="array" ref="B55">IF(ROW()-ROW(tbl_B_EligibilitySummary[#Headers])&lt;=ROWS(tbl_B_Assessment[ActionID]),"Existing action","Additional action")</f>
        <v>Existing action</v>
      </c>
      <c r="C55" s="13" t="str" cm="1">
        <f t="array" ref="C55">IF(ROW()-ROW(tbl_B_EligibilitySummary[#Headers])&lt;=ROWS(tbl_B_Assessment[ActionID]),INDEX(tbl_B_Assessment[ActionID],ROW()-ROW(tbl_B_EligibilitySummary[#Headers])),INDEX(tbl_B_AdditionalActions[AdditionalActionID],ROW()-ROW(tbl_B_EligibilitySummary[#Headers])-ROWS(tbl_B_Assessment[ActionID])))</f>
        <v>ipcc_0099</v>
      </c>
      <c r="D55" s="13" t="str" cm="1">
        <f t="array" ref="D55">IF(ROW()-ROW(tbl_B_EligibilitySummary[#Headers])&lt;=ROWS(tbl_B_Assessment[ActionID]),INDEX(tbl_B_Assessment[ActionName],ROW()-ROW(tbl_B_EligibilitySummary[#Headers])),INDEX(tbl_B_AdditionalActions[ActionName],ROW()-ROW(tbl_B_EligibilitySummary[#Headers])-ROWS(tbl_B_Assessment[ActionID])))</f>
        <v>Increase Water Capture and Storage</v>
      </c>
      <c r="E55" s="13" t="str" cm="1">
        <f t="array" ref="E55">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55" s="13" t="str" cm="1">
        <f t="array" ref="F55">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55" s="13" t="str" cm="1">
        <f t="array" ref="G55">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55" s="13" t="str" cm="1">
        <f t="array" ref="H55">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55" s="13" t="str" cm="1">
        <f t="array" ref="I55">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55" s="13" t="str" cm="1">
        <f t="array" ref="J55">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55" s="13" t="str" cm="1">
        <f t="array" ref="K55">IF(ROW()-ROW(tbl_B_EligibilitySummary[#Headers])&lt;=ROWS(tbl_B_Assessment[ActionID]),INDEX(tbl_B_Assessment[ReviewStatus],ROW()-ROW(tbl_B_EligibilitySummary[#Headers])),INDEX(tbl_B_AdditionalActions[ReviewStatus],ROW()-ROW(tbl_B_EligibilitySummary[#Headers])-ROWS(tbl_B_Assessment[ActionID])))</f>
        <v>Reviewed</v>
      </c>
      <c r="L55" s="87"/>
      <c r="M55" s="87"/>
      <c r="N55" s="87"/>
      <c r="O55" s="87"/>
      <c r="P55" s="87"/>
      <c r="Q55" s="87"/>
      <c r="R55" s="87"/>
      <c r="S55" s="87"/>
      <c r="T55" s="87"/>
      <c r="U55" s="87"/>
      <c r="V55" s="87"/>
      <c r="AA55" s="186"/>
      <c r="AB55" s="186"/>
      <c r="AC55" s="186"/>
      <c r="AD55" s="186"/>
      <c r="AE55" s="186"/>
      <c r="AF55" s="186"/>
      <c r="AG55" s="186"/>
      <c r="AH55" s="186"/>
      <c r="AI55" s="186"/>
      <c r="AJ55" s="186"/>
    </row>
    <row r="56" spans="1:36" s="185" customFormat="1">
      <c r="B56" s="13" t="str" cm="1">
        <f t="array" ref="B56">IF(ROW()-ROW(tbl_B_EligibilitySummary[#Headers])&lt;=ROWS(tbl_B_Assessment[ActionID]),"Existing action","Additional action")</f>
        <v>Existing action</v>
      </c>
      <c r="C56" s="13" t="str" cm="1">
        <f t="array" ref="C56">IF(ROW()-ROW(tbl_B_EligibilitySummary[#Headers])&lt;=ROWS(tbl_B_Assessment[ActionID]),INDEX(tbl_B_Assessment[ActionID],ROW()-ROW(tbl_B_EligibilitySummary[#Headers])),INDEX(tbl_B_AdditionalActions[AdditionalActionID],ROW()-ROW(tbl_B_EligibilitySummary[#Headers])-ROWS(tbl_B_Assessment[ActionID])))</f>
        <v>ipcc_0100</v>
      </c>
      <c r="D56" s="13" t="str" cm="1">
        <f t="array" ref="D56">IF(ROW()-ROW(tbl_B_EligibilitySummary[#Headers])&lt;=ROWS(tbl_B_Assessment[ActionID]),INDEX(tbl_B_Assessment[ActionName],ROW()-ROW(tbl_B_EligibilitySummary[#Headers])),INDEX(tbl_B_AdditionalActions[ActionName],ROW()-ROW(tbl_B_EligibilitySummary[#Headers])-ROWS(tbl_B_Assessment[ActionID])))</f>
        <v>Improve Efficient water use/demand</v>
      </c>
      <c r="E56" s="13" t="str" cm="1">
        <f t="array" ref="E56">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56" s="13" t="str" cm="1">
        <f t="array" ref="F56">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56" s="13" t="str" cm="1">
        <f t="array" ref="G56">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56" s="13" t="str" cm="1">
        <f t="array" ref="H56">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56" s="13" t="str" cm="1">
        <f t="array" ref="I56">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56" s="13" t="str" cm="1">
        <f t="array" ref="J56">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56" s="13" t="str" cm="1">
        <f t="array" ref="K56">IF(ROW()-ROW(tbl_B_EligibilitySummary[#Headers])&lt;=ROWS(tbl_B_Assessment[ActionID]),INDEX(tbl_B_Assessment[ReviewStatus],ROW()-ROW(tbl_B_EligibilitySummary[#Headers])),INDEX(tbl_B_AdditionalActions[ReviewStatus],ROW()-ROW(tbl_B_EligibilitySummary[#Headers])-ROWS(tbl_B_Assessment[ActionID])))</f>
        <v>Reviewed</v>
      </c>
      <c r="L56" s="87"/>
      <c r="M56" s="87"/>
      <c r="N56" s="87"/>
      <c r="O56" s="87"/>
      <c r="P56" s="87"/>
      <c r="Q56" s="87"/>
      <c r="R56" s="87"/>
      <c r="S56" s="87"/>
      <c r="T56" s="87"/>
      <c r="U56" s="87"/>
      <c r="V56" s="87"/>
      <c r="AA56" s="186"/>
      <c r="AB56" s="186"/>
      <c r="AC56" s="186"/>
      <c r="AD56" s="186"/>
      <c r="AE56" s="186"/>
      <c r="AF56" s="186"/>
      <c r="AG56" s="186"/>
      <c r="AH56" s="186"/>
      <c r="AI56" s="186"/>
      <c r="AJ56" s="186"/>
    </row>
    <row r="57" spans="1:36" s="185" customFormat="1">
      <c r="B57" s="13" t="str" cm="1">
        <f t="array" ref="B57">IF(ROW()-ROW(tbl_B_EligibilitySummary[#Headers])&lt;=ROWS(tbl_B_Assessment[ActionID]),"Existing action","Additional action")</f>
        <v>Existing action</v>
      </c>
      <c r="C57" s="13" t="str" cm="1">
        <f t="array" ref="C57">IF(ROW()-ROW(tbl_B_EligibilitySummary[#Headers])&lt;=ROWS(tbl_B_Assessment[ActionID]),INDEX(tbl_B_Assessment[ActionID],ROW()-ROW(tbl_B_EligibilitySummary[#Headers])),INDEX(tbl_B_AdditionalActions[AdditionalActionID],ROW()-ROW(tbl_B_EligibilitySummary[#Headers])-ROWS(tbl_B_Assessment[ActionID])))</f>
        <v>ipcc_0101</v>
      </c>
      <c r="D57" s="13" t="str" cm="1">
        <f t="array" ref="D57">IF(ROW()-ROW(tbl_B_EligibilitySummary[#Headers])&lt;=ROWS(tbl_B_Assessment[ActionID]),INDEX(tbl_B_Assessment[ActionName],ROW()-ROW(tbl_B_EligibilitySummary[#Headers])),INDEX(tbl_B_AdditionalActions[ActionName],ROW()-ROW(tbl_B_EligibilitySummary[#Headers])-ROWS(tbl_B_Assessment[ActionID])))</f>
        <v>Improve urban water management</v>
      </c>
      <c r="E57" s="13" t="str" cm="1">
        <f t="array" ref="E57">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57" s="13" t="str" cm="1">
        <f t="array" ref="F57">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57" s="13" t="str" cm="1">
        <f t="array" ref="G57">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57" s="13" t="str" cm="1">
        <f t="array" ref="H57">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57" s="13" t="str" cm="1">
        <f t="array" ref="I57">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57" s="13" t="str" cm="1">
        <f t="array" ref="J57">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57" s="13" t="str" cm="1">
        <f t="array" ref="K57">IF(ROW()-ROW(tbl_B_EligibilitySummary[#Headers])&lt;=ROWS(tbl_B_Assessment[ActionID]),INDEX(tbl_B_Assessment[ReviewStatus],ROW()-ROW(tbl_B_EligibilitySummary[#Headers])),INDEX(tbl_B_AdditionalActions[ReviewStatus],ROW()-ROW(tbl_B_EligibilitySummary[#Headers])-ROWS(tbl_B_Assessment[ActionID])))</f>
        <v>Reviewed</v>
      </c>
      <c r="L57" s="87"/>
      <c r="M57" s="87"/>
      <c r="N57" s="87"/>
      <c r="O57" s="87"/>
      <c r="P57" s="87"/>
      <c r="Q57" s="87"/>
      <c r="R57" s="87"/>
      <c r="S57" s="87"/>
      <c r="T57" s="87"/>
      <c r="U57" s="87"/>
      <c r="V57" s="87"/>
      <c r="AA57" s="186"/>
      <c r="AB57" s="186"/>
      <c r="AC57" s="186"/>
      <c r="AD57" s="186"/>
      <c r="AE57" s="186"/>
      <c r="AF57" s="186"/>
      <c r="AG57" s="186"/>
      <c r="AH57" s="186"/>
      <c r="AI57" s="186"/>
      <c r="AJ57" s="186"/>
    </row>
    <row r="58" spans="1:36" s="185" customFormat="1">
      <c r="B58" s="13" t="str" cm="1">
        <f t="array" ref="B58">IF(ROW()-ROW(tbl_B_EligibilitySummary[#Headers])&lt;=ROWS(tbl_B_Assessment[ActionID]),"Existing action","Additional action")</f>
        <v>Existing action</v>
      </c>
      <c r="C58" s="13" t="str" cm="1">
        <f t="array" ref="C58">IF(ROW()-ROW(tbl_B_EligibilitySummary[#Headers])&lt;=ROWS(tbl_B_Assessment[ActionID]),INDEX(tbl_B_Assessment[ActionID],ROW()-ROW(tbl_B_EligibilitySummary[#Headers])),INDEX(tbl_B_AdditionalActions[AdditionalActionID],ROW()-ROW(tbl_B_EligibilitySummary[#Headers])-ROWS(tbl_B_Assessment[ActionID])))</f>
        <v>ipcc_0102</v>
      </c>
      <c r="D58" s="13" t="str" cm="1">
        <f t="array" ref="D58">IF(ROW()-ROW(tbl_B_EligibilitySummary[#Headers])&lt;=ROWS(tbl_B_Assessment[ActionID]),INDEX(tbl_B_Assessment[ActionName],ROW()-ROW(tbl_B_EligibilitySummary[#Headers])),INDEX(tbl_B_AdditionalActions[ActionName],ROW()-ROW(tbl_B_EligibilitySummary[#Headers])-ROWS(tbl_B_Assessment[ActionID])))</f>
        <v>Facilitate seasonal and temporary mobility strategies</v>
      </c>
      <c r="E58" s="13" t="str" cm="1">
        <f t="array" ref="E58">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58" s="13" t="str" cm="1">
        <f t="array" ref="F58">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58" s="13" t="str" cm="1">
        <f t="array" ref="G58">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58" s="13" t="str" cm="1">
        <f t="array" ref="H58">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58" s="13" t="str" cm="1">
        <f t="array" ref="I58">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58" s="13" t="str" cm="1">
        <f t="array" ref="J58">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58" s="13" t="str" cm="1">
        <f t="array" ref="K58">IF(ROW()-ROW(tbl_B_EligibilitySummary[#Headers])&lt;=ROWS(tbl_B_Assessment[ActionID]),INDEX(tbl_B_Assessment[ReviewStatus],ROW()-ROW(tbl_B_EligibilitySummary[#Headers])),INDEX(tbl_B_AdditionalActions[ReviewStatus],ROW()-ROW(tbl_B_EligibilitySummary[#Headers])-ROWS(tbl_B_Assessment[ActionID])))</f>
        <v>Reviewed</v>
      </c>
      <c r="L58" s="87"/>
      <c r="M58" s="87"/>
      <c r="N58" s="87"/>
      <c r="O58" s="87"/>
      <c r="P58" s="87"/>
      <c r="Q58" s="87"/>
      <c r="R58" s="87"/>
      <c r="S58" s="87"/>
      <c r="T58" s="87"/>
      <c r="U58" s="87"/>
      <c r="V58" s="87"/>
      <c r="AA58" s="186"/>
      <c r="AB58" s="186"/>
      <c r="AC58" s="186"/>
      <c r="AD58" s="186"/>
      <c r="AE58" s="186"/>
      <c r="AF58" s="186"/>
      <c r="AG58" s="186"/>
      <c r="AH58" s="186"/>
      <c r="AI58" s="186"/>
      <c r="AJ58" s="186"/>
    </row>
    <row r="59" spans="1:36" s="185" customFormat="1">
      <c r="B59" s="13" t="str" cm="1">
        <f t="array" ref="B59">IF(ROW()-ROW(tbl_B_EligibilitySummary[#Headers])&lt;=ROWS(tbl_B_Assessment[ActionID]),"Existing action","Additional action")</f>
        <v>Existing action</v>
      </c>
      <c r="C59" s="13" t="str" cm="1">
        <f t="array" ref="C59">IF(ROW()-ROW(tbl_B_EligibilitySummary[#Headers])&lt;=ROWS(tbl_B_Assessment[ActionID]),INDEX(tbl_B_Assessment[ActionID],ROW()-ROW(tbl_B_EligibilitySummary[#Headers])),INDEX(tbl_B_AdditionalActions[AdditionalActionID],ROW()-ROW(tbl_B_EligibilitySummary[#Headers])-ROWS(tbl_B_Assessment[ActionID])))</f>
        <v>ipcc_0103</v>
      </c>
      <c r="D59" s="13" t="str" cm="1">
        <f t="array" ref="D59">IF(ROW()-ROW(tbl_B_EligibilitySummary[#Headers])&lt;=ROWS(tbl_B_Assessment[ActionID]),INDEX(tbl_B_Assessment[ActionName],ROW()-ROW(tbl_B_EligibilitySummary[#Headers])),INDEX(tbl_B_AdditionalActions[ActionName],ROW()-ROW(tbl_B_EligibilitySummary[#Headers])-ROWS(tbl_B_Assessment[ActionID])))</f>
        <v>Strengthen cooperative climate governance</v>
      </c>
      <c r="E59" s="13" t="str" cm="1">
        <f t="array" ref="E59">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59" s="13" t="str" cm="1">
        <f t="array" ref="F59">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59" s="13" t="str" cm="1">
        <f t="array" ref="G59">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59" s="13" t="str" cm="1">
        <f t="array" ref="H59">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59" s="13" t="str" cm="1">
        <f t="array" ref="I59">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59" s="13" t="str" cm="1">
        <f t="array" ref="J59">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59" s="13" t="str" cm="1">
        <f t="array" ref="K59">IF(ROW()-ROW(tbl_B_EligibilitySummary[#Headers])&lt;=ROWS(tbl_B_Assessment[ActionID]),INDEX(tbl_B_Assessment[ReviewStatus],ROW()-ROW(tbl_B_EligibilitySummary[#Headers])),INDEX(tbl_B_AdditionalActions[ReviewStatus],ROW()-ROW(tbl_B_EligibilitySummary[#Headers])-ROWS(tbl_B_Assessment[ActionID])))</f>
        <v>Reviewed</v>
      </c>
      <c r="L59" s="87"/>
      <c r="M59" s="87"/>
      <c r="N59" s="87"/>
      <c r="O59" s="87"/>
      <c r="P59" s="87"/>
      <c r="Q59" s="87"/>
      <c r="R59" s="87"/>
      <c r="S59" s="87"/>
      <c r="T59" s="87"/>
      <c r="U59" s="87"/>
      <c r="V59" s="87"/>
      <c r="AA59" s="186"/>
      <c r="AB59" s="186"/>
      <c r="AC59" s="186"/>
      <c r="AD59" s="186"/>
      <c r="AE59" s="186"/>
      <c r="AF59" s="186"/>
      <c r="AG59" s="186"/>
      <c r="AH59" s="186"/>
      <c r="AI59" s="186"/>
      <c r="AJ59" s="186"/>
    </row>
    <row r="60" spans="1:36" s="185" customFormat="1">
      <c r="B60" s="13" t="str" cm="1">
        <f t="array" ref="B60">IF(ROW()-ROW(tbl_B_EligibilitySummary[#Headers])&lt;=ROWS(tbl_B_Assessment[ActionID]),"Existing action","Additional action")</f>
        <v>Existing action</v>
      </c>
      <c r="C60" s="13" t="str" cm="1">
        <f t="array" ref="C60">IF(ROW()-ROW(tbl_B_EligibilitySummary[#Headers])&lt;=ROWS(tbl_B_Assessment[ActionID]),INDEX(tbl_B_Assessment[ActionID],ROW()-ROW(tbl_B_EligibilitySummary[#Headers])),INDEX(tbl_B_AdditionalActions[AdditionalActionID],ROW()-ROW(tbl_B_EligibilitySummary[#Headers])-ROWS(tbl_B_Assessment[ActionID])))</f>
        <v>ipcc_0104</v>
      </c>
      <c r="D60" s="13" t="str" cm="1">
        <f t="array" ref="D60">IF(ROW()-ROW(tbl_B_EligibilitySummary[#Headers])&lt;=ROWS(tbl_B_Assessment[ActionID]),INDEX(tbl_B_Assessment[ActionName],ROW()-ROW(tbl_B_EligibilitySummary[#Headers])),INDEX(tbl_B_AdditionalActions[ActionName],ROW()-ROW(tbl_B_EligibilitySummary[#Headers])-ROWS(tbl_B_Assessment[ActionID])))</f>
        <v>Plan and support permanent climate‑related migration</v>
      </c>
      <c r="E60" s="13" t="str" cm="1">
        <f t="array" ref="E60">IF(ROW()-ROW(tbl_B_EligibilitySummary[#Headers])&lt;=ROWS(tbl_B_Assessment[ActionID]),INDEX(tbl_B_Assessment[Vulnerability Eligibility],ROW()-ROW(tbl_B_EligibilitySummary[#Headers])),INDEX(tbl_B_AdditionalActions[Vulnerability Eligibility],ROW()-ROW(tbl_B_EligibilitySummary[#Headers])-ROWS(tbl_B_Assessment[ActionID])))</f>
        <v>Not eligible</v>
      </c>
      <c r="F60" s="13" t="str" cm="1">
        <f t="array" ref="F60">IF(ROW()-ROW(tbl_B_EligibilitySummary[#Headers])&lt;=ROWS(tbl_B_Assessment[ActionID]),IF(INDEX(tbl_B_Assessment[Vulnerability Evidence Count],ROW()-ROW(tbl_B_EligibilitySummary[#Headers]))=0,"",INDEX(tbl_B_Assessment[Vulnerability Evidence Count],ROW()-ROW(tbl_B_EligibilitySummary[#Headers]))),IF(INDEX(tbl_B_AdditionalActions[Vulnerability Evidence Count],ROW()-ROW(tbl_B_EligibilitySummary[#Headers])-ROWS(tbl_B_Assessment[ActionID]))=0,"",INDEX(tbl_B_AdditionalActions[Vulnerability Evidence Count],ROW()-ROW(tbl_B_EligibilitySummary[#Headers])-ROWS(tbl_B_Assessment[ActionID]))))</f>
        <v/>
      </c>
      <c r="G60" s="13" t="str" cm="1">
        <f t="array" ref="G60">IF(tbl_B_EligibilitySummary[[#This Row],[Vulnerability Eligibility]]="Eligible",IF(ROW()-ROW(tbl_B_EligibilitySummary[#Headers])&lt;=ROWS(tbl_B_Assessment[ActionID]),IF(INDEX(tbl_B_Assessment[Effectiveness on Vulnerability],ROW()-ROW(tbl_B_EligibilitySummary[#Headers]))="","",INDEX(tbl_B_Assessment[Effectiveness on Vulnerability],ROW()-ROW(tbl_B_EligibilitySummary[#Headers]))),IF(INDEX(tbl_B_AdditionalActions[Effectiveness on Vulnerability],ROW()-ROW(tbl_B_EligibilitySummary[#Headers])-ROWS(tbl_B_Assessment[ActionID]))="","",INDEX(tbl_B_AdditionalActions[Effectiveness on Vulnerability],ROW()-ROW(tbl_B_EligibilitySummary[#Headers])-ROWS(tbl_B_Assessment[ActionID])))),IF(tbl_B_EligibilitySummary[[#This Row],[Vulnerability Eligibility]]="Review required","Review required",IF(tbl_B_EligibilitySummary[[#This Row],[Vulnerability Eligibility]]="Not eligible","N/A","")))</f>
        <v>N/A</v>
      </c>
      <c r="H60" s="13" t="str" cm="1">
        <f t="array" ref="H60">IF(ROW()-ROW(tbl_B_EligibilitySummary[#Headers])&lt;=ROWS(tbl_B_Assessment[ActionID]),INDEX(tbl_B_Assessment[Exposure Eligibility],ROW()-ROW(tbl_B_EligibilitySummary[#Headers])),INDEX(tbl_B_AdditionalActions[Exposure Eligibility],ROW()-ROW(tbl_B_EligibilitySummary[#Headers])-ROWS(tbl_B_Assessment[ActionID])))</f>
        <v>Not eligible</v>
      </c>
      <c r="I60" s="13" t="str" cm="1">
        <f t="array" ref="I60">IF(ROW()-ROW(tbl_B_EligibilitySummary[#Headers])&lt;=ROWS(tbl_B_Assessment[ActionID]),IF(INDEX(tbl_B_Assessment[Exposure Evidence Count],ROW()-ROW(tbl_B_EligibilitySummary[#Headers]))=0,"",INDEX(tbl_B_Assessment[Exposure Evidence Count],ROW()-ROW(tbl_B_EligibilitySummary[#Headers]))),IF(INDEX(tbl_B_AdditionalActions[Exposure Evidence Count],ROW()-ROW(tbl_B_EligibilitySummary[#Headers])-ROWS(tbl_B_Assessment[ActionID]))=0,"",INDEX(tbl_B_AdditionalActions[Exposure Evidence Count],ROW()-ROW(tbl_B_EligibilitySummary[#Headers])-ROWS(tbl_B_Assessment[ActionID]))))</f>
        <v/>
      </c>
      <c r="J60" s="13" t="str" cm="1">
        <f t="array" ref="J60">IF(tbl_B_EligibilitySummary[[#This Row],[Exposure Eligibility]]="Eligible",IF(ROW()-ROW(tbl_B_EligibilitySummary[#Headers])&lt;=ROWS(tbl_B_Assessment[ActionID]),IF(INDEX(tbl_B_Assessment[Effectiveness on Exposure],ROW()-ROW(tbl_B_EligibilitySummary[#Headers]))="","",INDEX(tbl_B_Assessment[Effectiveness on Exposure],ROW()-ROW(tbl_B_EligibilitySummary[#Headers]))),IF(INDEX(tbl_B_AdditionalActions[Effectiveness on Exposure],ROW()-ROW(tbl_B_EligibilitySummary[#Headers])-ROWS(tbl_B_Assessment[ActionID]))="","",INDEX(tbl_B_AdditionalActions[Effectiveness on Exposure],ROW()-ROW(tbl_B_EligibilitySummary[#Headers])-ROWS(tbl_B_Assessment[ActionID])))),IF(tbl_B_EligibilitySummary[[#This Row],[Exposure Eligibility]]="Review required","Review required",IF(tbl_B_EligibilitySummary[[#This Row],[Exposure Eligibility]]="Not eligible","N/A","")))</f>
        <v>N/A</v>
      </c>
      <c r="K60" s="13" t="str" cm="1">
        <f t="array" ref="K60">IF(ROW()-ROW(tbl_B_EligibilitySummary[#Headers])&lt;=ROWS(tbl_B_Assessment[ActionID]),INDEX(tbl_B_Assessment[ReviewStatus],ROW()-ROW(tbl_B_EligibilitySummary[#Headers])),INDEX(tbl_B_AdditionalActions[ReviewStatus],ROW()-ROW(tbl_B_EligibilitySummary[#Headers])-ROWS(tbl_B_Assessment[ActionID])))</f>
        <v>Reviewed</v>
      </c>
      <c r="L60" s="87"/>
      <c r="M60" s="87"/>
      <c r="N60" s="87"/>
      <c r="O60" s="87"/>
      <c r="P60" s="87"/>
      <c r="Q60" s="87"/>
      <c r="R60" s="87"/>
      <c r="S60" s="87"/>
      <c r="T60" s="87"/>
      <c r="U60" s="87"/>
      <c r="V60" s="87"/>
      <c r="AA60" s="186"/>
      <c r="AB60" s="186"/>
      <c r="AC60" s="186"/>
      <c r="AD60" s="186"/>
      <c r="AE60" s="186"/>
      <c r="AF60" s="186"/>
      <c r="AG60" s="186"/>
      <c r="AH60" s="186"/>
      <c r="AI60" s="186"/>
      <c r="AJ60" s="186"/>
    </row>
    <row r="61" spans="1:36" s="185" customFormat="1">
      <c r="B61" s="13" t="str" cm="1">
        <f t="array" ref="B61">IF(ROW()-ROW(tbl_B_EligibilitySummary[#Headers])&lt;=ROWS(tbl_B_Assessment[ActionID]),"Existing action","Additional action")</f>
        <v>Additional action</v>
      </c>
      <c r="C61" s="13"/>
      <c r="D61" s="13"/>
      <c r="E61" s="13"/>
      <c r="F61" s="13"/>
      <c r="G61" s="13"/>
      <c r="H61" s="13"/>
      <c r="I61" s="13"/>
      <c r="J61" s="13"/>
      <c r="K61" s="13"/>
      <c r="L61" s="87"/>
      <c r="M61" s="87"/>
      <c r="N61" s="87"/>
      <c r="O61" s="87"/>
      <c r="P61" s="87"/>
      <c r="Q61" s="87"/>
      <c r="R61" s="87"/>
      <c r="S61" s="87"/>
      <c r="T61" s="87"/>
      <c r="AA61" s="186"/>
      <c r="AB61" s="186"/>
      <c r="AC61" s="186"/>
      <c r="AD61" s="186"/>
      <c r="AE61" s="186"/>
      <c r="AF61" s="186"/>
      <c r="AG61" s="186"/>
      <c r="AH61" s="186"/>
      <c r="AI61" s="186"/>
      <c r="AJ61" s="186"/>
    </row>
    <row r="62" spans="1:36" s="185" customFormat="1">
      <c r="B62" s="13" t="str" cm="1">
        <f t="array" ref="B62">IF(ROW()-ROW(tbl_B_EligibilitySummary[#Headers])&lt;=ROWS(tbl_B_Assessment[ActionID]),"Existing action","Additional action")</f>
        <v>Additional action</v>
      </c>
      <c r="C62" s="13"/>
      <c r="D62" s="13"/>
      <c r="E62" s="13"/>
      <c r="F62" s="13"/>
      <c r="G62" s="13"/>
      <c r="H62" s="13"/>
      <c r="I62" s="13"/>
      <c r="J62" s="13"/>
      <c r="K62" s="13"/>
      <c r="L62" s="87"/>
      <c r="M62" s="87"/>
      <c r="N62" s="87"/>
      <c r="O62" s="87"/>
      <c r="P62" s="87"/>
      <c r="Q62" s="87"/>
      <c r="R62" s="87"/>
      <c r="S62" s="87"/>
      <c r="T62" s="87"/>
      <c r="AA62" s="186"/>
      <c r="AB62" s="186"/>
      <c r="AC62" s="186"/>
      <c r="AD62" s="186"/>
      <c r="AE62" s="186"/>
      <c r="AF62" s="186"/>
      <c r="AG62" s="186"/>
      <c r="AH62" s="186"/>
      <c r="AI62" s="186"/>
      <c r="AJ62" s="186"/>
    </row>
    <row r="63" spans="1:36">
      <c r="A63" s="185"/>
      <c r="B63" s="13" t="str" cm="1">
        <f t="array" ref="B63">IF(ROW()-ROW(tbl_B_EligibilitySummary[#Headers])&lt;=ROWS(tbl_B_Assessment[ActionID]),"Existing action","Additional action")</f>
        <v>Additional action</v>
      </c>
      <c r="C63" s="13"/>
      <c r="D63" s="13"/>
      <c r="E63" s="13"/>
      <c r="F63" s="13"/>
      <c r="G63" s="13"/>
      <c r="H63" s="13"/>
      <c r="I63" s="13"/>
      <c r="J63" s="13"/>
      <c r="K63" s="13"/>
      <c r="L63" s="191" t="s">
        <v>1505</v>
      </c>
      <c r="M63" s="191"/>
      <c r="N63" s="191"/>
      <c r="O63" s="191"/>
      <c r="P63" s="191"/>
      <c r="Q63" s="191"/>
      <c r="R63" s="191"/>
      <c r="S63" s="191"/>
      <c r="T63" s="191"/>
    </row>
    <row r="64" spans="1:36">
      <c r="B64" s="13" t="str" cm="1">
        <f t="array" ref="B64">IF(ROW()-ROW(tbl_B_EligibilitySummary[#Headers])&lt;=ROWS(tbl_B_Assessment[ActionID]),"Existing action","Additional action")</f>
        <v>Additional action</v>
      </c>
      <c r="C64" s="13"/>
      <c r="D64" s="13"/>
      <c r="E64" s="13"/>
      <c r="F64" s="13"/>
      <c r="G64" s="13"/>
      <c r="H64" s="13"/>
      <c r="I64" s="13"/>
      <c r="J64" s="13"/>
      <c r="K64" s="13"/>
    </row>
    <row r="65" spans="1:20">
      <c r="B65" s="13" t="str" cm="1">
        <f t="array" ref="B65">IF(ROW()-ROW(tbl_B_EligibilitySummary[#Headers])&lt;=ROWS(tbl_B_Assessment[ActionID]),"Existing action","Additional action")</f>
        <v>Additional action</v>
      </c>
      <c r="C65" s="13"/>
      <c r="D65" s="13"/>
      <c r="E65" s="13"/>
      <c r="F65" s="13"/>
      <c r="G65" s="13"/>
      <c r="H65" s="13"/>
      <c r="I65" s="13"/>
      <c r="J65" s="13"/>
      <c r="K65" s="13"/>
    </row>
    <row r="66" spans="1:20">
      <c r="B66" s="13" t="str" cm="1">
        <f t="array" ref="B66">IF(ROW()-ROW(tbl_B_EligibilitySummary[#Headers])&lt;=ROWS(tbl_B_Assessment[ActionID]),"Existing action","Additional action")</f>
        <v>Additional action</v>
      </c>
      <c r="C66" s="13"/>
      <c r="D66" s="13"/>
      <c r="E66" s="13"/>
      <c r="F66" s="13"/>
      <c r="G66" s="13"/>
      <c r="H66" s="13"/>
      <c r="I66" s="13"/>
      <c r="J66" s="13"/>
      <c r="K66" s="13"/>
    </row>
    <row r="67" spans="1:20">
      <c r="B67" s="13" t="str" cm="1">
        <f t="array" ref="B67">IF(ROW()-ROW(tbl_B_EligibilitySummary[#Headers])&lt;=ROWS(tbl_B_Assessment[ActionID]),"Existing action","Additional action")</f>
        <v>Additional action</v>
      </c>
      <c r="C67" s="13"/>
      <c r="D67" s="13"/>
      <c r="E67" s="13"/>
      <c r="F67" s="13"/>
      <c r="G67" s="13"/>
      <c r="H67" s="13"/>
      <c r="I67" s="13"/>
      <c r="J67" s="13"/>
      <c r="K67" s="13"/>
    </row>
    <row r="68" spans="1:20">
      <c r="B68" s="13" t="str" cm="1">
        <f t="array" ref="B68">IF(ROW()-ROW(tbl_B_EligibilitySummary[#Headers])&lt;=ROWS(tbl_B_Assessment[ActionID]),"Existing action","Additional action")</f>
        <v>Additional action</v>
      </c>
      <c r="C68" s="13"/>
      <c r="D68" s="13"/>
      <c r="E68" s="13"/>
      <c r="F68" s="13"/>
      <c r="G68" s="13"/>
      <c r="H68" s="13"/>
      <c r="I68" s="13"/>
      <c r="J68" s="13"/>
      <c r="K68" s="13"/>
    </row>
    <row r="69" spans="1:20">
      <c r="B69" s="13" t="str" cm="1">
        <f t="array" ref="B69">IF(ROW()-ROW(tbl_B_EligibilitySummary[#Headers])&lt;=ROWS(tbl_B_Assessment[ActionID]),"Existing action","Additional action")</f>
        <v>Additional action</v>
      </c>
      <c r="C69" s="13"/>
      <c r="D69" s="13"/>
      <c r="E69" s="13"/>
      <c r="F69" s="13"/>
      <c r="G69" s="13"/>
      <c r="H69" s="13"/>
      <c r="I69" s="13"/>
      <c r="J69" s="13"/>
      <c r="K69" s="13"/>
    </row>
    <row r="70" spans="1:20">
      <c r="B70" s="13" t="str" cm="1">
        <f t="array" ref="B70">IF(ROW()-ROW(tbl_B_EligibilitySummary[#Headers])&lt;=ROWS(tbl_B_Assessment[ActionID]),"Existing action","Additional action")</f>
        <v>Additional action</v>
      </c>
      <c r="C70" s="13"/>
      <c r="D70" s="13"/>
      <c r="E70" s="13"/>
      <c r="F70" s="13"/>
      <c r="G70" s="13"/>
      <c r="H70" s="13"/>
      <c r="I70" s="13"/>
      <c r="J70" s="13"/>
      <c r="K70" s="13"/>
    </row>
    <row r="71" spans="1:20" ht="21">
      <c r="A71" s="185"/>
      <c r="B71" s="116" t="s">
        <v>2566</v>
      </c>
      <c r="C71" s="116"/>
      <c r="D71" s="116"/>
      <c r="E71" s="116"/>
      <c r="F71" s="116"/>
      <c r="G71" s="116"/>
      <c r="H71" s="116"/>
      <c r="I71" s="116"/>
      <c r="J71" s="116"/>
      <c r="K71" s="116"/>
      <c r="L71" s="116"/>
      <c r="M71" s="116"/>
      <c r="N71" s="116"/>
      <c r="O71" s="116"/>
      <c r="P71" s="116"/>
      <c r="Q71" s="116"/>
      <c r="R71" s="116"/>
      <c r="S71" s="116"/>
      <c r="T71" s="116"/>
    </row>
    <row r="72" spans="1:20">
      <c r="B72" s="93" t="s">
        <v>1613</v>
      </c>
      <c r="C72" s="80" t="s">
        <v>2589</v>
      </c>
    </row>
    <row r="73" spans="1:20">
      <c r="B73" s="192" t="s">
        <v>1542</v>
      </c>
      <c r="C73" s="83" t="s">
        <v>2294</v>
      </c>
    </row>
    <row r="75" spans="1:20" ht="15.6">
      <c r="A75" s="185"/>
      <c r="B75" s="119" t="s">
        <v>1532</v>
      </c>
      <c r="C75" s="120"/>
    </row>
    <row r="76" spans="1:20">
      <c r="A76" s="185"/>
      <c r="B76" s="193" t="s">
        <v>828</v>
      </c>
      <c r="C76" s="194" t="s">
        <v>18</v>
      </c>
    </row>
    <row r="77" spans="1:20">
      <c r="A77" s="185"/>
      <c r="B77" s="193" t="s">
        <v>1504</v>
      </c>
      <c r="C77" s="195" t="s">
        <v>33</v>
      </c>
    </row>
    <row r="78" spans="1:20">
      <c r="A78" s="185"/>
      <c r="B78" s="82" t="s">
        <v>1520</v>
      </c>
      <c r="C78" s="106" t="str" cm="1">
        <f t="array" ref="C78">_xlfn.TEXTJOIN(", ",TRUE,_xlfn.UNIQUE(_xlfn._xlws.FILTER(Table2[base_indicator_name],(Table2[sector_name]="Biodiversity")*(Table2[risk_component_name]="Vulnerability")*(Table2[base_indicator_level]=6))))</f>
        <v>Pesticides, No family farming, No sustainable agricultural practice, Fire, Environmental liabilities, Vegetation loss, Degraded pasture, Mining, Population, Agricultural establishment, Road network, Hydroelectric, Technical guidance, Steering committee and management plan</v>
      </c>
    </row>
    <row r="80" spans="1:20" ht="15.6">
      <c r="A80" s="185"/>
      <c r="B80" s="117" t="s">
        <v>2295</v>
      </c>
      <c r="C80" s="118"/>
    </row>
    <row r="81" spans="1:36">
      <c r="A81" s="185"/>
      <c r="B81" s="193" t="s">
        <v>828</v>
      </c>
      <c r="C81" s="194" t="s">
        <v>18</v>
      </c>
    </row>
    <row r="82" spans="1:36">
      <c r="A82" s="185"/>
      <c r="B82" s="193" t="s">
        <v>1504</v>
      </c>
      <c r="C82" s="195" t="s">
        <v>71</v>
      </c>
    </row>
    <row r="83" spans="1:36">
      <c r="A83" s="185"/>
      <c r="B83" s="82" t="s">
        <v>2290</v>
      </c>
      <c r="C83" s="107" t="str" cm="1">
        <f t="array" ref="C83">_xlfn.TEXTJOIN(", ",TRUE,_xlfn.UNIQUE(_xlfn._xlws.FILTER(Table2[base_indicator_name],(Table2[sector_name]="Biodiversity")*(Table2[risk_component_name]="Exposure")*(Table2[base_indicator_level]=5))))</f>
        <v>Natural coverage, Protected area, Area for conservation</v>
      </c>
    </row>
    <row r="85" spans="1:36" s="185" customFormat="1" ht="21">
      <c r="B85" s="114" t="s">
        <v>2568</v>
      </c>
      <c r="C85" s="114"/>
      <c r="D85" s="114"/>
      <c r="E85" s="114"/>
      <c r="F85" s="114"/>
      <c r="G85" s="114"/>
      <c r="H85" s="114"/>
      <c r="I85" s="114"/>
      <c r="J85" s="114"/>
      <c r="K85" s="114"/>
      <c r="L85" s="114"/>
      <c r="M85" s="114"/>
      <c r="N85" s="114"/>
      <c r="O85" s="114"/>
      <c r="P85" s="114"/>
      <c r="Q85" s="114"/>
      <c r="R85" s="114"/>
      <c r="S85" s="114"/>
      <c r="T85" s="114"/>
      <c r="AA85" s="186"/>
      <c r="AB85" s="186"/>
      <c r="AC85" s="186"/>
      <c r="AD85" s="186"/>
      <c r="AE85" s="186"/>
      <c r="AF85" s="186"/>
      <c r="AG85" s="186"/>
      <c r="AH85" s="186"/>
      <c r="AI85" s="186"/>
      <c r="AJ85" s="186"/>
    </row>
    <row r="86" spans="1:36" s="185" customFormat="1">
      <c r="B86" s="89" t="s">
        <v>1576</v>
      </c>
      <c r="C86" s="80" t="s">
        <v>1562</v>
      </c>
      <c r="D86" s="80"/>
      <c r="E86" s="80"/>
      <c r="F86" s="80"/>
      <c r="G86" s="80"/>
      <c r="H86" s="80"/>
      <c r="I86" s="80"/>
      <c r="J86" s="80"/>
      <c r="K86" s="80"/>
      <c r="L86" s="80"/>
      <c r="M86" s="80"/>
      <c r="N86" s="80"/>
      <c r="O86" s="80"/>
      <c r="P86" s="80"/>
      <c r="Q86" s="80"/>
      <c r="R86" s="80"/>
      <c r="S86" s="80"/>
      <c r="T86" s="80"/>
      <c r="AA86" s="186"/>
      <c r="AB86" s="186"/>
      <c r="AC86" s="186"/>
      <c r="AD86" s="186"/>
      <c r="AE86" s="186"/>
      <c r="AF86" s="186"/>
      <c r="AG86" s="186"/>
      <c r="AH86" s="186"/>
      <c r="AI86" s="186"/>
      <c r="AJ86" s="186"/>
    </row>
    <row r="87" spans="1:36" s="185" customFormat="1">
      <c r="B87" s="89" t="s">
        <v>1577</v>
      </c>
      <c r="C87" s="80" t="s">
        <v>2590</v>
      </c>
      <c r="D87" s="80"/>
      <c r="AA87" s="186"/>
      <c r="AB87" s="186"/>
      <c r="AC87" s="186"/>
      <c r="AD87" s="186"/>
      <c r="AE87" s="186"/>
      <c r="AF87" s="186"/>
      <c r="AG87" s="186"/>
      <c r="AH87" s="186"/>
      <c r="AI87" s="186"/>
      <c r="AJ87" s="186"/>
    </row>
    <row r="88" spans="1:36" s="185" customFormat="1">
      <c r="B88" s="89" t="s">
        <v>1557</v>
      </c>
      <c r="C88" s="80" t="str">
        <f>"Sector:"&amp;CHAR(10)&amp;"Biodiversity"&amp;CHAR(10)&amp;CHAR(10)&amp;"Approved Vulnerability Indicators:"&amp;CHAR(10)&amp;C78&amp;CHAR(10)&amp;CHAR(10)&amp;"Approved Exposure Indicators:"&amp;CHAR(10)&amp;C83&amp;CHAR(10)&amp;CHAR(10)&amp;"Mandatory framework sources:"&amp;CHAR(10)&amp;"B_SRC_001 | Brazil | AdaptaBrasil MCTI: Índices e Indicadores | MCTI | 2023"&amp;CHAR(10)&amp;CHAR(10)&amp;"B_SRC_002 | International | IPCC AR6 WGII"</f>
        <v>Sector:
Biodiversity
Approved Vulnerability Indicators:
Pesticides, No family farming, No sustainable agricultural practice, Fire, Environmental liabilities, Vegetation loss, Degraded pasture, Mining, Population, Agricultural establishment, Road network, Hydroelectric, Technical guidance, Steering committee and management plan
Approved Exposure Indicators:
Natural coverage, Protected area, Area for conservation
Mandatory framework sources:
B_SRC_001 | Brazil | AdaptaBrasil MCTI: Índices e Indicadores | MCTI | 2023
B_SRC_002 | International | IPCC AR6 WGII</v>
      </c>
      <c r="D88" s="91" t="s">
        <v>1588</v>
      </c>
    </row>
    <row r="89" spans="1:36" s="185" customFormat="1">
      <c r="B89" s="84" t="s">
        <v>1543</v>
      </c>
      <c r="C89" s="83" t="s">
        <v>2296</v>
      </c>
      <c r="D89" s="91" t="s">
        <v>1588</v>
      </c>
      <c r="E89" s="186"/>
    </row>
    <row r="90" spans="1:36" s="185" customFormat="1">
      <c r="B90" s="89" t="s">
        <v>1544</v>
      </c>
      <c r="C90" s="90" t="s">
        <v>1579</v>
      </c>
      <c r="D90" s="90"/>
    </row>
    <row r="91" spans="1:36">
      <c r="AA91" s="185"/>
      <c r="AB91" s="185"/>
      <c r="AC91" s="185"/>
      <c r="AD91" s="185"/>
      <c r="AE91" s="185"/>
      <c r="AF91" s="185"/>
      <c r="AG91" s="185"/>
      <c r="AH91" s="185"/>
      <c r="AI91" s="185"/>
      <c r="AJ91" s="185"/>
    </row>
    <row r="92" spans="1:36">
      <c r="B92" s="196" t="s">
        <v>1580</v>
      </c>
      <c r="C92" s="196"/>
      <c r="D92" s="196"/>
      <c r="E92" s="196"/>
      <c r="F92" s="196"/>
      <c r="G92" s="196"/>
      <c r="AA92" s="185"/>
      <c r="AB92" s="185"/>
      <c r="AC92" s="185"/>
      <c r="AD92" s="185"/>
      <c r="AE92" s="185"/>
      <c r="AF92" s="185"/>
      <c r="AG92" s="185"/>
      <c r="AH92" s="185"/>
      <c r="AI92" s="185"/>
      <c r="AJ92" s="185"/>
    </row>
    <row r="93" spans="1:36">
      <c r="A93" s="185"/>
      <c r="B93" s="104" t="s">
        <v>1506</v>
      </c>
      <c r="C93" s="104" t="s">
        <v>1507</v>
      </c>
      <c r="D93" s="104" t="s">
        <v>1508</v>
      </c>
      <c r="E93" s="104" t="s">
        <v>1509</v>
      </c>
      <c r="F93" s="104" t="s">
        <v>1510</v>
      </c>
      <c r="G93" s="104" t="s">
        <v>1511</v>
      </c>
      <c r="H93" s="105"/>
      <c r="I93" s="105"/>
      <c r="J93" s="105"/>
      <c r="K93" s="105"/>
      <c r="L93" s="105"/>
      <c r="M93" s="74"/>
      <c r="N93" s="74"/>
      <c r="O93" s="74"/>
      <c r="P93" s="74"/>
      <c r="Q93" s="74"/>
      <c r="R93" s="74"/>
      <c r="S93" s="74"/>
      <c r="T93" s="74"/>
      <c r="AA93" s="185"/>
      <c r="AB93" s="185"/>
      <c r="AC93" s="185"/>
      <c r="AD93" s="185"/>
      <c r="AE93" s="185"/>
      <c r="AF93" s="185"/>
      <c r="AG93" s="185"/>
      <c r="AH93" s="185"/>
      <c r="AI93" s="185"/>
      <c r="AJ93" s="185"/>
    </row>
    <row r="94" spans="1:36">
      <c r="B94" s="76" t="s">
        <v>2297</v>
      </c>
      <c r="C94" s="74" t="s">
        <v>1472</v>
      </c>
      <c r="D94" s="74" t="s">
        <v>2330</v>
      </c>
      <c r="E94" s="74" t="s">
        <v>2331</v>
      </c>
      <c r="F94" s="86">
        <v>2023</v>
      </c>
      <c r="G94" s="74" t="s">
        <v>2332</v>
      </c>
      <c r="H94" s="74"/>
      <c r="I94" s="74"/>
      <c r="J94" s="74"/>
      <c r="K94" s="74"/>
      <c r="L94" s="74"/>
      <c r="M94" s="74"/>
      <c r="N94" s="74"/>
      <c r="O94" s="74"/>
      <c r="P94" s="74"/>
      <c r="Q94" s="74"/>
      <c r="R94" s="74"/>
      <c r="S94" s="74"/>
      <c r="T94" s="74"/>
    </row>
    <row r="95" spans="1:36">
      <c r="B95" s="76" t="s">
        <v>2298</v>
      </c>
      <c r="C95" s="74" t="s">
        <v>1474</v>
      </c>
      <c r="D95" s="80" t="s">
        <v>2333</v>
      </c>
      <c r="E95" s="74" t="s">
        <v>1475</v>
      </c>
      <c r="F95" s="86">
        <v>2022</v>
      </c>
      <c r="G95" s="74" t="s">
        <v>2334</v>
      </c>
      <c r="H95" s="74"/>
      <c r="I95" s="74"/>
      <c r="J95" s="74"/>
      <c r="K95" s="74"/>
      <c r="L95" s="74"/>
      <c r="M95" s="74"/>
      <c r="N95" s="74"/>
      <c r="O95" s="74"/>
      <c r="P95" s="74"/>
      <c r="Q95" s="74"/>
      <c r="R95" s="74"/>
      <c r="S95" s="74"/>
      <c r="T95" s="74"/>
    </row>
    <row r="96" spans="1:36">
      <c r="B96" s="76" t="s">
        <v>2299</v>
      </c>
      <c r="C96" s="74" t="s">
        <v>1472</v>
      </c>
      <c r="D96" s="74" t="s">
        <v>2335</v>
      </c>
      <c r="E96" s="74" t="s">
        <v>2336</v>
      </c>
      <c r="F96" s="86">
        <v>2025</v>
      </c>
      <c r="G96" s="85" t="s">
        <v>2337</v>
      </c>
      <c r="H96" s="74"/>
      <c r="I96" s="74"/>
      <c r="J96" s="74"/>
      <c r="K96" s="74"/>
      <c r="L96" s="74"/>
      <c r="M96" s="74"/>
      <c r="N96" s="74"/>
      <c r="O96" s="74"/>
      <c r="P96" s="74"/>
      <c r="Q96" s="74"/>
      <c r="R96" s="74"/>
      <c r="S96" s="74"/>
      <c r="T96" s="74"/>
    </row>
    <row r="97" spans="2:36">
      <c r="B97" s="76" t="s">
        <v>2300</v>
      </c>
      <c r="C97" s="74" t="s">
        <v>1472</v>
      </c>
      <c r="D97" s="74" t="s">
        <v>2338</v>
      </c>
      <c r="E97" s="74" t="s">
        <v>2339</v>
      </c>
      <c r="F97" s="86">
        <v>2025</v>
      </c>
      <c r="G97" s="74" t="s">
        <v>2340</v>
      </c>
      <c r="H97" s="74"/>
      <c r="I97" s="74"/>
      <c r="J97" s="74"/>
      <c r="K97" s="74"/>
      <c r="L97" s="74"/>
      <c r="M97" s="74"/>
      <c r="N97" s="74"/>
      <c r="O97" s="74"/>
      <c r="P97" s="74"/>
      <c r="Q97" s="74"/>
      <c r="R97" s="74"/>
      <c r="S97" s="74"/>
      <c r="T97" s="74"/>
    </row>
    <row r="98" spans="2:36">
      <c r="B98" s="76" t="s">
        <v>2301</v>
      </c>
      <c r="C98" s="74" t="s">
        <v>1472</v>
      </c>
      <c r="D98" s="74" t="s">
        <v>2341</v>
      </c>
      <c r="E98" s="74" t="s">
        <v>2342</v>
      </c>
      <c r="F98" s="86">
        <v>2016</v>
      </c>
      <c r="G98" s="85" t="s">
        <v>2343</v>
      </c>
      <c r="H98" s="74"/>
      <c r="I98" s="74"/>
      <c r="J98" s="74"/>
      <c r="K98" s="74"/>
      <c r="L98" s="74"/>
      <c r="M98" s="74"/>
      <c r="N98" s="74"/>
      <c r="O98" s="74"/>
      <c r="P98" s="74"/>
      <c r="Q98" s="74"/>
      <c r="R98" s="74"/>
      <c r="S98" s="74"/>
      <c r="T98" s="74"/>
    </row>
    <row r="99" spans="2:36">
      <c r="B99" s="76" t="s">
        <v>2302</v>
      </c>
      <c r="C99" s="74" t="s">
        <v>1472</v>
      </c>
      <c r="D99" s="74" t="s">
        <v>2344</v>
      </c>
      <c r="E99" s="74" t="s">
        <v>2345</v>
      </c>
      <c r="F99" s="86">
        <v>2025</v>
      </c>
      <c r="G99" s="85" t="s">
        <v>2346</v>
      </c>
      <c r="H99" s="74"/>
      <c r="I99" s="74"/>
      <c r="J99" s="74"/>
      <c r="K99" s="74"/>
      <c r="L99" s="74"/>
      <c r="M99" s="74"/>
      <c r="N99" s="74"/>
      <c r="O99" s="74"/>
      <c r="P99" s="74"/>
      <c r="Q99" s="74"/>
      <c r="R99" s="74"/>
      <c r="S99" s="74"/>
      <c r="T99" s="74"/>
    </row>
    <row r="100" spans="2:36">
      <c r="B100" s="76" t="s">
        <v>2303</v>
      </c>
      <c r="C100" s="74" t="s">
        <v>1474</v>
      </c>
      <c r="D100" s="74" t="s">
        <v>2347</v>
      </c>
      <c r="E100" s="74" t="s">
        <v>2348</v>
      </c>
      <c r="F100" s="86">
        <v>2022</v>
      </c>
      <c r="G100" s="74" t="s">
        <v>2349</v>
      </c>
      <c r="H100" s="74"/>
      <c r="I100" s="74"/>
      <c r="J100" s="74"/>
      <c r="K100" s="74"/>
      <c r="L100" s="74"/>
      <c r="M100" s="74"/>
      <c r="N100" s="74"/>
      <c r="O100" s="74"/>
      <c r="P100" s="74"/>
      <c r="Q100" s="74"/>
      <c r="R100" s="74"/>
      <c r="S100" s="74"/>
      <c r="T100" s="74"/>
    </row>
    <row r="101" spans="2:36">
      <c r="B101" s="76" t="s">
        <v>2304</v>
      </c>
      <c r="C101" s="74" t="s">
        <v>1474</v>
      </c>
      <c r="D101" s="74" t="s">
        <v>2350</v>
      </c>
      <c r="E101" s="74" t="s">
        <v>2348</v>
      </c>
      <c r="F101" s="86">
        <v>2023</v>
      </c>
      <c r="G101" s="85" t="s">
        <v>2351</v>
      </c>
      <c r="H101" s="74"/>
      <c r="I101" s="74"/>
      <c r="J101" s="74"/>
      <c r="K101" s="74"/>
      <c r="L101" s="74"/>
      <c r="M101" s="74"/>
      <c r="N101" s="74"/>
      <c r="O101" s="74"/>
      <c r="P101" s="74"/>
      <c r="Q101" s="74"/>
      <c r="R101" s="74"/>
      <c r="S101" s="74"/>
      <c r="T101" s="74"/>
    </row>
    <row r="102" spans="2:36">
      <c r="B102" s="76" t="s">
        <v>2305</v>
      </c>
      <c r="C102" s="74" t="s">
        <v>1474</v>
      </c>
      <c r="D102" s="74" t="s">
        <v>2352</v>
      </c>
      <c r="E102" s="74" t="s">
        <v>2353</v>
      </c>
      <c r="F102" s="86">
        <v>2025</v>
      </c>
      <c r="G102" s="85" t="s">
        <v>2354</v>
      </c>
      <c r="H102" s="74"/>
      <c r="I102" s="74"/>
      <c r="J102" s="74"/>
      <c r="K102" s="74"/>
      <c r="L102" s="74"/>
      <c r="M102" s="74"/>
      <c r="N102" s="74"/>
      <c r="O102" s="74"/>
      <c r="P102" s="74"/>
      <c r="Q102" s="74"/>
      <c r="R102" s="74"/>
      <c r="S102" s="74"/>
      <c r="T102" s="74"/>
    </row>
    <row r="103" spans="2:36">
      <c r="B103" s="76" t="s">
        <v>2306</v>
      </c>
      <c r="C103" s="74" t="s">
        <v>1474</v>
      </c>
      <c r="D103" s="74" t="s">
        <v>2355</v>
      </c>
      <c r="E103" s="80" t="s">
        <v>1475</v>
      </c>
      <c r="F103" s="86">
        <v>2022</v>
      </c>
      <c r="G103" s="85" t="s">
        <v>2356</v>
      </c>
      <c r="H103" s="74"/>
      <c r="I103" s="74"/>
      <c r="J103" s="74"/>
      <c r="K103" s="74"/>
      <c r="L103" s="74"/>
      <c r="M103" s="74"/>
      <c r="N103" s="74"/>
      <c r="O103" s="74"/>
      <c r="P103" s="74"/>
      <c r="Q103" s="74"/>
      <c r="R103" s="74"/>
      <c r="S103" s="74"/>
      <c r="T103" s="74"/>
    </row>
    <row r="104" spans="2:36">
      <c r="B104" s="76" t="s">
        <v>2307</v>
      </c>
      <c r="C104" s="74"/>
      <c r="D104" s="80"/>
      <c r="E104" s="74"/>
      <c r="F104" s="86"/>
      <c r="G104" s="85"/>
      <c r="H104" s="74"/>
      <c r="I104" s="74"/>
      <c r="J104" s="74"/>
      <c r="K104" s="74"/>
      <c r="L104" s="74"/>
      <c r="M104" s="74"/>
      <c r="N104" s="74"/>
      <c r="O104" s="74"/>
      <c r="P104" s="74"/>
      <c r="Q104" s="74"/>
      <c r="R104" s="74"/>
      <c r="S104" s="74"/>
      <c r="T104" s="74"/>
    </row>
    <row r="105" spans="2:36">
      <c r="B105" s="76" t="s">
        <v>2308</v>
      </c>
      <c r="C105" s="74"/>
      <c r="D105" s="74"/>
      <c r="E105" s="74"/>
      <c r="F105" s="86"/>
      <c r="G105" s="85"/>
      <c r="H105" s="74"/>
      <c r="I105" s="74"/>
      <c r="J105" s="74"/>
      <c r="K105" s="74"/>
      <c r="L105" s="74"/>
      <c r="M105" s="74"/>
      <c r="N105" s="74"/>
      <c r="O105" s="74"/>
      <c r="P105" s="74"/>
      <c r="Q105" s="74"/>
      <c r="R105" s="74"/>
      <c r="S105" s="74"/>
      <c r="T105" s="74"/>
    </row>
    <row r="106" spans="2:36">
      <c r="B106" s="76"/>
      <c r="C106" s="74"/>
      <c r="D106" s="74"/>
      <c r="E106" s="74"/>
      <c r="F106" s="86"/>
      <c r="G106" s="74"/>
      <c r="H106" s="74"/>
      <c r="I106" s="74"/>
      <c r="J106" s="74"/>
      <c r="K106" s="74"/>
      <c r="L106" s="74"/>
      <c r="M106" s="74"/>
      <c r="N106" s="74"/>
      <c r="O106" s="74"/>
      <c r="P106" s="74"/>
      <c r="Q106" s="74"/>
      <c r="R106" s="74"/>
      <c r="S106" s="74"/>
      <c r="T106" s="74"/>
    </row>
    <row r="107" spans="2:36" s="185" customFormat="1" ht="17.399999999999999">
      <c r="B107" s="113" t="s">
        <v>2570</v>
      </c>
      <c r="C107" s="113"/>
      <c r="D107" s="113"/>
      <c r="E107" s="113"/>
      <c r="F107" s="113"/>
      <c r="G107" s="113"/>
      <c r="H107" s="113"/>
      <c r="I107" s="113"/>
      <c r="J107" s="113"/>
      <c r="K107" s="113"/>
      <c r="L107" s="113"/>
      <c r="M107" s="113"/>
      <c r="N107" s="113"/>
      <c r="O107" s="113"/>
      <c r="P107" s="113"/>
      <c r="Q107" s="113"/>
      <c r="R107" s="113"/>
      <c r="S107" s="113"/>
      <c r="T107" s="113"/>
      <c r="AA107" s="186"/>
      <c r="AB107" s="186"/>
      <c r="AC107" s="186"/>
      <c r="AD107" s="186"/>
      <c r="AE107" s="186"/>
      <c r="AF107" s="186"/>
      <c r="AG107" s="186"/>
      <c r="AH107" s="186"/>
      <c r="AI107" s="186"/>
      <c r="AJ107" s="186"/>
    </row>
    <row r="108" spans="2:36" s="185" customFormat="1">
      <c r="B108" s="89" t="s">
        <v>1558</v>
      </c>
      <c r="C108" s="96" t="s">
        <v>2591</v>
      </c>
      <c r="D108" s="87"/>
      <c r="E108" s="87"/>
      <c r="F108" s="87"/>
      <c r="G108" s="87"/>
      <c r="H108" s="87"/>
      <c r="I108" s="87"/>
      <c r="J108" s="87"/>
      <c r="K108" s="87"/>
      <c r="L108" s="87"/>
      <c r="M108" s="87"/>
      <c r="N108" s="87"/>
      <c r="O108" s="87"/>
      <c r="P108" s="87"/>
      <c r="Q108" s="87"/>
      <c r="R108" s="87"/>
      <c r="S108" s="87"/>
      <c r="T108" s="87"/>
      <c r="AA108" s="186"/>
      <c r="AB108" s="186"/>
      <c r="AC108" s="186"/>
      <c r="AD108" s="186"/>
      <c r="AE108" s="186"/>
      <c r="AF108" s="186"/>
      <c r="AG108" s="186"/>
      <c r="AH108" s="186"/>
      <c r="AI108" s="186"/>
      <c r="AJ108" s="186"/>
    </row>
    <row r="109" spans="2:36" s="185" customFormat="1">
      <c r="B109" s="89" t="s">
        <v>1560</v>
      </c>
      <c r="C109" s="96" t="str">
        <f>C78</f>
        <v>Pesticides, No family farming, No sustainable agricultural practice, Fire, Environmental liabilities, Vegetation loss, Degraded pasture, Mining, Population, Agricultural establishment, Road network, Hydroelectric, Technical guidance, Steering committee and management plan</v>
      </c>
      <c r="D109" s="91" t="s">
        <v>1588</v>
      </c>
      <c r="E109" s="87"/>
      <c r="F109" s="87"/>
      <c r="G109" s="87"/>
      <c r="H109" s="87"/>
      <c r="I109" s="87"/>
      <c r="J109" s="87"/>
      <c r="K109" s="87"/>
      <c r="L109" s="87"/>
      <c r="M109" s="87"/>
      <c r="N109" s="87"/>
      <c r="O109" s="87"/>
      <c r="P109" s="87"/>
      <c r="Q109" s="87"/>
      <c r="R109" s="87"/>
      <c r="S109" s="87"/>
      <c r="T109" s="87"/>
      <c r="AA109" s="186"/>
      <c r="AB109" s="186"/>
      <c r="AC109" s="186"/>
      <c r="AD109" s="186"/>
      <c r="AE109" s="186"/>
      <c r="AF109" s="186"/>
      <c r="AG109" s="186"/>
      <c r="AH109" s="186"/>
      <c r="AI109" s="186"/>
      <c r="AJ109" s="186"/>
    </row>
    <row r="110" spans="2:36" s="185" customFormat="1">
      <c r="B110" s="89" t="s">
        <v>1561</v>
      </c>
      <c r="C110" s="96" t="str">
        <f>C83</f>
        <v>Natural coverage, Protected area, Area for conservation</v>
      </c>
      <c r="D110" s="91" t="s">
        <v>1588</v>
      </c>
      <c r="E110" s="87"/>
      <c r="F110" s="87"/>
      <c r="G110" s="87"/>
      <c r="H110" s="87"/>
      <c r="I110" s="87"/>
      <c r="J110" s="87"/>
      <c r="K110" s="87"/>
      <c r="L110" s="87"/>
      <c r="M110" s="87"/>
      <c r="N110" s="87"/>
      <c r="O110" s="87"/>
      <c r="P110" s="87"/>
      <c r="Q110" s="87"/>
      <c r="R110" s="87"/>
      <c r="S110" s="87"/>
      <c r="T110" s="87"/>
    </row>
    <row r="111" spans="2:36" s="185" customFormat="1">
      <c r="B111" s="89" t="s">
        <v>1632</v>
      </c>
      <c r="C111" s="96" t="s">
        <v>2309</v>
      </c>
      <c r="D111" s="91" t="s">
        <v>1634</v>
      </c>
      <c r="E111" s="87"/>
      <c r="F111" s="87"/>
      <c r="G111" s="87"/>
      <c r="H111" s="87"/>
      <c r="I111" s="87"/>
      <c r="J111" s="87"/>
      <c r="K111" s="87"/>
      <c r="L111" s="87"/>
      <c r="M111" s="87"/>
      <c r="N111" s="87"/>
      <c r="O111" s="87"/>
      <c r="P111" s="87"/>
      <c r="Q111" s="87"/>
      <c r="R111" s="87"/>
      <c r="S111" s="87"/>
      <c r="T111" s="87"/>
    </row>
    <row r="112" spans="2:36" s="185" customFormat="1">
      <c r="B112" s="89" t="s">
        <v>1564</v>
      </c>
      <c r="C112" s="96" t="s">
        <v>1567</v>
      </c>
      <c r="D112" s="91" t="s">
        <v>1634</v>
      </c>
      <c r="E112" s="87"/>
      <c r="F112" s="87"/>
      <c r="G112" s="87"/>
      <c r="H112" s="87"/>
      <c r="I112" s="87"/>
      <c r="J112" s="87"/>
      <c r="K112" s="87"/>
      <c r="L112" s="87"/>
      <c r="M112" s="87"/>
      <c r="N112" s="87"/>
      <c r="O112" s="87"/>
      <c r="P112" s="87"/>
      <c r="Q112" s="87"/>
      <c r="R112" s="87"/>
      <c r="S112" s="87"/>
      <c r="T112" s="87"/>
      <c r="U112" s="87"/>
    </row>
    <row r="113" spans="2:26" s="185" customFormat="1">
      <c r="B113" s="84" t="s">
        <v>1563</v>
      </c>
      <c r="C113" s="83" t="s">
        <v>2592</v>
      </c>
      <c r="D113" s="91" t="s">
        <v>1588</v>
      </c>
      <c r="E113" s="87"/>
      <c r="F113" s="87"/>
      <c r="G113" s="87"/>
      <c r="H113" s="87"/>
      <c r="I113" s="87"/>
      <c r="J113" s="87"/>
      <c r="K113" s="87"/>
      <c r="L113" s="87"/>
      <c r="M113" s="87"/>
      <c r="N113" s="87"/>
      <c r="O113" s="87"/>
      <c r="P113" s="87"/>
      <c r="Q113" s="87"/>
      <c r="R113" s="87"/>
      <c r="S113" s="87"/>
      <c r="T113" s="87"/>
      <c r="U113" s="87"/>
    </row>
    <row r="114" spans="2:26" s="185" customFormat="1">
      <c r="B114" s="89" t="s">
        <v>1565</v>
      </c>
      <c r="C114" s="97" t="s">
        <v>1559</v>
      </c>
      <c r="D114" s="98"/>
      <c r="E114" s="87"/>
      <c r="F114" s="87"/>
      <c r="G114" s="87"/>
      <c r="H114" s="87"/>
      <c r="I114" s="87"/>
      <c r="J114" s="87"/>
      <c r="K114" s="87"/>
      <c r="L114" s="87"/>
      <c r="M114" s="87"/>
      <c r="N114" s="87"/>
      <c r="O114" s="87"/>
      <c r="P114" s="87"/>
      <c r="Q114" s="87"/>
      <c r="R114" s="87"/>
      <c r="S114" s="87"/>
      <c r="T114" s="87"/>
      <c r="U114" s="87"/>
    </row>
    <row r="115" spans="2:26" s="185" customFormat="1">
      <c r="B115" s="89" t="s">
        <v>1566</v>
      </c>
      <c r="C115" s="96" t="s">
        <v>2310</v>
      </c>
      <c r="D115" s="87"/>
      <c r="E115" s="87"/>
      <c r="F115" s="87"/>
      <c r="G115" s="87"/>
      <c r="H115" s="87"/>
      <c r="I115" s="87"/>
      <c r="J115" s="87"/>
      <c r="K115" s="87"/>
      <c r="L115" s="87"/>
      <c r="M115" s="87"/>
      <c r="N115" s="87"/>
      <c r="O115" s="87"/>
      <c r="P115" s="87"/>
      <c r="Q115" s="87"/>
      <c r="R115" s="87"/>
      <c r="S115" s="87"/>
      <c r="T115" s="87"/>
    </row>
    <row r="116" spans="2:26" s="185" customFormat="1">
      <c r="D116" s="87"/>
      <c r="E116" s="87"/>
      <c r="F116" s="87"/>
      <c r="G116" s="87"/>
      <c r="H116" s="87"/>
      <c r="I116" s="87"/>
      <c r="J116" s="87"/>
      <c r="K116" s="87"/>
      <c r="L116" s="87"/>
      <c r="M116" s="87"/>
      <c r="N116" s="87"/>
      <c r="O116" s="87"/>
      <c r="P116" s="87"/>
      <c r="Q116" s="87"/>
      <c r="R116" s="87"/>
      <c r="S116" s="87"/>
      <c r="T116" s="87"/>
    </row>
    <row r="117" spans="2:26" s="185" customFormat="1" ht="17.399999999999999">
      <c r="B117" s="121" t="s">
        <v>1269</v>
      </c>
      <c r="C117" s="121"/>
      <c r="D117" s="121"/>
      <c r="E117" s="121"/>
      <c r="F117" s="121"/>
      <c r="G117" s="121"/>
      <c r="H117" s="121"/>
      <c r="I117" s="121"/>
      <c r="J117" s="121"/>
      <c r="K117" s="121"/>
      <c r="L117" s="121"/>
      <c r="M117" s="121"/>
      <c r="N117" s="121"/>
      <c r="O117" s="121"/>
      <c r="P117" s="121"/>
      <c r="Q117" s="121"/>
      <c r="R117" s="121"/>
      <c r="S117" s="121"/>
      <c r="T117" s="121"/>
    </row>
    <row r="118" spans="2:26" s="185" customFormat="1">
      <c r="B118" s="92" t="s">
        <v>310</v>
      </c>
      <c r="C118" s="92" t="s">
        <v>311</v>
      </c>
      <c r="D118" s="92" t="s">
        <v>1293</v>
      </c>
      <c r="E118" s="102" t="s">
        <v>1636</v>
      </c>
      <c r="F118" s="103" t="s">
        <v>1637</v>
      </c>
      <c r="G118" s="103" t="s">
        <v>1647</v>
      </c>
      <c r="H118" s="92" t="s">
        <v>1502</v>
      </c>
      <c r="I118" s="92" t="s">
        <v>1487</v>
      </c>
      <c r="J118" s="92" t="s">
        <v>1469</v>
      </c>
      <c r="K118" s="92" t="s">
        <v>1488</v>
      </c>
      <c r="L118" s="92" t="s">
        <v>1500</v>
      </c>
      <c r="M118" s="92" t="s">
        <v>1489</v>
      </c>
      <c r="N118" s="92" t="s">
        <v>1490</v>
      </c>
      <c r="O118" s="102" t="s">
        <v>1638</v>
      </c>
      <c r="P118" s="103" t="s">
        <v>1639</v>
      </c>
      <c r="Q118" s="103" t="s">
        <v>1648</v>
      </c>
      <c r="R118" s="92" t="s">
        <v>1503</v>
      </c>
      <c r="S118" s="92" t="s">
        <v>1491</v>
      </c>
      <c r="T118" s="92" t="s">
        <v>1470</v>
      </c>
      <c r="U118" s="92" t="s">
        <v>1492</v>
      </c>
      <c r="V118" s="92" t="s">
        <v>1501</v>
      </c>
      <c r="W118" s="92" t="s">
        <v>1493</v>
      </c>
      <c r="X118" s="92" t="s">
        <v>1494</v>
      </c>
      <c r="Y118" s="92" t="s">
        <v>1495</v>
      </c>
      <c r="Z118" s="92" t="s">
        <v>1496</v>
      </c>
    </row>
    <row r="119" spans="2:26" s="185" customFormat="1">
      <c r="B119" s="88" t="s">
        <v>320</v>
      </c>
      <c r="C119" s="80" t="s">
        <v>321</v>
      </c>
      <c r="D119" s="80" t="s">
        <v>322</v>
      </c>
      <c r="E119" s="100" t="s">
        <v>1649</v>
      </c>
      <c r="F119" s="101" t="s">
        <v>2440</v>
      </c>
      <c r="G119" s="101">
        <v>0</v>
      </c>
      <c r="H119" s="88"/>
      <c r="I119" s="80"/>
      <c r="J119" s="80"/>
      <c r="K119" s="80"/>
      <c r="L119" s="80"/>
      <c r="M119" s="80"/>
      <c r="N119" s="80"/>
      <c r="O119" s="100" t="s">
        <v>1649</v>
      </c>
      <c r="P119" s="101" t="s">
        <v>2441</v>
      </c>
      <c r="Q119" s="101">
        <v>0</v>
      </c>
      <c r="R119" s="88"/>
      <c r="S119" s="80"/>
      <c r="T119" s="80"/>
      <c r="U119" s="80"/>
      <c r="V119" s="80"/>
      <c r="W119" s="80"/>
      <c r="X119" s="80"/>
      <c r="Y119" s="88" t="s">
        <v>1905</v>
      </c>
      <c r="Z119" s="80" t="s">
        <v>2442</v>
      </c>
    </row>
    <row r="120" spans="2:26" s="185" customFormat="1">
      <c r="B120" s="88" t="s">
        <v>329</v>
      </c>
      <c r="C120" s="80" t="s">
        <v>330</v>
      </c>
      <c r="D120" s="80" t="s">
        <v>331</v>
      </c>
      <c r="E120" s="100" t="s">
        <v>1649</v>
      </c>
      <c r="F120" s="101" t="s">
        <v>2443</v>
      </c>
      <c r="G120" s="101">
        <v>0</v>
      </c>
      <c r="H120" s="88"/>
      <c r="I120" s="80"/>
      <c r="J120" s="80"/>
      <c r="K120" s="80"/>
      <c r="L120" s="80"/>
      <c r="M120" s="80"/>
      <c r="N120" s="80"/>
      <c r="O120" s="100" t="s">
        <v>1649</v>
      </c>
      <c r="P120" s="101" t="s">
        <v>2444</v>
      </c>
      <c r="Q120" s="101">
        <v>0</v>
      </c>
      <c r="R120" s="88"/>
      <c r="S120" s="80"/>
      <c r="T120" s="80"/>
      <c r="U120" s="80"/>
      <c r="V120" s="80"/>
      <c r="W120" s="80"/>
      <c r="X120" s="80"/>
      <c r="Y120" s="88" t="s">
        <v>1905</v>
      </c>
      <c r="Z120" s="80" t="s">
        <v>2442</v>
      </c>
    </row>
    <row r="121" spans="2:26" s="185" customFormat="1">
      <c r="B121" s="88" t="s">
        <v>335</v>
      </c>
      <c r="C121" s="80" t="s">
        <v>336</v>
      </c>
      <c r="D121" s="80" t="s">
        <v>337</v>
      </c>
      <c r="E121" s="100" t="s">
        <v>1649</v>
      </c>
      <c r="F121" s="101" t="s">
        <v>2445</v>
      </c>
      <c r="G121" s="101">
        <v>0</v>
      </c>
      <c r="H121" s="88"/>
      <c r="I121" s="80"/>
      <c r="J121" s="80"/>
      <c r="K121" s="80"/>
      <c r="L121" s="80"/>
      <c r="M121" s="80"/>
      <c r="N121" s="80"/>
      <c r="O121" s="100" t="s">
        <v>1649</v>
      </c>
      <c r="P121" s="101" t="s">
        <v>2446</v>
      </c>
      <c r="Q121" s="101">
        <v>0</v>
      </c>
      <c r="R121" s="88"/>
      <c r="S121" s="80"/>
      <c r="T121" s="80"/>
      <c r="U121" s="80"/>
      <c r="V121" s="80"/>
      <c r="W121" s="80"/>
      <c r="X121" s="80"/>
      <c r="Y121" s="88" t="s">
        <v>1905</v>
      </c>
      <c r="Z121" s="80" t="s">
        <v>2442</v>
      </c>
    </row>
    <row r="122" spans="2:26" s="185" customFormat="1">
      <c r="B122" s="88" t="s">
        <v>341</v>
      </c>
      <c r="C122" s="80" t="s">
        <v>342</v>
      </c>
      <c r="D122" s="80" t="s">
        <v>343</v>
      </c>
      <c r="E122" s="100" t="s">
        <v>1649</v>
      </c>
      <c r="F122" s="101" t="s">
        <v>2447</v>
      </c>
      <c r="G122" s="101">
        <v>0</v>
      </c>
      <c r="H122" s="88"/>
      <c r="I122" s="80"/>
      <c r="J122" s="80"/>
      <c r="K122" s="80"/>
      <c r="L122" s="80"/>
      <c r="M122" s="80"/>
      <c r="N122" s="80"/>
      <c r="O122" s="100" t="s">
        <v>1649</v>
      </c>
      <c r="P122" s="101" t="s">
        <v>2448</v>
      </c>
      <c r="Q122" s="101">
        <v>0</v>
      </c>
      <c r="R122" s="88"/>
      <c r="S122" s="80"/>
      <c r="T122" s="80"/>
      <c r="U122" s="80"/>
      <c r="V122" s="80"/>
      <c r="W122" s="80"/>
      <c r="X122" s="80"/>
      <c r="Y122" s="88" t="s">
        <v>1905</v>
      </c>
      <c r="Z122" s="80" t="s">
        <v>2442</v>
      </c>
    </row>
    <row r="123" spans="2:26" s="185" customFormat="1">
      <c r="B123" s="88" t="s">
        <v>346</v>
      </c>
      <c r="C123" s="80" t="s">
        <v>347</v>
      </c>
      <c r="D123" s="80" t="s">
        <v>348</v>
      </c>
      <c r="E123" s="100" t="s">
        <v>1649</v>
      </c>
      <c r="F123" s="101" t="s">
        <v>2449</v>
      </c>
      <c r="G123" s="101">
        <v>0</v>
      </c>
      <c r="H123" s="88"/>
      <c r="I123" s="80"/>
      <c r="J123" s="80"/>
      <c r="K123" s="80"/>
      <c r="L123" s="80"/>
      <c r="M123" s="80"/>
      <c r="N123" s="80"/>
      <c r="O123" s="100" t="s">
        <v>1649</v>
      </c>
      <c r="P123" s="101" t="s">
        <v>2450</v>
      </c>
      <c r="Q123" s="101">
        <v>0</v>
      </c>
      <c r="R123" s="88"/>
      <c r="S123" s="80"/>
      <c r="T123" s="80"/>
      <c r="U123" s="80"/>
      <c r="V123" s="80"/>
      <c r="W123" s="80"/>
      <c r="X123" s="80"/>
      <c r="Y123" s="88" t="s">
        <v>1905</v>
      </c>
      <c r="Z123" s="80" t="s">
        <v>2442</v>
      </c>
    </row>
    <row r="124" spans="2:26" s="185" customFormat="1">
      <c r="B124" s="88" t="s">
        <v>349</v>
      </c>
      <c r="C124" s="80" t="s">
        <v>350</v>
      </c>
      <c r="D124" s="80" t="s">
        <v>351</v>
      </c>
      <c r="E124" s="100" t="s">
        <v>1649</v>
      </c>
      <c r="F124" s="101" t="s">
        <v>2451</v>
      </c>
      <c r="G124" s="101">
        <v>0</v>
      </c>
      <c r="H124" s="88"/>
      <c r="I124" s="80"/>
      <c r="J124" s="80"/>
      <c r="K124" s="80"/>
      <c r="L124" s="80"/>
      <c r="M124" s="80"/>
      <c r="N124" s="80"/>
      <c r="O124" s="100" t="s">
        <v>1649</v>
      </c>
      <c r="P124" s="101" t="s">
        <v>2452</v>
      </c>
      <c r="Q124" s="101">
        <v>0</v>
      </c>
      <c r="R124" s="88"/>
      <c r="S124" s="80"/>
      <c r="T124" s="80"/>
      <c r="U124" s="80"/>
      <c r="V124" s="80"/>
      <c r="W124" s="80"/>
      <c r="X124" s="80"/>
      <c r="Y124" s="88" t="s">
        <v>1905</v>
      </c>
      <c r="Z124" s="80" t="s">
        <v>2442</v>
      </c>
    </row>
    <row r="125" spans="2:26" s="185" customFormat="1">
      <c r="B125" s="88" t="s">
        <v>355</v>
      </c>
      <c r="C125" s="80" t="s">
        <v>356</v>
      </c>
      <c r="D125" s="80" t="s">
        <v>357</v>
      </c>
      <c r="E125" s="100" t="s">
        <v>1651</v>
      </c>
      <c r="F125" s="101" t="s">
        <v>2426</v>
      </c>
      <c r="G125" s="101">
        <v>0</v>
      </c>
      <c r="H125" s="88"/>
      <c r="I125" s="80" t="s">
        <v>292</v>
      </c>
      <c r="J125" s="80" t="s">
        <v>2453</v>
      </c>
      <c r="K125" s="80"/>
      <c r="L125" s="80"/>
      <c r="M125" s="80"/>
      <c r="N125" s="80"/>
      <c r="O125" s="100" t="s">
        <v>1649</v>
      </c>
      <c r="P125" s="101" t="s">
        <v>2454</v>
      </c>
      <c r="Q125" s="101">
        <v>0</v>
      </c>
      <c r="R125" s="88"/>
      <c r="S125" s="80"/>
      <c r="T125" s="80"/>
      <c r="U125" s="80"/>
      <c r="V125" s="80"/>
      <c r="W125" s="80"/>
      <c r="X125" s="80"/>
      <c r="Y125" s="88" t="s">
        <v>1905</v>
      </c>
      <c r="Z125" s="80" t="s">
        <v>2442</v>
      </c>
    </row>
    <row r="126" spans="2:26" s="185" customFormat="1">
      <c r="B126" s="88" t="s">
        <v>360</v>
      </c>
      <c r="C126" s="80" t="s">
        <v>361</v>
      </c>
      <c r="D126" s="80" t="s">
        <v>362</v>
      </c>
      <c r="E126" s="100" t="s">
        <v>1649</v>
      </c>
      <c r="F126" s="101" t="s">
        <v>2455</v>
      </c>
      <c r="G126" s="101">
        <v>0</v>
      </c>
      <c r="H126" s="88"/>
      <c r="I126" s="80"/>
      <c r="J126" s="80"/>
      <c r="K126" s="80"/>
      <c r="L126" s="80"/>
      <c r="M126" s="80"/>
      <c r="N126" s="80"/>
      <c r="O126" s="100" t="s">
        <v>1649</v>
      </c>
      <c r="P126" s="101" t="s">
        <v>2456</v>
      </c>
      <c r="Q126" s="101">
        <v>0</v>
      </c>
      <c r="R126" s="88"/>
      <c r="S126" s="80"/>
      <c r="T126" s="80"/>
      <c r="U126" s="80"/>
      <c r="V126" s="80"/>
      <c r="W126" s="80"/>
      <c r="X126" s="80"/>
      <c r="Y126" s="88" t="s">
        <v>1905</v>
      </c>
      <c r="Z126" s="80" t="s">
        <v>2442</v>
      </c>
    </row>
    <row r="127" spans="2:26" s="185" customFormat="1">
      <c r="B127" s="88" t="s">
        <v>364</v>
      </c>
      <c r="C127" s="80" t="s">
        <v>365</v>
      </c>
      <c r="D127" s="80" t="s">
        <v>366</v>
      </c>
      <c r="E127" s="100" t="s">
        <v>1649</v>
      </c>
      <c r="F127" s="101" t="s">
        <v>2457</v>
      </c>
      <c r="G127" s="101">
        <v>0</v>
      </c>
      <c r="H127" s="88"/>
      <c r="I127" s="80"/>
      <c r="J127" s="80"/>
      <c r="K127" s="80"/>
      <c r="L127" s="80"/>
      <c r="M127" s="80"/>
      <c r="N127" s="80"/>
      <c r="O127" s="100" t="s">
        <v>1649</v>
      </c>
      <c r="P127" s="101" t="s">
        <v>2458</v>
      </c>
      <c r="Q127" s="101">
        <v>0</v>
      </c>
      <c r="R127" s="88"/>
      <c r="S127" s="80"/>
      <c r="T127" s="80"/>
      <c r="U127" s="80"/>
      <c r="V127" s="80"/>
      <c r="W127" s="80"/>
      <c r="X127" s="80"/>
      <c r="Y127" s="88" t="s">
        <v>1905</v>
      </c>
      <c r="Z127" s="80" t="s">
        <v>2442</v>
      </c>
    </row>
    <row r="128" spans="2:26" s="185" customFormat="1">
      <c r="B128" s="88" t="s">
        <v>369</v>
      </c>
      <c r="C128" s="80" t="s">
        <v>370</v>
      </c>
      <c r="D128" s="80" t="s">
        <v>371</v>
      </c>
      <c r="E128" s="100" t="s">
        <v>1649</v>
      </c>
      <c r="F128" s="101" t="s">
        <v>2459</v>
      </c>
      <c r="G128" s="101">
        <v>0</v>
      </c>
      <c r="H128" s="88"/>
      <c r="I128" s="80"/>
      <c r="J128" s="80"/>
      <c r="K128" s="80"/>
      <c r="L128" s="80"/>
      <c r="M128" s="80"/>
      <c r="N128" s="80"/>
      <c r="O128" s="100" t="s">
        <v>1649</v>
      </c>
      <c r="P128" s="101" t="s">
        <v>2460</v>
      </c>
      <c r="Q128" s="101">
        <v>0</v>
      </c>
      <c r="R128" s="88"/>
      <c r="S128" s="80"/>
      <c r="T128" s="80"/>
      <c r="U128" s="80"/>
      <c r="V128" s="80"/>
      <c r="W128" s="80"/>
      <c r="X128" s="80"/>
      <c r="Y128" s="88" t="s">
        <v>1905</v>
      </c>
      <c r="Z128" s="80" t="s">
        <v>2442</v>
      </c>
    </row>
    <row r="129" spans="2:26" s="185" customFormat="1">
      <c r="B129" s="88" t="s">
        <v>375</v>
      </c>
      <c r="C129" s="80" t="s">
        <v>376</v>
      </c>
      <c r="D129" s="80" t="s">
        <v>377</v>
      </c>
      <c r="E129" s="100" t="s">
        <v>1649</v>
      </c>
      <c r="F129" s="101" t="s">
        <v>2461</v>
      </c>
      <c r="G129" s="101">
        <v>0</v>
      </c>
      <c r="H129" s="88"/>
      <c r="I129" s="80"/>
      <c r="J129" s="80"/>
      <c r="K129" s="80"/>
      <c r="L129" s="80"/>
      <c r="M129" s="80"/>
      <c r="N129" s="80"/>
      <c r="O129" s="100" t="s">
        <v>1649</v>
      </c>
      <c r="P129" s="101" t="s">
        <v>2462</v>
      </c>
      <c r="Q129" s="101">
        <v>0</v>
      </c>
      <c r="R129" s="88"/>
      <c r="S129" s="80"/>
      <c r="T129" s="80"/>
      <c r="U129" s="80"/>
      <c r="V129" s="80"/>
      <c r="W129" s="80"/>
      <c r="X129" s="80"/>
      <c r="Y129" s="88" t="s">
        <v>1905</v>
      </c>
      <c r="Z129" s="80" t="s">
        <v>2442</v>
      </c>
    </row>
    <row r="130" spans="2:26" s="185" customFormat="1">
      <c r="B130" s="88" t="s">
        <v>379</v>
      </c>
      <c r="C130" s="80" t="s">
        <v>380</v>
      </c>
      <c r="D130" s="80" t="s">
        <v>381</v>
      </c>
      <c r="E130" s="100" t="s">
        <v>1649</v>
      </c>
      <c r="F130" s="101" t="s">
        <v>2463</v>
      </c>
      <c r="G130" s="101">
        <v>0</v>
      </c>
      <c r="H130" s="88"/>
      <c r="I130" s="80"/>
      <c r="J130" s="80"/>
      <c r="K130" s="80"/>
      <c r="L130" s="80"/>
      <c r="M130" s="80"/>
      <c r="N130" s="80"/>
      <c r="O130" s="100" t="s">
        <v>1649</v>
      </c>
      <c r="P130" s="101" t="s">
        <v>2464</v>
      </c>
      <c r="Q130" s="101">
        <v>0</v>
      </c>
      <c r="R130" s="88"/>
      <c r="S130" s="80"/>
      <c r="T130" s="80"/>
      <c r="U130" s="80"/>
      <c r="V130" s="80"/>
      <c r="W130" s="80"/>
      <c r="X130" s="80"/>
      <c r="Y130" s="88" t="s">
        <v>1905</v>
      </c>
      <c r="Z130" s="80" t="s">
        <v>2442</v>
      </c>
    </row>
    <row r="131" spans="2:26" s="185" customFormat="1">
      <c r="B131" s="88" t="s">
        <v>384</v>
      </c>
      <c r="C131" s="80" t="s">
        <v>385</v>
      </c>
      <c r="D131" s="80" t="s">
        <v>386</v>
      </c>
      <c r="E131" s="100" t="s">
        <v>1649</v>
      </c>
      <c r="F131" s="101" t="s">
        <v>2465</v>
      </c>
      <c r="G131" s="101">
        <v>0</v>
      </c>
      <c r="H131" s="88"/>
      <c r="I131" s="80"/>
      <c r="J131" s="80"/>
      <c r="K131" s="80"/>
      <c r="L131" s="80"/>
      <c r="M131" s="80"/>
      <c r="N131" s="80"/>
      <c r="O131" s="100" t="s">
        <v>1649</v>
      </c>
      <c r="P131" s="101" t="s">
        <v>2466</v>
      </c>
      <c r="Q131" s="101">
        <v>0</v>
      </c>
      <c r="R131" s="88"/>
      <c r="S131" s="80"/>
      <c r="T131" s="80"/>
      <c r="U131" s="80"/>
      <c r="V131" s="80"/>
      <c r="W131" s="80"/>
      <c r="X131" s="80"/>
      <c r="Y131" s="88" t="s">
        <v>1905</v>
      </c>
      <c r="Z131" s="80" t="s">
        <v>2442</v>
      </c>
    </row>
    <row r="132" spans="2:26" s="185" customFormat="1">
      <c r="B132" s="88" t="s">
        <v>388</v>
      </c>
      <c r="C132" s="80" t="s">
        <v>389</v>
      </c>
      <c r="D132" s="80" t="s">
        <v>390</v>
      </c>
      <c r="E132" s="100" t="s">
        <v>1651</v>
      </c>
      <c r="F132" s="101" t="s">
        <v>2467</v>
      </c>
      <c r="G132" s="101">
        <v>0</v>
      </c>
      <c r="H132" s="88"/>
      <c r="I132" s="80" t="s">
        <v>300</v>
      </c>
      <c r="J132" s="80" t="s">
        <v>2453</v>
      </c>
      <c r="K132" s="80"/>
      <c r="L132" s="80"/>
      <c r="M132" s="80"/>
      <c r="N132" s="80"/>
      <c r="O132" s="100" t="s">
        <v>1651</v>
      </c>
      <c r="P132" s="101" t="s">
        <v>2468</v>
      </c>
      <c r="Q132" s="101">
        <v>1</v>
      </c>
      <c r="R132" s="88" t="s">
        <v>2044</v>
      </c>
      <c r="S132" s="80" t="s">
        <v>302</v>
      </c>
      <c r="T132" s="80" t="s">
        <v>2469</v>
      </c>
      <c r="U132" s="80" t="s">
        <v>2437</v>
      </c>
      <c r="V132" s="80" t="s">
        <v>2438</v>
      </c>
      <c r="W132" s="80">
        <v>6</v>
      </c>
      <c r="X132" s="80" t="s">
        <v>2439</v>
      </c>
      <c r="Y132" s="88" t="s">
        <v>1905</v>
      </c>
      <c r="Z132" s="80" t="s">
        <v>2442</v>
      </c>
    </row>
    <row r="133" spans="2:26" s="185" customFormat="1">
      <c r="B133" s="88" t="s">
        <v>393</v>
      </c>
      <c r="C133" s="80" t="s">
        <v>394</v>
      </c>
      <c r="D133" s="80" t="s">
        <v>395</v>
      </c>
      <c r="E133" s="100" t="s">
        <v>1651</v>
      </c>
      <c r="F133" s="101" t="s">
        <v>2427</v>
      </c>
      <c r="G133" s="101">
        <v>0</v>
      </c>
      <c r="H133" s="88"/>
      <c r="I133" s="80" t="s">
        <v>288</v>
      </c>
      <c r="J133" s="80" t="s">
        <v>2453</v>
      </c>
      <c r="K133" s="80"/>
      <c r="L133" s="80"/>
      <c r="M133" s="80"/>
      <c r="N133" s="80"/>
      <c r="O133" s="100" t="s">
        <v>1649</v>
      </c>
      <c r="P133" s="101" t="s">
        <v>2470</v>
      </c>
      <c r="Q133" s="101">
        <v>0</v>
      </c>
      <c r="R133" s="88"/>
      <c r="S133" s="80"/>
      <c r="T133" s="80"/>
      <c r="U133" s="80"/>
      <c r="V133" s="80"/>
      <c r="W133" s="80"/>
      <c r="X133" s="80"/>
      <c r="Y133" s="88" t="s">
        <v>1905</v>
      </c>
      <c r="Z133" s="80" t="s">
        <v>2442</v>
      </c>
    </row>
    <row r="134" spans="2:26" s="185" customFormat="1">
      <c r="B134" s="88" t="s">
        <v>398</v>
      </c>
      <c r="C134" s="80" t="s">
        <v>399</v>
      </c>
      <c r="D134" s="80" t="s">
        <v>400</v>
      </c>
      <c r="E134" s="100" t="s">
        <v>1649</v>
      </c>
      <c r="F134" s="101" t="s">
        <v>2471</v>
      </c>
      <c r="G134" s="101">
        <v>0</v>
      </c>
      <c r="H134" s="88"/>
      <c r="I134" s="80"/>
      <c r="J134" s="80"/>
      <c r="K134" s="80"/>
      <c r="L134" s="80"/>
      <c r="M134" s="80"/>
      <c r="N134" s="80"/>
      <c r="O134" s="100" t="s">
        <v>1649</v>
      </c>
      <c r="P134" s="101" t="s">
        <v>2472</v>
      </c>
      <c r="Q134" s="101">
        <v>0</v>
      </c>
      <c r="R134" s="88"/>
      <c r="S134" s="80"/>
      <c r="T134" s="80"/>
      <c r="U134" s="80"/>
      <c r="V134" s="80"/>
      <c r="W134" s="80"/>
      <c r="X134" s="80"/>
      <c r="Y134" s="88" t="s">
        <v>1905</v>
      </c>
      <c r="Z134" s="80" t="s">
        <v>2442</v>
      </c>
    </row>
    <row r="135" spans="2:26" s="185" customFormat="1">
      <c r="B135" s="88" t="s">
        <v>404</v>
      </c>
      <c r="C135" s="80" t="s">
        <v>405</v>
      </c>
      <c r="D135" s="80" t="s">
        <v>406</v>
      </c>
      <c r="E135" s="100" t="s">
        <v>1649</v>
      </c>
      <c r="F135" s="101" t="s">
        <v>2473</v>
      </c>
      <c r="G135" s="101">
        <v>0</v>
      </c>
      <c r="H135" s="88"/>
      <c r="I135" s="80"/>
      <c r="J135" s="80"/>
      <c r="K135" s="80"/>
      <c r="L135" s="80"/>
      <c r="M135" s="80"/>
      <c r="N135" s="80"/>
      <c r="O135" s="100" t="s">
        <v>1649</v>
      </c>
      <c r="P135" s="101" t="s">
        <v>2474</v>
      </c>
      <c r="Q135" s="101">
        <v>0</v>
      </c>
      <c r="R135" s="88"/>
      <c r="S135" s="80"/>
      <c r="T135" s="80"/>
      <c r="U135" s="80"/>
      <c r="V135" s="80"/>
      <c r="W135" s="80"/>
      <c r="X135" s="80"/>
      <c r="Y135" s="88" t="s">
        <v>1905</v>
      </c>
      <c r="Z135" s="80" t="s">
        <v>2442</v>
      </c>
    </row>
    <row r="136" spans="2:26" s="185" customFormat="1">
      <c r="B136" s="88" t="s">
        <v>408</v>
      </c>
      <c r="C136" s="80" t="s">
        <v>409</v>
      </c>
      <c r="D136" s="80" t="s">
        <v>410</v>
      </c>
      <c r="E136" s="100" t="s">
        <v>1649</v>
      </c>
      <c r="F136" s="101" t="s">
        <v>2475</v>
      </c>
      <c r="G136" s="101">
        <v>0</v>
      </c>
      <c r="H136" s="88"/>
      <c r="I136" s="80"/>
      <c r="J136" s="80"/>
      <c r="K136" s="80"/>
      <c r="L136" s="80"/>
      <c r="M136" s="80"/>
      <c r="N136" s="80"/>
      <c r="O136" s="100" t="s">
        <v>1649</v>
      </c>
      <c r="P136" s="101" t="s">
        <v>2476</v>
      </c>
      <c r="Q136" s="101">
        <v>0</v>
      </c>
      <c r="R136" s="88"/>
      <c r="S136" s="80"/>
      <c r="T136" s="80"/>
      <c r="U136" s="80"/>
      <c r="V136" s="80"/>
      <c r="W136" s="80"/>
      <c r="X136" s="80"/>
      <c r="Y136" s="88" t="s">
        <v>1905</v>
      </c>
      <c r="Z136" s="80" t="s">
        <v>2442</v>
      </c>
    </row>
    <row r="137" spans="2:26" s="185" customFormat="1">
      <c r="B137" s="88" t="s">
        <v>412</v>
      </c>
      <c r="C137" s="80" t="s">
        <v>413</v>
      </c>
      <c r="D137" s="80" t="s">
        <v>414</v>
      </c>
      <c r="E137" s="100" t="s">
        <v>1649</v>
      </c>
      <c r="F137" s="101" t="s">
        <v>2477</v>
      </c>
      <c r="G137" s="101">
        <v>0</v>
      </c>
      <c r="H137" s="88"/>
      <c r="I137" s="80"/>
      <c r="J137" s="80"/>
      <c r="K137" s="80"/>
      <c r="L137" s="80"/>
      <c r="M137" s="80"/>
      <c r="N137" s="80"/>
      <c r="O137" s="100" t="s">
        <v>1649</v>
      </c>
      <c r="P137" s="101" t="s">
        <v>2478</v>
      </c>
      <c r="Q137" s="101">
        <v>0</v>
      </c>
      <c r="R137" s="88"/>
      <c r="S137" s="80"/>
      <c r="T137" s="80"/>
      <c r="U137" s="80"/>
      <c r="V137" s="80"/>
      <c r="W137" s="80"/>
      <c r="X137" s="80"/>
      <c r="Y137" s="88" t="s">
        <v>1905</v>
      </c>
      <c r="Z137" s="80" t="s">
        <v>2442</v>
      </c>
    </row>
    <row r="138" spans="2:26" s="185" customFormat="1">
      <c r="B138" s="88" t="s">
        <v>417</v>
      </c>
      <c r="C138" s="80" t="s">
        <v>418</v>
      </c>
      <c r="D138" s="80" t="s">
        <v>419</v>
      </c>
      <c r="E138" s="100" t="s">
        <v>1649</v>
      </c>
      <c r="F138" s="101" t="s">
        <v>2479</v>
      </c>
      <c r="G138" s="101">
        <v>0</v>
      </c>
      <c r="H138" s="88"/>
      <c r="I138" s="80"/>
      <c r="J138" s="80"/>
      <c r="K138" s="80"/>
      <c r="L138" s="80"/>
      <c r="M138" s="80"/>
      <c r="N138" s="80"/>
      <c r="O138" s="100" t="s">
        <v>1649</v>
      </c>
      <c r="P138" s="101" t="s">
        <v>2480</v>
      </c>
      <c r="Q138" s="101">
        <v>0</v>
      </c>
      <c r="R138" s="88"/>
      <c r="S138" s="80"/>
      <c r="T138" s="80"/>
      <c r="U138" s="80"/>
      <c r="V138" s="80"/>
      <c r="W138" s="80"/>
      <c r="X138" s="80"/>
      <c r="Y138" s="88" t="s">
        <v>1905</v>
      </c>
      <c r="Z138" s="80" t="s">
        <v>2442</v>
      </c>
    </row>
    <row r="139" spans="2:26" s="185" customFormat="1">
      <c r="B139" s="88" t="s">
        <v>423</v>
      </c>
      <c r="C139" s="80" t="s">
        <v>424</v>
      </c>
      <c r="D139" s="80" t="s">
        <v>425</v>
      </c>
      <c r="E139" s="100" t="s">
        <v>1649</v>
      </c>
      <c r="F139" s="101" t="s">
        <v>2481</v>
      </c>
      <c r="G139" s="101">
        <v>0</v>
      </c>
      <c r="H139" s="88"/>
      <c r="I139" s="80"/>
      <c r="J139" s="80"/>
      <c r="K139" s="80"/>
      <c r="L139" s="80"/>
      <c r="M139" s="80"/>
      <c r="N139" s="80"/>
      <c r="O139" s="100" t="s">
        <v>1649</v>
      </c>
      <c r="P139" s="101" t="s">
        <v>2482</v>
      </c>
      <c r="Q139" s="101">
        <v>0</v>
      </c>
      <c r="R139" s="88"/>
      <c r="S139" s="80"/>
      <c r="T139" s="80"/>
      <c r="U139" s="80"/>
      <c r="V139" s="80"/>
      <c r="W139" s="80"/>
      <c r="X139" s="80"/>
      <c r="Y139" s="88" t="s">
        <v>1905</v>
      </c>
      <c r="Z139" s="80" t="s">
        <v>2442</v>
      </c>
    </row>
    <row r="140" spans="2:26" s="185" customFormat="1">
      <c r="B140" s="88" t="s">
        <v>427</v>
      </c>
      <c r="C140" s="80" t="s">
        <v>428</v>
      </c>
      <c r="D140" s="80" t="s">
        <v>429</v>
      </c>
      <c r="E140" s="100" t="s">
        <v>1649</v>
      </c>
      <c r="F140" s="101" t="s">
        <v>2483</v>
      </c>
      <c r="G140" s="101">
        <v>0</v>
      </c>
      <c r="H140" s="88"/>
      <c r="I140" s="80"/>
      <c r="J140" s="80"/>
      <c r="K140" s="80"/>
      <c r="L140" s="80"/>
      <c r="M140" s="80"/>
      <c r="N140" s="80"/>
      <c r="O140" s="100" t="s">
        <v>1649</v>
      </c>
      <c r="P140" s="101" t="s">
        <v>2484</v>
      </c>
      <c r="Q140" s="101">
        <v>0</v>
      </c>
      <c r="R140" s="88"/>
      <c r="S140" s="80"/>
      <c r="T140" s="80"/>
      <c r="U140" s="80"/>
      <c r="V140" s="80"/>
      <c r="W140" s="80"/>
      <c r="X140" s="80"/>
      <c r="Y140" s="88" t="s">
        <v>1905</v>
      </c>
      <c r="Z140" s="80" t="s">
        <v>2442</v>
      </c>
    </row>
    <row r="141" spans="2:26" s="185" customFormat="1">
      <c r="B141" s="88" t="s">
        <v>432</v>
      </c>
      <c r="C141" s="80" t="s">
        <v>433</v>
      </c>
      <c r="D141" s="80" t="s">
        <v>434</v>
      </c>
      <c r="E141" s="100" t="s">
        <v>1649</v>
      </c>
      <c r="F141" s="101" t="s">
        <v>2485</v>
      </c>
      <c r="G141" s="101">
        <v>0</v>
      </c>
      <c r="H141" s="88"/>
      <c r="I141" s="80"/>
      <c r="J141" s="80"/>
      <c r="K141" s="80"/>
      <c r="L141" s="80"/>
      <c r="M141" s="80"/>
      <c r="N141" s="80"/>
      <c r="O141" s="100" t="s">
        <v>1649</v>
      </c>
      <c r="P141" s="101" t="s">
        <v>2486</v>
      </c>
      <c r="Q141" s="101">
        <v>0</v>
      </c>
      <c r="R141" s="88"/>
      <c r="S141" s="80"/>
      <c r="T141" s="80"/>
      <c r="U141" s="80"/>
      <c r="V141" s="80"/>
      <c r="W141" s="80"/>
      <c r="X141" s="80"/>
      <c r="Y141" s="88" t="s">
        <v>1905</v>
      </c>
      <c r="Z141" s="80" t="s">
        <v>2442</v>
      </c>
    </row>
    <row r="142" spans="2:26" s="185" customFormat="1">
      <c r="B142" s="88" t="s">
        <v>436</v>
      </c>
      <c r="C142" s="80" t="s">
        <v>437</v>
      </c>
      <c r="D142" s="80" t="s">
        <v>438</v>
      </c>
      <c r="E142" s="100" t="s">
        <v>1649</v>
      </c>
      <c r="F142" s="101" t="s">
        <v>2487</v>
      </c>
      <c r="G142" s="101">
        <v>0</v>
      </c>
      <c r="H142" s="88"/>
      <c r="I142" s="80"/>
      <c r="J142" s="80"/>
      <c r="K142" s="80"/>
      <c r="L142" s="80"/>
      <c r="M142" s="80"/>
      <c r="N142" s="80"/>
      <c r="O142" s="100" t="s">
        <v>1649</v>
      </c>
      <c r="P142" s="101" t="s">
        <v>2488</v>
      </c>
      <c r="Q142" s="101">
        <v>0</v>
      </c>
      <c r="R142" s="88"/>
      <c r="S142" s="80"/>
      <c r="T142" s="80"/>
      <c r="U142" s="80"/>
      <c r="V142" s="80"/>
      <c r="W142" s="80"/>
      <c r="X142" s="80"/>
      <c r="Y142" s="88" t="s">
        <v>1905</v>
      </c>
      <c r="Z142" s="80" t="s">
        <v>2442</v>
      </c>
    </row>
    <row r="143" spans="2:26" s="185" customFormat="1">
      <c r="B143" s="88" t="s">
        <v>440</v>
      </c>
      <c r="C143" s="80" t="s">
        <v>441</v>
      </c>
      <c r="D143" s="80" t="s">
        <v>442</v>
      </c>
      <c r="E143" s="100" t="s">
        <v>1651</v>
      </c>
      <c r="F143" s="101" t="s">
        <v>2428</v>
      </c>
      <c r="G143" s="101">
        <v>0</v>
      </c>
      <c r="H143" s="88"/>
      <c r="I143" s="80" t="s">
        <v>292</v>
      </c>
      <c r="J143" s="80" t="s">
        <v>2453</v>
      </c>
      <c r="K143" s="80"/>
      <c r="L143" s="80"/>
      <c r="M143" s="80"/>
      <c r="N143" s="80"/>
      <c r="O143" s="100" t="s">
        <v>1651</v>
      </c>
      <c r="P143" s="101" t="s">
        <v>2429</v>
      </c>
      <c r="Q143" s="101">
        <v>0</v>
      </c>
      <c r="R143" s="88"/>
      <c r="S143" s="80" t="s">
        <v>232</v>
      </c>
      <c r="T143" s="80" t="s">
        <v>2453</v>
      </c>
      <c r="U143" s="80"/>
      <c r="V143" s="80"/>
      <c r="W143" s="80"/>
      <c r="X143" s="80"/>
      <c r="Y143" s="88" t="s">
        <v>1905</v>
      </c>
      <c r="Z143" s="80" t="s">
        <v>2442</v>
      </c>
    </row>
    <row r="144" spans="2:26" s="185" customFormat="1">
      <c r="B144" s="88" t="s">
        <v>444</v>
      </c>
      <c r="C144" s="80" t="s">
        <v>445</v>
      </c>
      <c r="D144" s="80" t="s">
        <v>446</v>
      </c>
      <c r="E144" s="100" t="s">
        <v>1649</v>
      </c>
      <c r="F144" s="101" t="s">
        <v>2489</v>
      </c>
      <c r="G144" s="101">
        <v>0</v>
      </c>
      <c r="H144" s="88"/>
      <c r="I144" s="80"/>
      <c r="J144" s="80"/>
      <c r="K144" s="80"/>
      <c r="L144" s="80"/>
      <c r="M144" s="80"/>
      <c r="N144" s="80"/>
      <c r="O144" s="100" t="s">
        <v>1649</v>
      </c>
      <c r="P144" s="101" t="s">
        <v>2490</v>
      </c>
      <c r="Q144" s="101">
        <v>0</v>
      </c>
      <c r="R144" s="88"/>
      <c r="S144" s="80"/>
      <c r="T144" s="80"/>
      <c r="U144" s="80"/>
      <c r="V144" s="80"/>
      <c r="W144" s="80"/>
      <c r="X144" s="80"/>
      <c r="Y144" s="88" t="s">
        <v>1905</v>
      </c>
      <c r="Z144" s="80" t="s">
        <v>2442</v>
      </c>
    </row>
    <row r="145" spans="2:26" s="185" customFormat="1">
      <c r="B145" s="88" t="s">
        <v>449</v>
      </c>
      <c r="C145" s="80" t="s">
        <v>450</v>
      </c>
      <c r="D145" s="80" t="s">
        <v>451</v>
      </c>
      <c r="E145" s="100" t="s">
        <v>1651</v>
      </c>
      <c r="F145" s="101" t="s">
        <v>2430</v>
      </c>
      <c r="G145" s="101">
        <v>0</v>
      </c>
      <c r="H145" s="88"/>
      <c r="I145" s="80" t="s">
        <v>292</v>
      </c>
      <c r="J145" s="80" t="s">
        <v>2453</v>
      </c>
      <c r="K145" s="80"/>
      <c r="L145" s="80"/>
      <c r="M145" s="80"/>
      <c r="N145" s="80"/>
      <c r="O145" s="100" t="s">
        <v>1651</v>
      </c>
      <c r="P145" s="101" t="s">
        <v>2431</v>
      </c>
      <c r="Q145" s="101">
        <v>0</v>
      </c>
      <c r="R145" s="88"/>
      <c r="S145" s="80" t="s">
        <v>232</v>
      </c>
      <c r="T145" s="80" t="s">
        <v>2453</v>
      </c>
      <c r="U145" s="80"/>
      <c r="V145" s="80"/>
      <c r="W145" s="80"/>
      <c r="X145" s="80"/>
      <c r="Y145" s="88" t="s">
        <v>1905</v>
      </c>
      <c r="Z145" s="80" t="s">
        <v>2442</v>
      </c>
    </row>
    <row r="146" spans="2:26" s="185" customFormat="1">
      <c r="B146" s="88" t="s">
        <v>453</v>
      </c>
      <c r="C146" s="80" t="s">
        <v>454</v>
      </c>
      <c r="D146" s="80" t="s">
        <v>455</v>
      </c>
      <c r="E146" s="100" t="s">
        <v>1649</v>
      </c>
      <c r="F146" s="101" t="s">
        <v>2491</v>
      </c>
      <c r="G146" s="101">
        <v>0</v>
      </c>
      <c r="H146" s="88"/>
      <c r="I146" s="80"/>
      <c r="J146" s="80"/>
      <c r="K146" s="80"/>
      <c r="L146" s="80"/>
      <c r="M146" s="80"/>
      <c r="N146" s="80"/>
      <c r="O146" s="100" t="s">
        <v>1649</v>
      </c>
      <c r="P146" s="101" t="s">
        <v>2492</v>
      </c>
      <c r="Q146" s="101">
        <v>0</v>
      </c>
      <c r="R146" s="88"/>
      <c r="S146" s="80"/>
      <c r="T146" s="80"/>
      <c r="U146" s="80"/>
      <c r="V146" s="80"/>
      <c r="W146" s="80"/>
      <c r="X146" s="80"/>
      <c r="Y146" s="88" t="s">
        <v>1905</v>
      </c>
      <c r="Z146" s="80" t="s">
        <v>2442</v>
      </c>
    </row>
    <row r="147" spans="2:26" s="185" customFormat="1">
      <c r="B147" s="88" t="s">
        <v>457</v>
      </c>
      <c r="C147" s="80" t="s">
        <v>458</v>
      </c>
      <c r="D147" s="80" t="s">
        <v>459</v>
      </c>
      <c r="E147" s="100" t="s">
        <v>1649</v>
      </c>
      <c r="F147" s="101" t="s">
        <v>2493</v>
      </c>
      <c r="G147" s="101">
        <v>0</v>
      </c>
      <c r="H147" s="88"/>
      <c r="I147" s="80"/>
      <c r="J147" s="80"/>
      <c r="K147" s="80"/>
      <c r="L147" s="80"/>
      <c r="M147" s="80"/>
      <c r="N147" s="80"/>
      <c r="O147" s="100" t="s">
        <v>1649</v>
      </c>
      <c r="P147" s="101" t="s">
        <v>2494</v>
      </c>
      <c r="Q147" s="101">
        <v>0</v>
      </c>
      <c r="R147" s="88"/>
      <c r="S147" s="80"/>
      <c r="T147" s="80"/>
      <c r="U147" s="80"/>
      <c r="V147" s="80"/>
      <c r="W147" s="80"/>
      <c r="X147" s="80"/>
      <c r="Y147" s="88" t="s">
        <v>1905</v>
      </c>
      <c r="Z147" s="80" t="s">
        <v>2442</v>
      </c>
    </row>
    <row r="148" spans="2:26" s="185" customFormat="1">
      <c r="B148" s="88" t="s">
        <v>461</v>
      </c>
      <c r="C148" s="80" t="s">
        <v>462</v>
      </c>
      <c r="D148" s="80" t="s">
        <v>463</v>
      </c>
      <c r="E148" s="100" t="s">
        <v>1649</v>
      </c>
      <c r="F148" s="101" t="s">
        <v>2495</v>
      </c>
      <c r="G148" s="101">
        <v>0</v>
      </c>
      <c r="H148" s="88"/>
      <c r="I148" s="80"/>
      <c r="J148" s="80"/>
      <c r="K148" s="80"/>
      <c r="L148" s="80"/>
      <c r="M148" s="80"/>
      <c r="N148" s="80"/>
      <c r="O148" s="100" t="s">
        <v>1649</v>
      </c>
      <c r="P148" s="101" t="s">
        <v>2496</v>
      </c>
      <c r="Q148" s="101">
        <v>0</v>
      </c>
      <c r="R148" s="88"/>
      <c r="S148" s="80"/>
      <c r="T148" s="80"/>
      <c r="U148" s="80"/>
      <c r="V148" s="80"/>
      <c r="W148" s="80"/>
      <c r="X148" s="80"/>
      <c r="Y148" s="88" t="s">
        <v>1905</v>
      </c>
      <c r="Z148" s="80" t="s">
        <v>2442</v>
      </c>
    </row>
    <row r="149" spans="2:26" s="185" customFormat="1">
      <c r="B149" s="88" t="s">
        <v>466</v>
      </c>
      <c r="C149" s="80" t="s">
        <v>467</v>
      </c>
      <c r="D149" s="80" t="s">
        <v>468</v>
      </c>
      <c r="E149" s="100" t="s">
        <v>1649</v>
      </c>
      <c r="F149" s="101" t="s">
        <v>2497</v>
      </c>
      <c r="G149" s="101">
        <v>0</v>
      </c>
      <c r="H149" s="88"/>
      <c r="I149" s="80"/>
      <c r="J149" s="80"/>
      <c r="K149" s="80"/>
      <c r="L149" s="80"/>
      <c r="M149" s="80"/>
      <c r="N149" s="80"/>
      <c r="O149" s="100" t="s">
        <v>1649</v>
      </c>
      <c r="P149" s="101" t="s">
        <v>2498</v>
      </c>
      <c r="Q149" s="101">
        <v>0</v>
      </c>
      <c r="R149" s="88"/>
      <c r="S149" s="80"/>
      <c r="T149" s="80"/>
      <c r="U149" s="80"/>
      <c r="V149" s="80"/>
      <c r="W149" s="80"/>
      <c r="X149" s="80"/>
      <c r="Y149" s="88" t="s">
        <v>1905</v>
      </c>
      <c r="Z149" s="80" t="s">
        <v>2442</v>
      </c>
    </row>
    <row r="150" spans="2:26" s="185" customFormat="1">
      <c r="B150" s="88" t="s">
        <v>471</v>
      </c>
      <c r="C150" s="80" t="s">
        <v>472</v>
      </c>
      <c r="D150" s="80" t="s">
        <v>473</v>
      </c>
      <c r="E150" s="100" t="s">
        <v>1649</v>
      </c>
      <c r="F150" s="101" t="s">
        <v>2499</v>
      </c>
      <c r="G150" s="101">
        <v>0</v>
      </c>
      <c r="H150" s="88"/>
      <c r="I150" s="80"/>
      <c r="J150" s="80"/>
      <c r="K150" s="80"/>
      <c r="L150" s="80"/>
      <c r="M150" s="80"/>
      <c r="N150" s="80"/>
      <c r="O150" s="100" t="s">
        <v>1649</v>
      </c>
      <c r="P150" s="101" t="s">
        <v>2500</v>
      </c>
      <c r="Q150" s="101">
        <v>0</v>
      </c>
      <c r="R150" s="88"/>
      <c r="S150" s="80"/>
      <c r="T150" s="80"/>
      <c r="U150" s="80"/>
      <c r="V150" s="80"/>
      <c r="W150" s="80"/>
      <c r="X150" s="80"/>
      <c r="Y150" s="88" t="s">
        <v>1905</v>
      </c>
      <c r="Z150" s="80" t="s">
        <v>2442</v>
      </c>
    </row>
    <row r="151" spans="2:26" s="185" customFormat="1">
      <c r="B151" s="88" t="s">
        <v>475</v>
      </c>
      <c r="C151" s="80" t="s">
        <v>476</v>
      </c>
      <c r="D151" s="80" t="s">
        <v>477</v>
      </c>
      <c r="E151" s="100" t="s">
        <v>1649</v>
      </c>
      <c r="F151" s="101" t="s">
        <v>2501</v>
      </c>
      <c r="G151" s="101">
        <v>0</v>
      </c>
      <c r="H151" s="88"/>
      <c r="I151" s="80"/>
      <c r="J151" s="80"/>
      <c r="K151" s="80"/>
      <c r="L151" s="80"/>
      <c r="M151" s="80"/>
      <c r="N151" s="80"/>
      <c r="O151" s="100" t="s">
        <v>1649</v>
      </c>
      <c r="P151" s="101" t="s">
        <v>2502</v>
      </c>
      <c r="Q151" s="101">
        <v>0</v>
      </c>
      <c r="R151" s="88"/>
      <c r="S151" s="80"/>
      <c r="T151" s="80"/>
      <c r="U151" s="80"/>
      <c r="V151" s="80"/>
      <c r="W151" s="80"/>
      <c r="X151" s="80"/>
      <c r="Y151" s="88" t="s">
        <v>1905</v>
      </c>
      <c r="Z151" s="80" t="s">
        <v>2442</v>
      </c>
    </row>
    <row r="152" spans="2:26" s="185" customFormat="1">
      <c r="B152" s="88" t="s">
        <v>480</v>
      </c>
      <c r="C152" s="80" t="s">
        <v>481</v>
      </c>
      <c r="D152" s="80" t="s">
        <v>482</v>
      </c>
      <c r="E152" s="100" t="s">
        <v>1649</v>
      </c>
      <c r="F152" s="101" t="s">
        <v>2503</v>
      </c>
      <c r="G152" s="101">
        <v>0</v>
      </c>
      <c r="H152" s="88"/>
      <c r="I152" s="80"/>
      <c r="J152" s="80"/>
      <c r="K152" s="80"/>
      <c r="L152" s="80"/>
      <c r="M152" s="80"/>
      <c r="N152" s="80"/>
      <c r="O152" s="100" t="s">
        <v>1649</v>
      </c>
      <c r="P152" s="101" t="s">
        <v>2504</v>
      </c>
      <c r="Q152" s="101">
        <v>0</v>
      </c>
      <c r="R152" s="88"/>
      <c r="S152" s="80"/>
      <c r="T152" s="80"/>
      <c r="U152" s="80"/>
      <c r="V152" s="80"/>
      <c r="W152" s="80"/>
      <c r="X152" s="80"/>
      <c r="Y152" s="88" t="s">
        <v>1905</v>
      </c>
      <c r="Z152" s="80" t="s">
        <v>2442</v>
      </c>
    </row>
    <row r="153" spans="2:26" s="185" customFormat="1">
      <c r="B153" s="88" t="s">
        <v>485</v>
      </c>
      <c r="C153" s="80" t="s">
        <v>486</v>
      </c>
      <c r="D153" s="80" t="s">
        <v>487</v>
      </c>
      <c r="E153" s="100" t="s">
        <v>1651</v>
      </c>
      <c r="F153" s="101" t="s">
        <v>2505</v>
      </c>
      <c r="G153" s="101">
        <v>0</v>
      </c>
      <c r="H153" s="88"/>
      <c r="I153" s="80" t="s">
        <v>292</v>
      </c>
      <c r="J153" s="80" t="s">
        <v>2453</v>
      </c>
      <c r="K153" s="80"/>
      <c r="L153" s="80"/>
      <c r="M153" s="80"/>
      <c r="N153" s="80"/>
      <c r="O153" s="100" t="s">
        <v>1651</v>
      </c>
      <c r="P153" s="101" t="s">
        <v>2432</v>
      </c>
      <c r="Q153" s="101">
        <v>0</v>
      </c>
      <c r="R153" s="88"/>
      <c r="S153" s="80" t="s">
        <v>2433</v>
      </c>
      <c r="T153" s="80" t="s">
        <v>2506</v>
      </c>
      <c r="U153" s="80"/>
      <c r="V153" s="80"/>
      <c r="W153" s="80"/>
      <c r="X153" s="80"/>
      <c r="Y153" s="88" t="s">
        <v>1905</v>
      </c>
      <c r="Z153" s="80" t="s">
        <v>2442</v>
      </c>
    </row>
    <row r="154" spans="2:26" s="185" customFormat="1">
      <c r="B154" s="88" t="s">
        <v>490</v>
      </c>
      <c r="C154" s="80" t="s">
        <v>491</v>
      </c>
      <c r="D154" s="80" t="s">
        <v>492</v>
      </c>
      <c r="E154" s="100" t="s">
        <v>1649</v>
      </c>
      <c r="F154" s="101" t="s">
        <v>2507</v>
      </c>
      <c r="G154" s="101">
        <v>0</v>
      </c>
      <c r="H154" s="88"/>
      <c r="I154" s="80"/>
      <c r="J154" s="80"/>
      <c r="K154" s="80"/>
      <c r="L154" s="80"/>
      <c r="M154" s="80"/>
      <c r="N154" s="80"/>
      <c r="O154" s="100" t="s">
        <v>1649</v>
      </c>
      <c r="P154" s="101" t="s">
        <v>2508</v>
      </c>
      <c r="Q154" s="101">
        <v>0</v>
      </c>
      <c r="R154" s="88"/>
      <c r="S154" s="80"/>
      <c r="T154" s="80"/>
      <c r="U154" s="80"/>
      <c r="V154" s="80"/>
      <c r="W154" s="80"/>
      <c r="X154" s="80"/>
      <c r="Y154" s="88" t="s">
        <v>1905</v>
      </c>
      <c r="Z154" s="80" t="s">
        <v>2442</v>
      </c>
    </row>
    <row r="155" spans="2:26" s="185" customFormat="1">
      <c r="B155" s="88" t="s">
        <v>495</v>
      </c>
      <c r="C155" s="80" t="s">
        <v>496</v>
      </c>
      <c r="D155" s="80" t="s">
        <v>497</v>
      </c>
      <c r="E155" s="100" t="s">
        <v>1651</v>
      </c>
      <c r="F155" s="101" t="s">
        <v>2434</v>
      </c>
      <c r="G155" s="101">
        <v>0</v>
      </c>
      <c r="H155" s="88"/>
      <c r="I155" s="80" t="s">
        <v>2435</v>
      </c>
      <c r="J155" s="80" t="s">
        <v>2453</v>
      </c>
      <c r="K155" s="80"/>
      <c r="L155" s="80"/>
      <c r="M155" s="80"/>
      <c r="N155" s="80"/>
      <c r="O155" s="100" t="s">
        <v>1651</v>
      </c>
      <c r="P155" s="101" t="s">
        <v>2509</v>
      </c>
      <c r="Q155" s="101">
        <v>0</v>
      </c>
      <c r="R155" s="88"/>
      <c r="S155" s="80" t="s">
        <v>232</v>
      </c>
      <c r="T155" s="80" t="s">
        <v>2453</v>
      </c>
      <c r="U155" s="80"/>
      <c r="V155" s="80"/>
      <c r="W155" s="80"/>
      <c r="X155" s="80"/>
      <c r="Y155" s="88" t="s">
        <v>1905</v>
      </c>
      <c r="Z155" s="80" t="s">
        <v>2442</v>
      </c>
    </row>
    <row r="156" spans="2:26" s="185" customFormat="1">
      <c r="B156" s="88" t="s">
        <v>500</v>
      </c>
      <c r="C156" s="80" t="s">
        <v>501</v>
      </c>
      <c r="D156" s="80" t="s">
        <v>502</v>
      </c>
      <c r="E156" s="100" t="s">
        <v>1649</v>
      </c>
      <c r="F156" s="101" t="s">
        <v>2510</v>
      </c>
      <c r="G156" s="101">
        <v>0</v>
      </c>
      <c r="H156" s="88"/>
      <c r="I156" s="80"/>
      <c r="J156" s="80"/>
      <c r="K156" s="80"/>
      <c r="L156" s="80"/>
      <c r="M156" s="80"/>
      <c r="N156" s="80"/>
      <c r="O156" s="100" t="s">
        <v>1649</v>
      </c>
      <c r="P156" s="101" t="s">
        <v>2511</v>
      </c>
      <c r="Q156" s="101">
        <v>0</v>
      </c>
      <c r="R156" s="88"/>
      <c r="S156" s="80"/>
      <c r="T156" s="80"/>
      <c r="U156" s="80"/>
      <c r="V156" s="80"/>
      <c r="W156" s="80"/>
      <c r="X156" s="80"/>
      <c r="Y156" s="88" t="s">
        <v>1905</v>
      </c>
      <c r="Z156" s="80" t="s">
        <v>2442</v>
      </c>
    </row>
    <row r="157" spans="2:26" s="185" customFormat="1">
      <c r="B157" s="88" t="s">
        <v>505</v>
      </c>
      <c r="C157" s="80" t="s">
        <v>506</v>
      </c>
      <c r="D157" s="80" t="s">
        <v>507</v>
      </c>
      <c r="E157" s="100" t="s">
        <v>1649</v>
      </c>
      <c r="F157" s="101" t="s">
        <v>2512</v>
      </c>
      <c r="G157" s="101">
        <v>0</v>
      </c>
      <c r="H157" s="88"/>
      <c r="I157" s="80"/>
      <c r="J157" s="80"/>
      <c r="K157" s="80"/>
      <c r="L157" s="80"/>
      <c r="M157" s="80"/>
      <c r="N157" s="80"/>
      <c r="O157" s="100" t="s">
        <v>1649</v>
      </c>
      <c r="P157" s="101" t="s">
        <v>2513</v>
      </c>
      <c r="Q157" s="101">
        <v>0</v>
      </c>
      <c r="R157" s="88"/>
      <c r="S157" s="80"/>
      <c r="T157" s="80"/>
      <c r="U157" s="80"/>
      <c r="V157" s="80"/>
      <c r="W157" s="80"/>
      <c r="X157" s="80"/>
      <c r="Y157" s="88" t="s">
        <v>1905</v>
      </c>
      <c r="Z157" s="80" t="s">
        <v>2442</v>
      </c>
    </row>
    <row r="158" spans="2:26" s="185" customFormat="1">
      <c r="B158" s="88" t="s">
        <v>509</v>
      </c>
      <c r="C158" s="80" t="s">
        <v>510</v>
      </c>
      <c r="D158" s="80" t="s">
        <v>511</v>
      </c>
      <c r="E158" s="100" t="s">
        <v>1649</v>
      </c>
      <c r="F158" s="101" t="s">
        <v>2514</v>
      </c>
      <c r="G158" s="101">
        <v>0</v>
      </c>
      <c r="H158" s="88"/>
      <c r="I158" s="80"/>
      <c r="J158" s="80"/>
      <c r="K158" s="80"/>
      <c r="L158" s="80"/>
      <c r="M158" s="80"/>
      <c r="N158" s="80"/>
      <c r="O158" s="100" t="s">
        <v>1649</v>
      </c>
      <c r="P158" s="101" t="s">
        <v>2515</v>
      </c>
      <c r="Q158" s="101">
        <v>0</v>
      </c>
      <c r="R158" s="88"/>
      <c r="S158" s="80"/>
      <c r="T158" s="80"/>
      <c r="U158" s="80"/>
      <c r="V158" s="80"/>
      <c r="W158" s="80"/>
      <c r="X158" s="80"/>
      <c r="Y158" s="88" t="s">
        <v>1905</v>
      </c>
      <c r="Z158" s="80" t="s">
        <v>2442</v>
      </c>
    </row>
    <row r="159" spans="2:26" s="185" customFormat="1">
      <c r="B159" s="88" t="s">
        <v>513</v>
      </c>
      <c r="C159" s="80" t="s">
        <v>514</v>
      </c>
      <c r="D159" s="80" t="s">
        <v>515</v>
      </c>
      <c r="E159" s="100" t="s">
        <v>1649</v>
      </c>
      <c r="F159" s="101" t="s">
        <v>2516</v>
      </c>
      <c r="G159" s="101">
        <v>0</v>
      </c>
      <c r="H159" s="88"/>
      <c r="I159" s="80"/>
      <c r="J159" s="80"/>
      <c r="K159" s="80"/>
      <c r="L159" s="80"/>
      <c r="M159" s="80"/>
      <c r="N159" s="80"/>
      <c r="O159" s="100" t="s">
        <v>1649</v>
      </c>
      <c r="P159" s="101" t="s">
        <v>2517</v>
      </c>
      <c r="Q159" s="101">
        <v>0</v>
      </c>
      <c r="R159" s="88"/>
      <c r="S159" s="80"/>
      <c r="T159" s="80"/>
      <c r="U159" s="80"/>
      <c r="V159" s="80"/>
      <c r="W159" s="80"/>
      <c r="X159" s="80"/>
      <c r="Y159" s="88" t="s">
        <v>1905</v>
      </c>
      <c r="Z159" s="80" t="s">
        <v>2442</v>
      </c>
    </row>
    <row r="160" spans="2:26" s="185" customFormat="1">
      <c r="B160" s="88" t="s">
        <v>517</v>
      </c>
      <c r="C160" s="80" t="s">
        <v>518</v>
      </c>
      <c r="D160" s="80" t="s">
        <v>519</v>
      </c>
      <c r="E160" s="100" t="s">
        <v>1649</v>
      </c>
      <c r="F160" s="101" t="s">
        <v>2518</v>
      </c>
      <c r="G160" s="101">
        <v>0</v>
      </c>
      <c r="H160" s="88"/>
      <c r="I160" s="80"/>
      <c r="J160" s="80"/>
      <c r="K160" s="80"/>
      <c r="L160" s="80"/>
      <c r="M160" s="80"/>
      <c r="N160" s="80"/>
      <c r="O160" s="100" t="s">
        <v>1649</v>
      </c>
      <c r="P160" s="101" t="s">
        <v>2519</v>
      </c>
      <c r="Q160" s="101">
        <v>0</v>
      </c>
      <c r="R160" s="88"/>
      <c r="S160" s="80"/>
      <c r="T160" s="80"/>
      <c r="U160" s="80"/>
      <c r="V160" s="80"/>
      <c r="W160" s="80"/>
      <c r="X160" s="80"/>
      <c r="Y160" s="88" t="s">
        <v>1905</v>
      </c>
      <c r="Z160" s="80" t="s">
        <v>2442</v>
      </c>
    </row>
    <row r="161" spans="2:36" s="185" customFormat="1">
      <c r="B161" s="88" t="s">
        <v>522</v>
      </c>
      <c r="C161" s="80" t="s">
        <v>523</v>
      </c>
      <c r="D161" s="80" t="s">
        <v>524</v>
      </c>
      <c r="E161" s="100" t="s">
        <v>1649</v>
      </c>
      <c r="F161" s="101" t="s">
        <v>2520</v>
      </c>
      <c r="G161" s="101">
        <v>0</v>
      </c>
      <c r="H161" s="88"/>
      <c r="I161" s="80"/>
      <c r="J161" s="80"/>
      <c r="K161" s="80"/>
      <c r="L161" s="80"/>
      <c r="M161" s="80"/>
      <c r="N161" s="80"/>
      <c r="O161" s="100" t="s">
        <v>1649</v>
      </c>
      <c r="P161" s="101" t="s">
        <v>2521</v>
      </c>
      <c r="Q161" s="101">
        <v>0</v>
      </c>
      <c r="R161" s="88"/>
      <c r="S161" s="80"/>
      <c r="T161" s="80"/>
      <c r="U161" s="80"/>
      <c r="V161" s="80"/>
      <c r="W161" s="80"/>
      <c r="X161" s="80"/>
      <c r="Y161" s="88" t="s">
        <v>1905</v>
      </c>
      <c r="Z161" s="80" t="s">
        <v>2442</v>
      </c>
    </row>
    <row r="162" spans="2:36" s="185" customFormat="1">
      <c r="B162" s="88" t="s">
        <v>527</v>
      </c>
      <c r="C162" s="80" t="s">
        <v>528</v>
      </c>
      <c r="D162" s="80" t="s">
        <v>529</v>
      </c>
      <c r="E162" s="100" t="s">
        <v>1649</v>
      </c>
      <c r="F162" s="101" t="s">
        <v>2522</v>
      </c>
      <c r="G162" s="101">
        <v>0</v>
      </c>
      <c r="H162" s="88"/>
      <c r="I162" s="80"/>
      <c r="J162" s="80"/>
      <c r="K162" s="80"/>
      <c r="L162" s="80"/>
      <c r="M162" s="80"/>
      <c r="N162" s="80"/>
      <c r="O162" s="100" t="s">
        <v>1649</v>
      </c>
      <c r="P162" s="101" t="s">
        <v>2523</v>
      </c>
      <c r="Q162" s="101">
        <v>0</v>
      </c>
      <c r="R162" s="88"/>
      <c r="S162" s="80"/>
      <c r="T162" s="80"/>
      <c r="U162" s="80"/>
      <c r="V162" s="80"/>
      <c r="W162" s="80"/>
      <c r="X162" s="80"/>
      <c r="Y162" s="88" t="s">
        <v>1905</v>
      </c>
      <c r="Z162" s="80" t="s">
        <v>2442</v>
      </c>
    </row>
    <row r="163" spans="2:36" s="185" customFormat="1">
      <c r="B163" s="88" t="s">
        <v>531</v>
      </c>
      <c r="C163" s="80" t="s">
        <v>532</v>
      </c>
      <c r="D163" s="80" t="s">
        <v>533</v>
      </c>
      <c r="E163" s="100" t="s">
        <v>1651</v>
      </c>
      <c r="F163" s="101" t="s">
        <v>2524</v>
      </c>
      <c r="G163" s="101">
        <v>0</v>
      </c>
      <c r="H163" s="88"/>
      <c r="I163" s="80" t="s">
        <v>2436</v>
      </c>
      <c r="J163" s="80" t="s">
        <v>2453</v>
      </c>
      <c r="K163" s="80"/>
      <c r="L163" s="80"/>
      <c r="M163" s="80"/>
      <c r="N163" s="80"/>
      <c r="O163" s="100" t="s">
        <v>1649</v>
      </c>
      <c r="P163" s="101" t="s">
        <v>2525</v>
      </c>
      <c r="Q163" s="101">
        <v>0</v>
      </c>
      <c r="R163" s="88"/>
      <c r="S163" s="80"/>
      <c r="T163" s="80"/>
      <c r="U163" s="80"/>
      <c r="V163" s="80"/>
      <c r="W163" s="80"/>
      <c r="X163" s="80"/>
      <c r="Y163" s="88" t="s">
        <v>1905</v>
      </c>
      <c r="Z163" s="80" t="s">
        <v>2442</v>
      </c>
    </row>
    <row r="164" spans="2:36" s="185" customFormat="1">
      <c r="B164" s="88" t="s">
        <v>535</v>
      </c>
      <c r="C164" s="80" t="s">
        <v>536</v>
      </c>
      <c r="D164" s="80" t="s">
        <v>537</v>
      </c>
      <c r="E164" s="100" t="s">
        <v>1649</v>
      </c>
      <c r="F164" s="101" t="s">
        <v>2526</v>
      </c>
      <c r="G164" s="101">
        <v>0</v>
      </c>
      <c r="H164" s="88"/>
      <c r="I164" s="80"/>
      <c r="J164" s="80"/>
      <c r="K164" s="80"/>
      <c r="L164" s="80"/>
      <c r="M164" s="80"/>
      <c r="N164" s="80"/>
      <c r="O164" s="100" t="s">
        <v>1649</v>
      </c>
      <c r="P164" s="101" t="s">
        <v>2527</v>
      </c>
      <c r="Q164" s="101">
        <v>0</v>
      </c>
      <c r="R164" s="88"/>
      <c r="S164" s="80"/>
      <c r="T164" s="80"/>
      <c r="U164" s="80"/>
      <c r="V164" s="80"/>
      <c r="W164" s="80"/>
      <c r="X164" s="80"/>
      <c r="Y164" s="88" t="s">
        <v>1905</v>
      </c>
      <c r="Z164" s="80" t="s">
        <v>2442</v>
      </c>
    </row>
    <row r="165" spans="2:36" s="185" customFormat="1">
      <c r="B165" s="88" t="s">
        <v>539</v>
      </c>
      <c r="C165" s="80" t="s">
        <v>540</v>
      </c>
      <c r="D165" s="80" t="s">
        <v>541</v>
      </c>
      <c r="E165" s="100" t="s">
        <v>1649</v>
      </c>
      <c r="F165" s="101" t="s">
        <v>2528</v>
      </c>
      <c r="G165" s="101">
        <v>0</v>
      </c>
      <c r="H165" s="88"/>
      <c r="I165" s="80"/>
      <c r="J165" s="80"/>
      <c r="K165" s="80"/>
      <c r="L165" s="80"/>
      <c r="M165" s="80"/>
      <c r="N165" s="80"/>
      <c r="O165" s="100" t="s">
        <v>1649</v>
      </c>
      <c r="P165" s="101" t="s">
        <v>2529</v>
      </c>
      <c r="Q165" s="101">
        <v>0</v>
      </c>
      <c r="R165" s="88"/>
      <c r="S165" s="80"/>
      <c r="T165" s="80"/>
      <c r="U165" s="80"/>
      <c r="V165" s="80"/>
      <c r="W165" s="80"/>
      <c r="X165" s="80"/>
      <c r="Y165" s="88" t="s">
        <v>1905</v>
      </c>
      <c r="Z165" s="80" t="s">
        <v>2442</v>
      </c>
    </row>
    <row r="166" spans="2:36" s="185" customFormat="1">
      <c r="B166" s="88" t="s">
        <v>543</v>
      </c>
      <c r="C166" s="80" t="s">
        <v>544</v>
      </c>
      <c r="D166" s="80" t="s">
        <v>545</v>
      </c>
      <c r="E166" s="100" t="s">
        <v>1649</v>
      </c>
      <c r="F166" s="101" t="s">
        <v>2530</v>
      </c>
      <c r="G166" s="101">
        <v>0</v>
      </c>
      <c r="H166" s="88"/>
      <c r="I166" s="80"/>
      <c r="J166" s="80"/>
      <c r="K166" s="80"/>
      <c r="L166" s="80"/>
      <c r="M166" s="80"/>
      <c r="N166" s="80"/>
      <c r="O166" s="100" t="s">
        <v>1649</v>
      </c>
      <c r="P166" s="101" t="s">
        <v>2531</v>
      </c>
      <c r="Q166" s="101">
        <v>0</v>
      </c>
      <c r="R166" s="88"/>
      <c r="S166" s="80"/>
      <c r="T166" s="80"/>
      <c r="U166" s="80"/>
      <c r="V166" s="80"/>
      <c r="W166" s="80"/>
      <c r="X166" s="80"/>
      <c r="Y166" s="88" t="s">
        <v>1905</v>
      </c>
      <c r="Z166" s="80" t="s">
        <v>2442</v>
      </c>
    </row>
    <row r="167" spans="2:36" s="185" customFormat="1">
      <c r="B167" s="88" t="s">
        <v>547</v>
      </c>
      <c r="C167" s="80" t="s">
        <v>548</v>
      </c>
      <c r="D167" s="80" t="s">
        <v>549</v>
      </c>
      <c r="E167" s="100" t="s">
        <v>1649</v>
      </c>
      <c r="F167" s="101" t="s">
        <v>2532</v>
      </c>
      <c r="G167" s="101">
        <v>0</v>
      </c>
      <c r="H167" s="88"/>
      <c r="I167" s="80"/>
      <c r="J167" s="80"/>
      <c r="K167" s="80"/>
      <c r="L167" s="80"/>
      <c r="M167" s="80"/>
      <c r="N167" s="80"/>
      <c r="O167" s="100" t="s">
        <v>1649</v>
      </c>
      <c r="P167" s="101" t="s">
        <v>2533</v>
      </c>
      <c r="Q167" s="101">
        <v>0</v>
      </c>
      <c r="R167" s="88"/>
      <c r="S167" s="80"/>
      <c r="T167" s="80"/>
      <c r="U167" s="80"/>
      <c r="V167" s="80"/>
      <c r="W167" s="80"/>
      <c r="X167" s="80"/>
      <c r="Y167" s="88" t="s">
        <v>1905</v>
      </c>
      <c r="Z167" s="80" t="s">
        <v>2442</v>
      </c>
    </row>
    <row r="168" spans="2:36" s="185" customFormat="1">
      <c r="B168" s="88" t="s">
        <v>552</v>
      </c>
      <c r="C168" s="80" t="s">
        <v>553</v>
      </c>
      <c r="D168" s="80" t="s">
        <v>554</v>
      </c>
      <c r="E168" s="100" t="s">
        <v>1649</v>
      </c>
      <c r="F168" s="101" t="s">
        <v>2534</v>
      </c>
      <c r="G168" s="101">
        <v>0</v>
      </c>
      <c r="H168" s="88"/>
      <c r="I168" s="80"/>
      <c r="J168" s="80"/>
      <c r="K168" s="80"/>
      <c r="L168" s="80"/>
      <c r="M168" s="80"/>
      <c r="N168" s="80"/>
      <c r="O168" s="100" t="s">
        <v>1649</v>
      </c>
      <c r="P168" s="101" t="s">
        <v>2535</v>
      </c>
      <c r="Q168" s="101">
        <v>0</v>
      </c>
      <c r="R168" s="88"/>
      <c r="S168" s="80"/>
      <c r="T168" s="80"/>
      <c r="U168" s="80"/>
      <c r="V168" s="80"/>
      <c r="W168" s="80"/>
      <c r="X168" s="80"/>
      <c r="Y168" s="88" t="s">
        <v>1905</v>
      </c>
      <c r="Z168" s="80" t="s">
        <v>2442</v>
      </c>
    </row>
    <row r="169" spans="2:36" s="185" customFormat="1">
      <c r="B169" s="88" t="s">
        <v>556</v>
      </c>
      <c r="C169" s="80" t="s">
        <v>557</v>
      </c>
      <c r="D169" s="80" t="s">
        <v>558</v>
      </c>
      <c r="E169" s="100" t="s">
        <v>1649</v>
      </c>
      <c r="F169" s="101" t="s">
        <v>2536</v>
      </c>
      <c r="G169" s="101">
        <v>0</v>
      </c>
      <c r="H169" s="88"/>
      <c r="I169" s="80"/>
      <c r="J169" s="80"/>
      <c r="K169" s="80"/>
      <c r="L169" s="80"/>
      <c r="M169" s="80"/>
      <c r="N169" s="80"/>
      <c r="O169" s="100" t="s">
        <v>1649</v>
      </c>
      <c r="P169" s="101" t="s">
        <v>2537</v>
      </c>
      <c r="Q169" s="101">
        <v>0</v>
      </c>
      <c r="R169" s="88"/>
      <c r="S169" s="80"/>
      <c r="T169" s="80"/>
      <c r="U169" s="80"/>
      <c r="V169" s="80"/>
      <c r="W169" s="80"/>
      <c r="X169" s="80"/>
      <c r="Y169" s="88" t="s">
        <v>1905</v>
      </c>
      <c r="Z169" s="80" t="s">
        <v>2442</v>
      </c>
    </row>
    <row r="170" spans="2:36" s="185" customFormat="1">
      <c r="B170" s="88" t="s">
        <v>561</v>
      </c>
      <c r="C170" s="80" t="s">
        <v>562</v>
      </c>
      <c r="D170" s="80" t="s">
        <v>563</v>
      </c>
      <c r="E170" s="100" t="s">
        <v>1649</v>
      </c>
      <c r="F170" s="101" t="s">
        <v>2538</v>
      </c>
      <c r="G170" s="101">
        <v>0</v>
      </c>
      <c r="H170" s="88"/>
      <c r="I170" s="80"/>
      <c r="J170" s="80"/>
      <c r="K170" s="80"/>
      <c r="L170" s="80"/>
      <c r="M170" s="80"/>
      <c r="N170" s="80"/>
      <c r="O170" s="100" t="s">
        <v>1649</v>
      </c>
      <c r="P170" s="101" t="s">
        <v>2539</v>
      </c>
      <c r="Q170" s="101">
        <v>0</v>
      </c>
      <c r="R170" s="88"/>
      <c r="S170" s="80"/>
      <c r="T170" s="80"/>
      <c r="U170" s="80"/>
      <c r="V170" s="80"/>
      <c r="W170" s="80"/>
      <c r="X170" s="80"/>
      <c r="Y170" s="88" t="s">
        <v>1905</v>
      </c>
      <c r="Z170" s="80" t="s">
        <v>2442</v>
      </c>
    </row>
    <row r="171" spans="2:36" s="185" customFormat="1">
      <c r="B171" s="88" t="s">
        <v>564</v>
      </c>
      <c r="C171" s="80" t="s">
        <v>565</v>
      </c>
      <c r="D171" s="80" t="s">
        <v>566</v>
      </c>
      <c r="E171" s="100" t="s">
        <v>1649</v>
      </c>
      <c r="F171" s="101" t="s">
        <v>2540</v>
      </c>
      <c r="G171" s="101">
        <v>0</v>
      </c>
      <c r="H171" s="88"/>
      <c r="I171" s="80"/>
      <c r="J171" s="80"/>
      <c r="K171" s="80"/>
      <c r="L171" s="80"/>
      <c r="M171" s="80"/>
      <c r="N171" s="80"/>
      <c r="O171" s="100" t="s">
        <v>1649</v>
      </c>
      <c r="P171" s="101" t="s">
        <v>2541</v>
      </c>
      <c r="Q171" s="101">
        <v>0</v>
      </c>
      <c r="R171" s="88"/>
      <c r="S171" s="80"/>
      <c r="T171" s="80"/>
      <c r="U171" s="80"/>
      <c r="V171" s="80"/>
      <c r="W171" s="80"/>
      <c r="X171" s="80"/>
      <c r="Y171" s="88" t="s">
        <v>1905</v>
      </c>
      <c r="Z171" s="80" t="s">
        <v>2442</v>
      </c>
    </row>
    <row r="172" spans="2:36" s="185" customFormat="1"/>
    <row r="173" spans="2:36" s="185" customFormat="1"/>
    <row r="174" spans="2:36" s="75" customFormat="1" ht="17.399999999999999">
      <c r="B174" s="113" t="s">
        <v>2593</v>
      </c>
      <c r="C174" s="113"/>
      <c r="D174" s="113"/>
      <c r="E174" s="113"/>
      <c r="F174" s="113"/>
      <c r="G174" s="113"/>
      <c r="H174" s="113"/>
      <c r="I174" s="113"/>
      <c r="J174" s="113"/>
      <c r="K174" s="113"/>
      <c r="L174" s="113"/>
      <c r="M174" s="113"/>
      <c r="N174" s="113"/>
      <c r="O174" s="113"/>
      <c r="P174" s="113"/>
      <c r="Q174" s="113"/>
      <c r="R174" s="113"/>
      <c r="S174" s="113"/>
      <c r="T174" s="113"/>
      <c r="AA174" s="185"/>
      <c r="AB174" s="185"/>
      <c r="AC174" s="185"/>
      <c r="AD174" s="185"/>
      <c r="AE174" s="185"/>
      <c r="AF174" s="185"/>
      <c r="AG174" s="185"/>
      <c r="AH174" s="185"/>
      <c r="AI174" s="185"/>
      <c r="AJ174" s="185"/>
    </row>
    <row r="175" spans="2:36" s="75" customFormat="1">
      <c r="B175" s="95" t="s">
        <v>312</v>
      </c>
      <c r="C175" s="99" t="s">
        <v>2594</v>
      </c>
      <c r="D175" s="99"/>
      <c r="E175" s="99"/>
      <c r="F175" s="99"/>
      <c r="G175" s="99"/>
      <c r="H175" s="99"/>
      <c r="I175" s="99"/>
      <c r="J175" s="99"/>
      <c r="K175" s="99"/>
      <c r="L175" s="99"/>
      <c r="M175" s="99"/>
      <c r="N175" s="99"/>
      <c r="O175" s="99"/>
      <c r="P175" s="99"/>
      <c r="Q175" s="99"/>
      <c r="R175" s="99"/>
      <c r="S175" s="99"/>
      <c r="T175" s="99"/>
      <c r="AA175" s="185"/>
      <c r="AB175" s="185"/>
      <c r="AC175" s="185"/>
      <c r="AD175" s="185"/>
      <c r="AE175" s="185"/>
      <c r="AF175" s="185"/>
      <c r="AG175" s="185"/>
      <c r="AH175" s="185"/>
      <c r="AI175" s="185"/>
      <c r="AJ175" s="185"/>
    </row>
    <row r="176" spans="2:36" s="75" customFormat="1">
      <c r="D176" s="99"/>
      <c r="E176" s="99"/>
      <c r="F176" s="99"/>
      <c r="G176" s="99"/>
      <c r="H176" s="99"/>
      <c r="I176" s="99"/>
      <c r="J176" s="99"/>
      <c r="K176" s="99"/>
      <c r="L176" s="99"/>
      <c r="M176" s="99"/>
      <c r="N176" s="99"/>
      <c r="O176" s="99"/>
      <c r="P176" s="99"/>
      <c r="Q176" s="99"/>
      <c r="R176" s="99"/>
      <c r="S176" s="99"/>
      <c r="T176" s="99"/>
      <c r="AA176" s="185"/>
      <c r="AB176" s="185"/>
      <c r="AC176" s="185"/>
      <c r="AD176" s="185"/>
      <c r="AE176" s="185"/>
      <c r="AF176" s="185"/>
      <c r="AG176" s="185"/>
      <c r="AH176" s="185"/>
      <c r="AI176" s="185"/>
      <c r="AJ176" s="185"/>
    </row>
    <row r="177" spans="2:36" s="75" customFormat="1" ht="17.399999999999999">
      <c r="B177" s="113" t="s">
        <v>1635</v>
      </c>
      <c r="C177" s="113"/>
      <c r="D177" s="113"/>
      <c r="E177" s="113"/>
      <c r="F177" s="113"/>
      <c r="G177" s="113"/>
      <c r="H177" s="113"/>
      <c r="I177" s="113"/>
      <c r="J177" s="113"/>
      <c r="K177" s="113"/>
      <c r="L177" s="113"/>
      <c r="M177" s="113"/>
      <c r="N177" s="113"/>
      <c r="O177" s="113"/>
      <c r="P177" s="113"/>
      <c r="Q177" s="113"/>
      <c r="R177" s="113"/>
      <c r="S177" s="113"/>
      <c r="T177" s="113"/>
    </row>
    <row r="178" spans="2:36" s="75" customFormat="1">
      <c r="B178" s="92" t="s">
        <v>1614</v>
      </c>
      <c r="C178" s="92" t="s">
        <v>311</v>
      </c>
      <c r="D178" s="92" t="s">
        <v>1293</v>
      </c>
      <c r="E178" s="102" t="s">
        <v>1636</v>
      </c>
      <c r="F178" s="103" t="s">
        <v>1637</v>
      </c>
      <c r="G178" s="103" t="s">
        <v>1647</v>
      </c>
      <c r="H178" s="92" t="s">
        <v>1502</v>
      </c>
      <c r="I178" s="92" t="s">
        <v>1487</v>
      </c>
      <c r="J178" s="92" t="s">
        <v>1469</v>
      </c>
      <c r="K178" s="92" t="s">
        <v>1488</v>
      </c>
      <c r="L178" s="92" t="s">
        <v>1500</v>
      </c>
      <c r="M178" s="92" t="s">
        <v>1489</v>
      </c>
      <c r="N178" s="92" t="s">
        <v>1490</v>
      </c>
      <c r="O178" s="102" t="s">
        <v>1638</v>
      </c>
      <c r="P178" s="103" t="s">
        <v>1639</v>
      </c>
      <c r="Q178" s="103" t="s">
        <v>1648</v>
      </c>
      <c r="R178" s="92" t="s">
        <v>1503</v>
      </c>
      <c r="S178" s="92" t="s">
        <v>1491</v>
      </c>
      <c r="T178" s="92" t="s">
        <v>1470</v>
      </c>
      <c r="U178" s="92" t="s">
        <v>1492</v>
      </c>
      <c r="V178" s="92" t="s">
        <v>1501</v>
      </c>
      <c r="W178" s="92" t="s">
        <v>1493</v>
      </c>
      <c r="X178" s="92" t="s">
        <v>1494</v>
      </c>
      <c r="Y178" s="92" t="s">
        <v>1495</v>
      </c>
      <c r="Z178" s="92" t="s">
        <v>1496</v>
      </c>
    </row>
    <row r="179" spans="2:36" s="75" customFormat="1">
      <c r="B179" s="88"/>
      <c r="C179" s="80"/>
      <c r="D179" s="80"/>
      <c r="E179" s="100"/>
      <c r="F179" s="101"/>
      <c r="G179" s="101"/>
      <c r="H179" s="88"/>
      <c r="I179" s="80"/>
      <c r="J179" s="80"/>
      <c r="K179" s="80"/>
      <c r="L179" s="80"/>
      <c r="M179" s="80"/>
      <c r="N179" s="80"/>
      <c r="O179" s="100"/>
      <c r="P179" s="101"/>
      <c r="Q179" s="101"/>
      <c r="R179" s="88"/>
      <c r="S179" s="80"/>
      <c r="T179" s="80"/>
      <c r="U179" s="80"/>
      <c r="V179" s="80"/>
      <c r="W179" s="80"/>
      <c r="X179" s="80"/>
      <c r="Y179" s="88"/>
      <c r="Z179" s="80"/>
    </row>
    <row r="180" spans="2:36">
      <c r="B180" s="88"/>
      <c r="C180" s="80"/>
      <c r="D180" s="80"/>
      <c r="E180" s="100"/>
      <c r="F180" s="101"/>
      <c r="G180" s="101"/>
      <c r="H180" s="88"/>
      <c r="I180" s="80"/>
      <c r="J180" s="80"/>
      <c r="K180" s="80"/>
      <c r="L180" s="80"/>
      <c r="M180" s="80"/>
      <c r="N180" s="80"/>
      <c r="O180" s="100"/>
      <c r="P180" s="101"/>
      <c r="Q180" s="101"/>
      <c r="R180" s="88"/>
      <c r="S180" s="80"/>
      <c r="T180" s="80"/>
      <c r="U180" s="80"/>
      <c r="V180" s="80"/>
      <c r="W180" s="80"/>
      <c r="X180" s="80"/>
      <c r="Y180" s="88"/>
      <c r="Z180" s="80"/>
      <c r="AA180" s="75"/>
      <c r="AB180" s="75"/>
      <c r="AC180" s="75"/>
      <c r="AD180" s="75"/>
      <c r="AE180" s="75"/>
      <c r="AF180" s="75"/>
      <c r="AG180" s="75"/>
      <c r="AH180" s="75"/>
      <c r="AI180" s="75"/>
      <c r="AJ180" s="75"/>
    </row>
    <row r="181" spans="2:36">
      <c r="B181" s="88"/>
      <c r="C181" s="80"/>
      <c r="D181" s="80"/>
      <c r="E181" s="100"/>
      <c r="F181" s="101"/>
      <c r="G181" s="101"/>
      <c r="H181" s="88"/>
      <c r="I181" s="80"/>
      <c r="J181" s="80"/>
      <c r="K181" s="80"/>
      <c r="L181" s="80"/>
      <c r="M181" s="80"/>
      <c r="N181" s="80"/>
      <c r="O181" s="100"/>
      <c r="P181" s="101"/>
      <c r="Q181" s="101"/>
      <c r="R181" s="88"/>
      <c r="S181" s="80"/>
      <c r="T181" s="80"/>
      <c r="U181" s="80"/>
      <c r="V181" s="80"/>
      <c r="W181" s="80"/>
      <c r="X181" s="80"/>
      <c r="Y181" s="88"/>
      <c r="Z181" s="80"/>
      <c r="AA181" s="75"/>
      <c r="AB181" s="75"/>
      <c r="AC181" s="75"/>
      <c r="AD181" s="75"/>
      <c r="AE181" s="75"/>
      <c r="AF181" s="75"/>
      <c r="AG181" s="75"/>
      <c r="AH181" s="75"/>
      <c r="AI181" s="75"/>
      <c r="AJ181" s="75"/>
    </row>
    <row r="182" spans="2:36">
      <c r="B182" s="88"/>
      <c r="C182" s="80"/>
      <c r="D182" s="80"/>
      <c r="E182" s="100"/>
      <c r="F182" s="101"/>
      <c r="G182" s="101"/>
      <c r="H182" s="88"/>
      <c r="I182" s="80"/>
      <c r="J182" s="80"/>
      <c r="K182" s="80"/>
      <c r="L182" s="80"/>
      <c r="M182" s="80"/>
      <c r="N182" s="80"/>
      <c r="O182" s="100"/>
      <c r="P182" s="101"/>
      <c r="Q182" s="101"/>
      <c r="R182" s="88"/>
      <c r="S182" s="80"/>
      <c r="T182" s="80"/>
      <c r="U182" s="80"/>
      <c r="V182" s="80"/>
      <c r="W182" s="80"/>
      <c r="X182" s="80"/>
      <c r="Y182" s="88"/>
      <c r="Z182" s="80"/>
      <c r="AA182" s="75"/>
      <c r="AB182" s="75"/>
      <c r="AC182" s="75"/>
      <c r="AD182" s="75"/>
      <c r="AE182" s="75"/>
      <c r="AF182" s="75"/>
      <c r="AG182" s="75"/>
      <c r="AH182" s="75"/>
      <c r="AI182" s="75"/>
      <c r="AJ182" s="75"/>
    </row>
    <row r="183" spans="2:36">
      <c r="B183" s="88"/>
      <c r="C183" s="80"/>
      <c r="D183" s="80"/>
      <c r="E183" s="100"/>
      <c r="F183" s="101"/>
      <c r="G183" s="101"/>
      <c r="H183" s="88"/>
      <c r="I183" s="80"/>
      <c r="J183" s="80"/>
      <c r="K183" s="80"/>
      <c r="L183" s="80"/>
      <c r="M183" s="80"/>
      <c r="N183" s="80"/>
      <c r="O183" s="100"/>
      <c r="P183" s="101"/>
      <c r="Q183" s="101"/>
      <c r="R183" s="88"/>
      <c r="S183" s="80"/>
      <c r="T183" s="80"/>
      <c r="U183" s="80"/>
      <c r="V183" s="80"/>
      <c r="W183" s="80"/>
      <c r="X183" s="80"/>
      <c r="Y183" s="88"/>
      <c r="Z183" s="80"/>
    </row>
    <row r="184" spans="2:36">
      <c r="B184" s="88"/>
      <c r="C184" s="80"/>
      <c r="D184" s="80"/>
      <c r="E184" s="100"/>
      <c r="F184" s="101"/>
      <c r="G184" s="101"/>
      <c r="H184" s="88"/>
      <c r="I184" s="80"/>
      <c r="J184" s="80"/>
      <c r="K184" s="80"/>
      <c r="L184" s="80"/>
      <c r="M184" s="80"/>
      <c r="N184" s="80"/>
      <c r="O184" s="100"/>
      <c r="P184" s="101"/>
      <c r="Q184" s="101"/>
      <c r="R184" s="88"/>
      <c r="S184" s="80"/>
      <c r="T184" s="80"/>
      <c r="U184" s="80"/>
      <c r="V184" s="80"/>
      <c r="W184" s="80"/>
      <c r="X184" s="80"/>
      <c r="Y184" s="88"/>
      <c r="Z184" s="80"/>
    </row>
    <row r="185" spans="2:36">
      <c r="B185" s="88"/>
      <c r="C185" s="80"/>
      <c r="D185" s="80"/>
      <c r="E185" s="100"/>
      <c r="F185" s="101"/>
      <c r="G185" s="101"/>
      <c r="H185" s="88"/>
      <c r="I185" s="80"/>
      <c r="J185" s="80"/>
      <c r="K185" s="80"/>
      <c r="L185" s="80"/>
      <c r="M185" s="80"/>
      <c r="N185" s="80"/>
      <c r="O185" s="100"/>
      <c r="P185" s="101"/>
      <c r="Q185" s="101"/>
      <c r="R185" s="88"/>
      <c r="S185" s="80"/>
      <c r="T185" s="80"/>
      <c r="U185" s="80"/>
      <c r="V185" s="80"/>
      <c r="W185" s="80"/>
      <c r="X185" s="80"/>
      <c r="Y185" s="88"/>
      <c r="Z185" s="80"/>
    </row>
    <row r="186" spans="2:36">
      <c r="B186" s="88"/>
      <c r="C186" s="80"/>
      <c r="D186" s="80"/>
      <c r="E186" s="100"/>
      <c r="F186" s="101"/>
      <c r="G186" s="101"/>
      <c r="H186" s="88"/>
      <c r="I186" s="80"/>
      <c r="J186" s="80"/>
      <c r="K186" s="80"/>
      <c r="L186" s="80"/>
      <c r="M186" s="80"/>
      <c r="N186" s="80"/>
      <c r="O186" s="100"/>
      <c r="P186" s="101"/>
      <c r="Q186" s="101"/>
      <c r="R186" s="88"/>
      <c r="S186" s="80"/>
      <c r="T186" s="80"/>
      <c r="U186" s="80"/>
      <c r="V186" s="80"/>
      <c r="W186" s="80"/>
      <c r="X186" s="80"/>
      <c r="Y186" s="88"/>
      <c r="Z186" s="80"/>
    </row>
    <row r="187" spans="2:36">
      <c r="B187" s="88"/>
      <c r="C187" s="80"/>
      <c r="D187" s="80"/>
      <c r="E187" s="100"/>
      <c r="F187" s="101"/>
      <c r="G187" s="101"/>
      <c r="H187" s="88"/>
      <c r="I187" s="80"/>
      <c r="J187" s="80"/>
      <c r="K187" s="80"/>
      <c r="L187" s="80"/>
      <c r="M187" s="80"/>
      <c r="N187" s="80"/>
      <c r="O187" s="100"/>
      <c r="P187" s="101"/>
      <c r="Q187" s="101"/>
      <c r="R187" s="88"/>
      <c r="S187" s="80"/>
      <c r="T187" s="80"/>
      <c r="U187" s="80"/>
      <c r="V187" s="80"/>
      <c r="W187" s="80"/>
      <c r="X187" s="80"/>
      <c r="Y187" s="88"/>
      <c r="Z187" s="80"/>
    </row>
    <row r="188" spans="2:36">
      <c r="B188" s="88"/>
      <c r="C188" s="80"/>
      <c r="D188" s="80"/>
      <c r="E188" s="100"/>
      <c r="F188" s="101"/>
      <c r="G188" s="101"/>
      <c r="H188" s="88"/>
      <c r="I188" s="80"/>
      <c r="J188" s="80"/>
      <c r="K188" s="80"/>
      <c r="L188" s="80"/>
      <c r="M188" s="80"/>
      <c r="N188" s="80"/>
      <c r="O188" s="100"/>
      <c r="P188" s="101"/>
      <c r="Q188" s="101"/>
      <c r="R188" s="88"/>
      <c r="S188" s="80"/>
      <c r="T188" s="80"/>
      <c r="U188" s="80"/>
      <c r="V188" s="80"/>
      <c r="W188" s="80"/>
      <c r="X188" s="80"/>
      <c r="Y188" s="88"/>
      <c r="Z188" s="80"/>
    </row>
  </sheetData>
  <mergeCells count="11">
    <mergeCell ref="B177:T177"/>
    <mergeCell ref="B174:T174"/>
    <mergeCell ref="B85:T85"/>
    <mergeCell ref="B107:T107"/>
    <mergeCell ref="B117:T117"/>
    <mergeCell ref="B80:C80"/>
    <mergeCell ref="B2:T2"/>
    <mergeCell ref="B3:T3"/>
    <mergeCell ref="L63:T63"/>
    <mergeCell ref="B71:T71"/>
    <mergeCell ref="B75:C75"/>
  </mergeCells>
  <conditionalFormatting sqref="B119:Z171 B179:Z188">
    <cfRule type="expression" dxfId="447" priority="1">
      <formula>B119=""</formula>
    </cfRule>
  </conditionalFormatting>
  <dataValidations count="8">
    <dataValidation type="list" allowBlank="1" showInputMessage="1" showErrorMessage="1" sqref="C81" xr:uid="{74CB5820-EA0D-49DA-B999-6D79661E66E6}">
      <formula1>WR_ExposureSectors</formula1>
    </dataValidation>
    <dataValidation type="list" allowBlank="1" showInputMessage="1" showErrorMessage="1" sqref="C82" xr:uid="{355249B7-30C0-43E8-BDB3-29AAC6AB1864}">
      <formula1>WR_ExposureComponents</formula1>
    </dataValidation>
    <dataValidation type="list" allowBlank="1" showInputMessage="1" showErrorMessage="1" sqref="C76" xr:uid="{CADC8CE1-0B3D-4463-A059-C66A6822ACAD}">
      <formula1>WR_VulnerabilitySectors</formula1>
    </dataValidation>
    <dataValidation type="list" allowBlank="1" showInputMessage="1" showErrorMessage="1" sqref="C77" xr:uid="{1449B033-0ACD-4BEF-8C63-E1C2DE222B32}">
      <formula1>WR_VulnerabilityComponents</formula1>
    </dataValidation>
    <dataValidation type="list" allowBlank="1" showInputMessage="1" showErrorMessage="1" sqref="R119:R171 H119:H171" xr:uid="{62473D38-D9F5-4184-9241-EA56C0AFAA1F}">
      <formula1>WR_EffectivenessLevel</formula1>
    </dataValidation>
    <dataValidation type="list" allowBlank="1" showInputMessage="1" showErrorMessage="1" sqref="Y119:Y171" xr:uid="{6D424211-580A-400B-A587-1BDA48851717}">
      <formula1>WR_ReviewStatus</formula1>
    </dataValidation>
    <dataValidation type="list" allowBlank="1" showInputMessage="1" showErrorMessage="1" sqref="C94:C106" xr:uid="{FFE9B6F0-F6D2-4ED3-A4F3-998F2EA8D917}">
      <formula1>WR_SourceScope</formula1>
    </dataValidation>
    <dataValidation type="list" allowBlank="1" showInputMessage="1" showErrorMessage="1" sqref="O119:O171 E119:E171 O179:O188 E179:E188" xr:uid="{68C34FC0-3D95-4E06-A18A-24F48E0F1534}">
      <formula1>"Eligible,Review required,Not eligible"</formula1>
    </dataValidation>
  </dataValidations>
  <pageMargins left="0.7" right="0.7" top="0.75" bottom="0.75" header="0.3" footer="0.3"/>
  <tableParts count="4">
    <tablePart r:id="rId1"/>
    <tablePart r:id="rId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F2E6-F78C-498D-B343-189AE8DA47BC}">
  <dimension ref="A2:AJ188"/>
  <sheetViews>
    <sheetView showGridLines="0" topLeftCell="A51" zoomScale="55" zoomScaleNormal="55" workbookViewId="0">
      <selection activeCell="A51" sqref="A1:XFD1048576"/>
    </sheetView>
  </sheetViews>
  <sheetFormatPr baseColWidth="10" defaultRowHeight="15"/>
  <cols>
    <col min="1" max="1" width="6.09765625" style="186" customWidth="1"/>
    <col min="2" max="2" width="32" style="186" customWidth="1"/>
    <col min="3" max="3" width="51.296875" style="186" customWidth="1"/>
    <col min="4" max="4" width="66.796875" style="186" customWidth="1"/>
    <col min="5" max="5" width="28" style="186" customWidth="1"/>
    <col min="6" max="6" width="58" style="186" customWidth="1"/>
    <col min="7" max="7" width="41" style="186" customWidth="1"/>
    <col min="8" max="8" width="51" style="186" customWidth="1"/>
    <col min="9" max="9" width="33" style="186" customWidth="1"/>
    <col min="10" max="10" width="30" style="186" customWidth="1"/>
    <col min="11" max="11" width="30.796875" style="186" customWidth="1"/>
    <col min="12" max="12" width="17.5" style="186" customWidth="1"/>
    <col min="13" max="13" width="22.5" style="186" customWidth="1"/>
    <col min="14" max="14" width="30" style="186" customWidth="1"/>
    <col min="15" max="15" width="19.19921875" style="186" customWidth="1"/>
    <col min="16" max="16" width="24.19921875" style="186" customWidth="1"/>
    <col min="17" max="17" width="14.19921875" style="186" customWidth="1"/>
    <col min="18" max="18" width="30.796875" style="186" customWidth="1"/>
    <col min="19" max="19" width="20" style="186" customWidth="1"/>
    <col min="20" max="20" width="27.5" style="186" customWidth="1"/>
    <col min="21" max="21" width="15.59765625" style="186" bestFit="1" customWidth="1"/>
    <col min="22" max="24" width="11.19921875" style="186"/>
    <col min="25" max="25" width="17.69921875" style="186" bestFit="1" customWidth="1"/>
    <col min="26" max="16384" width="11.19921875" style="186"/>
  </cols>
  <sheetData>
    <row r="2" spans="1:36" ht="24">
      <c r="A2" s="185"/>
      <c r="B2" s="115" t="s">
        <v>2329</v>
      </c>
      <c r="C2" s="115"/>
      <c r="D2" s="115"/>
      <c r="E2" s="115"/>
      <c r="F2" s="115"/>
      <c r="G2" s="115"/>
      <c r="H2" s="115"/>
      <c r="I2" s="115"/>
      <c r="J2" s="115"/>
      <c r="K2" s="115"/>
      <c r="L2" s="115"/>
      <c r="M2" s="115"/>
      <c r="N2" s="115"/>
      <c r="O2" s="115"/>
      <c r="P2" s="115"/>
      <c r="Q2" s="115"/>
      <c r="R2" s="115"/>
      <c r="S2" s="115"/>
      <c r="T2" s="115"/>
    </row>
    <row r="3" spans="1:36">
      <c r="A3" s="185"/>
      <c r="B3" s="187" t="s">
        <v>2564</v>
      </c>
      <c r="C3" s="187"/>
      <c r="D3" s="187"/>
      <c r="E3" s="187"/>
      <c r="F3" s="187"/>
      <c r="G3" s="187"/>
      <c r="H3" s="187"/>
      <c r="I3" s="187"/>
      <c r="J3" s="187"/>
      <c r="K3" s="187"/>
      <c r="L3" s="187"/>
      <c r="M3" s="187"/>
      <c r="N3" s="187"/>
      <c r="O3" s="187"/>
      <c r="P3" s="187"/>
      <c r="Q3" s="187"/>
      <c r="R3" s="187"/>
      <c r="S3" s="187"/>
      <c r="T3" s="187"/>
    </row>
    <row r="4" spans="1:36">
      <c r="A4" s="185"/>
      <c r="B4" s="188" t="s">
        <v>2565</v>
      </c>
      <c r="C4" s="189"/>
      <c r="D4" s="189"/>
      <c r="E4" s="189"/>
      <c r="F4" s="189"/>
      <c r="G4" s="189"/>
      <c r="H4" s="189"/>
      <c r="I4" s="189"/>
      <c r="J4" s="189"/>
      <c r="K4" s="189"/>
      <c r="L4" s="189"/>
      <c r="M4" s="189"/>
      <c r="N4" s="189"/>
      <c r="O4" s="189"/>
      <c r="P4" s="189"/>
      <c r="Q4" s="189"/>
      <c r="R4" s="189"/>
      <c r="S4" s="189"/>
      <c r="T4" s="189"/>
    </row>
    <row r="5" spans="1:36">
      <c r="A5" s="185"/>
    </row>
    <row r="6" spans="1:36" s="185" customFormat="1" ht="17.399999999999999">
      <c r="B6" s="190" t="s">
        <v>2311</v>
      </c>
      <c r="C6" s="190"/>
      <c r="D6" s="190"/>
      <c r="E6" s="190"/>
      <c r="F6" s="190"/>
      <c r="G6" s="190"/>
      <c r="H6" s="190"/>
      <c r="I6" s="190"/>
      <c r="J6" s="87"/>
      <c r="K6" s="87"/>
      <c r="L6" s="87"/>
      <c r="M6" s="87"/>
      <c r="N6" s="87"/>
      <c r="O6" s="87"/>
      <c r="P6" s="87"/>
      <c r="Q6" s="87"/>
      <c r="R6" s="87"/>
      <c r="S6" s="87"/>
      <c r="T6" s="87"/>
    </row>
    <row r="7" spans="1:36" s="185" customFormat="1">
      <c r="B7" s="186" t="s">
        <v>1641</v>
      </c>
      <c r="C7" s="186" t="s">
        <v>1642</v>
      </c>
      <c r="D7" s="186" t="s">
        <v>1643</v>
      </c>
      <c r="E7" s="186" t="s">
        <v>1636</v>
      </c>
      <c r="F7" s="186" t="s">
        <v>1647</v>
      </c>
      <c r="G7" s="186" t="s">
        <v>1644</v>
      </c>
      <c r="H7" s="186" t="s">
        <v>1638</v>
      </c>
      <c r="I7" s="186" t="s">
        <v>1648</v>
      </c>
      <c r="J7" s="186" t="s">
        <v>1645</v>
      </c>
      <c r="K7" s="186" t="s">
        <v>1495</v>
      </c>
      <c r="L7" s="87"/>
      <c r="M7" s="87"/>
      <c r="N7" s="87"/>
      <c r="O7" s="87"/>
      <c r="P7" s="87"/>
      <c r="Q7" s="87"/>
      <c r="R7" s="87"/>
      <c r="S7" s="87"/>
      <c r="T7" s="87"/>
      <c r="U7" s="87"/>
      <c r="V7" s="87"/>
      <c r="AA7" s="186"/>
      <c r="AB7" s="186"/>
      <c r="AC7" s="186"/>
      <c r="AD7" s="186"/>
      <c r="AE7" s="186"/>
      <c r="AF7" s="186"/>
      <c r="AG7" s="186"/>
      <c r="AH7" s="186"/>
      <c r="AI7" s="186"/>
      <c r="AJ7" s="186"/>
    </row>
    <row r="8" spans="1:36" s="185" customFormat="1">
      <c r="B8" s="13" t="str" cm="1">
        <f t="array" ref="B8">IF(ROW()-ROW(tbl_GS_EligibilitySummary[#Headers])&lt;=ROWS(tbl_GS_Assessment[ActionID]),"Existing action","Additional action")</f>
        <v>Existing action</v>
      </c>
      <c r="C8" s="13" t="str" cm="1">
        <f t="array" ref="C8">IF(ROW()-ROW(tbl_GS_EligibilitySummary[#Headers])&lt;=ROWS(tbl_GS_Assessment[ActionID]),INDEX(tbl_GS_Assessment[ActionID],ROW()-ROW(tbl_GS_EligibilitySummary[#Headers])),INDEX(tbl_GS_AdditionalActions[AdditionalActionID],ROW()-ROW(tbl_GS_EligibilitySummary[#Headers])-ROWS(tbl_GS_Assessment[ActionID])))</f>
        <v>c40_0046</v>
      </c>
      <c r="D8" s="13" t="str" cm="1">
        <f t="array" ref="D8">IF(ROW()-ROW(tbl_GS_EligibilitySummary[#Headers])&lt;=ROWS(tbl_GS_Assessment[ActionID]),INDEX(tbl_GS_Assessment[ActionName],ROW()-ROW(tbl_GS_EligibilitySummary[#Headers])),INDEX(tbl_GS_AdditionalActions[ActionName],ROW()-ROW(tbl_GS_EligibilitySummary[#Headers])-ROWS(tbl_GS_Assessment[ActionID])))</f>
        <v>Strengthen coastal protection infrastructure</v>
      </c>
      <c r="E8" s="13" cm="1">
        <f t="array" ref="E8">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8" s="13" t="str" cm="1">
        <f t="array" ref="F8">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8" s="13" t="str" cm="1">
        <f t="array" ref="G8">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8" s="13" cm="1">
        <f t="array" ref="H8">IF(ROW()-ROW(tbl_GS_EligibilitySummary[#Headers])&lt;=ROWS(tbl_GS_Assessment[ActionID]),INDEX(tbl_GS_Assessment[Exposure Eligibility],ROW()-ROW(tbl_GS_EligibilitySummary[#Headers])),INDEX(tbl_GS_AdditionalActions[Exposure Eligibility],ROW()-ROW(tbl_GS_EligibilitySummary[#Headers])-ROWS(tbl_GS_Assessment[ActionID])))</f>
        <v>0</v>
      </c>
      <c r="I8" s="13" t="str" cm="1">
        <f t="array" ref="I8">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8" s="13" t="str" cm="1">
        <f t="array" ref="J8">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8" s="13" cm="1">
        <f t="array" ref="K8">IF(ROW()-ROW(tbl_GS_EligibilitySummary[#Headers])&lt;=ROWS(tbl_GS_Assessment[ActionID]),INDEX(tbl_GS_Assessment[ReviewStatus],ROW()-ROW(tbl_GS_EligibilitySummary[#Headers])),INDEX(tbl_GS_AdditionalActions[ReviewStatus],ROW()-ROW(tbl_GS_EligibilitySummary[#Headers])-ROWS(tbl_GS_Assessment[ActionID])))</f>
        <v>0</v>
      </c>
      <c r="L8" s="87"/>
      <c r="M8" s="87"/>
      <c r="N8" s="87"/>
      <c r="O8" s="87"/>
      <c r="P8" s="87"/>
      <c r="Q8" s="87"/>
      <c r="R8" s="87"/>
      <c r="S8" s="87"/>
      <c r="T8" s="87"/>
      <c r="U8" s="87"/>
      <c r="V8" s="87"/>
      <c r="AA8" s="186"/>
      <c r="AB8" s="186"/>
      <c r="AC8" s="186"/>
      <c r="AD8" s="186"/>
      <c r="AE8" s="186"/>
      <c r="AF8" s="186"/>
      <c r="AG8" s="186"/>
      <c r="AH8" s="186"/>
      <c r="AI8" s="186"/>
      <c r="AJ8" s="186"/>
    </row>
    <row r="9" spans="1:36" s="185" customFormat="1">
      <c r="B9" s="13" t="str" cm="1">
        <f t="array" ref="B9">IF(ROW()-ROW(tbl_GS_EligibilitySummary[#Headers])&lt;=ROWS(tbl_GS_Assessment[ActionID]),"Existing action","Additional action")</f>
        <v>Existing action</v>
      </c>
      <c r="C9" s="13" t="str" cm="1">
        <f t="array" ref="C9">IF(ROW()-ROW(tbl_GS_EligibilitySummary[#Headers])&lt;=ROWS(tbl_GS_Assessment[ActionID]),INDEX(tbl_GS_Assessment[ActionID],ROW()-ROW(tbl_GS_EligibilitySummary[#Headers])),INDEX(tbl_GS_AdditionalActions[AdditionalActionID],ROW()-ROW(tbl_GS_EligibilitySummary[#Headers])-ROWS(tbl_GS_Assessment[ActionID])))</f>
        <v>c40_0048</v>
      </c>
      <c r="D9" s="13" t="str" cm="1">
        <f t="array" ref="D9">IF(ROW()-ROW(tbl_GS_EligibilitySummary[#Headers])&lt;=ROWS(tbl_GS_Assessment[ActionID]),INDEX(tbl_GS_Assessment[ActionName],ROW()-ROW(tbl_GS_EligibilitySummary[#Headers])),INDEX(tbl_GS_AdditionalActions[ActionName],ROW()-ROW(tbl_GS_EligibilitySummary[#Headers])-ROWS(tbl_GS_Assessment[ActionID])))</f>
        <v>Upgrade urban drainage systems</v>
      </c>
      <c r="E9" s="13" cm="1">
        <f t="array" ref="E9">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9" s="13" t="str" cm="1">
        <f t="array" ref="F9">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9" s="13" t="str" cm="1">
        <f t="array" ref="G9">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9" s="13" cm="1">
        <f t="array" ref="H9">IF(ROW()-ROW(tbl_GS_EligibilitySummary[#Headers])&lt;=ROWS(tbl_GS_Assessment[ActionID]),INDEX(tbl_GS_Assessment[Exposure Eligibility],ROW()-ROW(tbl_GS_EligibilitySummary[#Headers])),INDEX(tbl_GS_AdditionalActions[Exposure Eligibility],ROW()-ROW(tbl_GS_EligibilitySummary[#Headers])-ROWS(tbl_GS_Assessment[ActionID])))</f>
        <v>0</v>
      </c>
      <c r="I9" s="13" t="str" cm="1">
        <f t="array" ref="I9">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9" s="13" t="str" cm="1">
        <f t="array" ref="J9">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9" s="13" cm="1">
        <f t="array" ref="K9">IF(ROW()-ROW(tbl_GS_EligibilitySummary[#Headers])&lt;=ROWS(tbl_GS_Assessment[ActionID]),INDEX(tbl_GS_Assessment[ReviewStatus],ROW()-ROW(tbl_GS_EligibilitySummary[#Headers])),INDEX(tbl_GS_AdditionalActions[ReviewStatus],ROW()-ROW(tbl_GS_EligibilitySummary[#Headers])-ROWS(tbl_GS_Assessment[ActionID])))</f>
        <v>0</v>
      </c>
      <c r="L9" s="87"/>
      <c r="M9" s="87"/>
      <c r="N9" s="87"/>
      <c r="O9" s="87"/>
      <c r="P9" s="87"/>
      <c r="Q9" s="87"/>
      <c r="R9" s="87"/>
      <c r="S9" s="87"/>
      <c r="T9" s="87"/>
      <c r="U9" s="87"/>
      <c r="V9" s="87"/>
      <c r="AA9" s="186"/>
      <c r="AB9" s="186"/>
      <c r="AC9" s="186"/>
      <c r="AD9" s="186"/>
      <c r="AE9" s="186"/>
      <c r="AF9" s="186"/>
      <c r="AG9" s="186"/>
      <c r="AH9" s="186"/>
      <c r="AI9" s="186"/>
      <c r="AJ9" s="186"/>
    </row>
    <row r="10" spans="1:36" s="185" customFormat="1">
      <c r="B10" s="13" t="str" cm="1">
        <f t="array" ref="B10">IF(ROW()-ROW(tbl_GS_EligibilitySummary[#Headers])&lt;=ROWS(tbl_GS_Assessment[ActionID]),"Existing action","Additional action")</f>
        <v>Existing action</v>
      </c>
      <c r="C10" s="13" t="str" cm="1">
        <f t="array" ref="C10">IF(ROW()-ROW(tbl_GS_EligibilitySummary[#Headers])&lt;=ROWS(tbl_GS_Assessment[ActionID]),INDEX(tbl_GS_Assessment[ActionID],ROW()-ROW(tbl_GS_EligibilitySummary[#Headers])),INDEX(tbl_GS_AdditionalActions[AdditionalActionID],ROW()-ROW(tbl_GS_EligibilitySummary[#Headers])-ROWS(tbl_GS_Assessment[ActionID])))</f>
        <v>c40_0049</v>
      </c>
      <c r="D10" s="13" t="str" cm="1">
        <f t="array" ref="D10">IF(ROW()-ROW(tbl_GS_EligibilitySummary[#Headers])&lt;=ROWS(tbl_GS_Assessment[ActionID]),INDEX(tbl_GS_Assessment[ActionName],ROW()-ROW(tbl_GS_EligibilitySummary[#Headers])),INDEX(tbl_GS_AdditionalActions[ActionName],ROW()-ROW(tbl_GS_EligibilitySummary[#Headers])-ROWS(tbl_GS_Assessment[ActionID])))</f>
        <v>Build and maintain shelters for critical climate hazards</v>
      </c>
      <c r="E10" s="13" cm="1">
        <f t="array" ref="E10">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10" s="13" t="str" cm="1">
        <f t="array" ref="F10">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10" s="13" t="str" cm="1">
        <f t="array" ref="G10">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10" s="13" cm="1">
        <f t="array" ref="H10">IF(ROW()-ROW(tbl_GS_EligibilitySummary[#Headers])&lt;=ROWS(tbl_GS_Assessment[ActionID]),INDEX(tbl_GS_Assessment[Exposure Eligibility],ROW()-ROW(tbl_GS_EligibilitySummary[#Headers])),INDEX(tbl_GS_AdditionalActions[Exposure Eligibility],ROW()-ROW(tbl_GS_EligibilitySummary[#Headers])-ROWS(tbl_GS_Assessment[ActionID])))</f>
        <v>0</v>
      </c>
      <c r="I10" s="13" t="str" cm="1">
        <f t="array" ref="I10">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10" s="13" t="str" cm="1">
        <f t="array" ref="J10">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10" s="13" cm="1">
        <f t="array" ref="K10">IF(ROW()-ROW(tbl_GS_EligibilitySummary[#Headers])&lt;=ROWS(tbl_GS_Assessment[ActionID]),INDEX(tbl_GS_Assessment[ReviewStatus],ROW()-ROW(tbl_GS_EligibilitySummary[#Headers])),INDEX(tbl_GS_AdditionalActions[ReviewStatus],ROW()-ROW(tbl_GS_EligibilitySummary[#Headers])-ROWS(tbl_GS_Assessment[ActionID])))</f>
        <v>0</v>
      </c>
      <c r="L10" s="87"/>
      <c r="M10" s="87"/>
      <c r="N10" s="87"/>
      <c r="O10" s="87"/>
      <c r="P10" s="87"/>
      <c r="Q10" s="87"/>
      <c r="R10" s="87"/>
      <c r="S10" s="87"/>
      <c r="T10" s="87"/>
      <c r="U10" s="87"/>
      <c r="V10" s="87"/>
      <c r="AA10" s="186"/>
      <c r="AB10" s="186"/>
      <c r="AC10" s="186"/>
      <c r="AD10" s="186"/>
      <c r="AE10" s="186"/>
      <c r="AF10" s="186"/>
      <c r="AG10" s="186"/>
      <c r="AH10" s="186"/>
      <c r="AI10" s="186"/>
      <c r="AJ10" s="186"/>
    </row>
    <row r="11" spans="1:36" s="185" customFormat="1">
      <c r="B11" s="13" t="str" cm="1">
        <f t="array" ref="B11">IF(ROW()-ROW(tbl_GS_EligibilitySummary[#Headers])&lt;=ROWS(tbl_GS_Assessment[ActionID]),"Existing action","Additional action")</f>
        <v>Existing action</v>
      </c>
      <c r="C11" s="13" t="str" cm="1">
        <f t="array" ref="C11">IF(ROW()-ROW(tbl_GS_EligibilitySummary[#Headers])&lt;=ROWS(tbl_GS_Assessment[ActionID]),INDEX(tbl_GS_Assessment[ActionID],ROW()-ROW(tbl_GS_EligibilitySummary[#Headers])),INDEX(tbl_GS_AdditionalActions[AdditionalActionID],ROW()-ROW(tbl_GS_EligibilitySummary[#Headers])-ROWS(tbl_GS_Assessment[ActionID])))</f>
        <v>c40_0051</v>
      </c>
      <c r="D11" s="13" t="str" cm="1">
        <f t="array" ref="D11">IF(ROW()-ROW(tbl_GS_EligibilitySummary[#Headers])&lt;=ROWS(tbl_GS_Assessment[ActionID]),INDEX(tbl_GS_Assessment[ActionName],ROW()-ROW(tbl_GS_EligibilitySummary[#Headers])),INDEX(tbl_GS_AdditionalActions[ActionName],ROW()-ROW(tbl_GS_EligibilitySummary[#Headers])-ROWS(tbl_GS_Assessment[ActionID])))</f>
        <v>Provide public shading in heat hotspots</v>
      </c>
      <c r="E11" s="13" cm="1">
        <f t="array" ref="E11">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11" s="13" t="str" cm="1">
        <f t="array" ref="F11">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11" s="13" t="str" cm="1">
        <f t="array" ref="G11">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11" s="13" cm="1">
        <f t="array" ref="H11">IF(ROW()-ROW(tbl_GS_EligibilitySummary[#Headers])&lt;=ROWS(tbl_GS_Assessment[ActionID]),INDEX(tbl_GS_Assessment[Exposure Eligibility],ROW()-ROW(tbl_GS_EligibilitySummary[#Headers])),INDEX(tbl_GS_AdditionalActions[Exposure Eligibility],ROW()-ROW(tbl_GS_EligibilitySummary[#Headers])-ROWS(tbl_GS_Assessment[ActionID])))</f>
        <v>0</v>
      </c>
      <c r="I11" s="13" t="str" cm="1">
        <f t="array" ref="I11">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11" s="13" t="str" cm="1">
        <f t="array" ref="J11">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11" s="13" cm="1">
        <f t="array" ref="K11">IF(ROW()-ROW(tbl_GS_EligibilitySummary[#Headers])&lt;=ROWS(tbl_GS_Assessment[ActionID]),INDEX(tbl_GS_Assessment[ReviewStatus],ROW()-ROW(tbl_GS_EligibilitySummary[#Headers])),INDEX(tbl_GS_AdditionalActions[ReviewStatus],ROW()-ROW(tbl_GS_EligibilitySummary[#Headers])-ROWS(tbl_GS_Assessment[ActionID])))</f>
        <v>0</v>
      </c>
      <c r="L11" s="87"/>
      <c r="M11" s="87"/>
      <c r="N11" s="87"/>
      <c r="O11" s="87"/>
      <c r="P11" s="87"/>
      <c r="Q11" s="87"/>
      <c r="R11" s="87"/>
      <c r="S11" s="87"/>
      <c r="T11" s="87"/>
      <c r="U11" s="87"/>
      <c r="V11" s="87"/>
      <c r="AA11" s="186"/>
      <c r="AB11" s="186"/>
      <c r="AC11" s="186"/>
      <c r="AD11" s="186"/>
      <c r="AE11" s="186"/>
      <c r="AF11" s="186"/>
      <c r="AG11" s="186"/>
      <c r="AH11" s="186"/>
      <c r="AI11" s="186"/>
      <c r="AJ11" s="186"/>
    </row>
    <row r="12" spans="1:36" s="185" customFormat="1">
      <c r="B12" s="13" t="str" cm="1">
        <f t="array" ref="B12">IF(ROW()-ROW(tbl_GS_EligibilitySummary[#Headers])&lt;=ROWS(tbl_GS_Assessment[ActionID]),"Existing action","Additional action")</f>
        <v>Existing action</v>
      </c>
      <c r="C12" s="13" t="str" cm="1">
        <f t="array" ref="C12">IF(ROW()-ROW(tbl_GS_EligibilitySummary[#Headers])&lt;=ROWS(tbl_GS_Assessment[ActionID]),INDEX(tbl_GS_Assessment[ActionID],ROW()-ROW(tbl_GS_EligibilitySummary[#Headers])),INDEX(tbl_GS_AdditionalActions[AdditionalActionID],ROW()-ROW(tbl_GS_EligibilitySummary[#Headers])-ROWS(tbl_GS_Assessment[ActionID])))</f>
        <v>c40_0052</v>
      </c>
      <c r="D12" s="13" t="str" cm="1">
        <f t="array" ref="D12">IF(ROW()-ROW(tbl_GS_EligibilitySummary[#Headers])&lt;=ROWS(tbl_GS_Assessment[ActionID]),INDEX(tbl_GS_Assessment[ActionName],ROW()-ROW(tbl_GS_EligibilitySummary[#Headers])),INDEX(tbl_GS_AdditionalActions[ActionName],ROW()-ROW(tbl_GS_EligibilitySummary[#Headers])-ROWS(tbl_GS_Assessment[ActionID])))</f>
        <v>Deploy cool pavements and cool roofs on heat‑exposed streets and buildings</v>
      </c>
      <c r="E12" s="13" cm="1">
        <f t="array" ref="E12">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12" s="13" t="str" cm="1">
        <f t="array" ref="F12">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12" s="13" t="str" cm="1">
        <f t="array" ref="G12">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12" s="13" cm="1">
        <f t="array" ref="H12">IF(ROW()-ROW(tbl_GS_EligibilitySummary[#Headers])&lt;=ROWS(tbl_GS_Assessment[ActionID]),INDEX(tbl_GS_Assessment[Exposure Eligibility],ROW()-ROW(tbl_GS_EligibilitySummary[#Headers])),INDEX(tbl_GS_AdditionalActions[Exposure Eligibility],ROW()-ROW(tbl_GS_EligibilitySummary[#Headers])-ROWS(tbl_GS_Assessment[ActionID])))</f>
        <v>0</v>
      </c>
      <c r="I12" s="13" t="str" cm="1">
        <f t="array" ref="I12">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12" s="13" t="str" cm="1">
        <f t="array" ref="J12">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12" s="13" cm="1">
        <f t="array" ref="K12">IF(ROW()-ROW(tbl_GS_EligibilitySummary[#Headers])&lt;=ROWS(tbl_GS_Assessment[ActionID]),INDEX(tbl_GS_Assessment[ReviewStatus],ROW()-ROW(tbl_GS_EligibilitySummary[#Headers])),INDEX(tbl_GS_AdditionalActions[ReviewStatus],ROW()-ROW(tbl_GS_EligibilitySummary[#Headers])-ROWS(tbl_GS_Assessment[ActionID])))</f>
        <v>0</v>
      </c>
      <c r="L12" s="87"/>
      <c r="M12" s="87"/>
      <c r="N12" s="87"/>
      <c r="O12" s="87"/>
      <c r="P12" s="87"/>
      <c r="Q12" s="87"/>
      <c r="R12" s="87"/>
      <c r="S12" s="87"/>
      <c r="T12" s="87"/>
      <c r="U12" s="87"/>
      <c r="V12" s="87"/>
      <c r="AA12" s="186"/>
      <c r="AB12" s="186"/>
      <c r="AC12" s="186"/>
      <c r="AD12" s="186"/>
      <c r="AE12" s="186"/>
      <c r="AF12" s="186"/>
      <c r="AG12" s="186"/>
      <c r="AH12" s="186"/>
      <c r="AI12" s="186"/>
      <c r="AJ12" s="186"/>
    </row>
    <row r="13" spans="1:36" s="185" customFormat="1">
      <c r="B13" s="13" t="str" cm="1">
        <f t="array" ref="B13">IF(ROW()-ROW(tbl_GS_EligibilitySummary[#Headers])&lt;=ROWS(tbl_GS_Assessment[ActionID]),"Existing action","Additional action")</f>
        <v>Existing action</v>
      </c>
      <c r="C13" s="13" t="str" cm="1">
        <f t="array" ref="C13">IF(ROW()-ROW(tbl_GS_EligibilitySummary[#Headers])&lt;=ROWS(tbl_GS_Assessment[ActionID]),INDEX(tbl_GS_Assessment[ActionID],ROW()-ROW(tbl_GS_EligibilitySummary[#Headers])),INDEX(tbl_GS_AdditionalActions[AdditionalActionID],ROW()-ROW(tbl_GS_EligibilitySummary[#Headers])-ROWS(tbl_GS_Assessment[ActionID])))</f>
        <v>c40_0053</v>
      </c>
      <c r="D13" s="13" t="str" cm="1">
        <f t="array" ref="D13">IF(ROW()-ROW(tbl_GS_EligibilitySummary[#Headers])&lt;=ROWS(tbl_GS_Assessment[ActionID]),INDEX(tbl_GS_Assessment[ActionName],ROW()-ROW(tbl_GS_EligibilitySummary[#Headers])),INDEX(tbl_GS_AdditionalActions[ActionName],ROW()-ROW(tbl_GS_EligibilitySummary[#Headers])-ROWS(tbl_GS_Assessment[ActionID])))</f>
        <v>Promote water-saving technologies and practices</v>
      </c>
      <c r="E13" s="13" cm="1">
        <f t="array" ref="E13">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13" s="13" t="str" cm="1">
        <f t="array" ref="F13">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13" s="13" t="str" cm="1">
        <f t="array" ref="G13">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13" s="13" cm="1">
        <f t="array" ref="H13">IF(ROW()-ROW(tbl_GS_EligibilitySummary[#Headers])&lt;=ROWS(tbl_GS_Assessment[ActionID]),INDEX(tbl_GS_Assessment[Exposure Eligibility],ROW()-ROW(tbl_GS_EligibilitySummary[#Headers])),INDEX(tbl_GS_AdditionalActions[Exposure Eligibility],ROW()-ROW(tbl_GS_EligibilitySummary[#Headers])-ROWS(tbl_GS_Assessment[ActionID])))</f>
        <v>0</v>
      </c>
      <c r="I13" s="13" t="str" cm="1">
        <f t="array" ref="I13">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13" s="13" t="str" cm="1">
        <f t="array" ref="J13">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13" s="13" cm="1">
        <f t="array" ref="K13">IF(ROW()-ROW(tbl_GS_EligibilitySummary[#Headers])&lt;=ROWS(tbl_GS_Assessment[ActionID]),INDEX(tbl_GS_Assessment[ReviewStatus],ROW()-ROW(tbl_GS_EligibilitySummary[#Headers])),INDEX(tbl_GS_AdditionalActions[ReviewStatus],ROW()-ROW(tbl_GS_EligibilitySummary[#Headers])-ROWS(tbl_GS_Assessment[ActionID])))</f>
        <v>0</v>
      </c>
      <c r="L13" s="87"/>
      <c r="M13" s="87"/>
      <c r="N13" s="87"/>
      <c r="O13" s="87"/>
      <c r="P13" s="87"/>
      <c r="Q13" s="87"/>
      <c r="R13" s="87"/>
      <c r="S13" s="87"/>
      <c r="T13" s="87"/>
      <c r="U13" s="87"/>
      <c r="V13" s="87"/>
      <c r="AA13" s="186"/>
      <c r="AB13" s="186"/>
      <c r="AC13" s="186"/>
      <c r="AD13" s="186"/>
      <c r="AE13" s="186"/>
      <c r="AF13" s="186"/>
      <c r="AG13" s="186"/>
      <c r="AH13" s="186"/>
      <c r="AI13" s="186"/>
      <c r="AJ13" s="186"/>
    </row>
    <row r="14" spans="1:36" s="185" customFormat="1">
      <c r="B14" s="13" t="str" cm="1">
        <f t="array" ref="B14">IF(ROW()-ROW(tbl_GS_EligibilitySummary[#Headers])&lt;=ROWS(tbl_GS_Assessment[ActionID]),"Existing action","Additional action")</f>
        <v>Existing action</v>
      </c>
      <c r="C14" s="13" t="str" cm="1">
        <f t="array" ref="C14">IF(ROW()-ROW(tbl_GS_EligibilitySummary[#Headers])&lt;=ROWS(tbl_GS_Assessment[ActionID]),INDEX(tbl_GS_Assessment[ActionID],ROW()-ROW(tbl_GS_EligibilitySummary[#Headers])),INDEX(tbl_GS_AdditionalActions[AdditionalActionID],ROW()-ROW(tbl_GS_EligibilitySummary[#Headers])-ROWS(tbl_GS_Assessment[ActionID])))</f>
        <v>c40_0056</v>
      </c>
      <c r="D14" s="13" t="str" cm="1">
        <f t="array" ref="D14">IF(ROW()-ROW(tbl_GS_EligibilitySummary[#Headers])&lt;=ROWS(tbl_GS_Assessment[ActionID]),INDEX(tbl_GS_Assessment[ActionName],ROW()-ROW(tbl_GS_EligibilitySummary[#Headers])),INDEX(tbl_GS_AdditionalActions[ActionName],ROW()-ROW(tbl_GS_EligibilitySummary[#Headers])-ROWS(tbl_GS_Assessment[ActionID])))</f>
        <v>Improve Watershed Protection and Management</v>
      </c>
      <c r="E14" s="13" cm="1">
        <f t="array" ref="E14">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14" s="13" t="str" cm="1">
        <f t="array" ref="F14">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14" s="13" t="str" cm="1">
        <f t="array" ref="G14">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14" s="13" cm="1">
        <f t="array" ref="H14">IF(ROW()-ROW(tbl_GS_EligibilitySummary[#Headers])&lt;=ROWS(tbl_GS_Assessment[ActionID]),INDEX(tbl_GS_Assessment[Exposure Eligibility],ROW()-ROW(tbl_GS_EligibilitySummary[#Headers])),INDEX(tbl_GS_AdditionalActions[Exposure Eligibility],ROW()-ROW(tbl_GS_EligibilitySummary[#Headers])-ROWS(tbl_GS_Assessment[ActionID])))</f>
        <v>0</v>
      </c>
      <c r="I14" s="13" t="str" cm="1">
        <f t="array" ref="I14">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14" s="13" t="str" cm="1">
        <f t="array" ref="J14">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14" s="13" cm="1">
        <f t="array" ref="K14">IF(ROW()-ROW(tbl_GS_EligibilitySummary[#Headers])&lt;=ROWS(tbl_GS_Assessment[ActionID]),INDEX(tbl_GS_Assessment[ReviewStatus],ROW()-ROW(tbl_GS_EligibilitySummary[#Headers])),INDEX(tbl_GS_AdditionalActions[ReviewStatus],ROW()-ROW(tbl_GS_EligibilitySummary[#Headers])-ROWS(tbl_GS_Assessment[ActionID])))</f>
        <v>0</v>
      </c>
      <c r="L14" s="87"/>
      <c r="M14" s="87"/>
      <c r="N14" s="87"/>
      <c r="O14" s="87"/>
      <c r="P14" s="87"/>
      <c r="Q14" s="87"/>
      <c r="R14" s="87"/>
      <c r="S14" s="87"/>
      <c r="T14" s="87"/>
      <c r="U14" s="87"/>
      <c r="V14" s="87"/>
      <c r="AA14" s="186"/>
      <c r="AB14" s="186"/>
      <c r="AC14" s="186"/>
      <c r="AD14" s="186"/>
      <c r="AE14" s="186"/>
      <c r="AF14" s="186"/>
      <c r="AG14" s="186"/>
      <c r="AH14" s="186"/>
      <c r="AI14" s="186"/>
      <c r="AJ14" s="186"/>
    </row>
    <row r="15" spans="1:36" s="185" customFormat="1">
      <c r="B15" s="13" t="str" cm="1">
        <f t="array" ref="B15">IF(ROW()-ROW(tbl_GS_EligibilitySummary[#Headers])&lt;=ROWS(tbl_GS_Assessment[ActionID]),"Existing action","Additional action")</f>
        <v>Existing action</v>
      </c>
      <c r="C15" s="13" t="str" cm="1">
        <f t="array" ref="C15">IF(ROW()-ROW(tbl_GS_EligibilitySummary[#Headers])&lt;=ROWS(tbl_GS_Assessment[ActionID]),INDEX(tbl_GS_Assessment[ActionID],ROW()-ROW(tbl_GS_EligibilitySummary[#Headers])),INDEX(tbl_GS_AdditionalActions[AdditionalActionID],ROW()-ROW(tbl_GS_EligibilitySummary[#Headers])-ROWS(tbl_GS_Assessment[ActionID])))</f>
        <v>c40_0062</v>
      </c>
      <c r="D15" s="13" t="str" cm="1">
        <f t="array" ref="D15">IF(ROW()-ROW(tbl_GS_EligibilitySummary[#Headers])&lt;=ROWS(tbl_GS_Assessment[ActionID]),INDEX(tbl_GS_Assessment[ActionName],ROW()-ROW(tbl_GS_EligibilitySummary[#Headers])),INDEX(tbl_GS_AdditionalActions[ActionName],ROW()-ROW(tbl_GS_EligibilitySummary[#Headers])-ROWS(tbl_GS_Assessment[ActionID])))</f>
        <v>Reform water tariffs to support efficiency and equity</v>
      </c>
      <c r="E15" s="13" cm="1">
        <f t="array" ref="E15">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15" s="13" t="str" cm="1">
        <f t="array" ref="F15">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15" s="13" t="str" cm="1">
        <f t="array" ref="G15">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15" s="13" cm="1">
        <f t="array" ref="H15">IF(ROW()-ROW(tbl_GS_EligibilitySummary[#Headers])&lt;=ROWS(tbl_GS_Assessment[ActionID]),INDEX(tbl_GS_Assessment[Exposure Eligibility],ROW()-ROW(tbl_GS_EligibilitySummary[#Headers])),INDEX(tbl_GS_AdditionalActions[Exposure Eligibility],ROW()-ROW(tbl_GS_EligibilitySummary[#Headers])-ROWS(tbl_GS_Assessment[ActionID])))</f>
        <v>0</v>
      </c>
      <c r="I15" s="13" t="str" cm="1">
        <f t="array" ref="I15">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15" s="13" t="str" cm="1">
        <f t="array" ref="J15">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15" s="13" cm="1">
        <f t="array" ref="K15">IF(ROW()-ROW(tbl_GS_EligibilitySummary[#Headers])&lt;=ROWS(tbl_GS_Assessment[ActionID]),INDEX(tbl_GS_Assessment[ReviewStatus],ROW()-ROW(tbl_GS_EligibilitySummary[#Headers])),INDEX(tbl_GS_AdditionalActions[ReviewStatus],ROW()-ROW(tbl_GS_EligibilitySummary[#Headers])-ROWS(tbl_GS_Assessment[ActionID])))</f>
        <v>0</v>
      </c>
      <c r="L15" s="87"/>
      <c r="M15" s="87"/>
      <c r="N15" s="87"/>
      <c r="O15" s="87"/>
      <c r="P15" s="87"/>
      <c r="Q15" s="87"/>
      <c r="R15" s="87"/>
      <c r="S15" s="87"/>
      <c r="T15" s="87"/>
      <c r="U15" s="87"/>
      <c r="V15" s="87"/>
      <c r="AA15" s="186"/>
      <c r="AB15" s="186"/>
      <c r="AC15" s="186"/>
      <c r="AD15" s="186"/>
      <c r="AE15" s="186"/>
      <c r="AF15" s="186"/>
      <c r="AG15" s="186"/>
      <c r="AH15" s="186"/>
      <c r="AI15" s="186"/>
      <c r="AJ15" s="186"/>
    </row>
    <row r="16" spans="1:36" s="185" customFormat="1">
      <c r="B16" s="13" t="str" cm="1">
        <f t="array" ref="B16">IF(ROW()-ROW(tbl_GS_EligibilitySummary[#Headers])&lt;=ROWS(tbl_GS_Assessment[ActionID]),"Existing action","Additional action")</f>
        <v>Existing action</v>
      </c>
      <c r="C16" s="13" t="str" cm="1">
        <f t="array" ref="C16">IF(ROW()-ROW(tbl_GS_EligibilitySummary[#Headers])&lt;=ROWS(tbl_GS_Assessment[ActionID]),INDEX(tbl_GS_Assessment[ActionID],ROW()-ROW(tbl_GS_EligibilitySummary[#Headers])),INDEX(tbl_GS_AdditionalActions[AdditionalActionID],ROW()-ROW(tbl_GS_EligibilitySummary[#Headers])-ROWS(tbl_GS_Assessment[ActionID])))</f>
        <v>icare_0144</v>
      </c>
      <c r="D16" s="13" t="str" cm="1">
        <f t="array" ref="D16">IF(ROW()-ROW(tbl_GS_EligibilitySummary[#Headers])&lt;=ROWS(tbl_GS_Assessment[ActionID]),INDEX(tbl_GS_Assessment[ActionName],ROW()-ROW(tbl_GS_EligibilitySummary[#Headers])),INDEX(tbl_GS_AdditionalActions[ActionName],ROW()-ROW(tbl_GS_EligibilitySummary[#Headers])-ROWS(tbl_GS_Assessment[ActionID])))</f>
        <v>Establish a financial support program for extreme weather events</v>
      </c>
      <c r="E16" s="13" cm="1">
        <f t="array" ref="E16">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16" s="13" t="str" cm="1">
        <f t="array" ref="F16">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16" s="13" t="str" cm="1">
        <f t="array" ref="G16">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16" s="13" cm="1">
        <f t="array" ref="H16">IF(ROW()-ROW(tbl_GS_EligibilitySummary[#Headers])&lt;=ROWS(tbl_GS_Assessment[ActionID]),INDEX(tbl_GS_Assessment[Exposure Eligibility],ROW()-ROW(tbl_GS_EligibilitySummary[#Headers])),INDEX(tbl_GS_AdditionalActions[Exposure Eligibility],ROW()-ROW(tbl_GS_EligibilitySummary[#Headers])-ROWS(tbl_GS_Assessment[ActionID])))</f>
        <v>0</v>
      </c>
      <c r="I16" s="13" t="str" cm="1">
        <f t="array" ref="I16">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16" s="13" t="str" cm="1">
        <f t="array" ref="J16">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16" s="13" cm="1">
        <f t="array" ref="K16">IF(ROW()-ROW(tbl_GS_EligibilitySummary[#Headers])&lt;=ROWS(tbl_GS_Assessment[ActionID]),INDEX(tbl_GS_Assessment[ReviewStatus],ROW()-ROW(tbl_GS_EligibilitySummary[#Headers])),INDEX(tbl_GS_AdditionalActions[ReviewStatus],ROW()-ROW(tbl_GS_EligibilitySummary[#Headers])-ROWS(tbl_GS_Assessment[ActionID])))</f>
        <v>0</v>
      </c>
      <c r="L16" s="87"/>
      <c r="M16" s="87"/>
      <c r="N16" s="87"/>
      <c r="O16" s="87"/>
      <c r="P16" s="87"/>
      <c r="Q16" s="87"/>
      <c r="R16" s="87"/>
      <c r="S16" s="87"/>
      <c r="T16" s="87"/>
      <c r="U16" s="87"/>
      <c r="V16" s="87"/>
      <c r="AA16" s="186"/>
      <c r="AB16" s="186"/>
      <c r="AC16" s="186"/>
      <c r="AD16" s="186"/>
      <c r="AE16" s="186"/>
      <c r="AF16" s="186"/>
      <c r="AG16" s="186"/>
      <c r="AH16" s="186"/>
      <c r="AI16" s="186"/>
      <c r="AJ16" s="186"/>
    </row>
    <row r="17" spans="2:36" s="185" customFormat="1">
      <c r="B17" s="13" t="str" cm="1">
        <f t="array" ref="B17">IF(ROW()-ROW(tbl_GS_EligibilitySummary[#Headers])&lt;=ROWS(tbl_GS_Assessment[ActionID]),"Existing action","Additional action")</f>
        <v>Existing action</v>
      </c>
      <c r="C17" s="13" t="str" cm="1">
        <f t="array" ref="C17">IF(ROW()-ROW(tbl_GS_EligibilitySummary[#Headers])&lt;=ROWS(tbl_GS_Assessment[ActionID]),INDEX(tbl_GS_Assessment[ActionID],ROW()-ROW(tbl_GS_EligibilitySummary[#Headers])),INDEX(tbl_GS_AdditionalActions[AdditionalActionID],ROW()-ROW(tbl_GS_EligibilitySummary[#Headers])-ROWS(tbl_GS_Assessment[ActionID])))</f>
        <v>icare_0145</v>
      </c>
      <c r="D17" s="13" t="str" cm="1">
        <f t="array" ref="D17">IF(ROW()-ROW(tbl_GS_EligibilitySummary[#Headers])&lt;=ROWS(tbl_GS_Assessment[ActionID]),INDEX(tbl_GS_Assessment[ActionName],ROW()-ROW(tbl_GS_EligibilitySummary[#Headers])),INDEX(tbl_GS_AdditionalActions[ActionName],ROW()-ROW(tbl_GS_EligibilitySummary[#Headers])-ROWS(tbl_GS_Assessment[ActionID])))</f>
        <v>Strengthen the healthcare system to respond effectively to extreme events</v>
      </c>
      <c r="E17" s="13" cm="1">
        <f t="array" ref="E17">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17" s="13" t="str" cm="1">
        <f t="array" ref="F17">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17" s="13" t="str" cm="1">
        <f t="array" ref="G17">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17" s="13" cm="1">
        <f t="array" ref="H17">IF(ROW()-ROW(tbl_GS_EligibilitySummary[#Headers])&lt;=ROWS(tbl_GS_Assessment[ActionID]),INDEX(tbl_GS_Assessment[Exposure Eligibility],ROW()-ROW(tbl_GS_EligibilitySummary[#Headers])),INDEX(tbl_GS_AdditionalActions[Exposure Eligibility],ROW()-ROW(tbl_GS_EligibilitySummary[#Headers])-ROWS(tbl_GS_Assessment[ActionID])))</f>
        <v>0</v>
      </c>
      <c r="I17" s="13" t="str" cm="1">
        <f t="array" ref="I17">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17" s="13" t="str" cm="1">
        <f t="array" ref="J17">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17" s="13" cm="1">
        <f t="array" ref="K17">IF(ROW()-ROW(tbl_GS_EligibilitySummary[#Headers])&lt;=ROWS(tbl_GS_Assessment[ActionID]),INDEX(tbl_GS_Assessment[ReviewStatus],ROW()-ROW(tbl_GS_EligibilitySummary[#Headers])),INDEX(tbl_GS_AdditionalActions[ReviewStatus],ROW()-ROW(tbl_GS_EligibilitySummary[#Headers])-ROWS(tbl_GS_Assessment[ActionID])))</f>
        <v>0</v>
      </c>
      <c r="L17" s="87"/>
      <c r="M17" s="87"/>
      <c r="N17" s="87"/>
      <c r="O17" s="87"/>
      <c r="P17" s="87"/>
      <c r="Q17" s="87"/>
      <c r="R17" s="87"/>
      <c r="S17" s="87"/>
      <c r="T17" s="87"/>
      <c r="U17" s="87"/>
      <c r="V17" s="87"/>
      <c r="AA17" s="186"/>
      <c r="AB17" s="186"/>
      <c r="AC17" s="186"/>
      <c r="AD17" s="186"/>
      <c r="AE17" s="186"/>
      <c r="AF17" s="186"/>
      <c r="AG17" s="186"/>
      <c r="AH17" s="186"/>
      <c r="AI17" s="186"/>
      <c r="AJ17" s="186"/>
    </row>
    <row r="18" spans="2:36" s="185" customFormat="1">
      <c r="B18" s="13" t="str" cm="1">
        <f t="array" ref="B18">IF(ROW()-ROW(tbl_GS_EligibilitySummary[#Headers])&lt;=ROWS(tbl_GS_Assessment[ActionID]),"Existing action","Additional action")</f>
        <v>Existing action</v>
      </c>
      <c r="C18" s="13" t="str" cm="1">
        <f t="array" ref="C18">IF(ROW()-ROW(tbl_GS_EligibilitySummary[#Headers])&lt;=ROWS(tbl_GS_Assessment[ActionID]),INDEX(tbl_GS_Assessment[ActionID],ROW()-ROW(tbl_GS_EligibilitySummary[#Headers])),INDEX(tbl_GS_AdditionalActions[AdditionalActionID],ROW()-ROW(tbl_GS_EligibilitySummary[#Headers])-ROWS(tbl_GS_Assessment[ActionID])))</f>
        <v>icare_0154</v>
      </c>
      <c r="D18" s="13" t="str" cm="1">
        <f t="array" ref="D18">IF(ROW()-ROW(tbl_GS_EligibilitySummary[#Headers])&lt;=ROWS(tbl_GS_Assessment[ActionID]),INDEX(tbl_GS_Assessment[ActionName],ROW()-ROW(tbl_GS_EligibilitySummary[#Headers])),INDEX(tbl_GS_AdditionalActions[ActionName],ROW()-ROW(tbl_GS_EligibilitySummary[#Headers])-ROWS(tbl_GS_Assessment[ActionID])))</f>
        <v>Clean and unclog drainage channels and install eco-barriers</v>
      </c>
      <c r="E18" s="13" cm="1">
        <f t="array" ref="E18">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18" s="13" t="str" cm="1">
        <f t="array" ref="F18">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18" s="13" t="str" cm="1">
        <f t="array" ref="G18">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18" s="13" cm="1">
        <f t="array" ref="H18">IF(ROW()-ROW(tbl_GS_EligibilitySummary[#Headers])&lt;=ROWS(tbl_GS_Assessment[ActionID]),INDEX(tbl_GS_Assessment[Exposure Eligibility],ROW()-ROW(tbl_GS_EligibilitySummary[#Headers])),INDEX(tbl_GS_AdditionalActions[Exposure Eligibility],ROW()-ROW(tbl_GS_EligibilitySummary[#Headers])-ROWS(tbl_GS_Assessment[ActionID])))</f>
        <v>0</v>
      </c>
      <c r="I18" s="13" t="str" cm="1">
        <f t="array" ref="I18">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18" s="13" t="str" cm="1">
        <f t="array" ref="J18">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18" s="13" cm="1">
        <f t="array" ref="K18">IF(ROW()-ROW(tbl_GS_EligibilitySummary[#Headers])&lt;=ROWS(tbl_GS_Assessment[ActionID]),INDEX(tbl_GS_Assessment[ReviewStatus],ROW()-ROW(tbl_GS_EligibilitySummary[#Headers])),INDEX(tbl_GS_AdditionalActions[ReviewStatus],ROW()-ROW(tbl_GS_EligibilitySummary[#Headers])-ROWS(tbl_GS_Assessment[ActionID])))</f>
        <v>0</v>
      </c>
      <c r="L18" s="87"/>
      <c r="M18" s="87"/>
      <c r="N18" s="87"/>
      <c r="O18" s="87"/>
      <c r="P18" s="87"/>
      <c r="Q18" s="87"/>
      <c r="R18" s="87"/>
      <c r="S18" s="87"/>
      <c r="T18" s="87"/>
      <c r="U18" s="87"/>
      <c r="V18" s="87"/>
      <c r="AA18" s="186"/>
      <c r="AB18" s="186"/>
      <c r="AC18" s="186"/>
      <c r="AD18" s="186"/>
      <c r="AE18" s="186"/>
      <c r="AF18" s="186"/>
      <c r="AG18" s="186"/>
      <c r="AH18" s="186"/>
      <c r="AI18" s="186"/>
      <c r="AJ18" s="186"/>
    </row>
    <row r="19" spans="2:36" s="185" customFormat="1">
      <c r="B19" s="13" t="str" cm="1">
        <f t="array" ref="B19">IF(ROW()-ROW(tbl_GS_EligibilitySummary[#Headers])&lt;=ROWS(tbl_GS_Assessment[ActionID]),"Existing action","Additional action")</f>
        <v>Existing action</v>
      </c>
      <c r="C19" s="13" t="str" cm="1">
        <f t="array" ref="C19">IF(ROW()-ROW(tbl_GS_EligibilitySummary[#Headers])&lt;=ROWS(tbl_GS_Assessment[ActionID]),INDEX(tbl_GS_Assessment[ActionID],ROW()-ROW(tbl_GS_EligibilitySummary[#Headers])),INDEX(tbl_GS_AdditionalActions[AdditionalActionID],ROW()-ROW(tbl_GS_EligibilitySummary[#Headers])-ROWS(tbl_GS_Assessment[ActionID])))</f>
        <v>icare_0156</v>
      </c>
      <c r="D19" s="13" t="str" cm="1">
        <f t="array" ref="D19">IF(ROW()-ROW(tbl_GS_EligibilitySummary[#Headers])&lt;=ROWS(tbl_GS_Assessment[ActionID]),INDEX(tbl_GS_Assessment[ActionName],ROW()-ROW(tbl_GS_EligibilitySummary[#Headers])),INDEX(tbl_GS_AdditionalActions[ActionName],ROW()-ROW(tbl_GS_EligibilitySummary[#Headers])-ROWS(tbl_GS_Assessment[ActionID])))</f>
        <v>Improve Implementation of urban gardens</v>
      </c>
      <c r="E19" s="13" cm="1">
        <f t="array" ref="E19">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19" s="13" t="str" cm="1">
        <f t="array" ref="F19">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19" s="13" t="str" cm="1">
        <f t="array" ref="G19">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19" s="13" cm="1">
        <f t="array" ref="H19">IF(ROW()-ROW(tbl_GS_EligibilitySummary[#Headers])&lt;=ROWS(tbl_GS_Assessment[ActionID]),INDEX(tbl_GS_Assessment[Exposure Eligibility],ROW()-ROW(tbl_GS_EligibilitySummary[#Headers])),INDEX(tbl_GS_AdditionalActions[Exposure Eligibility],ROW()-ROW(tbl_GS_EligibilitySummary[#Headers])-ROWS(tbl_GS_Assessment[ActionID])))</f>
        <v>0</v>
      </c>
      <c r="I19" s="13" t="str" cm="1">
        <f t="array" ref="I19">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19" s="13" t="str" cm="1">
        <f t="array" ref="J19">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19" s="13" cm="1">
        <f t="array" ref="K19">IF(ROW()-ROW(tbl_GS_EligibilitySummary[#Headers])&lt;=ROWS(tbl_GS_Assessment[ActionID]),INDEX(tbl_GS_Assessment[ReviewStatus],ROW()-ROW(tbl_GS_EligibilitySummary[#Headers])),INDEX(tbl_GS_AdditionalActions[ReviewStatus],ROW()-ROW(tbl_GS_EligibilitySummary[#Headers])-ROWS(tbl_GS_Assessment[ActionID])))</f>
        <v>0</v>
      </c>
      <c r="L19" s="87"/>
      <c r="M19" s="87"/>
      <c r="N19" s="87"/>
      <c r="O19" s="87"/>
      <c r="P19" s="87"/>
      <c r="Q19" s="87"/>
      <c r="R19" s="87"/>
      <c r="S19" s="87"/>
      <c r="T19" s="87"/>
      <c r="U19" s="87"/>
      <c r="V19" s="87"/>
      <c r="AA19" s="186"/>
      <c r="AB19" s="186"/>
      <c r="AC19" s="186"/>
      <c r="AD19" s="186"/>
      <c r="AE19" s="186"/>
      <c r="AF19" s="186"/>
      <c r="AG19" s="186"/>
      <c r="AH19" s="186"/>
      <c r="AI19" s="186"/>
      <c r="AJ19" s="186"/>
    </row>
    <row r="20" spans="2:36" s="185" customFormat="1">
      <c r="B20" s="13" t="str" cm="1">
        <f t="array" ref="B20">IF(ROW()-ROW(tbl_GS_EligibilitySummary[#Headers])&lt;=ROWS(tbl_GS_Assessment[ActionID]),"Existing action","Additional action")</f>
        <v>Existing action</v>
      </c>
      <c r="C20" s="13" t="str" cm="1">
        <f t="array" ref="C20">IF(ROW()-ROW(tbl_GS_EligibilitySummary[#Headers])&lt;=ROWS(tbl_GS_Assessment[ActionID]),INDEX(tbl_GS_Assessment[ActionID],ROW()-ROW(tbl_GS_EligibilitySummary[#Headers])),INDEX(tbl_GS_AdditionalActions[AdditionalActionID],ROW()-ROW(tbl_GS_EligibilitySummary[#Headers])-ROWS(tbl_GS_Assessment[ActionID])))</f>
        <v>icare_0160</v>
      </c>
      <c r="D20" s="13" t="str" cm="1">
        <f t="array" ref="D20">IF(ROW()-ROW(tbl_GS_EligibilitySummary[#Headers])&lt;=ROWS(tbl_GS_Assessment[ActionID]),INDEX(tbl_GS_Assessment[ActionName],ROW()-ROW(tbl_GS_EligibilitySummary[#Headers])),INDEX(tbl_GS_AdditionalActions[ActionName],ROW()-ROW(tbl_GS_EligibilitySummary[#Headers])-ROWS(tbl_GS_Assessment[ActionID])))</f>
        <v>Establish mechanisms for intersectoral coordination and public participation in climate policy</v>
      </c>
      <c r="E20" s="13" cm="1">
        <f t="array" ref="E20">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20" s="13" t="str" cm="1">
        <f t="array" ref="F20">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20" s="13" t="str" cm="1">
        <f t="array" ref="G20">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20" s="13" cm="1">
        <f t="array" ref="H20">IF(ROW()-ROW(tbl_GS_EligibilitySummary[#Headers])&lt;=ROWS(tbl_GS_Assessment[ActionID]),INDEX(tbl_GS_Assessment[Exposure Eligibility],ROW()-ROW(tbl_GS_EligibilitySummary[#Headers])),INDEX(tbl_GS_AdditionalActions[Exposure Eligibility],ROW()-ROW(tbl_GS_EligibilitySummary[#Headers])-ROWS(tbl_GS_Assessment[ActionID])))</f>
        <v>0</v>
      </c>
      <c r="I20" s="13" t="str" cm="1">
        <f t="array" ref="I20">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20" s="13" t="str" cm="1">
        <f t="array" ref="J20">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20" s="13" cm="1">
        <f t="array" ref="K20">IF(ROW()-ROW(tbl_GS_EligibilitySummary[#Headers])&lt;=ROWS(tbl_GS_Assessment[ActionID]),INDEX(tbl_GS_Assessment[ReviewStatus],ROW()-ROW(tbl_GS_EligibilitySummary[#Headers])),INDEX(tbl_GS_AdditionalActions[ReviewStatus],ROW()-ROW(tbl_GS_EligibilitySummary[#Headers])-ROWS(tbl_GS_Assessment[ActionID])))</f>
        <v>0</v>
      </c>
      <c r="L20" s="87"/>
      <c r="M20" s="87"/>
      <c r="N20" s="87"/>
      <c r="O20" s="87"/>
      <c r="P20" s="87"/>
      <c r="Q20" s="87"/>
      <c r="R20" s="87"/>
      <c r="S20" s="87"/>
      <c r="T20" s="87"/>
      <c r="U20" s="87"/>
      <c r="V20" s="87"/>
      <c r="AA20" s="186"/>
      <c r="AB20" s="186"/>
      <c r="AC20" s="186"/>
      <c r="AD20" s="186"/>
      <c r="AE20" s="186"/>
      <c r="AF20" s="186"/>
      <c r="AG20" s="186"/>
      <c r="AH20" s="186"/>
      <c r="AI20" s="186"/>
      <c r="AJ20" s="186"/>
    </row>
    <row r="21" spans="2:36" s="185" customFormat="1">
      <c r="B21" s="13" t="str" cm="1">
        <f t="array" ref="B21">IF(ROW()-ROW(tbl_GS_EligibilitySummary[#Headers])&lt;=ROWS(tbl_GS_Assessment[ActionID]),"Existing action","Additional action")</f>
        <v>Existing action</v>
      </c>
      <c r="C21" s="13" t="str" cm="1">
        <f t="array" ref="C21">IF(ROW()-ROW(tbl_GS_EligibilitySummary[#Headers])&lt;=ROWS(tbl_GS_Assessment[ActionID]),INDEX(tbl_GS_Assessment[ActionID],ROW()-ROW(tbl_GS_EligibilitySummary[#Headers])),INDEX(tbl_GS_AdditionalActions[AdditionalActionID],ROW()-ROW(tbl_GS_EligibilitySummary[#Headers])-ROWS(tbl_GS_Assessment[ActionID])))</f>
        <v>icare_0162</v>
      </c>
      <c r="D21" s="13" t="str" cm="1">
        <f t="array" ref="D21">IF(ROW()-ROW(tbl_GS_EligibilitySummary[#Headers])&lt;=ROWS(tbl_GS_Assessment[ActionID]),INDEX(tbl_GS_Assessment[ActionName],ROW()-ROW(tbl_GS_EligibilitySummary[#Headers])),INDEX(tbl_GS_AdditionalActions[ActionName],ROW()-ROW(tbl_GS_EligibilitySummary[#Headers])-ROWS(tbl_GS_Assessment[ActionID])))</f>
        <v>Strengthen programs for control and conservation of protected areas</v>
      </c>
      <c r="E21" s="13" cm="1">
        <f t="array" ref="E21">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21" s="13" t="str" cm="1">
        <f t="array" ref="F21">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21" s="13" t="str" cm="1">
        <f t="array" ref="G21">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21" s="13" cm="1">
        <f t="array" ref="H21">IF(ROW()-ROW(tbl_GS_EligibilitySummary[#Headers])&lt;=ROWS(tbl_GS_Assessment[ActionID]),INDEX(tbl_GS_Assessment[Exposure Eligibility],ROW()-ROW(tbl_GS_EligibilitySummary[#Headers])),INDEX(tbl_GS_AdditionalActions[Exposure Eligibility],ROW()-ROW(tbl_GS_EligibilitySummary[#Headers])-ROWS(tbl_GS_Assessment[ActionID])))</f>
        <v>0</v>
      </c>
      <c r="I21" s="13" t="str" cm="1">
        <f t="array" ref="I21">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21" s="13" t="str" cm="1">
        <f t="array" ref="J21">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21" s="13" cm="1">
        <f t="array" ref="K21">IF(ROW()-ROW(tbl_GS_EligibilitySummary[#Headers])&lt;=ROWS(tbl_GS_Assessment[ActionID]),INDEX(tbl_GS_Assessment[ReviewStatus],ROW()-ROW(tbl_GS_EligibilitySummary[#Headers])),INDEX(tbl_GS_AdditionalActions[ReviewStatus],ROW()-ROW(tbl_GS_EligibilitySummary[#Headers])-ROWS(tbl_GS_Assessment[ActionID])))</f>
        <v>0</v>
      </c>
      <c r="L21" s="87"/>
      <c r="M21" s="87"/>
      <c r="N21" s="87"/>
      <c r="O21" s="87"/>
      <c r="P21" s="87"/>
      <c r="Q21" s="87"/>
      <c r="R21" s="87"/>
      <c r="S21" s="87"/>
      <c r="T21" s="87"/>
      <c r="U21" s="87"/>
      <c r="V21" s="87"/>
      <c r="AA21" s="186"/>
      <c r="AB21" s="186"/>
      <c r="AC21" s="186"/>
      <c r="AD21" s="186"/>
      <c r="AE21" s="186"/>
      <c r="AF21" s="186"/>
      <c r="AG21" s="186"/>
      <c r="AH21" s="186"/>
      <c r="AI21" s="186"/>
      <c r="AJ21" s="186"/>
    </row>
    <row r="22" spans="2:36" s="185" customFormat="1">
      <c r="B22" s="13" t="str" cm="1">
        <f t="array" ref="B22">IF(ROW()-ROW(tbl_GS_EligibilitySummary[#Headers])&lt;=ROWS(tbl_GS_Assessment[ActionID]),"Existing action","Additional action")</f>
        <v>Existing action</v>
      </c>
      <c r="C22" s="13" t="str" cm="1">
        <f t="array" ref="C22">IF(ROW()-ROW(tbl_GS_EligibilitySummary[#Headers])&lt;=ROWS(tbl_GS_Assessment[ActionID]),INDEX(tbl_GS_Assessment[ActionID],ROW()-ROW(tbl_GS_EligibilitySummary[#Headers])),INDEX(tbl_GS_AdditionalActions[AdditionalActionID],ROW()-ROW(tbl_GS_EligibilitySummary[#Headers])-ROWS(tbl_GS_Assessment[ActionID])))</f>
        <v>icare_0163</v>
      </c>
      <c r="D22" s="13" t="str" cm="1">
        <f t="array" ref="D22">IF(ROW()-ROW(tbl_GS_EligibilitySummary[#Headers])&lt;=ROWS(tbl_GS_Assessment[ActionID]),INDEX(tbl_GS_Assessment[ActionName],ROW()-ROW(tbl_GS_EligibilitySummary[#Headers])),INDEX(tbl_GS_AdditionalActions[ActionName],ROW()-ROW(tbl_GS_EligibilitySummary[#Headers])-ROWS(tbl_GS_Assessment[ActionID])))</f>
        <v>Establish a first‑response firefighting brigade</v>
      </c>
      <c r="E22" s="13" cm="1">
        <f t="array" ref="E22">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22" s="13" t="str" cm="1">
        <f t="array" ref="F22">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22" s="13" t="str" cm="1">
        <f t="array" ref="G22">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22" s="13" cm="1">
        <f t="array" ref="H22">IF(ROW()-ROW(tbl_GS_EligibilitySummary[#Headers])&lt;=ROWS(tbl_GS_Assessment[ActionID]),INDEX(tbl_GS_Assessment[Exposure Eligibility],ROW()-ROW(tbl_GS_EligibilitySummary[#Headers])),INDEX(tbl_GS_AdditionalActions[Exposure Eligibility],ROW()-ROW(tbl_GS_EligibilitySummary[#Headers])-ROWS(tbl_GS_Assessment[ActionID])))</f>
        <v>0</v>
      </c>
      <c r="I22" s="13" t="str" cm="1">
        <f t="array" ref="I22">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22" s="13" t="str" cm="1">
        <f t="array" ref="J22">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22" s="13" cm="1">
        <f t="array" ref="K22">IF(ROW()-ROW(tbl_GS_EligibilitySummary[#Headers])&lt;=ROWS(tbl_GS_Assessment[ActionID]),INDEX(tbl_GS_Assessment[ReviewStatus],ROW()-ROW(tbl_GS_EligibilitySummary[#Headers])),INDEX(tbl_GS_AdditionalActions[ReviewStatus],ROW()-ROW(tbl_GS_EligibilitySummary[#Headers])-ROWS(tbl_GS_Assessment[ActionID])))</f>
        <v>0</v>
      </c>
      <c r="L22" s="87"/>
      <c r="M22" s="87"/>
      <c r="N22" s="87"/>
      <c r="O22" s="87"/>
      <c r="P22" s="87"/>
      <c r="Q22" s="87"/>
      <c r="R22" s="87"/>
      <c r="S22" s="87"/>
      <c r="T22" s="87"/>
      <c r="U22" s="87"/>
      <c r="V22" s="87"/>
      <c r="AA22" s="186"/>
      <c r="AB22" s="186"/>
      <c r="AC22" s="186"/>
      <c r="AD22" s="186"/>
      <c r="AE22" s="186"/>
      <c r="AF22" s="186"/>
      <c r="AG22" s="186"/>
      <c r="AH22" s="186"/>
      <c r="AI22" s="186"/>
      <c r="AJ22" s="186"/>
    </row>
    <row r="23" spans="2:36" s="185" customFormat="1">
      <c r="B23" s="13" t="str" cm="1">
        <f t="array" ref="B23">IF(ROW()-ROW(tbl_GS_EligibilitySummary[#Headers])&lt;=ROWS(tbl_GS_Assessment[ActionID]),"Existing action","Additional action")</f>
        <v>Existing action</v>
      </c>
      <c r="C23" s="13" t="str" cm="1">
        <f t="array" ref="C23">IF(ROW()-ROW(tbl_GS_EligibilitySummary[#Headers])&lt;=ROWS(tbl_GS_Assessment[ActionID]),INDEX(tbl_GS_Assessment[ActionID],ROW()-ROW(tbl_GS_EligibilitySummary[#Headers])),INDEX(tbl_GS_AdditionalActions[AdditionalActionID],ROW()-ROW(tbl_GS_EligibilitySummary[#Headers])-ROWS(tbl_GS_Assessment[ActionID])))</f>
        <v>icare_0164</v>
      </c>
      <c r="D23" s="13" t="str" cm="1">
        <f t="array" ref="D23">IF(ROW()-ROW(tbl_GS_EligibilitySummary[#Headers])&lt;=ROWS(tbl_GS_Assessment[ActionID]),INDEX(tbl_GS_Assessment[ActionName],ROW()-ROW(tbl_GS_EligibilitySummary[#Headers])),INDEX(tbl_GS_AdditionalActions[ActionName],ROW()-ROW(tbl_GS_EligibilitySummary[#Headers])-ROWS(tbl_GS_Assessment[ActionID])))</f>
        <v>Improve Hydrological Monitoring System with Telemetry Stations</v>
      </c>
      <c r="E23" s="13" cm="1">
        <f t="array" ref="E23">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23" s="13" t="str" cm="1">
        <f t="array" ref="F23">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23" s="13" t="str" cm="1">
        <f t="array" ref="G23">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23" s="13" cm="1">
        <f t="array" ref="H23">IF(ROW()-ROW(tbl_GS_EligibilitySummary[#Headers])&lt;=ROWS(tbl_GS_Assessment[ActionID]),INDEX(tbl_GS_Assessment[Exposure Eligibility],ROW()-ROW(tbl_GS_EligibilitySummary[#Headers])),INDEX(tbl_GS_AdditionalActions[Exposure Eligibility],ROW()-ROW(tbl_GS_EligibilitySummary[#Headers])-ROWS(tbl_GS_Assessment[ActionID])))</f>
        <v>0</v>
      </c>
      <c r="I23" s="13" t="str" cm="1">
        <f t="array" ref="I23">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23" s="13" t="str" cm="1">
        <f t="array" ref="J23">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23" s="13" cm="1">
        <f t="array" ref="K23">IF(ROW()-ROW(tbl_GS_EligibilitySummary[#Headers])&lt;=ROWS(tbl_GS_Assessment[ActionID]),INDEX(tbl_GS_Assessment[ReviewStatus],ROW()-ROW(tbl_GS_EligibilitySummary[#Headers])),INDEX(tbl_GS_AdditionalActions[ReviewStatus],ROW()-ROW(tbl_GS_EligibilitySummary[#Headers])-ROWS(tbl_GS_Assessment[ActionID])))</f>
        <v>0</v>
      </c>
      <c r="L23" s="87"/>
      <c r="M23" s="87"/>
      <c r="N23" s="87"/>
      <c r="O23" s="87"/>
      <c r="P23" s="87"/>
      <c r="Q23" s="87"/>
      <c r="R23" s="87"/>
      <c r="S23" s="87"/>
      <c r="T23" s="87"/>
      <c r="U23" s="87"/>
      <c r="V23" s="87"/>
      <c r="AA23" s="186"/>
      <c r="AB23" s="186"/>
      <c r="AC23" s="186"/>
      <c r="AD23" s="186"/>
      <c r="AE23" s="186"/>
      <c r="AF23" s="186"/>
      <c r="AG23" s="186"/>
      <c r="AH23" s="186"/>
      <c r="AI23" s="186"/>
      <c r="AJ23" s="186"/>
    </row>
    <row r="24" spans="2:36" s="185" customFormat="1">
      <c r="B24" s="13" t="str" cm="1">
        <f t="array" ref="B24">IF(ROW()-ROW(tbl_GS_EligibilitySummary[#Headers])&lt;=ROWS(tbl_GS_Assessment[ActionID]),"Existing action","Additional action")</f>
        <v>Existing action</v>
      </c>
      <c r="C24" s="13" t="str" cm="1">
        <f t="array" ref="C24">IF(ROW()-ROW(tbl_GS_EligibilitySummary[#Headers])&lt;=ROWS(tbl_GS_Assessment[ActionID]),INDEX(tbl_GS_Assessment[ActionID],ROW()-ROW(tbl_GS_EligibilitySummary[#Headers])),INDEX(tbl_GS_AdditionalActions[AdditionalActionID],ROW()-ROW(tbl_GS_EligibilitySummary[#Headers])-ROWS(tbl_GS_Assessment[ActionID])))</f>
        <v>icare_0165</v>
      </c>
      <c r="D24" s="13" t="str" cm="1">
        <f t="array" ref="D24">IF(ROW()-ROW(tbl_GS_EligibilitySummary[#Headers])&lt;=ROWS(tbl_GS_Assessment[ActionID]),INDEX(tbl_GS_Assessment[ActionName],ROW()-ROW(tbl_GS_EligibilitySummary[#Headers])),INDEX(tbl_GS_AdditionalActions[ActionName],ROW()-ROW(tbl_GS_EligibilitySummary[#Headers])-ROWS(tbl_GS_Assessment[ActionID])))</f>
        <v>Develop an Environmental Education Plan</v>
      </c>
      <c r="E24" s="13" cm="1">
        <f t="array" ref="E24">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24" s="13" t="str" cm="1">
        <f t="array" ref="F24">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24" s="13" t="str" cm="1">
        <f t="array" ref="G24">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24" s="13" cm="1">
        <f t="array" ref="H24">IF(ROW()-ROW(tbl_GS_EligibilitySummary[#Headers])&lt;=ROWS(tbl_GS_Assessment[ActionID]),INDEX(tbl_GS_Assessment[Exposure Eligibility],ROW()-ROW(tbl_GS_EligibilitySummary[#Headers])),INDEX(tbl_GS_AdditionalActions[Exposure Eligibility],ROW()-ROW(tbl_GS_EligibilitySummary[#Headers])-ROWS(tbl_GS_Assessment[ActionID])))</f>
        <v>0</v>
      </c>
      <c r="I24" s="13" t="str" cm="1">
        <f t="array" ref="I24">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24" s="13" t="str" cm="1">
        <f t="array" ref="J24">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24" s="13" cm="1">
        <f t="array" ref="K24">IF(ROW()-ROW(tbl_GS_EligibilitySummary[#Headers])&lt;=ROWS(tbl_GS_Assessment[ActionID]),INDEX(tbl_GS_Assessment[ReviewStatus],ROW()-ROW(tbl_GS_EligibilitySummary[#Headers])),INDEX(tbl_GS_AdditionalActions[ReviewStatus],ROW()-ROW(tbl_GS_EligibilitySummary[#Headers])-ROWS(tbl_GS_Assessment[ActionID])))</f>
        <v>0</v>
      </c>
      <c r="L24" s="87"/>
      <c r="M24" s="87"/>
      <c r="N24" s="87"/>
      <c r="O24" s="87"/>
      <c r="P24" s="87"/>
      <c r="Q24" s="87"/>
      <c r="R24" s="87"/>
      <c r="S24" s="87"/>
      <c r="T24" s="87"/>
      <c r="U24" s="87"/>
      <c r="V24" s="87"/>
      <c r="AA24" s="186"/>
      <c r="AB24" s="186"/>
      <c r="AC24" s="186"/>
      <c r="AD24" s="186"/>
      <c r="AE24" s="186"/>
      <c r="AF24" s="186"/>
      <c r="AG24" s="186"/>
      <c r="AH24" s="186"/>
      <c r="AI24" s="186"/>
      <c r="AJ24" s="186"/>
    </row>
    <row r="25" spans="2:36" s="185" customFormat="1">
      <c r="B25" s="13" t="str" cm="1">
        <f t="array" ref="B25">IF(ROW()-ROW(tbl_GS_EligibilitySummary[#Headers])&lt;=ROWS(tbl_GS_Assessment[ActionID]),"Existing action","Additional action")</f>
        <v>Existing action</v>
      </c>
      <c r="C25" s="13" t="str" cm="1">
        <f t="array" ref="C25">IF(ROW()-ROW(tbl_GS_EligibilitySummary[#Headers])&lt;=ROWS(tbl_GS_Assessment[ActionID]),INDEX(tbl_GS_Assessment[ActionID],ROW()-ROW(tbl_GS_EligibilitySummary[#Headers])),INDEX(tbl_GS_AdditionalActions[AdditionalActionID],ROW()-ROW(tbl_GS_EligibilitySummary[#Headers])-ROWS(tbl_GS_Assessment[ActionID])))</f>
        <v>icare_0169</v>
      </c>
      <c r="D25" s="13" t="str" cm="1">
        <f t="array" ref="D25">IF(ROW()-ROW(tbl_GS_EligibilitySummary[#Headers])&lt;=ROWS(tbl_GS_Assessment[ActionID]),INDEX(tbl_GS_Assessment[ActionName],ROW()-ROW(tbl_GS_EligibilitySummary[#Headers])),INDEX(tbl_GS_AdditionalActions[ActionName],ROW()-ROW(tbl_GS_EligibilitySummary[#Headers])-ROWS(tbl_GS_Assessment[ActionID])))</f>
        <v>Establish a Plan for Preparation and Emergency Response Measures in the event of extreme weather events</v>
      </c>
      <c r="E25" s="13" cm="1">
        <f t="array" ref="E25">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25" s="13" t="str" cm="1">
        <f t="array" ref="F25">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25" s="13" t="str" cm="1">
        <f t="array" ref="G25">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25" s="13" cm="1">
        <f t="array" ref="H25">IF(ROW()-ROW(tbl_GS_EligibilitySummary[#Headers])&lt;=ROWS(tbl_GS_Assessment[ActionID]),INDEX(tbl_GS_Assessment[Exposure Eligibility],ROW()-ROW(tbl_GS_EligibilitySummary[#Headers])),INDEX(tbl_GS_AdditionalActions[Exposure Eligibility],ROW()-ROW(tbl_GS_EligibilitySummary[#Headers])-ROWS(tbl_GS_Assessment[ActionID])))</f>
        <v>0</v>
      </c>
      <c r="I25" s="13" t="str" cm="1">
        <f t="array" ref="I25">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25" s="13" t="str" cm="1">
        <f t="array" ref="J25">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25" s="13" cm="1">
        <f t="array" ref="K25">IF(ROW()-ROW(tbl_GS_EligibilitySummary[#Headers])&lt;=ROWS(tbl_GS_Assessment[ActionID]),INDEX(tbl_GS_Assessment[ReviewStatus],ROW()-ROW(tbl_GS_EligibilitySummary[#Headers])),INDEX(tbl_GS_AdditionalActions[ReviewStatus],ROW()-ROW(tbl_GS_EligibilitySummary[#Headers])-ROWS(tbl_GS_Assessment[ActionID])))</f>
        <v>0</v>
      </c>
      <c r="L25" s="87"/>
      <c r="M25" s="87"/>
      <c r="N25" s="87"/>
      <c r="O25" s="87"/>
      <c r="P25" s="87"/>
      <c r="Q25" s="87"/>
      <c r="R25" s="87"/>
      <c r="S25" s="87"/>
      <c r="T25" s="87"/>
      <c r="U25" s="87"/>
      <c r="V25" s="87"/>
      <c r="AA25" s="186"/>
      <c r="AB25" s="186"/>
      <c r="AC25" s="186"/>
      <c r="AD25" s="186"/>
      <c r="AE25" s="186"/>
      <c r="AF25" s="186"/>
      <c r="AG25" s="186"/>
      <c r="AH25" s="186"/>
      <c r="AI25" s="186"/>
      <c r="AJ25" s="186"/>
    </row>
    <row r="26" spans="2:36" s="185" customFormat="1">
      <c r="B26" s="13" t="str" cm="1">
        <f t="array" ref="B26">IF(ROW()-ROW(tbl_GS_EligibilitySummary[#Headers])&lt;=ROWS(tbl_GS_Assessment[ActionID]),"Existing action","Additional action")</f>
        <v>Existing action</v>
      </c>
      <c r="C26" s="13" t="str" cm="1">
        <f t="array" ref="C26">IF(ROW()-ROW(tbl_GS_EligibilitySummary[#Headers])&lt;=ROWS(tbl_GS_Assessment[ActionID]),INDEX(tbl_GS_Assessment[ActionID],ROW()-ROW(tbl_GS_EligibilitySummary[#Headers])),INDEX(tbl_GS_AdditionalActions[AdditionalActionID],ROW()-ROW(tbl_GS_EligibilitySummary[#Headers])-ROWS(tbl_GS_Assessment[ActionID])))</f>
        <v>icare_0170</v>
      </c>
      <c r="D26" s="13" t="str" cm="1">
        <f t="array" ref="D26">IF(ROW()-ROW(tbl_GS_EligibilitySummary[#Headers])&lt;=ROWS(tbl_GS_Assessment[ActionID]),INDEX(tbl_GS_Assessment[ActionName],ROW()-ROW(tbl_GS_EligibilitySummary[#Headers])),INDEX(tbl_GS_AdditionalActions[ActionName],ROW()-ROW(tbl_GS_EligibilitySummary[#Headers])-ROWS(tbl_GS_Assessment[ActionID])))</f>
        <v>Build safe housing and implement urban rehabilitation projects for populations living in high-risk areas</v>
      </c>
      <c r="E26" s="13" cm="1">
        <f t="array" ref="E26">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26" s="13" t="str" cm="1">
        <f t="array" ref="F26">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26" s="13" t="str" cm="1">
        <f t="array" ref="G26">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26" s="13" cm="1">
        <f t="array" ref="H26">IF(ROW()-ROW(tbl_GS_EligibilitySummary[#Headers])&lt;=ROWS(tbl_GS_Assessment[ActionID]),INDEX(tbl_GS_Assessment[Exposure Eligibility],ROW()-ROW(tbl_GS_EligibilitySummary[#Headers])),INDEX(tbl_GS_AdditionalActions[Exposure Eligibility],ROW()-ROW(tbl_GS_EligibilitySummary[#Headers])-ROWS(tbl_GS_Assessment[ActionID])))</f>
        <v>0</v>
      </c>
      <c r="I26" s="13" t="str" cm="1">
        <f t="array" ref="I26">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26" s="13" t="str" cm="1">
        <f t="array" ref="J26">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26" s="13" cm="1">
        <f t="array" ref="K26">IF(ROW()-ROW(tbl_GS_EligibilitySummary[#Headers])&lt;=ROWS(tbl_GS_Assessment[ActionID]),INDEX(tbl_GS_Assessment[ReviewStatus],ROW()-ROW(tbl_GS_EligibilitySummary[#Headers])),INDEX(tbl_GS_AdditionalActions[ReviewStatus],ROW()-ROW(tbl_GS_EligibilitySummary[#Headers])-ROWS(tbl_GS_Assessment[ActionID])))</f>
        <v>0</v>
      </c>
      <c r="L26" s="87"/>
      <c r="M26" s="87"/>
      <c r="N26" s="87"/>
      <c r="O26" s="87"/>
      <c r="P26" s="87"/>
      <c r="Q26" s="87"/>
      <c r="R26" s="87"/>
      <c r="S26" s="87"/>
      <c r="T26" s="87"/>
      <c r="U26" s="87"/>
      <c r="V26" s="87"/>
      <c r="AA26" s="186"/>
      <c r="AB26" s="186"/>
      <c r="AC26" s="186"/>
      <c r="AD26" s="186"/>
      <c r="AE26" s="186"/>
      <c r="AF26" s="186"/>
      <c r="AG26" s="186"/>
      <c r="AH26" s="186"/>
      <c r="AI26" s="186"/>
      <c r="AJ26" s="186"/>
    </row>
    <row r="27" spans="2:36" s="185" customFormat="1">
      <c r="B27" s="13" t="str" cm="1">
        <f t="array" ref="B27">IF(ROW()-ROW(tbl_GS_EligibilitySummary[#Headers])&lt;=ROWS(tbl_GS_Assessment[ActionID]),"Existing action","Additional action")</f>
        <v>Existing action</v>
      </c>
      <c r="C27" s="13" t="str" cm="1">
        <f t="array" ref="C27">IF(ROW()-ROW(tbl_GS_EligibilitySummary[#Headers])&lt;=ROWS(tbl_GS_Assessment[ActionID]),INDEX(tbl_GS_Assessment[ActionID],ROW()-ROW(tbl_GS_EligibilitySummary[#Headers])),INDEX(tbl_GS_AdditionalActions[AdditionalActionID],ROW()-ROW(tbl_GS_EligibilitySummary[#Headers])-ROWS(tbl_GS_Assessment[ActionID])))</f>
        <v>icare_0171</v>
      </c>
      <c r="D27" s="13" t="str" cm="1">
        <f t="array" ref="D27">IF(ROW()-ROW(tbl_GS_EligibilitySummary[#Headers])&lt;=ROWS(tbl_GS_Assessment[ActionID]),INDEX(tbl_GS_Assessment[ActionName],ROW()-ROW(tbl_GS_EligibilitySummary[#Headers])),INDEX(tbl_GS_AdditionalActions[ActionName],ROW()-ROW(tbl_GS_EligibilitySummary[#Headers])-ROWS(tbl_GS_Assessment[ActionID])))</f>
        <v>Improve the hydrometeorological forecasting, monitoring, and alert system for climate risks</v>
      </c>
      <c r="E27" s="13" cm="1">
        <f t="array" ref="E27">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27" s="13" t="str" cm="1">
        <f t="array" ref="F27">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27" s="13" t="str" cm="1">
        <f t="array" ref="G27">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27" s="13" cm="1">
        <f t="array" ref="H27">IF(ROW()-ROW(tbl_GS_EligibilitySummary[#Headers])&lt;=ROWS(tbl_GS_Assessment[ActionID]),INDEX(tbl_GS_Assessment[Exposure Eligibility],ROW()-ROW(tbl_GS_EligibilitySummary[#Headers])),INDEX(tbl_GS_AdditionalActions[Exposure Eligibility],ROW()-ROW(tbl_GS_EligibilitySummary[#Headers])-ROWS(tbl_GS_Assessment[ActionID])))</f>
        <v>0</v>
      </c>
      <c r="I27" s="13" t="str" cm="1">
        <f t="array" ref="I27">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27" s="13" t="str" cm="1">
        <f t="array" ref="J27">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27" s="13" cm="1">
        <f t="array" ref="K27">IF(ROW()-ROW(tbl_GS_EligibilitySummary[#Headers])&lt;=ROWS(tbl_GS_Assessment[ActionID]),INDEX(tbl_GS_Assessment[ReviewStatus],ROW()-ROW(tbl_GS_EligibilitySummary[#Headers])),INDEX(tbl_GS_AdditionalActions[ReviewStatus],ROW()-ROW(tbl_GS_EligibilitySummary[#Headers])-ROWS(tbl_GS_Assessment[ActionID])))</f>
        <v>0</v>
      </c>
      <c r="L27" s="87"/>
      <c r="M27" s="87"/>
      <c r="N27" s="87"/>
      <c r="O27" s="87"/>
      <c r="P27" s="87"/>
      <c r="Q27" s="87"/>
      <c r="R27" s="87"/>
      <c r="S27" s="87"/>
      <c r="T27" s="87"/>
      <c r="U27" s="87"/>
      <c r="V27" s="87"/>
      <c r="AA27" s="186"/>
      <c r="AB27" s="186"/>
      <c r="AC27" s="186"/>
      <c r="AD27" s="186"/>
      <c r="AE27" s="186"/>
      <c r="AF27" s="186"/>
      <c r="AG27" s="186"/>
      <c r="AH27" s="186"/>
      <c r="AI27" s="186"/>
      <c r="AJ27" s="186"/>
    </row>
    <row r="28" spans="2:36" s="185" customFormat="1">
      <c r="B28" s="13" t="str" cm="1">
        <f t="array" ref="B28">IF(ROW()-ROW(tbl_GS_EligibilitySummary[#Headers])&lt;=ROWS(tbl_GS_Assessment[ActionID]),"Existing action","Additional action")</f>
        <v>Existing action</v>
      </c>
      <c r="C28" s="13" t="str" cm="1">
        <f t="array" ref="C28">IF(ROW()-ROW(tbl_GS_EligibilitySummary[#Headers])&lt;=ROWS(tbl_GS_Assessment[ActionID]),INDEX(tbl_GS_Assessment[ActionID],ROW()-ROW(tbl_GS_EligibilitySummary[#Headers])),INDEX(tbl_GS_AdditionalActions[AdditionalActionID],ROW()-ROW(tbl_GS_EligibilitySummary[#Headers])-ROWS(tbl_GS_Assessment[ActionID])))</f>
        <v>icare_0172</v>
      </c>
      <c r="D28" s="13" t="str" cm="1">
        <f t="array" ref="D28">IF(ROW()-ROW(tbl_GS_EligibilitySummary[#Headers])&lt;=ROWS(tbl_GS_Assessment[ActionID]),INDEX(tbl_GS_Assessment[ActionName],ROW()-ROW(tbl_GS_EligibilitySummary[#Headers])),INDEX(tbl_GS_AdditionalActions[ActionName],ROW()-ROW(tbl_GS_EligibilitySummary[#Headers])-ROWS(tbl_GS_Assessment[ActionID])))</f>
        <v>Develop and implement the Municipal Risk Reduction Plan (PMRR) and identify population groups vulnerable to climate risks.</v>
      </c>
      <c r="E28" s="13" cm="1">
        <f t="array" ref="E28">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28" s="13" t="str" cm="1">
        <f t="array" ref="F28">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28" s="13" t="str" cm="1">
        <f t="array" ref="G28">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28" s="13" cm="1">
        <f t="array" ref="H28">IF(ROW()-ROW(tbl_GS_EligibilitySummary[#Headers])&lt;=ROWS(tbl_GS_Assessment[ActionID]),INDEX(tbl_GS_Assessment[Exposure Eligibility],ROW()-ROW(tbl_GS_EligibilitySummary[#Headers])),INDEX(tbl_GS_AdditionalActions[Exposure Eligibility],ROW()-ROW(tbl_GS_EligibilitySummary[#Headers])-ROWS(tbl_GS_Assessment[ActionID])))</f>
        <v>0</v>
      </c>
      <c r="I28" s="13" t="str" cm="1">
        <f t="array" ref="I28">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28" s="13" t="str" cm="1">
        <f t="array" ref="J28">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28" s="13" cm="1">
        <f t="array" ref="K28">IF(ROW()-ROW(tbl_GS_EligibilitySummary[#Headers])&lt;=ROWS(tbl_GS_Assessment[ActionID]),INDEX(tbl_GS_Assessment[ReviewStatus],ROW()-ROW(tbl_GS_EligibilitySummary[#Headers])),INDEX(tbl_GS_AdditionalActions[ReviewStatus],ROW()-ROW(tbl_GS_EligibilitySummary[#Headers])-ROWS(tbl_GS_Assessment[ActionID])))</f>
        <v>0</v>
      </c>
      <c r="L28" s="87"/>
      <c r="M28" s="87"/>
      <c r="N28" s="87"/>
      <c r="O28" s="87"/>
      <c r="P28" s="87"/>
      <c r="Q28" s="87"/>
      <c r="R28" s="87"/>
      <c r="S28" s="87"/>
      <c r="T28" s="87"/>
      <c r="U28" s="87"/>
      <c r="V28" s="87"/>
      <c r="AA28" s="186"/>
      <c r="AB28" s="186"/>
      <c r="AC28" s="186"/>
      <c r="AD28" s="186"/>
      <c r="AE28" s="186"/>
      <c r="AF28" s="186"/>
      <c r="AG28" s="186"/>
      <c r="AH28" s="186"/>
      <c r="AI28" s="186"/>
      <c r="AJ28" s="186"/>
    </row>
    <row r="29" spans="2:36" s="185" customFormat="1">
      <c r="B29" s="13" t="str" cm="1">
        <f t="array" ref="B29">IF(ROW()-ROW(tbl_GS_EligibilitySummary[#Headers])&lt;=ROWS(tbl_GS_Assessment[ActionID]),"Existing action","Additional action")</f>
        <v>Existing action</v>
      </c>
      <c r="C29" s="13" t="str" cm="1">
        <f t="array" ref="C29">IF(ROW()-ROW(tbl_GS_EligibilitySummary[#Headers])&lt;=ROWS(tbl_GS_Assessment[ActionID]),INDEX(tbl_GS_Assessment[ActionID],ROW()-ROW(tbl_GS_EligibilitySummary[#Headers])),INDEX(tbl_GS_AdditionalActions[AdditionalActionID],ROW()-ROW(tbl_GS_EligibilitySummary[#Headers])-ROWS(tbl_GS_Assessment[ActionID])))</f>
        <v>icare_0173</v>
      </c>
      <c r="D29" s="13" t="str" cm="1">
        <f t="array" ref="D29">IF(ROW()-ROW(tbl_GS_EligibilitySummary[#Headers])&lt;=ROWS(tbl_GS_Assessment[ActionID]),INDEX(tbl_GS_Assessment[ActionName],ROW()-ROW(tbl_GS_EligibilitySummary[#Headers])),INDEX(tbl_GS_AdditionalActions[ActionName],ROW()-ROW(tbl_GS_EligibilitySummary[#Headers])-ROWS(tbl_GS_Assessment[ActionID])))</f>
        <v>Preventive maintenance of drainage systems</v>
      </c>
      <c r="E29" s="13" cm="1">
        <f t="array" ref="E29">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29" s="13" t="str" cm="1">
        <f t="array" ref="F29">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29" s="13" t="str" cm="1">
        <f t="array" ref="G29">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29" s="13" cm="1">
        <f t="array" ref="H29">IF(ROW()-ROW(tbl_GS_EligibilitySummary[#Headers])&lt;=ROWS(tbl_GS_Assessment[ActionID]),INDEX(tbl_GS_Assessment[Exposure Eligibility],ROW()-ROW(tbl_GS_EligibilitySummary[#Headers])),INDEX(tbl_GS_AdditionalActions[Exposure Eligibility],ROW()-ROW(tbl_GS_EligibilitySummary[#Headers])-ROWS(tbl_GS_Assessment[ActionID])))</f>
        <v>0</v>
      </c>
      <c r="I29" s="13" t="str" cm="1">
        <f t="array" ref="I29">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29" s="13" t="str" cm="1">
        <f t="array" ref="J29">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29" s="13" cm="1">
        <f t="array" ref="K29">IF(ROW()-ROW(tbl_GS_EligibilitySummary[#Headers])&lt;=ROWS(tbl_GS_Assessment[ActionID]),INDEX(tbl_GS_Assessment[ReviewStatus],ROW()-ROW(tbl_GS_EligibilitySummary[#Headers])),INDEX(tbl_GS_AdditionalActions[ReviewStatus],ROW()-ROW(tbl_GS_EligibilitySummary[#Headers])-ROWS(tbl_GS_Assessment[ActionID])))</f>
        <v>0</v>
      </c>
      <c r="L29" s="87"/>
      <c r="M29" s="87"/>
      <c r="N29" s="87"/>
      <c r="O29" s="87"/>
      <c r="P29" s="87"/>
      <c r="Q29" s="87"/>
      <c r="R29" s="87"/>
      <c r="S29" s="87"/>
      <c r="T29" s="87"/>
      <c r="U29" s="87"/>
      <c r="V29" s="87"/>
      <c r="AA29" s="186"/>
      <c r="AB29" s="186"/>
      <c r="AC29" s="186"/>
      <c r="AD29" s="186"/>
      <c r="AE29" s="186"/>
      <c r="AF29" s="186"/>
      <c r="AG29" s="186"/>
      <c r="AH29" s="186"/>
      <c r="AI29" s="186"/>
      <c r="AJ29" s="186"/>
    </row>
    <row r="30" spans="2:36" s="185" customFormat="1">
      <c r="B30" s="13" t="str" cm="1">
        <f t="array" ref="B30">IF(ROW()-ROW(tbl_GS_EligibilitySummary[#Headers])&lt;=ROWS(tbl_GS_Assessment[ActionID]),"Existing action","Additional action")</f>
        <v>Existing action</v>
      </c>
      <c r="C30" s="13" t="str" cm="1">
        <f t="array" ref="C30">IF(ROW()-ROW(tbl_GS_EligibilitySummary[#Headers])&lt;=ROWS(tbl_GS_Assessment[ActionID]),INDEX(tbl_GS_Assessment[ActionID],ROW()-ROW(tbl_GS_EligibilitySummary[#Headers])),INDEX(tbl_GS_AdditionalActions[AdditionalActionID],ROW()-ROW(tbl_GS_EligibilitySummary[#Headers])-ROWS(tbl_GS_Assessment[ActionID])))</f>
        <v>icare_0176</v>
      </c>
      <c r="D30" s="13" t="str" cm="1">
        <f t="array" ref="D30">IF(ROW()-ROW(tbl_GS_EligibilitySummary[#Headers])&lt;=ROWS(tbl_GS_Assessment[ActionID]),INDEX(tbl_GS_Assessment[ActionName],ROW()-ROW(tbl_GS_EligibilitySummary[#Headers])),INDEX(tbl_GS_AdditionalActions[ActionName],ROW()-ROW(tbl_GS_EligibilitySummary[#Headers])-ROWS(tbl_GS_Assessment[ActionID])))</f>
        <v>Develop a Climate Action Plan</v>
      </c>
      <c r="E30" s="13" cm="1">
        <f t="array" ref="E30">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30" s="13" t="str" cm="1">
        <f t="array" ref="F30">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30" s="13" t="str" cm="1">
        <f t="array" ref="G30">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30" s="13" cm="1">
        <f t="array" ref="H30">IF(ROW()-ROW(tbl_GS_EligibilitySummary[#Headers])&lt;=ROWS(tbl_GS_Assessment[ActionID]),INDEX(tbl_GS_Assessment[Exposure Eligibility],ROW()-ROW(tbl_GS_EligibilitySummary[#Headers])),INDEX(tbl_GS_AdditionalActions[Exposure Eligibility],ROW()-ROW(tbl_GS_EligibilitySummary[#Headers])-ROWS(tbl_GS_Assessment[ActionID])))</f>
        <v>0</v>
      </c>
      <c r="I30" s="13" t="str" cm="1">
        <f t="array" ref="I30">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30" s="13" t="str" cm="1">
        <f t="array" ref="J30">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30" s="13" cm="1">
        <f t="array" ref="K30">IF(ROW()-ROW(tbl_GS_EligibilitySummary[#Headers])&lt;=ROWS(tbl_GS_Assessment[ActionID]),INDEX(tbl_GS_Assessment[ReviewStatus],ROW()-ROW(tbl_GS_EligibilitySummary[#Headers])),INDEX(tbl_GS_AdditionalActions[ReviewStatus],ROW()-ROW(tbl_GS_EligibilitySummary[#Headers])-ROWS(tbl_GS_Assessment[ActionID])))</f>
        <v>0</v>
      </c>
      <c r="L30" s="87"/>
      <c r="M30" s="87"/>
      <c r="N30" s="87"/>
      <c r="O30" s="87"/>
      <c r="P30" s="87"/>
      <c r="Q30" s="87"/>
      <c r="R30" s="87"/>
      <c r="S30" s="87"/>
      <c r="T30" s="87"/>
      <c r="U30" s="87"/>
      <c r="V30" s="87"/>
      <c r="AA30" s="186"/>
      <c r="AB30" s="186"/>
      <c r="AC30" s="186"/>
      <c r="AD30" s="186"/>
      <c r="AE30" s="186"/>
      <c r="AF30" s="186"/>
      <c r="AG30" s="186"/>
      <c r="AH30" s="186"/>
      <c r="AI30" s="186"/>
      <c r="AJ30" s="186"/>
    </row>
    <row r="31" spans="2:36" s="185" customFormat="1">
      <c r="B31" s="13" t="str" cm="1">
        <f t="array" ref="B31">IF(ROW()-ROW(tbl_GS_EligibilitySummary[#Headers])&lt;=ROWS(tbl_GS_Assessment[ActionID]),"Existing action","Additional action")</f>
        <v>Existing action</v>
      </c>
      <c r="C31" s="13" t="str" cm="1">
        <f t="array" ref="C31">IF(ROW()-ROW(tbl_GS_EligibilitySummary[#Headers])&lt;=ROWS(tbl_GS_Assessment[ActionID]),INDEX(tbl_GS_Assessment[ActionID],ROW()-ROW(tbl_GS_EligibilitySummary[#Headers])),INDEX(tbl_GS_AdditionalActions[AdditionalActionID],ROW()-ROW(tbl_GS_EligibilitySummary[#Headers])-ROWS(tbl_GS_Assessment[ActionID])))</f>
        <v>icare_0178</v>
      </c>
      <c r="D31" s="13" t="str" cm="1">
        <f t="array" ref="D31">IF(ROW()-ROW(tbl_GS_EligibilitySummary[#Headers])&lt;=ROWS(tbl_GS_Assessment[ActionID]),INDEX(tbl_GS_Assessment[ActionName],ROW()-ROW(tbl_GS_EligibilitySummary[#Headers])),INDEX(tbl_GS_AdditionalActions[ActionName],ROW()-ROW(tbl_GS_EligibilitySummary[#Headers])-ROWS(tbl_GS_Assessment[ActionID])))</f>
        <v>Redirect urban development through climate‑risk spatial planning</v>
      </c>
      <c r="E31" s="13" cm="1">
        <f t="array" ref="E31">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31" s="13" t="str" cm="1">
        <f t="array" ref="F31">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31" s="13" t="str" cm="1">
        <f t="array" ref="G31">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31" s="13" cm="1">
        <f t="array" ref="H31">IF(ROW()-ROW(tbl_GS_EligibilitySummary[#Headers])&lt;=ROWS(tbl_GS_Assessment[ActionID]),INDEX(tbl_GS_Assessment[Exposure Eligibility],ROW()-ROW(tbl_GS_EligibilitySummary[#Headers])),INDEX(tbl_GS_AdditionalActions[Exposure Eligibility],ROW()-ROW(tbl_GS_EligibilitySummary[#Headers])-ROWS(tbl_GS_Assessment[ActionID])))</f>
        <v>0</v>
      </c>
      <c r="I31" s="13" t="str" cm="1">
        <f t="array" ref="I31">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31" s="13" t="str" cm="1">
        <f t="array" ref="J31">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31" s="13" cm="1">
        <f t="array" ref="K31">IF(ROW()-ROW(tbl_GS_EligibilitySummary[#Headers])&lt;=ROWS(tbl_GS_Assessment[ActionID]),INDEX(tbl_GS_Assessment[ReviewStatus],ROW()-ROW(tbl_GS_EligibilitySummary[#Headers])),INDEX(tbl_GS_AdditionalActions[ReviewStatus],ROW()-ROW(tbl_GS_EligibilitySummary[#Headers])-ROWS(tbl_GS_Assessment[ActionID])))</f>
        <v>0</v>
      </c>
      <c r="L31" s="87"/>
      <c r="M31" s="87"/>
      <c r="N31" s="87"/>
      <c r="O31" s="87"/>
      <c r="P31" s="87"/>
      <c r="Q31" s="87"/>
      <c r="R31" s="87"/>
      <c r="S31" s="87"/>
      <c r="T31" s="87"/>
      <c r="U31" s="87"/>
      <c r="V31" s="87"/>
      <c r="AA31" s="186"/>
      <c r="AB31" s="186"/>
      <c r="AC31" s="186"/>
      <c r="AD31" s="186"/>
      <c r="AE31" s="186"/>
      <c r="AF31" s="186"/>
      <c r="AG31" s="186"/>
      <c r="AH31" s="186"/>
      <c r="AI31" s="186"/>
      <c r="AJ31" s="186"/>
    </row>
    <row r="32" spans="2:36" s="185" customFormat="1">
      <c r="B32" s="13" t="str" cm="1">
        <f t="array" ref="B32">IF(ROW()-ROW(tbl_GS_EligibilitySummary[#Headers])&lt;=ROWS(tbl_GS_Assessment[ActionID]),"Existing action","Additional action")</f>
        <v>Existing action</v>
      </c>
      <c r="C32" s="13" t="str" cm="1">
        <f t="array" ref="C32">IF(ROW()-ROW(tbl_GS_EligibilitySummary[#Headers])&lt;=ROWS(tbl_GS_Assessment[ActionID]),INDEX(tbl_GS_Assessment[ActionID],ROW()-ROW(tbl_GS_EligibilitySummary[#Headers])),INDEX(tbl_GS_AdditionalActions[AdditionalActionID],ROW()-ROW(tbl_GS_EligibilitySummary[#Headers])-ROWS(tbl_GS_Assessment[ActionID])))</f>
        <v>icare_0180</v>
      </c>
      <c r="D32" s="13" t="str" cm="1">
        <f t="array" ref="D32">IF(ROW()-ROW(tbl_GS_EligibilitySummary[#Headers])&lt;=ROWS(tbl_GS_Assessment[ActionID]),INDEX(tbl_GS_Assessment[ActionName],ROW()-ROW(tbl_GS_EligibilitySummary[#Headers])),INDEX(tbl_GS_AdditionalActions[ActionName],ROW()-ROW(tbl_GS_EligibilitySummary[#Headers])-ROWS(tbl_GS_Assessment[ActionID])))</f>
        <v>Expand urban green-blue networks and corridors</v>
      </c>
      <c r="E32" s="13" cm="1">
        <f t="array" ref="E32">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32" s="13" t="str" cm="1">
        <f t="array" ref="F32">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32" s="13" t="str" cm="1">
        <f t="array" ref="G32">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32" s="13" cm="1">
        <f t="array" ref="H32">IF(ROW()-ROW(tbl_GS_EligibilitySummary[#Headers])&lt;=ROWS(tbl_GS_Assessment[ActionID]),INDEX(tbl_GS_Assessment[Exposure Eligibility],ROW()-ROW(tbl_GS_EligibilitySummary[#Headers])),INDEX(tbl_GS_AdditionalActions[Exposure Eligibility],ROW()-ROW(tbl_GS_EligibilitySummary[#Headers])-ROWS(tbl_GS_Assessment[ActionID])))</f>
        <v>0</v>
      </c>
      <c r="I32" s="13" t="str" cm="1">
        <f t="array" ref="I32">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32" s="13" t="str" cm="1">
        <f t="array" ref="J32">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32" s="13" cm="1">
        <f t="array" ref="K32">IF(ROW()-ROW(tbl_GS_EligibilitySummary[#Headers])&lt;=ROWS(tbl_GS_Assessment[ActionID]),INDEX(tbl_GS_Assessment[ReviewStatus],ROW()-ROW(tbl_GS_EligibilitySummary[#Headers])),INDEX(tbl_GS_AdditionalActions[ReviewStatus],ROW()-ROW(tbl_GS_EligibilitySummary[#Headers])-ROWS(tbl_GS_Assessment[ActionID])))</f>
        <v>0</v>
      </c>
      <c r="L32" s="87"/>
      <c r="M32" s="87"/>
      <c r="N32" s="87"/>
      <c r="O32" s="87"/>
      <c r="P32" s="87"/>
      <c r="Q32" s="87"/>
      <c r="R32" s="87"/>
      <c r="S32" s="87"/>
      <c r="T32" s="87"/>
      <c r="U32" s="87"/>
      <c r="V32" s="87"/>
      <c r="AA32" s="186"/>
      <c r="AB32" s="186"/>
      <c r="AC32" s="186"/>
      <c r="AD32" s="186"/>
      <c r="AE32" s="186"/>
      <c r="AF32" s="186"/>
      <c r="AG32" s="186"/>
      <c r="AH32" s="186"/>
      <c r="AI32" s="186"/>
      <c r="AJ32" s="186"/>
    </row>
    <row r="33" spans="2:36" s="185" customFormat="1">
      <c r="B33" s="13" t="str" cm="1">
        <f t="array" ref="B33">IF(ROW()-ROW(tbl_GS_EligibilitySummary[#Headers])&lt;=ROWS(tbl_GS_Assessment[ActionID]),"Existing action","Additional action")</f>
        <v>Existing action</v>
      </c>
      <c r="C33" s="13" t="str" cm="1">
        <f t="array" ref="C33">IF(ROW()-ROW(tbl_GS_EligibilitySummary[#Headers])&lt;=ROWS(tbl_GS_Assessment[ActionID]),INDEX(tbl_GS_Assessment[ActionID],ROW()-ROW(tbl_GS_EligibilitySummary[#Headers])),INDEX(tbl_GS_AdditionalActions[AdditionalActionID],ROW()-ROW(tbl_GS_EligibilitySummary[#Headers])-ROWS(tbl_GS_Assessment[ActionID])))</f>
        <v>icare_0181</v>
      </c>
      <c r="D33" s="13" t="str" cm="1">
        <f t="array" ref="D33">IF(ROW()-ROW(tbl_GS_EligibilitySummary[#Headers])&lt;=ROWS(tbl_GS_Assessment[ActionID]),INDEX(tbl_GS_Assessment[ActionName],ROW()-ROW(tbl_GS_EligibilitySummary[#Headers])),INDEX(tbl_GS_AdditionalActions[ActionName],ROW()-ROW(tbl_GS_EligibilitySummary[#Headers])-ROWS(tbl_GS_Assessment[ActionID])))</f>
        <v>Restore in Vulnerable Areas</v>
      </c>
      <c r="E33" s="13" cm="1">
        <f t="array" ref="E33">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33" s="13" t="str" cm="1">
        <f t="array" ref="F33">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33" s="13" t="str" cm="1">
        <f t="array" ref="G33">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33" s="13" cm="1">
        <f t="array" ref="H33">IF(ROW()-ROW(tbl_GS_EligibilitySummary[#Headers])&lt;=ROWS(tbl_GS_Assessment[ActionID]),INDEX(tbl_GS_Assessment[Exposure Eligibility],ROW()-ROW(tbl_GS_EligibilitySummary[#Headers])),INDEX(tbl_GS_AdditionalActions[Exposure Eligibility],ROW()-ROW(tbl_GS_EligibilitySummary[#Headers])-ROWS(tbl_GS_Assessment[ActionID])))</f>
        <v>0</v>
      </c>
      <c r="I33" s="13" t="str" cm="1">
        <f t="array" ref="I33">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33" s="13" t="str" cm="1">
        <f t="array" ref="J33">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33" s="13" cm="1">
        <f t="array" ref="K33">IF(ROW()-ROW(tbl_GS_EligibilitySummary[#Headers])&lt;=ROWS(tbl_GS_Assessment[ActionID]),INDEX(tbl_GS_Assessment[ReviewStatus],ROW()-ROW(tbl_GS_EligibilitySummary[#Headers])),INDEX(tbl_GS_AdditionalActions[ReviewStatus],ROW()-ROW(tbl_GS_EligibilitySummary[#Headers])-ROWS(tbl_GS_Assessment[ActionID])))</f>
        <v>0</v>
      </c>
      <c r="L33" s="87"/>
      <c r="M33" s="87"/>
      <c r="N33" s="87"/>
      <c r="O33" s="87"/>
      <c r="P33" s="87"/>
      <c r="Q33" s="87"/>
      <c r="R33" s="87"/>
      <c r="S33" s="87"/>
      <c r="T33" s="87"/>
      <c r="U33" s="87"/>
      <c r="V33" s="87"/>
      <c r="AA33" s="186"/>
      <c r="AB33" s="186"/>
      <c r="AC33" s="186"/>
      <c r="AD33" s="186"/>
      <c r="AE33" s="186"/>
      <c r="AF33" s="186"/>
      <c r="AG33" s="186"/>
      <c r="AH33" s="186"/>
      <c r="AI33" s="186"/>
      <c r="AJ33" s="186"/>
    </row>
    <row r="34" spans="2:36" s="185" customFormat="1">
      <c r="B34" s="13" t="str" cm="1">
        <f t="array" ref="B34">IF(ROW()-ROW(tbl_GS_EligibilitySummary[#Headers])&lt;=ROWS(tbl_GS_Assessment[ActionID]),"Existing action","Additional action")</f>
        <v>Existing action</v>
      </c>
      <c r="C34" s="13" t="str" cm="1">
        <f t="array" ref="C34">IF(ROW()-ROW(tbl_GS_EligibilitySummary[#Headers])&lt;=ROWS(tbl_GS_Assessment[ActionID]),INDEX(tbl_GS_Assessment[ActionID],ROW()-ROW(tbl_GS_EligibilitySummary[#Headers])),INDEX(tbl_GS_AdditionalActions[AdditionalActionID],ROW()-ROW(tbl_GS_EligibilitySummary[#Headers])-ROWS(tbl_GS_Assessment[ActionID])))</f>
        <v>icare_0182</v>
      </c>
      <c r="D34" s="13" t="str" cm="1">
        <f t="array" ref="D34">IF(ROW()-ROW(tbl_GS_EligibilitySummary[#Headers])&lt;=ROWS(tbl_GS_Assessment[ActionID]),INDEX(tbl_GS_Assessment[ActionName],ROW()-ROW(tbl_GS_EligibilitySummary[#Headers])),INDEX(tbl_GS_AdditionalActions[ActionName],ROW()-ROW(tbl_GS_EligibilitySummary[#Headers])-ROWS(tbl_GS_Assessment[ActionID])))</f>
        <v>Develop an Urban Afforestation Plan</v>
      </c>
      <c r="E34" s="13" cm="1">
        <f t="array" ref="E34">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34" s="13" t="str" cm="1">
        <f t="array" ref="F34">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34" s="13" t="str" cm="1">
        <f t="array" ref="G34">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34" s="13" cm="1">
        <f t="array" ref="H34">IF(ROW()-ROW(tbl_GS_EligibilitySummary[#Headers])&lt;=ROWS(tbl_GS_Assessment[ActionID]),INDEX(tbl_GS_Assessment[Exposure Eligibility],ROW()-ROW(tbl_GS_EligibilitySummary[#Headers])),INDEX(tbl_GS_AdditionalActions[Exposure Eligibility],ROW()-ROW(tbl_GS_EligibilitySummary[#Headers])-ROWS(tbl_GS_Assessment[ActionID])))</f>
        <v>0</v>
      </c>
      <c r="I34" s="13" t="str" cm="1">
        <f t="array" ref="I34">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34" s="13" t="str" cm="1">
        <f t="array" ref="J34">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34" s="13" cm="1">
        <f t="array" ref="K34">IF(ROW()-ROW(tbl_GS_EligibilitySummary[#Headers])&lt;=ROWS(tbl_GS_Assessment[ActionID]),INDEX(tbl_GS_Assessment[ReviewStatus],ROW()-ROW(tbl_GS_EligibilitySummary[#Headers])),INDEX(tbl_GS_AdditionalActions[ReviewStatus],ROW()-ROW(tbl_GS_EligibilitySummary[#Headers])-ROWS(tbl_GS_Assessment[ActionID])))</f>
        <v>0</v>
      </c>
      <c r="L34" s="87"/>
      <c r="M34" s="87"/>
      <c r="N34" s="87"/>
      <c r="O34" s="87"/>
      <c r="P34" s="87"/>
      <c r="Q34" s="87"/>
      <c r="R34" s="87"/>
      <c r="S34" s="87"/>
      <c r="T34" s="87"/>
      <c r="U34" s="87"/>
      <c r="V34" s="87"/>
      <c r="AA34" s="186"/>
      <c r="AB34" s="186"/>
      <c r="AC34" s="186"/>
      <c r="AD34" s="186"/>
      <c r="AE34" s="186"/>
      <c r="AF34" s="186"/>
      <c r="AG34" s="186"/>
      <c r="AH34" s="186"/>
      <c r="AI34" s="186"/>
      <c r="AJ34" s="186"/>
    </row>
    <row r="35" spans="2:36" s="185" customFormat="1">
      <c r="B35" s="13" t="str" cm="1">
        <f t="array" ref="B35">IF(ROW()-ROW(tbl_GS_EligibilitySummary[#Headers])&lt;=ROWS(tbl_GS_Assessment[ActionID]),"Existing action","Additional action")</f>
        <v>Existing action</v>
      </c>
      <c r="C35" s="13" t="str" cm="1">
        <f t="array" ref="C35">IF(ROW()-ROW(tbl_GS_EligibilitySummary[#Headers])&lt;=ROWS(tbl_GS_Assessment[ActionID]),INDEX(tbl_GS_Assessment[ActionID],ROW()-ROW(tbl_GS_EligibilitySummary[#Headers])),INDEX(tbl_GS_AdditionalActions[AdditionalActionID],ROW()-ROW(tbl_GS_EligibilitySummary[#Headers])-ROWS(tbl_GS_Assessment[ActionID])))</f>
        <v>icare_0183</v>
      </c>
      <c r="D35" s="13" t="str" cm="1">
        <f t="array" ref="D35">IF(ROW()-ROW(tbl_GS_EligibilitySummary[#Headers])&lt;=ROWS(tbl_GS_Assessment[ActionID]),INDEX(tbl_GS_Assessment[ActionName],ROW()-ROW(tbl_GS_EligibilitySummary[#Headers])),INDEX(tbl_GS_AdditionalActions[ActionName],ROW()-ROW(tbl_GS_EligibilitySummary[#Headers])-ROWS(tbl_GS_Assessment[ActionID])))</f>
        <v>Implement Multi-hazard Early Warning Systems (MH-EWS)</v>
      </c>
      <c r="E35" s="13" cm="1">
        <f t="array" ref="E35">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35" s="13" t="str" cm="1">
        <f t="array" ref="F35">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35" s="13" t="str" cm="1">
        <f t="array" ref="G35">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35" s="13" cm="1">
        <f t="array" ref="H35">IF(ROW()-ROW(tbl_GS_EligibilitySummary[#Headers])&lt;=ROWS(tbl_GS_Assessment[ActionID]),INDEX(tbl_GS_Assessment[Exposure Eligibility],ROW()-ROW(tbl_GS_EligibilitySummary[#Headers])),INDEX(tbl_GS_AdditionalActions[Exposure Eligibility],ROW()-ROW(tbl_GS_EligibilitySummary[#Headers])-ROWS(tbl_GS_Assessment[ActionID])))</f>
        <v>0</v>
      </c>
      <c r="I35" s="13" t="str" cm="1">
        <f t="array" ref="I35">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35" s="13" t="str" cm="1">
        <f t="array" ref="J35">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35" s="13" cm="1">
        <f t="array" ref="K35">IF(ROW()-ROW(tbl_GS_EligibilitySummary[#Headers])&lt;=ROWS(tbl_GS_Assessment[ActionID]),INDEX(tbl_GS_Assessment[ReviewStatus],ROW()-ROW(tbl_GS_EligibilitySummary[#Headers])),INDEX(tbl_GS_AdditionalActions[ReviewStatus],ROW()-ROW(tbl_GS_EligibilitySummary[#Headers])-ROWS(tbl_GS_Assessment[ActionID])))</f>
        <v>0</v>
      </c>
      <c r="L35" s="87"/>
      <c r="M35" s="87"/>
      <c r="N35" s="87"/>
      <c r="O35" s="87"/>
      <c r="P35" s="87"/>
      <c r="Q35" s="87"/>
      <c r="R35" s="87"/>
      <c r="S35" s="87"/>
      <c r="T35" s="87"/>
      <c r="U35" s="87"/>
      <c r="V35" s="87"/>
      <c r="AA35" s="186"/>
      <c r="AB35" s="186"/>
      <c r="AC35" s="186"/>
      <c r="AD35" s="186"/>
      <c r="AE35" s="186"/>
      <c r="AF35" s="186"/>
      <c r="AG35" s="186"/>
      <c r="AH35" s="186"/>
      <c r="AI35" s="186"/>
      <c r="AJ35" s="186"/>
    </row>
    <row r="36" spans="2:36" s="185" customFormat="1">
      <c r="B36" s="13" t="str" cm="1">
        <f t="array" ref="B36">IF(ROW()-ROW(tbl_GS_EligibilitySummary[#Headers])&lt;=ROWS(tbl_GS_Assessment[ActionID]),"Existing action","Additional action")</f>
        <v>Existing action</v>
      </c>
      <c r="C36" s="13" t="str" cm="1">
        <f t="array" ref="C36">IF(ROW()-ROW(tbl_GS_EligibilitySummary[#Headers])&lt;=ROWS(tbl_GS_Assessment[ActionID]),INDEX(tbl_GS_Assessment[ActionID],ROW()-ROW(tbl_GS_EligibilitySummary[#Headers])),INDEX(tbl_GS_AdditionalActions[AdditionalActionID],ROW()-ROW(tbl_GS_EligibilitySummary[#Headers])-ROWS(tbl_GS_Assessment[ActionID])))</f>
        <v>icare_0184</v>
      </c>
      <c r="D36" s="13" t="str" cm="1">
        <f t="array" ref="D36">IF(ROW()-ROW(tbl_GS_EligibilitySummary[#Headers])&lt;=ROWS(tbl_GS_Assessment[ActionID]),INDEX(tbl_GS_Assessment[ActionName],ROW()-ROW(tbl_GS_EligibilitySummary[#Headers])),INDEX(tbl_GS_AdditionalActions[ActionName],ROW()-ROW(tbl_GS_EligibilitySummary[#Headers])-ROWS(tbl_GS_Assessment[ActionID])))</f>
        <v>Upgrade Slope stabilization and drainage</v>
      </c>
      <c r="E36" s="13" cm="1">
        <f t="array" ref="E36">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36" s="13" t="str" cm="1">
        <f t="array" ref="F36">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36" s="13" t="str" cm="1">
        <f t="array" ref="G36">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36" s="13" cm="1">
        <f t="array" ref="H36">IF(ROW()-ROW(tbl_GS_EligibilitySummary[#Headers])&lt;=ROWS(tbl_GS_Assessment[ActionID]),INDEX(tbl_GS_Assessment[Exposure Eligibility],ROW()-ROW(tbl_GS_EligibilitySummary[#Headers])),INDEX(tbl_GS_AdditionalActions[Exposure Eligibility],ROW()-ROW(tbl_GS_EligibilitySummary[#Headers])-ROWS(tbl_GS_Assessment[ActionID])))</f>
        <v>0</v>
      </c>
      <c r="I36" s="13" t="str" cm="1">
        <f t="array" ref="I36">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36" s="13" t="str" cm="1">
        <f t="array" ref="J36">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36" s="13" cm="1">
        <f t="array" ref="K36">IF(ROW()-ROW(tbl_GS_EligibilitySummary[#Headers])&lt;=ROWS(tbl_GS_Assessment[ActionID]),INDEX(tbl_GS_Assessment[ReviewStatus],ROW()-ROW(tbl_GS_EligibilitySummary[#Headers])),INDEX(tbl_GS_AdditionalActions[ReviewStatus],ROW()-ROW(tbl_GS_EligibilitySummary[#Headers])-ROWS(tbl_GS_Assessment[ActionID])))</f>
        <v>0</v>
      </c>
      <c r="L36" s="87"/>
      <c r="M36" s="87"/>
      <c r="N36" s="87"/>
      <c r="O36" s="87"/>
      <c r="P36" s="87"/>
      <c r="Q36" s="87"/>
      <c r="R36" s="87"/>
      <c r="S36" s="87"/>
      <c r="T36" s="87"/>
      <c r="U36" s="87"/>
      <c r="V36" s="87"/>
      <c r="AA36" s="186"/>
      <c r="AB36" s="186"/>
      <c r="AC36" s="186"/>
      <c r="AD36" s="186"/>
      <c r="AE36" s="186"/>
      <c r="AF36" s="186"/>
      <c r="AG36" s="186"/>
      <c r="AH36" s="186"/>
      <c r="AI36" s="186"/>
      <c r="AJ36" s="186"/>
    </row>
    <row r="37" spans="2:36" s="185" customFormat="1">
      <c r="B37" s="13" t="str" cm="1">
        <f t="array" ref="B37">IF(ROW()-ROW(tbl_GS_EligibilitySummary[#Headers])&lt;=ROWS(tbl_GS_Assessment[ActionID]),"Existing action","Additional action")</f>
        <v>Existing action</v>
      </c>
      <c r="C37" s="13" t="str" cm="1">
        <f t="array" ref="C37">IF(ROW()-ROW(tbl_GS_EligibilitySummary[#Headers])&lt;=ROWS(tbl_GS_Assessment[ActionID]),INDEX(tbl_GS_Assessment[ActionID],ROW()-ROW(tbl_GS_EligibilitySummary[#Headers])),INDEX(tbl_GS_AdditionalActions[AdditionalActionID],ROW()-ROW(tbl_GS_EligibilitySummary[#Headers])-ROWS(tbl_GS_Assessment[ActionID])))</f>
        <v>icare_0185</v>
      </c>
      <c r="D37" s="13" t="str" cm="1">
        <f t="array" ref="D37">IF(ROW()-ROW(tbl_GS_EligibilitySummary[#Headers])&lt;=ROWS(tbl_GS_Assessment[ActionID]),INDEX(tbl_GS_Assessment[ActionName],ROW()-ROW(tbl_GS_EligibilitySummary[#Headers])),INDEX(tbl_GS_AdditionalActions[ActionName],ROW()-ROW(tbl_GS_EligibilitySummary[#Headers])-ROWS(tbl_GS_Assessment[ActionID])))</f>
        <v>Improve Creation of An Epidemiological Intelligence Center</v>
      </c>
      <c r="E37" s="13" cm="1">
        <f t="array" ref="E37">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37" s="13" t="str" cm="1">
        <f t="array" ref="F37">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37" s="13" t="str" cm="1">
        <f t="array" ref="G37">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37" s="13" cm="1">
        <f t="array" ref="H37">IF(ROW()-ROW(tbl_GS_EligibilitySummary[#Headers])&lt;=ROWS(tbl_GS_Assessment[ActionID]),INDEX(tbl_GS_Assessment[Exposure Eligibility],ROW()-ROW(tbl_GS_EligibilitySummary[#Headers])),INDEX(tbl_GS_AdditionalActions[Exposure Eligibility],ROW()-ROW(tbl_GS_EligibilitySummary[#Headers])-ROWS(tbl_GS_Assessment[ActionID])))</f>
        <v>0</v>
      </c>
      <c r="I37" s="13" t="str" cm="1">
        <f t="array" ref="I37">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37" s="13" t="str" cm="1">
        <f t="array" ref="J37">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37" s="13" cm="1">
        <f t="array" ref="K37">IF(ROW()-ROW(tbl_GS_EligibilitySummary[#Headers])&lt;=ROWS(tbl_GS_Assessment[ActionID]),INDEX(tbl_GS_Assessment[ReviewStatus],ROW()-ROW(tbl_GS_EligibilitySummary[#Headers])),INDEX(tbl_GS_AdditionalActions[ReviewStatus],ROW()-ROW(tbl_GS_EligibilitySummary[#Headers])-ROWS(tbl_GS_Assessment[ActionID])))</f>
        <v>0</v>
      </c>
      <c r="L37" s="87"/>
      <c r="M37" s="87"/>
      <c r="N37" s="87"/>
      <c r="O37" s="87"/>
      <c r="P37" s="87"/>
      <c r="Q37" s="87"/>
      <c r="R37" s="87"/>
      <c r="S37" s="87"/>
      <c r="T37" s="87"/>
      <c r="U37" s="87"/>
      <c r="V37" s="87"/>
      <c r="AA37" s="186"/>
      <c r="AB37" s="186"/>
      <c r="AC37" s="186"/>
      <c r="AD37" s="186"/>
      <c r="AE37" s="186"/>
      <c r="AF37" s="186"/>
      <c r="AG37" s="186"/>
      <c r="AH37" s="186"/>
      <c r="AI37" s="186"/>
      <c r="AJ37" s="186"/>
    </row>
    <row r="38" spans="2:36" s="185" customFormat="1">
      <c r="B38" s="13" t="str" cm="1">
        <f t="array" ref="B38">IF(ROW()-ROW(tbl_GS_EligibilitySummary[#Headers])&lt;=ROWS(tbl_GS_Assessment[ActionID]),"Existing action","Additional action")</f>
        <v>Existing action</v>
      </c>
      <c r="C38" s="13" t="str" cm="1">
        <f t="array" ref="C38">IF(ROW()-ROW(tbl_GS_EligibilitySummary[#Headers])&lt;=ROWS(tbl_GS_Assessment[ActionID]),INDEX(tbl_GS_Assessment[ActionID],ROW()-ROW(tbl_GS_EligibilitySummary[#Headers])),INDEX(tbl_GS_AdditionalActions[AdditionalActionID],ROW()-ROW(tbl_GS_EligibilitySummary[#Headers])-ROWS(tbl_GS_Assessment[ActionID])))</f>
        <v>icare_0186</v>
      </c>
      <c r="D38" s="13" t="str" cm="1">
        <f t="array" ref="D38">IF(ROW()-ROW(tbl_GS_EligibilitySummary[#Headers])&lt;=ROWS(tbl_GS_Assessment[ActionID]),INDEX(tbl_GS_Assessment[ActionName],ROW()-ROW(tbl_GS_EligibilitySummary[#Headers])),INDEX(tbl_GS_AdditionalActions[ActionName],ROW()-ROW(tbl_GS_EligibilitySummary[#Headers])-ROWS(tbl_GS_Assessment[ActionID])))</f>
        <v>Implement integrated coastal zone management</v>
      </c>
      <c r="E38" s="13" cm="1">
        <f t="array" ref="E38">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38" s="13" t="str" cm="1">
        <f t="array" ref="F38">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38" s="13" t="str" cm="1">
        <f t="array" ref="G38">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38" s="13" cm="1">
        <f t="array" ref="H38">IF(ROW()-ROW(tbl_GS_EligibilitySummary[#Headers])&lt;=ROWS(tbl_GS_Assessment[ActionID]),INDEX(tbl_GS_Assessment[Exposure Eligibility],ROW()-ROW(tbl_GS_EligibilitySummary[#Headers])),INDEX(tbl_GS_AdditionalActions[Exposure Eligibility],ROW()-ROW(tbl_GS_EligibilitySummary[#Headers])-ROWS(tbl_GS_Assessment[ActionID])))</f>
        <v>0</v>
      </c>
      <c r="I38" s="13" t="str" cm="1">
        <f t="array" ref="I38">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38" s="13" t="str" cm="1">
        <f t="array" ref="J38">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38" s="13" cm="1">
        <f t="array" ref="K38">IF(ROW()-ROW(tbl_GS_EligibilitySummary[#Headers])&lt;=ROWS(tbl_GS_Assessment[ActionID]),INDEX(tbl_GS_Assessment[ReviewStatus],ROW()-ROW(tbl_GS_EligibilitySummary[#Headers])),INDEX(tbl_GS_AdditionalActions[ReviewStatus],ROW()-ROW(tbl_GS_EligibilitySummary[#Headers])-ROWS(tbl_GS_Assessment[ActionID])))</f>
        <v>0</v>
      </c>
      <c r="L38" s="87"/>
      <c r="M38" s="87"/>
      <c r="N38" s="87"/>
      <c r="O38" s="87"/>
      <c r="P38" s="87"/>
      <c r="Q38" s="87"/>
      <c r="R38" s="87"/>
      <c r="S38" s="87"/>
      <c r="T38" s="87"/>
      <c r="U38" s="87"/>
      <c r="V38" s="87"/>
      <c r="AA38" s="186"/>
      <c r="AB38" s="186"/>
      <c r="AC38" s="186"/>
      <c r="AD38" s="186"/>
      <c r="AE38" s="186"/>
      <c r="AF38" s="186"/>
      <c r="AG38" s="186"/>
      <c r="AH38" s="186"/>
      <c r="AI38" s="186"/>
      <c r="AJ38" s="186"/>
    </row>
    <row r="39" spans="2:36" s="185" customFormat="1">
      <c r="B39" s="13" t="str" cm="1">
        <f t="array" ref="B39">IF(ROW()-ROW(tbl_GS_EligibilitySummary[#Headers])&lt;=ROWS(tbl_GS_Assessment[ActionID]),"Existing action","Additional action")</f>
        <v>Existing action</v>
      </c>
      <c r="C39" s="13" t="str" cm="1">
        <f t="array" ref="C39">IF(ROW()-ROW(tbl_GS_EligibilitySummary[#Headers])&lt;=ROWS(tbl_GS_Assessment[ActionID]),INDEX(tbl_GS_Assessment[ActionID],ROW()-ROW(tbl_GS_EligibilitySummary[#Headers])),INDEX(tbl_GS_AdditionalActions[AdditionalActionID],ROW()-ROW(tbl_GS_EligibilitySummary[#Headers])-ROWS(tbl_GS_Assessment[ActionID])))</f>
        <v>icare_0188</v>
      </c>
      <c r="D39" s="13" t="str" cm="1">
        <f t="array" ref="D39">IF(ROW()-ROW(tbl_GS_EligibilitySummary[#Headers])&lt;=ROWS(tbl_GS_Assessment[ActionID]),INDEX(tbl_GS_Assessment[ActionName],ROW()-ROW(tbl_GS_EligibilitySummary[#Headers])),INDEX(tbl_GS_AdditionalActions[ActionName],ROW()-ROW(tbl_GS_EligibilitySummary[#Headers])-ROWS(tbl_GS_Assessment[ActionID])))</f>
        <v>Create an Environmental Health Surveillance Program related to Populations Exposed to Air Pollution, Noise Pollution, Water Pollution, and Soil Pollution.</v>
      </c>
      <c r="E39" s="13" cm="1">
        <f t="array" ref="E39">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39" s="13" t="str" cm="1">
        <f t="array" ref="F39">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39" s="13" t="str" cm="1">
        <f t="array" ref="G39">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39" s="13" cm="1">
        <f t="array" ref="H39">IF(ROW()-ROW(tbl_GS_EligibilitySummary[#Headers])&lt;=ROWS(tbl_GS_Assessment[ActionID]),INDEX(tbl_GS_Assessment[Exposure Eligibility],ROW()-ROW(tbl_GS_EligibilitySummary[#Headers])),INDEX(tbl_GS_AdditionalActions[Exposure Eligibility],ROW()-ROW(tbl_GS_EligibilitySummary[#Headers])-ROWS(tbl_GS_Assessment[ActionID])))</f>
        <v>0</v>
      </c>
      <c r="I39" s="13" t="str" cm="1">
        <f t="array" ref="I39">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39" s="13" t="str" cm="1">
        <f t="array" ref="J39">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39" s="13" cm="1">
        <f t="array" ref="K39">IF(ROW()-ROW(tbl_GS_EligibilitySummary[#Headers])&lt;=ROWS(tbl_GS_Assessment[ActionID]),INDEX(tbl_GS_Assessment[ReviewStatus],ROW()-ROW(tbl_GS_EligibilitySummary[#Headers])),INDEX(tbl_GS_AdditionalActions[ReviewStatus],ROW()-ROW(tbl_GS_EligibilitySummary[#Headers])-ROWS(tbl_GS_Assessment[ActionID])))</f>
        <v>0</v>
      </c>
      <c r="L39" s="87"/>
      <c r="M39" s="87"/>
      <c r="N39" s="87"/>
      <c r="O39" s="87"/>
      <c r="P39" s="87"/>
      <c r="Q39" s="87"/>
      <c r="R39" s="87"/>
      <c r="S39" s="87"/>
      <c r="T39" s="87"/>
      <c r="U39" s="87"/>
      <c r="V39" s="87"/>
      <c r="AA39" s="186"/>
      <c r="AB39" s="186"/>
      <c r="AC39" s="186"/>
      <c r="AD39" s="186"/>
      <c r="AE39" s="186"/>
      <c r="AF39" s="186"/>
      <c r="AG39" s="186"/>
      <c r="AH39" s="186"/>
      <c r="AI39" s="186"/>
      <c r="AJ39" s="186"/>
    </row>
    <row r="40" spans="2:36" s="185" customFormat="1">
      <c r="B40" s="13" t="str" cm="1">
        <f t="array" ref="B40">IF(ROW()-ROW(tbl_GS_EligibilitySummary[#Headers])&lt;=ROWS(tbl_GS_Assessment[ActionID]),"Existing action","Additional action")</f>
        <v>Existing action</v>
      </c>
      <c r="C40" s="13" t="str" cm="1">
        <f t="array" ref="C40">IF(ROW()-ROW(tbl_GS_EligibilitySummary[#Headers])&lt;=ROWS(tbl_GS_Assessment[ActionID]),INDEX(tbl_GS_Assessment[ActionID],ROW()-ROW(tbl_GS_EligibilitySummary[#Headers])),INDEX(tbl_GS_AdditionalActions[AdditionalActionID],ROW()-ROW(tbl_GS_EligibilitySummary[#Headers])-ROWS(tbl_GS_Assessment[ActionID])))</f>
        <v>ipcc_0078</v>
      </c>
      <c r="D40" s="13" t="str" cm="1">
        <f t="array" ref="D40">IF(ROW()-ROW(tbl_GS_EligibilitySummary[#Headers])&lt;=ROWS(tbl_GS_Assessment[ActionID]),INDEX(tbl_GS_Assessment[ActionName],ROW()-ROW(tbl_GS_EligibilitySummary[#Headers])),INDEX(tbl_GS_AdditionalActions[ActionName],ROW()-ROW(tbl_GS_EligibilitySummary[#Headers])-ROWS(tbl_GS_Assessment[ActionID])))</f>
        <v>Implement green roofs and walls</v>
      </c>
      <c r="E40" s="13" cm="1">
        <f t="array" ref="E40">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40" s="13" t="str" cm="1">
        <f t="array" ref="F40">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40" s="13" t="str" cm="1">
        <f t="array" ref="G40">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40" s="13" cm="1">
        <f t="array" ref="H40">IF(ROW()-ROW(tbl_GS_EligibilitySummary[#Headers])&lt;=ROWS(tbl_GS_Assessment[ActionID]),INDEX(tbl_GS_Assessment[Exposure Eligibility],ROW()-ROW(tbl_GS_EligibilitySummary[#Headers])),INDEX(tbl_GS_AdditionalActions[Exposure Eligibility],ROW()-ROW(tbl_GS_EligibilitySummary[#Headers])-ROWS(tbl_GS_Assessment[ActionID])))</f>
        <v>0</v>
      </c>
      <c r="I40" s="13" t="str" cm="1">
        <f t="array" ref="I40">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40" s="13" t="str" cm="1">
        <f t="array" ref="J40">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40" s="13" cm="1">
        <f t="array" ref="K40">IF(ROW()-ROW(tbl_GS_EligibilitySummary[#Headers])&lt;=ROWS(tbl_GS_Assessment[ActionID]),INDEX(tbl_GS_Assessment[ReviewStatus],ROW()-ROW(tbl_GS_EligibilitySummary[#Headers])),INDEX(tbl_GS_AdditionalActions[ReviewStatus],ROW()-ROW(tbl_GS_EligibilitySummary[#Headers])-ROWS(tbl_GS_Assessment[ActionID])))</f>
        <v>0</v>
      </c>
      <c r="L40" s="87"/>
      <c r="M40" s="87"/>
      <c r="N40" s="87"/>
      <c r="O40" s="87"/>
      <c r="P40" s="87"/>
      <c r="Q40" s="87"/>
      <c r="R40" s="87"/>
      <c r="S40" s="87"/>
      <c r="T40" s="87"/>
      <c r="U40" s="87"/>
      <c r="V40" s="87"/>
      <c r="AA40" s="186"/>
      <c r="AB40" s="186"/>
      <c r="AC40" s="186"/>
      <c r="AD40" s="186"/>
      <c r="AE40" s="186"/>
      <c r="AF40" s="186"/>
      <c r="AG40" s="186"/>
      <c r="AH40" s="186"/>
      <c r="AI40" s="186"/>
      <c r="AJ40" s="186"/>
    </row>
    <row r="41" spans="2:36" s="185" customFormat="1">
      <c r="B41" s="13" t="str" cm="1">
        <f t="array" ref="B41">IF(ROW()-ROW(tbl_GS_EligibilitySummary[#Headers])&lt;=ROWS(tbl_GS_Assessment[ActionID]),"Existing action","Additional action")</f>
        <v>Existing action</v>
      </c>
      <c r="C41" s="13" t="str" cm="1">
        <f t="array" ref="C41">IF(ROW()-ROW(tbl_GS_EligibilitySummary[#Headers])&lt;=ROWS(tbl_GS_Assessment[ActionID]),INDEX(tbl_GS_Assessment[ActionID],ROW()-ROW(tbl_GS_EligibilitySummary[#Headers])),INDEX(tbl_GS_AdditionalActions[AdditionalActionID],ROW()-ROW(tbl_GS_EligibilitySummary[#Headers])-ROWS(tbl_GS_Assessment[ActionID])))</f>
        <v>ipcc_0083</v>
      </c>
      <c r="D41" s="13" t="str" cm="1">
        <f t="array" ref="D41">IF(ROW()-ROW(tbl_GS_EligibilitySummary[#Headers])&lt;=ROWS(tbl_GS_Assessment[ActionID]),INDEX(tbl_GS_Assessment[ActionName],ROW()-ROW(tbl_GS_EligibilitySummary[#Headers])),INDEX(tbl_GS_AdditionalActions[ActionName],ROW()-ROW(tbl_GS_EligibilitySummary[#Headers])-ROWS(tbl_GS_Assessment[ActionID])))</f>
        <v>Plan strategic coastal retreat for vulnerable communities</v>
      </c>
      <c r="E41" s="13" cm="1">
        <f t="array" ref="E41">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41" s="13" t="str" cm="1">
        <f t="array" ref="F41">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41" s="13" t="str" cm="1">
        <f t="array" ref="G41">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41" s="13" cm="1">
        <f t="array" ref="H41">IF(ROW()-ROW(tbl_GS_EligibilitySummary[#Headers])&lt;=ROWS(tbl_GS_Assessment[ActionID]),INDEX(tbl_GS_Assessment[Exposure Eligibility],ROW()-ROW(tbl_GS_EligibilitySummary[#Headers])),INDEX(tbl_GS_AdditionalActions[Exposure Eligibility],ROW()-ROW(tbl_GS_EligibilitySummary[#Headers])-ROWS(tbl_GS_Assessment[ActionID])))</f>
        <v>0</v>
      </c>
      <c r="I41" s="13" t="str" cm="1">
        <f t="array" ref="I41">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41" s="13" t="str" cm="1">
        <f t="array" ref="J41">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41" s="13" cm="1">
        <f t="array" ref="K41">IF(ROW()-ROW(tbl_GS_EligibilitySummary[#Headers])&lt;=ROWS(tbl_GS_Assessment[ActionID]),INDEX(tbl_GS_Assessment[ReviewStatus],ROW()-ROW(tbl_GS_EligibilitySummary[#Headers])),INDEX(tbl_GS_AdditionalActions[ReviewStatus],ROW()-ROW(tbl_GS_EligibilitySummary[#Headers])-ROWS(tbl_GS_Assessment[ActionID])))</f>
        <v>0</v>
      </c>
      <c r="L41" s="87"/>
      <c r="M41" s="87"/>
      <c r="N41" s="87"/>
      <c r="O41" s="87"/>
      <c r="P41" s="87"/>
      <c r="Q41" s="87"/>
      <c r="R41" s="87"/>
      <c r="S41" s="87"/>
      <c r="T41" s="87"/>
      <c r="U41" s="87"/>
      <c r="V41" s="87"/>
      <c r="AA41" s="186"/>
      <c r="AB41" s="186"/>
      <c r="AC41" s="186"/>
      <c r="AD41" s="186"/>
      <c r="AE41" s="186"/>
      <c r="AF41" s="186"/>
      <c r="AG41" s="186"/>
      <c r="AH41" s="186"/>
      <c r="AI41" s="186"/>
      <c r="AJ41" s="186"/>
    </row>
    <row r="42" spans="2:36" s="185" customFormat="1">
      <c r="B42" s="13" t="str" cm="1">
        <f t="array" ref="B42">IF(ROW()-ROW(tbl_GS_EligibilitySummary[#Headers])&lt;=ROWS(tbl_GS_Assessment[ActionID]),"Existing action","Additional action")</f>
        <v>Existing action</v>
      </c>
      <c r="C42" s="13" t="str" cm="1">
        <f t="array" ref="C42">IF(ROW()-ROW(tbl_GS_EligibilitySummary[#Headers])&lt;=ROWS(tbl_GS_Assessment[ActionID]),INDEX(tbl_GS_Assessment[ActionID],ROW()-ROW(tbl_GS_EligibilitySummary[#Headers])),INDEX(tbl_GS_AdditionalActions[AdditionalActionID],ROW()-ROW(tbl_GS_EligibilitySummary[#Headers])-ROWS(tbl_GS_Assessment[ActionID])))</f>
        <v>ipcc_0084</v>
      </c>
      <c r="D42" s="13" t="str" cm="1">
        <f t="array" ref="D42">IF(ROW()-ROW(tbl_GS_EligibilitySummary[#Headers])&lt;=ROWS(tbl_GS_Assessment[ActionID]),INDEX(tbl_GS_Assessment[ActionName],ROW()-ROW(tbl_GS_EligibilitySummary[#Headers])),INDEX(tbl_GS_AdditionalActions[ActionName],ROW()-ROW(tbl_GS_EligibilitySummary[#Headers])-ROWS(tbl_GS_Assessment[ActionID])))</f>
        <v>Restore/create natural areas</v>
      </c>
      <c r="E42" s="13" cm="1">
        <f t="array" ref="E42">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42" s="13" t="str" cm="1">
        <f t="array" ref="F42">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42" s="13" t="str" cm="1">
        <f t="array" ref="G42">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42" s="13" cm="1">
        <f t="array" ref="H42">IF(ROW()-ROW(tbl_GS_EligibilitySummary[#Headers])&lt;=ROWS(tbl_GS_Assessment[ActionID]),INDEX(tbl_GS_Assessment[Exposure Eligibility],ROW()-ROW(tbl_GS_EligibilitySummary[#Headers])),INDEX(tbl_GS_AdditionalActions[Exposure Eligibility],ROW()-ROW(tbl_GS_EligibilitySummary[#Headers])-ROWS(tbl_GS_Assessment[ActionID])))</f>
        <v>0</v>
      </c>
      <c r="I42" s="13" t="str" cm="1">
        <f t="array" ref="I42">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42" s="13" t="str" cm="1">
        <f t="array" ref="J42">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42" s="13" cm="1">
        <f t="array" ref="K42">IF(ROW()-ROW(tbl_GS_EligibilitySummary[#Headers])&lt;=ROWS(tbl_GS_Assessment[ActionID]),INDEX(tbl_GS_Assessment[ReviewStatus],ROW()-ROW(tbl_GS_EligibilitySummary[#Headers])),INDEX(tbl_GS_AdditionalActions[ReviewStatus],ROW()-ROW(tbl_GS_EligibilitySummary[#Headers])-ROWS(tbl_GS_Assessment[ActionID])))</f>
        <v>0</v>
      </c>
      <c r="L42" s="87"/>
      <c r="M42" s="87"/>
      <c r="N42" s="87"/>
      <c r="O42" s="87"/>
      <c r="P42" s="87"/>
      <c r="Q42" s="87"/>
      <c r="R42" s="87"/>
      <c r="S42" s="87"/>
      <c r="T42" s="87"/>
      <c r="U42" s="87"/>
      <c r="V42" s="87"/>
      <c r="AA42" s="186"/>
      <c r="AB42" s="186"/>
      <c r="AC42" s="186"/>
      <c r="AD42" s="186"/>
      <c r="AE42" s="186"/>
      <c r="AF42" s="186"/>
      <c r="AG42" s="186"/>
      <c r="AH42" s="186"/>
      <c r="AI42" s="186"/>
      <c r="AJ42" s="186"/>
    </row>
    <row r="43" spans="2:36" s="185" customFormat="1">
      <c r="B43" s="13" t="str" cm="1">
        <f t="array" ref="B43">IF(ROW()-ROW(tbl_GS_EligibilitySummary[#Headers])&lt;=ROWS(tbl_GS_Assessment[ActionID]),"Existing action","Additional action")</f>
        <v>Existing action</v>
      </c>
      <c r="C43" s="13" t="str" cm="1">
        <f t="array" ref="C43">IF(ROW()-ROW(tbl_GS_EligibilitySummary[#Headers])&lt;=ROWS(tbl_GS_Assessment[ActionID]),INDEX(tbl_GS_Assessment[ActionID],ROW()-ROW(tbl_GS_EligibilitySummary[#Headers])),INDEX(tbl_GS_AdditionalActions[AdditionalActionID],ROW()-ROW(tbl_GS_EligibilitySummary[#Headers])-ROWS(tbl_GS_Assessment[ActionID])))</f>
        <v>ipcc_0085</v>
      </c>
      <c r="D43" s="13" t="str" cm="1">
        <f t="array" ref="D43">IF(ROW()-ROW(tbl_GS_EligibilitySummary[#Headers])&lt;=ROWS(tbl_GS_Assessment[ActionID]),INDEX(tbl_GS_Assessment[ActionName],ROW()-ROW(tbl_GS_EligibilitySummary[#Headers])),INDEX(tbl_GS_AdditionalActions[ActionName],ROW()-ROW(tbl_GS_EligibilitySummary[#Headers])-ROWS(tbl_GS_Assessment[ActionID])))</f>
        <v>Reduce pressures on ecosystems to build resilience</v>
      </c>
      <c r="E43" s="13" cm="1">
        <f t="array" ref="E43">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43" s="13" t="str" cm="1">
        <f t="array" ref="F43">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43" s="13" t="str" cm="1">
        <f t="array" ref="G43">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43" s="13" cm="1">
        <f t="array" ref="H43">IF(ROW()-ROW(tbl_GS_EligibilitySummary[#Headers])&lt;=ROWS(tbl_GS_Assessment[ActionID]),INDEX(tbl_GS_Assessment[Exposure Eligibility],ROW()-ROW(tbl_GS_EligibilitySummary[#Headers])),INDEX(tbl_GS_AdditionalActions[Exposure Eligibility],ROW()-ROW(tbl_GS_EligibilitySummary[#Headers])-ROWS(tbl_GS_Assessment[ActionID])))</f>
        <v>0</v>
      </c>
      <c r="I43" s="13" t="str" cm="1">
        <f t="array" ref="I43">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43" s="13" t="str" cm="1">
        <f t="array" ref="J43">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43" s="13" cm="1">
        <f t="array" ref="K43">IF(ROW()-ROW(tbl_GS_EligibilitySummary[#Headers])&lt;=ROWS(tbl_GS_Assessment[ActionID]),INDEX(tbl_GS_Assessment[ReviewStatus],ROW()-ROW(tbl_GS_EligibilitySummary[#Headers])),INDEX(tbl_GS_AdditionalActions[ReviewStatus],ROW()-ROW(tbl_GS_EligibilitySummary[#Headers])-ROWS(tbl_GS_Assessment[ActionID])))</f>
        <v>0</v>
      </c>
      <c r="L43" s="87"/>
      <c r="M43" s="87"/>
      <c r="N43" s="87"/>
      <c r="O43" s="87"/>
      <c r="P43" s="87"/>
      <c r="Q43" s="87"/>
      <c r="R43" s="87"/>
      <c r="S43" s="87"/>
      <c r="T43" s="87"/>
      <c r="U43" s="87"/>
      <c r="V43" s="87"/>
      <c r="AA43" s="186"/>
      <c r="AB43" s="186"/>
      <c r="AC43" s="186"/>
      <c r="AD43" s="186"/>
      <c r="AE43" s="186"/>
      <c r="AF43" s="186"/>
      <c r="AG43" s="186"/>
      <c r="AH43" s="186"/>
      <c r="AI43" s="186"/>
      <c r="AJ43" s="186"/>
    </row>
    <row r="44" spans="2:36" s="185" customFormat="1">
      <c r="B44" s="13" t="str" cm="1">
        <f t="array" ref="B44">IF(ROW()-ROW(tbl_GS_EligibilitySummary[#Headers])&lt;=ROWS(tbl_GS_Assessment[ActionID]),"Existing action","Additional action")</f>
        <v>Existing action</v>
      </c>
      <c r="C44" s="13" t="str" cm="1">
        <f t="array" ref="C44">IF(ROW()-ROW(tbl_GS_EligibilitySummary[#Headers])&lt;=ROWS(tbl_GS_Assessment[ActionID]),INDEX(tbl_GS_Assessment[ActionID],ROW()-ROW(tbl_GS_EligibilitySummary[#Headers])),INDEX(tbl_GS_AdditionalActions[AdditionalActionID],ROW()-ROW(tbl_GS_EligibilitySummary[#Headers])-ROWS(tbl_GS_Assessment[ActionID])))</f>
        <v>ipcc_0086</v>
      </c>
      <c r="D44" s="13" t="str" cm="1">
        <f t="array" ref="D44">IF(ROW()-ROW(tbl_GS_EligibilitySummary[#Headers])&lt;=ROWS(tbl_GS_Assessment[ActionID]),INDEX(tbl_GS_Assessment[ActionName],ROW()-ROW(tbl_GS_EligibilitySummary[#Headers])),INDEX(tbl_GS_AdditionalActions[ActionName],ROW()-ROW(tbl_GS_EligibilitySummary[#Headers])-ROWS(tbl_GS_Assessment[ActionID])))</f>
        <v>Implement ecosystem‑based adaptation measures</v>
      </c>
      <c r="E44" s="13" cm="1">
        <f t="array" ref="E44">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44" s="13" t="str" cm="1">
        <f t="array" ref="F44">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44" s="13" t="str" cm="1">
        <f t="array" ref="G44">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44" s="13" cm="1">
        <f t="array" ref="H44">IF(ROW()-ROW(tbl_GS_EligibilitySummary[#Headers])&lt;=ROWS(tbl_GS_Assessment[ActionID]),INDEX(tbl_GS_Assessment[Exposure Eligibility],ROW()-ROW(tbl_GS_EligibilitySummary[#Headers])),INDEX(tbl_GS_AdditionalActions[Exposure Eligibility],ROW()-ROW(tbl_GS_EligibilitySummary[#Headers])-ROWS(tbl_GS_Assessment[ActionID])))</f>
        <v>0</v>
      </c>
      <c r="I44" s="13" t="str" cm="1">
        <f t="array" ref="I44">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44" s="13" t="str" cm="1">
        <f t="array" ref="J44">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44" s="13" cm="1">
        <f t="array" ref="K44">IF(ROW()-ROW(tbl_GS_EligibilitySummary[#Headers])&lt;=ROWS(tbl_GS_Assessment[ActionID]),INDEX(tbl_GS_Assessment[ReviewStatus],ROW()-ROW(tbl_GS_EligibilitySummary[#Headers])),INDEX(tbl_GS_AdditionalActions[ReviewStatus],ROW()-ROW(tbl_GS_EligibilitySummary[#Headers])-ROWS(tbl_GS_Assessment[ActionID])))</f>
        <v>0</v>
      </c>
      <c r="L44" s="87"/>
      <c r="M44" s="87"/>
      <c r="N44" s="87"/>
      <c r="O44" s="87"/>
      <c r="P44" s="87"/>
      <c r="Q44" s="87"/>
      <c r="R44" s="87"/>
      <c r="S44" s="87"/>
      <c r="T44" s="87"/>
      <c r="U44" s="87"/>
      <c r="V44" s="87"/>
      <c r="AA44" s="186"/>
      <c r="AB44" s="186"/>
      <c r="AC44" s="186"/>
      <c r="AD44" s="186"/>
      <c r="AE44" s="186"/>
      <c r="AF44" s="186"/>
      <c r="AG44" s="186"/>
      <c r="AH44" s="186"/>
      <c r="AI44" s="186"/>
      <c r="AJ44" s="186"/>
    </row>
    <row r="45" spans="2:36" s="185" customFormat="1">
      <c r="B45" s="13" t="str" cm="1">
        <f t="array" ref="B45">IF(ROW()-ROW(tbl_GS_EligibilitySummary[#Headers])&lt;=ROWS(tbl_GS_Assessment[ActionID]),"Existing action","Additional action")</f>
        <v>Existing action</v>
      </c>
      <c r="C45" s="13" t="str" cm="1">
        <f t="array" ref="C45">IF(ROW()-ROW(tbl_GS_EligibilitySummary[#Headers])&lt;=ROWS(tbl_GS_Assessment[ActionID]),INDEX(tbl_GS_Assessment[ActionID],ROW()-ROW(tbl_GS_EligibilitySummary[#Headers])),INDEX(tbl_GS_AdditionalActions[AdditionalActionID],ROW()-ROW(tbl_GS_EligibilitySummary[#Headers])-ROWS(tbl_GS_Assessment[ActionID])))</f>
        <v>ipcc_0087</v>
      </c>
      <c r="D45" s="13" t="str" cm="1">
        <f t="array" ref="D45">IF(ROW()-ROW(tbl_GS_EligibilitySummary[#Headers])&lt;=ROWS(tbl_GS_Assessment[ActionID]),INDEX(tbl_GS_Assessment[ActionName],ROW()-ROW(tbl_GS_EligibilitySummary[#Headers])),INDEX(tbl_GS_AdditionalActions[ActionName],ROW()-ROW(tbl_GS_EligibilitySummary[#Headers])-ROWS(tbl_GS_Assessment[ActionID])))</f>
        <v>Improve Infrastructure retrofitting</v>
      </c>
      <c r="E45" s="13" cm="1">
        <f t="array" ref="E45">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45" s="13" t="str" cm="1">
        <f t="array" ref="F45">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45" s="13" t="str" cm="1">
        <f t="array" ref="G45">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45" s="13" cm="1">
        <f t="array" ref="H45">IF(ROW()-ROW(tbl_GS_EligibilitySummary[#Headers])&lt;=ROWS(tbl_GS_Assessment[ActionID]),INDEX(tbl_GS_Assessment[Exposure Eligibility],ROW()-ROW(tbl_GS_EligibilitySummary[#Headers])),INDEX(tbl_GS_AdditionalActions[Exposure Eligibility],ROW()-ROW(tbl_GS_EligibilitySummary[#Headers])-ROWS(tbl_GS_Assessment[ActionID])))</f>
        <v>0</v>
      </c>
      <c r="I45" s="13" t="str" cm="1">
        <f t="array" ref="I45">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45" s="13" t="str" cm="1">
        <f t="array" ref="J45">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45" s="13" cm="1">
        <f t="array" ref="K45">IF(ROW()-ROW(tbl_GS_EligibilitySummary[#Headers])&lt;=ROWS(tbl_GS_Assessment[ActionID]),INDEX(tbl_GS_Assessment[ReviewStatus],ROW()-ROW(tbl_GS_EligibilitySummary[#Headers])),INDEX(tbl_GS_AdditionalActions[ReviewStatus],ROW()-ROW(tbl_GS_EligibilitySummary[#Headers])-ROWS(tbl_GS_Assessment[ActionID])))</f>
        <v>0</v>
      </c>
      <c r="L45" s="87"/>
      <c r="M45" s="87"/>
      <c r="N45" s="87"/>
      <c r="O45" s="87"/>
      <c r="P45" s="87"/>
      <c r="Q45" s="87"/>
      <c r="R45" s="87"/>
      <c r="S45" s="87"/>
      <c r="T45" s="87"/>
      <c r="U45" s="87"/>
      <c r="V45" s="87"/>
      <c r="AA45" s="186"/>
      <c r="AB45" s="186"/>
      <c r="AC45" s="186"/>
      <c r="AD45" s="186"/>
      <c r="AE45" s="186"/>
      <c r="AF45" s="186"/>
      <c r="AG45" s="186"/>
      <c r="AH45" s="186"/>
      <c r="AI45" s="186"/>
      <c r="AJ45" s="186"/>
    </row>
    <row r="46" spans="2:36" s="185" customFormat="1">
      <c r="B46" s="13" t="str" cm="1">
        <f t="array" ref="B46">IF(ROW()-ROW(tbl_GS_EligibilitySummary[#Headers])&lt;=ROWS(tbl_GS_Assessment[ActionID]),"Existing action","Additional action")</f>
        <v>Existing action</v>
      </c>
      <c r="C46" s="13" t="str" cm="1">
        <f t="array" ref="C46">IF(ROW()-ROW(tbl_GS_EligibilitySummary[#Headers])&lt;=ROWS(tbl_GS_Assessment[ActionID]),INDEX(tbl_GS_Assessment[ActionID],ROW()-ROW(tbl_GS_EligibilitySummary[#Headers])),INDEX(tbl_GS_AdditionalActions[AdditionalActionID],ROW()-ROW(tbl_GS_EligibilitySummary[#Headers])-ROWS(tbl_GS_Assessment[ActionID])))</f>
        <v>ipcc_0088</v>
      </c>
      <c r="D46" s="13" t="str" cm="1">
        <f t="array" ref="D46">IF(ROW()-ROW(tbl_GS_EligibilitySummary[#Headers])&lt;=ROWS(tbl_GS_Assessment[ActionID]),INDEX(tbl_GS_Assessment[ActionName],ROW()-ROW(tbl_GS_EligibilitySummary[#Headers])),INDEX(tbl_GS_AdditionalActions[ActionName],ROW()-ROW(tbl_GS_EligibilitySummary[#Headers])-ROWS(tbl_GS_Assessment[ActionID])))</f>
        <v>Update and enforce climate‑resilient building codes</v>
      </c>
      <c r="E46" s="13" cm="1">
        <f t="array" ref="E46">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46" s="13" t="str" cm="1">
        <f t="array" ref="F46">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46" s="13" t="str" cm="1">
        <f t="array" ref="G46">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46" s="13" cm="1">
        <f t="array" ref="H46">IF(ROW()-ROW(tbl_GS_EligibilitySummary[#Headers])&lt;=ROWS(tbl_GS_Assessment[ActionID]),INDEX(tbl_GS_Assessment[Exposure Eligibility],ROW()-ROW(tbl_GS_EligibilitySummary[#Headers])),INDEX(tbl_GS_AdditionalActions[Exposure Eligibility],ROW()-ROW(tbl_GS_EligibilitySummary[#Headers])-ROWS(tbl_GS_Assessment[ActionID])))</f>
        <v>0</v>
      </c>
      <c r="I46" s="13" t="str" cm="1">
        <f t="array" ref="I46">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46" s="13" t="str" cm="1">
        <f t="array" ref="J46">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46" s="13" cm="1">
        <f t="array" ref="K46">IF(ROW()-ROW(tbl_GS_EligibilitySummary[#Headers])&lt;=ROWS(tbl_GS_Assessment[ActionID]),INDEX(tbl_GS_Assessment[ReviewStatus],ROW()-ROW(tbl_GS_EligibilitySummary[#Headers])),INDEX(tbl_GS_AdditionalActions[ReviewStatus],ROW()-ROW(tbl_GS_EligibilitySummary[#Headers])-ROWS(tbl_GS_Assessment[ActionID])))</f>
        <v>0</v>
      </c>
      <c r="L46" s="87"/>
      <c r="M46" s="87"/>
      <c r="N46" s="87"/>
      <c r="O46" s="87"/>
      <c r="P46" s="87"/>
      <c r="Q46" s="87"/>
      <c r="R46" s="87"/>
      <c r="S46" s="87"/>
      <c r="T46" s="87"/>
      <c r="U46" s="87"/>
      <c r="V46" s="87"/>
      <c r="AA46" s="186"/>
      <c r="AB46" s="186"/>
      <c r="AC46" s="186"/>
      <c r="AD46" s="186"/>
      <c r="AE46" s="186"/>
      <c r="AF46" s="186"/>
      <c r="AG46" s="186"/>
      <c r="AH46" s="186"/>
      <c r="AI46" s="186"/>
      <c r="AJ46" s="186"/>
    </row>
    <row r="47" spans="2:36" s="185" customFormat="1">
      <c r="B47" s="13" t="str" cm="1">
        <f t="array" ref="B47">IF(ROW()-ROW(tbl_GS_EligibilitySummary[#Headers])&lt;=ROWS(tbl_GS_Assessment[ActionID]),"Existing action","Additional action")</f>
        <v>Existing action</v>
      </c>
      <c r="C47" s="13" t="str" cm="1">
        <f t="array" ref="C47">IF(ROW()-ROW(tbl_GS_EligibilitySummary[#Headers])&lt;=ROWS(tbl_GS_Assessment[ActionID]),INDEX(tbl_GS_Assessment[ActionID],ROW()-ROW(tbl_GS_EligibilitySummary[#Headers])),INDEX(tbl_GS_AdditionalActions[AdditionalActionID],ROW()-ROW(tbl_GS_EligibilitySummary[#Headers])-ROWS(tbl_GS_Assessment[ActionID])))</f>
        <v>ipcc_0089</v>
      </c>
      <c r="D47" s="13" t="str" cm="1">
        <f t="array" ref="D47">IF(ROW()-ROW(tbl_GS_EligibilitySummary[#Headers])&lt;=ROWS(tbl_GS_Assessment[ActionID]),INDEX(tbl_GS_Assessment[ActionName],ROW()-ROW(tbl_GS_EligibilitySummary[#Headers])),INDEX(tbl_GS_AdditionalActions[ActionName],ROW()-ROW(tbl_GS_EligibilitySummary[#Headers])-ROWS(tbl_GS_Assessment[ActionID])))</f>
        <v>Spatially redirect development</v>
      </c>
      <c r="E47" s="13" cm="1">
        <f t="array" ref="E47">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47" s="13" t="str" cm="1">
        <f t="array" ref="F47">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47" s="13" t="str" cm="1">
        <f t="array" ref="G47">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47" s="13" cm="1">
        <f t="array" ref="H47">IF(ROW()-ROW(tbl_GS_EligibilitySummary[#Headers])&lt;=ROWS(tbl_GS_Assessment[ActionID]),INDEX(tbl_GS_Assessment[Exposure Eligibility],ROW()-ROW(tbl_GS_EligibilitySummary[#Headers])),INDEX(tbl_GS_AdditionalActions[Exposure Eligibility],ROW()-ROW(tbl_GS_EligibilitySummary[#Headers])-ROWS(tbl_GS_Assessment[ActionID])))</f>
        <v>0</v>
      </c>
      <c r="I47" s="13" t="str" cm="1">
        <f t="array" ref="I47">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47" s="13" t="str" cm="1">
        <f t="array" ref="J47">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47" s="13" cm="1">
        <f t="array" ref="K47">IF(ROW()-ROW(tbl_GS_EligibilitySummary[#Headers])&lt;=ROWS(tbl_GS_Assessment[ActionID]),INDEX(tbl_GS_Assessment[ReviewStatus],ROW()-ROW(tbl_GS_EligibilitySummary[#Headers])),INDEX(tbl_GS_AdditionalActions[ReviewStatus],ROW()-ROW(tbl_GS_EligibilitySummary[#Headers])-ROWS(tbl_GS_Assessment[ActionID])))</f>
        <v>0</v>
      </c>
      <c r="L47" s="87"/>
      <c r="M47" s="87"/>
      <c r="N47" s="87"/>
      <c r="O47" s="87"/>
      <c r="P47" s="87"/>
      <c r="Q47" s="87"/>
      <c r="R47" s="87"/>
      <c r="S47" s="87"/>
      <c r="T47" s="87"/>
      <c r="U47" s="87"/>
      <c r="V47" s="87"/>
      <c r="AA47" s="186"/>
      <c r="AB47" s="186"/>
      <c r="AC47" s="186"/>
      <c r="AD47" s="186"/>
      <c r="AE47" s="186"/>
      <c r="AF47" s="186"/>
      <c r="AG47" s="186"/>
      <c r="AH47" s="186"/>
      <c r="AI47" s="186"/>
      <c r="AJ47" s="186"/>
    </row>
    <row r="48" spans="2:36" s="185" customFormat="1">
      <c r="B48" s="13" t="str" cm="1">
        <f t="array" ref="B48">IF(ROW()-ROW(tbl_GS_EligibilitySummary[#Headers])&lt;=ROWS(tbl_GS_Assessment[ActionID]),"Existing action","Additional action")</f>
        <v>Existing action</v>
      </c>
      <c r="C48" s="13" t="str" cm="1">
        <f t="array" ref="C48">IF(ROW()-ROW(tbl_GS_EligibilitySummary[#Headers])&lt;=ROWS(tbl_GS_Assessment[ActionID]),INDEX(tbl_GS_Assessment[ActionID],ROW()-ROW(tbl_GS_EligibilitySummary[#Headers])),INDEX(tbl_GS_AdditionalActions[AdditionalActionID],ROW()-ROW(tbl_GS_EligibilitySummary[#Headers])-ROWS(tbl_GS_Assessment[ActionID])))</f>
        <v>ipcc_0090</v>
      </c>
      <c r="D48" s="13" t="str" cm="1">
        <f t="array" ref="D48">IF(ROW()-ROW(tbl_GS_EligibilitySummary[#Headers])&lt;=ROWS(tbl_GS_Assessment[ActionID]),INDEX(tbl_GS_Assessment[ActionName],ROW()-ROW(tbl_GS_EligibilitySummary[#Headers])),INDEX(tbl_GS_AdditionalActions[ActionName],ROW()-ROW(tbl_GS_EligibilitySummary[#Headers])-ROWS(tbl_GS_Assessment[ActionID])))</f>
        <v>Expand climate risk insurance coverage</v>
      </c>
      <c r="E48" s="13" cm="1">
        <f t="array" ref="E48">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48" s="13" t="str" cm="1">
        <f t="array" ref="F48">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48" s="13" t="str" cm="1">
        <f t="array" ref="G48">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48" s="13" cm="1">
        <f t="array" ref="H48">IF(ROW()-ROW(tbl_GS_EligibilitySummary[#Headers])&lt;=ROWS(tbl_GS_Assessment[ActionID]),INDEX(tbl_GS_Assessment[Exposure Eligibility],ROW()-ROW(tbl_GS_EligibilitySummary[#Headers])),INDEX(tbl_GS_AdditionalActions[Exposure Eligibility],ROW()-ROW(tbl_GS_EligibilitySummary[#Headers])-ROWS(tbl_GS_Assessment[ActionID])))</f>
        <v>0</v>
      </c>
      <c r="I48" s="13" t="str" cm="1">
        <f t="array" ref="I48">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48" s="13" t="str" cm="1">
        <f t="array" ref="J48">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48" s="13" cm="1">
        <f t="array" ref="K48">IF(ROW()-ROW(tbl_GS_EligibilitySummary[#Headers])&lt;=ROWS(tbl_GS_Assessment[ActionID]),INDEX(tbl_GS_Assessment[ReviewStatus],ROW()-ROW(tbl_GS_EligibilitySummary[#Headers])),INDEX(tbl_GS_AdditionalActions[ReviewStatus],ROW()-ROW(tbl_GS_EligibilitySummary[#Headers])-ROWS(tbl_GS_Assessment[ActionID])))</f>
        <v>0</v>
      </c>
      <c r="L48" s="87"/>
      <c r="M48" s="87"/>
      <c r="N48" s="87"/>
      <c r="O48" s="87"/>
      <c r="P48" s="87"/>
      <c r="Q48" s="87"/>
      <c r="R48" s="87"/>
      <c r="S48" s="87"/>
      <c r="T48" s="87"/>
      <c r="U48" s="87"/>
      <c r="V48" s="87"/>
      <c r="AA48" s="186"/>
      <c r="AB48" s="186"/>
      <c r="AC48" s="186"/>
      <c r="AD48" s="186"/>
      <c r="AE48" s="186"/>
      <c r="AF48" s="186"/>
      <c r="AG48" s="186"/>
      <c r="AH48" s="186"/>
      <c r="AI48" s="186"/>
      <c r="AJ48" s="186"/>
    </row>
    <row r="49" spans="1:36" s="185" customFormat="1">
      <c r="B49" s="13" t="str" cm="1">
        <f t="array" ref="B49">IF(ROW()-ROW(tbl_GS_EligibilitySummary[#Headers])&lt;=ROWS(tbl_GS_Assessment[ActionID]),"Existing action","Additional action")</f>
        <v>Existing action</v>
      </c>
      <c r="C49" s="13" t="str" cm="1">
        <f t="array" ref="C49">IF(ROW()-ROW(tbl_GS_EligibilitySummary[#Headers])&lt;=ROWS(tbl_GS_Assessment[ActionID]),INDEX(tbl_GS_Assessment[ActionID],ROW()-ROW(tbl_GS_EligibilitySummary[#Headers])),INDEX(tbl_GS_AdditionalActions[AdditionalActionID],ROW()-ROW(tbl_GS_EligibilitySummary[#Headers])-ROWS(tbl_GS_Assessment[ActionID])))</f>
        <v>ipcc_0091</v>
      </c>
      <c r="D49" s="13" t="str" cm="1">
        <f t="array" ref="D49">IF(ROW()-ROW(tbl_GS_EligibilitySummary[#Headers])&lt;=ROWS(tbl_GS_Assessment[ActionID]),INDEX(tbl_GS_Assessment[ActionName],ROW()-ROW(tbl_GS_EligibilitySummary[#Headers])),INDEX(tbl_GS_AdditionalActions[ActionName],ROW()-ROW(tbl_GS_EligibilitySummary[#Headers])-ROWS(tbl_GS_Assessment[ActionID])))</f>
        <v>Support livelihood diversification for climate resilience</v>
      </c>
      <c r="E49" s="13" cm="1">
        <f t="array" ref="E49">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49" s="13" t="str" cm="1">
        <f t="array" ref="F49">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49" s="13" t="str" cm="1">
        <f t="array" ref="G49">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49" s="13" cm="1">
        <f t="array" ref="H49">IF(ROW()-ROW(tbl_GS_EligibilitySummary[#Headers])&lt;=ROWS(tbl_GS_Assessment[ActionID]),INDEX(tbl_GS_Assessment[Exposure Eligibility],ROW()-ROW(tbl_GS_EligibilitySummary[#Headers])),INDEX(tbl_GS_AdditionalActions[Exposure Eligibility],ROW()-ROW(tbl_GS_EligibilitySummary[#Headers])-ROWS(tbl_GS_Assessment[ActionID])))</f>
        <v>0</v>
      </c>
      <c r="I49" s="13" t="str" cm="1">
        <f t="array" ref="I49">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49" s="13" t="str" cm="1">
        <f t="array" ref="J49">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49" s="13" cm="1">
        <f t="array" ref="K49">IF(ROW()-ROW(tbl_GS_EligibilitySummary[#Headers])&lt;=ROWS(tbl_GS_Assessment[ActionID]),INDEX(tbl_GS_Assessment[ReviewStatus],ROW()-ROW(tbl_GS_EligibilitySummary[#Headers])),INDEX(tbl_GS_AdditionalActions[ReviewStatus],ROW()-ROW(tbl_GS_EligibilitySummary[#Headers])-ROWS(tbl_GS_Assessment[ActionID])))</f>
        <v>0</v>
      </c>
      <c r="L49" s="87"/>
      <c r="M49" s="87"/>
      <c r="N49" s="87"/>
      <c r="O49" s="87"/>
      <c r="P49" s="87"/>
      <c r="Q49" s="87"/>
      <c r="R49" s="87"/>
      <c r="S49" s="87"/>
      <c r="T49" s="87"/>
      <c r="U49" s="87"/>
      <c r="V49" s="87"/>
      <c r="AA49" s="186"/>
      <c r="AB49" s="186"/>
      <c r="AC49" s="186"/>
      <c r="AD49" s="186"/>
      <c r="AE49" s="186"/>
      <c r="AF49" s="186"/>
      <c r="AG49" s="186"/>
      <c r="AH49" s="186"/>
      <c r="AI49" s="186"/>
      <c r="AJ49" s="186"/>
    </row>
    <row r="50" spans="1:36" s="185" customFormat="1">
      <c r="B50" s="13" t="str" cm="1">
        <f t="array" ref="B50">IF(ROW()-ROW(tbl_GS_EligibilitySummary[#Headers])&lt;=ROWS(tbl_GS_Assessment[ActionID]),"Existing action","Additional action")</f>
        <v>Existing action</v>
      </c>
      <c r="C50" s="13" t="str" cm="1">
        <f t="array" ref="C50">IF(ROW()-ROW(tbl_GS_EligibilitySummary[#Headers])&lt;=ROWS(tbl_GS_Assessment[ActionID]),INDEX(tbl_GS_Assessment[ActionID],ROW()-ROW(tbl_GS_EligibilitySummary[#Headers])),INDEX(tbl_GS_AdditionalActions[AdditionalActionID],ROW()-ROW(tbl_GS_EligibilitySummary[#Headers])-ROWS(tbl_GS_Assessment[ActionID])))</f>
        <v>ipcc_0092</v>
      </c>
      <c r="D50" s="13" t="str" cm="1">
        <f t="array" ref="D50">IF(ROW()-ROW(tbl_GS_EligibilitySummary[#Headers])&lt;=ROWS(tbl_GS_Assessment[ActionID]),INDEX(tbl_GS_Assessment[ActionName],ROW()-ROW(tbl_GS_EligibilitySummary[#Headers])),INDEX(tbl_GS_AdditionalActions[ActionName],ROW()-ROW(tbl_GS_EligibilitySummary[#Headers])-ROWS(tbl_GS_Assessment[ActionID])))</f>
        <v>Expand climate‑responsive social safety nets</v>
      </c>
      <c r="E50" s="13" cm="1">
        <f t="array" ref="E50">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50" s="13" t="str" cm="1">
        <f t="array" ref="F50">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50" s="13" t="str" cm="1">
        <f t="array" ref="G50">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50" s="13" cm="1">
        <f t="array" ref="H50">IF(ROW()-ROW(tbl_GS_EligibilitySummary[#Headers])&lt;=ROWS(tbl_GS_Assessment[ActionID]),INDEX(tbl_GS_Assessment[Exposure Eligibility],ROW()-ROW(tbl_GS_EligibilitySummary[#Headers])),INDEX(tbl_GS_AdditionalActions[Exposure Eligibility],ROW()-ROW(tbl_GS_EligibilitySummary[#Headers])-ROWS(tbl_GS_Assessment[ActionID])))</f>
        <v>0</v>
      </c>
      <c r="I50" s="13" t="str" cm="1">
        <f t="array" ref="I50">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50" s="13" t="str" cm="1">
        <f t="array" ref="J50">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50" s="13" cm="1">
        <f t="array" ref="K50">IF(ROW()-ROW(tbl_GS_EligibilitySummary[#Headers])&lt;=ROWS(tbl_GS_Assessment[ActionID]),INDEX(tbl_GS_Assessment[ReviewStatus],ROW()-ROW(tbl_GS_EligibilitySummary[#Headers])),INDEX(tbl_GS_AdditionalActions[ReviewStatus],ROW()-ROW(tbl_GS_EligibilitySummary[#Headers])-ROWS(tbl_GS_Assessment[ActionID])))</f>
        <v>0</v>
      </c>
      <c r="L50" s="87"/>
      <c r="M50" s="87"/>
      <c r="N50" s="87"/>
      <c r="O50" s="87"/>
      <c r="P50" s="87"/>
      <c r="Q50" s="87"/>
      <c r="R50" s="87"/>
      <c r="S50" s="87"/>
      <c r="T50" s="87"/>
      <c r="U50" s="87"/>
      <c r="V50" s="87"/>
      <c r="AA50" s="186"/>
      <c r="AB50" s="186"/>
      <c r="AC50" s="186"/>
      <c r="AD50" s="186"/>
      <c r="AE50" s="186"/>
      <c r="AF50" s="186"/>
      <c r="AG50" s="186"/>
      <c r="AH50" s="186"/>
      <c r="AI50" s="186"/>
      <c r="AJ50" s="186"/>
    </row>
    <row r="51" spans="1:36" s="185" customFormat="1">
      <c r="B51" s="13" t="str" cm="1">
        <f t="array" ref="B51">IF(ROW()-ROW(tbl_GS_EligibilitySummary[#Headers])&lt;=ROWS(tbl_GS_Assessment[ActionID]),"Existing action","Additional action")</f>
        <v>Existing action</v>
      </c>
      <c r="C51" s="13" t="str" cm="1">
        <f t="array" ref="C51">IF(ROW()-ROW(tbl_GS_EligibilitySummary[#Headers])&lt;=ROWS(tbl_GS_Assessment[ActionID]),INDEX(tbl_GS_Assessment[ActionID],ROW()-ROW(tbl_GS_EligibilitySummary[#Headers])),INDEX(tbl_GS_AdditionalActions[AdditionalActionID],ROW()-ROW(tbl_GS_EligibilitySummary[#Headers])-ROWS(tbl_GS_Assessment[ActionID])))</f>
        <v>ipcc_0094</v>
      </c>
      <c r="D51" s="13" t="str" cm="1">
        <f t="array" ref="D51">IF(ROW()-ROW(tbl_GS_EligibilitySummary[#Headers])&lt;=ROWS(tbl_GS_Assessment[ActionID]),INDEX(tbl_GS_Assessment[ActionName],ROW()-ROW(tbl_GS_EligibilitySummary[#Headers])),INDEX(tbl_GS_AdditionalActions[ActionName],ROW()-ROW(tbl_GS_EligibilitySummary[#Headers])-ROWS(tbl_GS_Assessment[ActionID])))</f>
        <v>Strengthen climate‑resilient health services</v>
      </c>
      <c r="E51" s="13" cm="1">
        <f t="array" ref="E51">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51" s="13" t="str" cm="1">
        <f t="array" ref="F51">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51" s="13" t="str" cm="1">
        <f t="array" ref="G51">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51" s="13" cm="1">
        <f t="array" ref="H51">IF(ROW()-ROW(tbl_GS_EligibilitySummary[#Headers])&lt;=ROWS(tbl_GS_Assessment[ActionID]),INDEX(tbl_GS_Assessment[Exposure Eligibility],ROW()-ROW(tbl_GS_EligibilitySummary[#Headers])),INDEX(tbl_GS_AdditionalActions[Exposure Eligibility],ROW()-ROW(tbl_GS_EligibilitySummary[#Headers])-ROWS(tbl_GS_Assessment[ActionID])))</f>
        <v>0</v>
      </c>
      <c r="I51" s="13" t="str" cm="1">
        <f t="array" ref="I51">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51" s="13" t="str" cm="1">
        <f t="array" ref="J51">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51" s="13" cm="1">
        <f t="array" ref="K51">IF(ROW()-ROW(tbl_GS_EligibilitySummary[#Headers])&lt;=ROWS(tbl_GS_Assessment[ActionID]),INDEX(tbl_GS_Assessment[ReviewStatus],ROW()-ROW(tbl_GS_EligibilitySummary[#Headers])),INDEX(tbl_GS_AdditionalActions[ReviewStatus],ROW()-ROW(tbl_GS_EligibilitySummary[#Headers])-ROWS(tbl_GS_Assessment[ActionID])))</f>
        <v>0</v>
      </c>
      <c r="L51" s="87"/>
      <c r="M51" s="87"/>
      <c r="N51" s="87"/>
      <c r="O51" s="87"/>
      <c r="P51" s="87"/>
      <c r="Q51" s="87"/>
      <c r="R51" s="87"/>
      <c r="S51" s="87"/>
      <c r="T51" s="87"/>
      <c r="U51" s="87"/>
      <c r="V51" s="87"/>
      <c r="AA51" s="186"/>
      <c r="AB51" s="186"/>
      <c r="AC51" s="186"/>
      <c r="AD51" s="186"/>
      <c r="AE51" s="186"/>
      <c r="AF51" s="186"/>
      <c r="AG51" s="186"/>
      <c r="AH51" s="186"/>
      <c r="AI51" s="186"/>
      <c r="AJ51" s="186"/>
    </row>
    <row r="52" spans="1:36" s="185" customFormat="1">
      <c r="B52" s="13" t="str" cm="1">
        <f t="array" ref="B52">IF(ROW()-ROW(tbl_GS_EligibilitySummary[#Headers])&lt;=ROWS(tbl_GS_Assessment[ActionID]),"Existing action","Additional action")</f>
        <v>Existing action</v>
      </c>
      <c r="C52" s="13" t="str" cm="1">
        <f t="array" ref="C52">IF(ROW()-ROW(tbl_GS_EligibilitySummary[#Headers])&lt;=ROWS(tbl_GS_Assessment[ActionID]),INDEX(tbl_GS_Assessment[ActionID],ROW()-ROW(tbl_GS_EligibilitySummary[#Headers])),INDEX(tbl_GS_AdditionalActions[AdditionalActionID],ROW()-ROW(tbl_GS_EligibilitySummary[#Headers])-ROWS(tbl_GS_Assessment[ActionID])))</f>
        <v>ipcc_0096</v>
      </c>
      <c r="D52" s="13" t="str" cm="1">
        <f t="array" ref="D52">IF(ROW()-ROW(tbl_GS_EligibilitySummary[#Headers])&lt;=ROWS(tbl_GS_Assessment[ActionID]),INDEX(tbl_GS_Assessment[ActionName],ROW()-ROW(tbl_GS_EligibilitySummary[#Headers])),INDEX(tbl_GS_AdditionalActions[ActionName],ROW()-ROW(tbl_GS_EligibilitySummary[#Headers])-ROWS(tbl_GS_Assessment[ActionID])))</f>
        <v>Strengthen climate resilience in farming and fisheries</v>
      </c>
      <c r="E52" s="13" cm="1">
        <f t="array" ref="E52">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52" s="13" t="str" cm="1">
        <f t="array" ref="F52">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52" s="13" t="str" cm="1">
        <f t="array" ref="G52">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52" s="13" cm="1">
        <f t="array" ref="H52">IF(ROW()-ROW(tbl_GS_EligibilitySummary[#Headers])&lt;=ROWS(tbl_GS_Assessment[ActionID]),INDEX(tbl_GS_Assessment[Exposure Eligibility],ROW()-ROW(tbl_GS_EligibilitySummary[#Headers])),INDEX(tbl_GS_AdditionalActions[Exposure Eligibility],ROW()-ROW(tbl_GS_EligibilitySummary[#Headers])-ROWS(tbl_GS_Assessment[ActionID])))</f>
        <v>0</v>
      </c>
      <c r="I52" s="13" t="str" cm="1">
        <f t="array" ref="I52">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52" s="13" t="str" cm="1">
        <f t="array" ref="J52">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52" s="13" cm="1">
        <f t="array" ref="K52">IF(ROW()-ROW(tbl_GS_EligibilitySummary[#Headers])&lt;=ROWS(tbl_GS_Assessment[ActionID]),INDEX(tbl_GS_Assessment[ReviewStatus],ROW()-ROW(tbl_GS_EligibilitySummary[#Headers])),INDEX(tbl_GS_AdditionalActions[ReviewStatus],ROW()-ROW(tbl_GS_EligibilitySummary[#Headers])-ROWS(tbl_GS_Assessment[ActionID])))</f>
        <v>0</v>
      </c>
      <c r="L52" s="87"/>
      <c r="M52" s="87"/>
      <c r="N52" s="87"/>
      <c r="O52" s="87"/>
      <c r="P52" s="87"/>
      <c r="Q52" s="87"/>
      <c r="R52" s="87"/>
      <c r="S52" s="87"/>
      <c r="T52" s="87"/>
      <c r="U52" s="87"/>
      <c r="V52" s="87"/>
      <c r="AA52" s="186"/>
      <c r="AB52" s="186"/>
      <c r="AC52" s="186"/>
      <c r="AD52" s="186"/>
      <c r="AE52" s="186"/>
      <c r="AF52" s="186"/>
      <c r="AG52" s="186"/>
      <c r="AH52" s="186"/>
      <c r="AI52" s="186"/>
      <c r="AJ52" s="186"/>
    </row>
    <row r="53" spans="1:36" s="185" customFormat="1">
      <c r="B53" s="13" t="str" cm="1">
        <f t="array" ref="B53">IF(ROW()-ROW(tbl_GS_EligibilitySummary[#Headers])&lt;=ROWS(tbl_GS_Assessment[ActionID]),"Existing action","Additional action")</f>
        <v>Existing action</v>
      </c>
      <c r="C53" s="13" t="str" cm="1">
        <f t="array" ref="C53">IF(ROW()-ROW(tbl_GS_EligibilitySummary[#Headers])&lt;=ROWS(tbl_GS_Assessment[ActionID]),INDEX(tbl_GS_Assessment[ActionID],ROW()-ROW(tbl_GS_EligibilitySummary[#Headers])),INDEX(tbl_GS_AdditionalActions[AdditionalActionID],ROW()-ROW(tbl_GS_EligibilitySummary[#Headers])-ROWS(tbl_GS_Assessment[ActionID])))</f>
        <v>ipcc_0097</v>
      </c>
      <c r="D53" s="13" t="str" cm="1">
        <f t="array" ref="D53">IF(ROW()-ROW(tbl_GS_EligibilitySummary[#Headers])&lt;=ROWS(tbl_GS_Assessment[ActionID]),INDEX(tbl_GS_Assessment[ActionName],ROW()-ROW(tbl_GS_EligibilitySummary[#Headers])),INDEX(tbl_GS_AdditionalActions[ActionName],ROW()-ROW(tbl_GS_EligibilitySummary[#Headers])-ROWS(tbl_GS_Assessment[ActionID])))</f>
        <v>Upgrade food storage and distribution for climate resilience</v>
      </c>
      <c r="E53" s="13" cm="1">
        <f t="array" ref="E53">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53" s="13" t="str" cm="1">
        <f t="array" ref="F53">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53" s="13" t="str" cm="1">
        <f t="array" ref="G53">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53" s="13" cm="1">
        <f t="array" ref="H53">IF(ROW()-ROW(tbl_GS_EligibilitySummary[#Headers])&lt;=ROWS(tbl_GS_Assessment[ActionID]),INDEX(tbl_GS_Assessment[Exposure Eligibility],ROW()-ROW(tbl_GS_EligibilitySummary[#Headers])),INDEX(tbl_GS_AdditionalActions[Exposure Eligibility],ROW()-ROW(tbl_GS_EligibilitySummary[#Headers])-ROWS(tbl_GS_Assessment[ActionID])))</f>
        <v>0</v>
      </c>
      <c r="I53" s="13" t="str" cm="1">
        <f t="array" ref="I53">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53" s="13" t="str" cm="1">
        <f t="array" ref="J53">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53" s="13" cm="1">
        <f t="array" ref="K53">IF(ROW()-ROW(tbl_GS_EligibilitySummary[#Headers])&lt;=ROWS(tbl_GS_Assessment[ActionID]),INDEX(tbl_GS_Assessment[ReviewStatus],ROW()-ROW(tbl_GS_EligibilitySummary[#Headers])),INDEX(tbl_GS_AdditionalActions[ReviewStatus],ROW()-ROW(tbl_GS_EligibilitySummary[#Headers])-ROWS(tbl_GS_Assessment[ActionID])))</f>
        <v>0</v>
      </c>
      <c r="L53" s="87"/>
      <c r="M53" s="87"/>
      <c r="N53" s="87"/>
      <c r="O53" s="87"/>
      <c r="P53" s="87"/>
      <c r="Q53" s="87"/>
      <c r="R53" s="87"/>
      <c r="S53" s="87"/>
      <c r="T53" s="87"/>
      <c r="U53" s="87"/>
      <c r="V53" s="87"/>
      <c r="AA53" s="186"/>
      <c r="AB53" s="186"/>
      <c r="AC53" s="186"/>
      <c r="AD53" s="186"/>
      <c r="AE53" s="186"/>
      <c r="AF53" s="186"/>
      <c r="AG53" s="186"/>
      <c r="AH53" s="186"/>
      <c r="AI53" s="186"/>
      <c r="AJ53" s="186"/>
    </row>
    <row r="54" spans="1:36" s="185" customFormat="1">
      <c r="B54" s="13" t="str" cm="1">
        <f t="array" ref="B54">IF(ROW()-ROW(tbl_GS_EligibilitySummary[#Headers])&lt;=ROWS(tbl_GS_Assessment[ActionID]),"Existing action","Additional action")</f>
        <v>Existing action</v>
      </c>
      <c r="C54" s="13" t="str" cm="1">
        <f t="array" ref="C54">IF(ROW()-ROW(tbl_GS_EligibilitySummary[#Headers])&lt;=ROWS(tbl_GS_Assessment[ActionID]),INDEX(tbl_GS_Assessment[ActionID],ROW()-ROW(tbl_GS_EligibilitySummary[#Headers])),INDEX(tbl_GS_AdditionalActions[AdditionalActionID],ROW()-ROW(tbl_GS_EligibilitySummary[#Headers])-ROWS(tbl_GS_Assessment[ActionID])))</f>
        <v>ipcc_0098</v>
      </c>
      <c r="D54" s="13" t="str" cm="1">
        <f t="array" ref="D54">IF(ROW()-ROW(tbl_GS_EligibilitySummary[#Headers])&lt;=ROWS(tbl_GS_Assessment[ActionID]),INDEX(tbl_GS_Assessment[ActionName],ROW()-ROW(tbl_GS_EligibilitySummary[#Headers])),INDEX(tbl_GS_AdditionalActions[ActionName],ROW()-ROW(tbl_GS_EligibilitySummary[#Headers])-ROWS(tbl_GS_Assessment[ActionID])))</f>
        <v>Increase resilience by improving access to food, improving livelihoods and promoting dietary shifts and food waste reduction</v>
      </c>
      <c r="E54" s="13" cm="1">
        <f t="array" ref="E54">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54" s="13" t="str" cm="1">
        <f t="array" ref="F54">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54" s="13" t="str" cm="1">
        <f t="array" ref="G54">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54" s="13" cm="1">
        <f t="array" ref="H54">IF(ROW()-ROW(tbl_GS_EligibilitySummary[#Headers])&lt;=ROWS(tbl_GS_Assessment[ActionID]),INDEX(tbl_GS_Assessment[Exposure Eligibility],ROW()-ROW(tbl_GS_EligibilitySummary[#Headers])),INDEX(tbl_GS_AdditionalActions[Exposure Eligibility],ROW()-ROW(tbl_GS_EligibilitySummary[#Headers])-ROWS(tbl_GS_Assessment[ActionID])))</f>
        <v>0</v>
      </c>
      <c r="I54" s="13" t="str" cm="1">
        <f t="array" ref="I54">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54" s="13" t="str" cm="1">
        <f t="array" ref="J54">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54" s="13" cm="1">
        <f t="array" ref="K54">IF(ROW()-ROW(tbl_GS_EligibilitySummary[#Headers])&lt;=ROWS(tbl_GS_Assessment[ActionID]),INDEX(tbl_GS_Assessment[ReviewStatus],ROW()-ROW(tbl_GS_EligibilitySummary[#Headers])),INDEX(tbl_GS_AdditionalActions[ReviewStatus],ROW()-ROW(tbl_GS_EligibilitySummary[#Headers])-ROWS(tbl_GS_Assessment[ActionID])))</f>
        <v>0</v>
      </c>
      <c r="L54" s="87"/>
      <c r="M54" s="87"/>
      <c r="N54" s="87"/>
      <c r="O54" s="87"/>
      <c r="P54" s="87"/>
      <c r="Q54" s="87"/>
      <c r="R54" s="87"/>
      <c r="S54" s="87"/>
      <c r="T54" s="87"/>
      <c r="U54" s="87"/>
      <c r="V54" s="87"/>
      <c r="AA54" s="186"/>
      <c r="AB54" s="186"/>
      <c r="AC54" s="186"/>
      <c r="AD54" s="186"/>
      <c r="AE54" s="186"/>
      <c r="AF54" s="186"/>
      <c r="AG54" s="186"/>
      <c r="AH54" s="186"/>
      <c r="AI54" s="186"/>
      <c r="AJ54" s="186"/>
    </row>
    <row r="55" spans="1:36" s="185" customFormat="1">
      <c r="B55" s="13" t="str" cm="1">
        <f t="array" ref="B55">IF(ROW()-ROW(tbl_GS_EligibilitySummary[#Headers])&lt;=ROWS(tbl_GS_Assessment[ActionID]),"Existing action","Additional action")</f>
        <v>Existing action</v>
      </c>
      <c r="C55" s="13" t="str" cm="1">
        <f t="array" ref="C55">IF(ROW()-ROW(tbl_GS_EligibilitySummary[#Headers])&lt;=ROWS(tbl_GS_Assessment[ActionID]),INDEX(tbl_GS_Assessment[ActionID],ROW()-ROW(tbl_GS_EligibilitySummary[#Headers])),INDEX(tbl_GS_AdditionalActions[AdditionalActionID],ROW()-ROW(tbl_GS_EligibilitySummary[#Headers])-ROWS(tbl_GS_Assessment[ActionID])))</f>
        <v>ipcc_0099</v>
      </c>
      <c r="D55" s="13" t="str" cm="1">
        <f t="array" ref="D55">IF(ROW()-ROW(tbl_GS_EligibilitySummary[#Headers])&lt;=ROWS(tbl_GS_Assessment[ActionID]),INDEX(tbl_GS_Assessment[ActionName],ROW()-ROW(tbl_GS_EligibilitySummary[#Headers])),INDEX(tbl_GS_AdditionalActions[ActionName],ROW()-ROW(tbl_GS_EligibilitySummary[#Headers])-ROWS(tbl_GS_Assessment[ActionID])))</f>
        <v>Increase Water Capture and Storage</v>
      </c>
      <c r="E55" s="13" cm="1">
        <f t="array" ref="E55">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55" s="13" t="str" cm="1">
        <f t="array" ref="F55">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55" s="13" t="str" cm="1">
        <f t="array" ref="G55">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55" s="13" cm="1">
        <f t="array" ref="H55">IF(ROW()-ROW(tbl_GS_EligibilitySummary[#Headers])&lt;=ROWS(tbl_GS_Assessment[ActionID]),INDEX(tbl_GS_Assessment[Exposure Eligibility],ROW()-ROW(tbl_GS_EligibilitySummary[#Headers])),INDEX(tbl_GS_AdditionalActions[Exposure Eligibility],ROW()-ROW(tbl_GS_EligibilitySummary[#Headers])-ROWS(tbl_GS_Assessment[ActionID])))</f>
        <v>0</v>
      </c>
      <c r="I55" s="13" t="str" cm="1">
        <f t="array" ref="I55">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55" s="13" t="str" cm="1">
        <f t="array" ref="J55">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55" s="13" cm="1">
        <f t="array" ref="K55">IF(ROW()-ROW(tbl_GS_EligibilitySummary[#Headers])&lt;=ROWS(tbl_GS_Assessment[ActionID]),INDEX(tbl_GS_Assessment[ReviewStatus],ROW()-ROW(tbl_GS_EligibilitySummary[#Headers])),INDEX(tbl_GS_AdditionalActions[ReviewStatus],ROW()-ROW(tbl_GS_EligibilitySummary[#Headers])-ROWS(tbl_GS_Assessment[ActionID])))</f>
        <v>0</v>
      </c>
      <c r="L55" s="87"/>
      <c r="M55" s="87"/>
      <c r="N55" s="87"/>
      <c r="O55" s="87"/>
      <c r="P55" s="87"/>
      <c r="Q55" s="87"/>
      <c r="R55" s="87"/>
      <c r="S55" s="87"/>
      <c r="T55" s="87"/>
      <c r="U55" s="87"/>
      <c r="V55" s="87"/>
      <c r="AA55" s="186"/>
      <c r="AB55" s="186"/>
      <c r="AC55" s="186"/>
      <c r="AD55" s="186"/>
      <c r="AE55" s="186"/>
      <c r="AF55" s="186"/>
      <c r="AG55" s="186"/>
      <c r="AH55" s="186"/>
      <c r="AI55" s="186"/>
      <c r="AJ55" s="186"/>
    </row>
    <row r="56" spans="1:36" s="185" customFormat="1">
      <c r="B56" s="13" t="str" cm="1">
        <f t="array" ref="B56">IF(ROW()-ROW(tbl_GS_EligibilitySummary[#Headers])&lt;=ROWS(tbl_GS_Assessment[ActionID]),"Existing action","Additional action")</f>
        <v>Existing action</v>
      </c>
      <c r="C56" s="13" t="str" cm="1">
        <f t="array" ref="C56">IF(ROW()-ROW(tbl_GS_EligibilitySummary[#Headers])&lt;=ROWS(tbl_GS_Assessment[ActionID]),INDEX(tbl_GS_Assessment[ActionID],ROW()-ROW(tbl_GS_EligibilitySummary[#Headers])),INDEX(tbl_GS_AdditionalActions[AdditionalActionID],ROW()-ROW(tbl_GS_EligibilitySummary[#Headers])-ROWS(tbl_GS_Assessment[ActionID])))</f>
        <v>ipcc_0100</v>
      </c>
      <c r="D56" s="13" t="str" cm="1">
        <f t="array" ref="D56">IF(ROW()-ROW(tbl_GS_EligibilitySummary[#Headers])&lt;=ROWS(tbl_GS_Assessment[ActionID]),INDEX(tbl_GS_Assessment[ActionName],ROW()-ROW(tbl_GS_EligibilitySummary[#Headers])),INDEX(tbl_GS_AdditionalActions[ActionName],ROW()-ROW(tbl_GS_EligibilitySummary[#Headers])-ROWS(tbl_GS_Assessment[ActionID])))</f>
        <v>Improve Efficient water use/demand</v>
      </c>
      <c r="E56" s="13" cm="1">
        <f t="array" ref="E56">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56" s="13" t="str" cm="1">
        <f t="array" ref="F56">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56" s="13" t="str" cm="1">
        <f t="array" ref="G56">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56" s="13" cm="1">
        <f t="array" ref="H56">IF(ROW()-ROW(tbl_GS_EligibilitySummary[#Headers])&lt;=ROWS(tbl_GS_Assessment[ActionID]),INDEX(tbl_GS_Assessment[Exposure Eligibility],ROW()-ROW(tbl_GS_EligibilitySummary[#Headers])),INDEX(tbl_GS_AdditionalActions[Exposure Eligibility],ROW()-ROW(tbl_GS_EligibilitySummary[#Headers])-ROWS(tbl_GS_Assessment[ActionID])))</f>
        <v>0</v>
      </c>
      <c r="I56" s="13" t="str" cm="1">
        <f t="array" ref="I56">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56" s="13" t="str" cm="1">
        <f t="array" ref="J56">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56" s="13" cm="1">
        <f t="array" ref="K56">IF(ROW()-ROW(tbl_GS_EligibilitySummary[#Headers])&lt;=ROWS(tbl_GS_Assessment[ActionID]),INDEX(tbl_GS_Assessment[ReviewStatus],ROW()-ROW(tbl_GS_EligibilitySummary[#Headers])),INDEX(tbl_GS_AdditionalActions[ReviewStatus],ROW()-ROW(tbl_GS_EligibilitySummary[#Headers])-ROWS(tbl_GS_Assessment[ActionID])))</f>
        <v>0</v>
      </c>
      <c r="L56" s="87"/>
      <c r="M56" s="87"/>
      <c r="N56" s="87"/>
      <c r="O56" s="87"/>
      <c r="P56" s="87"/>
      <c r="Q56" s="87"/>
      <c r="R56" s="87"/>
      <c r="S56" s="87"/>
      <c r="T56" s="87"/>
      <c r="U56" s="87"/>
      <c r="V56" s="87"/>
      <c r="AA56" s="186"/>
      <c r="AB56" s="186"/>
      <c r="AC56" s="186"/>
      <c r="AD56" s="186"/>
      <c r="AE56" s="186"/>
      <c r="AF56" s="186"/>
      <c r="AG56" s="186"/>
      <c r="AH56" s="186"/>
      <c r="AI56" s="186"/>
      <c r="AJ56" s="186"/>
    </row>
    <row r="57" spans="1:36" s="185" customFormat="1">
      <c r="B57" s="13" t="str" cm="1">
        <f t="array" ref="B57">IF(ROW()-ROW(tbl_GS_EligibilitySummary[#Headers])&lt;=ROWS(tbl_GS_Assessment[ActionID]),"Existing action","Additional action")</f>
        <v>Existing action</v>
      </c>
      <c r="C57" s="13" t="str" cm="1">
        <f t="array" ref="C57">IF(ROW()-ROW(tbl_GS_EligibilitySummary[#Headers])&lt;=ROWS(tbl_GS_Assessment[ActionID]),INDEX(tbl_GS_Assessment[ActionID],ROW()-ROW(tbl_GS_EligibilitySummary[#Headers])),INDEX(tbl_GS_AdditionalActions[AdditionalActionID],ROW()-ROW(tbl_GS_EligibilitySummary[#Headers])-ROWS(tbl_GS_Assessment[ActionID])))</f>
        <v>ipcc_0101</v>
      </c>
      <c r="D57" s="13" t="str" cm="1">
        <f t="array" ref="D57">IF(ROW()-ROW(tbl_GS_EligibilitySummary[#Headers])&lt;=ROWS(tbl_GS_Assessment[ActionID]),INDEX(tbl_GS_Assessment[ActionName],ROW()-ROW(tbl_GS_EligibilitySummary[#Headers])),INDEX(tbl_GS_AdditionalActions[ActionName],ROW()-ROW(tbl_GS_EligibilitySummary[#Headers])-ROWS(tbl_GS_Assessment[ActionID])))</f>
        <v>Improve urban water management</v>
      </c>
      <c r="E57" s="13" cm="1">
        <f t="array" ref="E57">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57" s="13" t="str" cm="1">
        <f t="array" ref="F57">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57" s="13" t="str" cm="1">
        <f t="array" ref="G57">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57" s="13" cm="1">
        <f t="array" ref="H57">IF(ROW()-ROW(tbl_GS_EligibilitySummary[#Headers])&lt;=ROWS(tbl_GS_Assessment[ActionID]),INDEX(tbl_GS_Assessment[Exposure Eligibility],ROW()-ROW(tbl_GS_EligibilitySummary[#Headers])),INDEX(tbl_GS_AdditionalActions[Exposure Eligibility],ROW()-ROW(tbl_GS_EligibilitySummary[#Headers])-ROWS(tbl_GS_Assessment[ActionID])))</f>
        <v>0</v>
      </c>
      <c r="I57" s="13" t="str" cm="1">
        <f t="array" ref="I57">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57" s="13" t="str" cm="1">
        <f t="array" ref="J57">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57" s="13" cm="1">
        <f t="array" ref="K57">IF(ROW()-ROW(tbl_GS_EligibilitySummary[#Headers])&lt;=ROWS(tbl_GS_Assessment[ActionID]),INDEX(tbl_GS_Assessment[ReviewStatus],ROW()-ROW(tbl_GS_EligibilitySummary[#Headers])),INDEX(tbl_GS_AdditionalActions[ReviewStatus],ROW()-ROW(tbl_GS_EligibilitySummary[#Headers])-ROWS(tbl_GS_Assessment[ActionID])))</f>
        <v>0</v>
      </c>
      <c r="L57" s="87"/>
      <c r="M57" s="87"/>
      <c r="N57" s="87"/>
      <c r="O57" s="87"/>
      <c r="P57" s="87"/>
      <c r="Q57" s="87"/>
      <c r="R57" s="87"/>
      <c r="S57" s="87"/>
      <c r="T57" s="87"/>
      <c r="U57" s="87"/>
      <c r="V57" s="87"/>
      <c r="AA57" s="186"/>
      <c r="AB57" s="186"/>
      <c r="AC57" s="186"/>
      <c r="AD57" s="186"/>
      <c r="AE57" s="186"/>
      <c r="AF57" s="186"/>
      <c r="AG57" s="186"/>
      <c r="AH57" s="186"/>
      <c r="AI57" s="186"/>
      <c r="AJ57" s="186"/>
    </row>
    <row r="58" spans="1:36" s="185" customFormat="1">
      <c r="B58" s="13" t="str" cm="1">
        <f t="array" ref="B58">IF(ROW()-ROW(tbl_GS_EligibilitySummary[#Headers])&lt;=ROWS(tbl_GS_Assessment[ActionID]),"Existing action","Additional action")</f>
        <v>Existing action</v>
      </c>
      <c r="C58" s="13" t="str" cm="1">
        <f t="array" ref="C58">IF(ROW()-ROW(tbl_GS_EligibilitySummary[#Headers])&lt;=ROWS(tbl_GS_Assessment[ActionID]),INDEX(tbl_GS_Assessment[ActionID],ROW()-ROW(tbl_GS_EligibilitySummary[#Headers])),INDEX(tbl_GS_AdditionalActions[AdditionalActionID],ROW()-ROW(tbl_GS_EligibilitySummary[#Headers])-ROWS(tbl_GS_Assessment[ActionID])))</f>
        <v>ipcc_0102</v>
      </c>
      <c r="D58" s="13" t="str" cm="1">
        <f t="array" ref="D58">IF(ROW()-ROW(tbl_GS_EligibilitySummary[#Headers])&lt;=ROWS(tbl_GS_Assessment[ActionID]),INDEX(tbl_GS_Assessment[ActionName],ROW()-ROW(tbl_GS_EligibilitySummary[#Headers])),INDEX(tbl_GS_AdditionalActions[ActionName],ROW()-ROW(tbl_GS_EligibilitySummary[#Headers])-ROWS(tbl_GS_Assessment[ActionID])))</f>
        <v>Facilitate seasonal and temporary mobility strategies</v>
      </c>
      <c r="E58" s="13" cm="1">
        <f t="array" ref="E58">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58" s="13" t="str" cm="1">
        <f t="array" ref="F58">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58" s="13" t="str" cm="1">
        <f t="array" ref="G58">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58" s="13" cm="1">
        <f t="array" ref="H58">IF(ROW()-ROW(tbl_GS_EligibilitySummary[#Headers])&lt;=ROWS(tbl_GS_Assessment[ActionID]),INDEX(tbl_GS_Assessment[Exposure Eligibility],ROW()-ROW(tbl_GS_EligibilitySummary[#Headers])),INDEX(tbl_GS_AdditionalActions[Exposure Eligibility],ROW()-ROW(tbl_GS_EligibilitySummary[#Headers])-ROWS(tbl_GS_Assessment[ActionID])))</f>
        <v>0</v>
      </c>
      <c r="I58" s="13" t="str" cm="1">
        <f t="array" ref="I58">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58" s="13" t="str" cm="1">
        <f t="array" ref="J58">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58" s="13" cm="1">
        <f t="array" ref="K58">IF(ROW()-ROW(tbl_GS_EligibilitySummary[#Headers])&lt;=ROWS(tbl_GS_Assessment[ActionID]),INDEX(tbl_GS_Assessment[ReviewStatus],ROW()-ROW(tbl_GS_EligibilitySummary[#Headers])),INDEX(tbl_GS_AdditionalActions[ReviewStatus],ROW()-ROW(tbl_GS_EligibilitySummary[#Headers])-ROWS(tbl_GS_Assessment[ActionID])))</f>
        <v>0</v>
      </c>
      <c r="L58" s="87"/>
      <c r="M58" s="87"/>
      <c r="N58" s="87"/>
      <c r="O58" s="87"/>
      <c r="P58" s="87"/>
      <c r="Q58" s="87"/>
      <c r="R58" s="87"/>
      <c r="S58" s="87"/>
      <c r="T58" s="87"/>
      <c r="U58" s="87"/>
      <c r="V58" s="87"/>
      <c r="AA58" s="186"/>
      <c r="AB58" s="186"/>
      <c r="AC58" s="186"/>
      <c r="AD58" s="186"/>
      <c r="AE58" s="186"/>
      <c r="AF58" s="186"/>
      <c r="AG58" s="186"/>
      <c r="AH58" s="186"/>
      <c r="AI58" s="186"/>
      <c r="AJ58" s="186"/>
    </row>
    <row r="59" spans="1:36" s="185" customFormat="1">
      <c r="B59" s="13" t="str" cm="1">
        <f t="array" ref="B59">IF(ROW()-ROW(tbl_GS_EligibilitySummary[#Headers])&lt;=ROWS(tbl_GS_Assessment[ActionID]),"Existing action","Additional action")</f>
        <v>Existing action</v>
      </c>
      <c r="C59" s="13" t="str" cm="1">
        <f t="array" ref="C59">IF(ROW()-ROW(tbl_GS_EligibilitySummary[#Headers])&lt;=ROWS(tbl_GS_Assessment[ActionID]),INDEX(tbl_GS_Assessment[ActionID],ROW()-ROW(tbl_GS_EligibilitySummary[#Headers])),INDEX(tbl_GS_AdditionalActions[AdditionalActionID],ROW()-ROW(tbl_GS_EligibilitySummary[#Headers])-ROWS(tbl_GS_Assessment[ActionID])))</f>
        <v>ipcc_0103</v>
      </c>
      <c r="D59" s="13" t="str" cm="1">
        <f t="array" ref="D59">IF(ROW()-ROW(tbl_GS_EligibilitySummary[#Headers])&lt;=ROWS(tbl_GS_Assessment[ActionID]),INDEX(tbl_GS_Assessment[ActionName],ROW()-ROW(tbl_GS_EligibilitySummary[#Headers])),INDEX(tbl_GS_AdditionalActions[ActionName],ROW()-ROW(tbl_GS_EligibilitySummary[#Headers])-ROWS(tbl_GS_Assessment[ActionID])))</f>
        <v>Strengthen cooperative climate governance</v>
      </c>
      <c r="E59" s="13" cm="1">
        <f t="array" ref="E59">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59" s="13" t="str" cm="1">
        <f t="array" ref="F59">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59" s="13" t="str" cm="1">
        <f t="array" ref="G59">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59" s="13" cm="1">
        <f t="array" ref="H59">IF(ROW()-ROW(tbl_GS_EligibilitySummary[#Headers])&lt;=ROWS(tbl_GS_Assessment[ActionID]),INDEX(tbl_GS_Assessment[Exposure Eligibility],ROW()-ROW(tbl_GS_EligibilitySummary[#Headers])),INDEX(tbl_GS_AdditionalActions[Exposure Eligibility],ROW()-ROW(tbl_GS_EligibilitySummary[#Headers])-ROWS(tbl_GS_Assessment[ActionID])))</f>
        <v>0</v>
      </c>
      <c r="I59" s="13" t="str" cm="1">
        <f t="array" ref="I59">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59" s="13" t="str" cm="1">
        <f t="array" ref="J59">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59" s="13" cm="1">
        <f t="array" ref="K59">IF(ROW()-ROW(tbl_GS_EligibilitySummary[#Headers])&lt;=ROWS(tbl_GS_Assessment[ActionID]),INDEX(tbl_GS_Assessment[ReviewStatus],ROW()-ROW(tbl_GS_EligibilitySummary[#Headers])),INDEX(tbl_GS_AdditionalActions[ReviewStatus],ROW()-ROW(tbl_GS_EligibilitySummary[#Headers])-ROWS(tbl_GS_Assessment[ActionID])))</f>
        <v>0</v>
      </c>
      <c r="L59" s="87"/>
      <c r="M59" s="87"/>
      <c r="N59" s="87"/>
      <c r="O59" s="87"/>
      <c r="P59" s="87"/>
      <c r="Q59" s="87"/>
      <c r="R59" s="87"/>
      <c r="S59" s="87"/>
      <c r="T59" s="87"/>
      <c r="U59" s="87"/>
      <c r="V59" s="87"/>
      <c r="AA59" s="186"/>
      <c r="AB59" s="186"/>
      <c r="AC59" s="186"/>
      <c r="AD59" s="186"/>
      <c r="AE59" s="186"/>
      <c r="AF59" s="186"/>
      <c r="AG59" s="186"/>
      <c r="AH59" s="186"/>
      <c r="AI59" s="186"/>
      <c r="AJ59" s="186"/>
    </row>
    <row r="60" spans="1:36" s="185" customFormat="1">
      <c r="B60" s="13" t="str" cm="1">
        <f t="array" ref="B60">IF(ROW()-ROW(tbl_GS_EligibilitySummary[#Headers])&lt;=ROWS(tbl_GS_Assessment[ActionID]),"Existing action","Additional action")</f>
        <v>Existing action</v>
      </c>
      <c r="C60" s="13" t="str" cm="1">
        <f t="array" ref="C60">IF(ROW()-ROW(tbl_GS_EligibilitySummary[#Headers])&lt;=ROWS(tbl_GS_Assessment[ActionID]),INDEX(tbl_GS_Assessment[ActionID],ROW()-ROW(tbl_GS_EligibilitySummary[#Headers])),INDEX(tbl_GS_AdditionalActions[AdditionalActionID],ROW()-ROW(tbl_GS_EligibilitySummary[#Headers])-ROWS(tbl_GS_Assessment[ActionID])))</f>
        <v>ipcc_0104</v>
      </c>
      <c r="D60" s="13" t="str" cm="1">
        <f t="array" ref="D60">IF(ROW()-ROW(tbl_GS_EligibilitySummary[#Headers])&lt;=ROWS(tbl_GS_Assessment[ActionID]),INDEX(tbl_GS_Assessment[ActionName],ROW()-ROW(tbl_GS_EligibilitySummary[#Headers])),INDEX(tbl_GS_AdditionalActions[ActionName],ROW()-ROW(tbl_GS_EligibilitySummary[#Headers])-ROWS(tbl_GS_Assessment[ActionID])))</f>
        <v>Plan and support permanent climate‑related migration</v>
      </c>
      <c r="E60" s="13" cm="1">
        <f t="array" ref="E60">IF(ROW()-ROW(tbl_GS_EligibilitySummary[#Headers])&lt;=ROWS(tbl_GS_Assessment[ActionID]),INDEX(tbl_GS_Assessment[Vulnerability Eligibility],ROW()-ROW(tbl_GS_EligibilitySummary[#Headers])),INDEX(tbl_GS_AdditionalActions[Vulnerability Eligibility],ROW()-ROW(tbl_GS_EligibilitySummary[#Headers])-ROWS(tbl_GS_Assessment[ActionID])))</f>
        <v>0</v>
      </c>
      <c r="F60" s="13" t="str" cm="1">
        <f t="array" ref="F60">IF(ROW()-ROW(tbl_GS_EligibilitySummary[#Headers])&lt;=ROWS(tbl_GS_Assessment[ActionID]),IF(INDEX(tbl_GS_Assessment[Vulnerability Evidence Count],ROW()-ROW(tbl_GS_EligibilitySummary[#Headers]))=0,"",INDEX(tbl_GS_Assessment[Vulnerability Evidence Count],ROW()-ROW(tbl_GS_EligibilitySummary[#Headers]))),IF(INDEX(tbl_GS_AdditionalActions[Vulnerability Evidence Count],ROW()-ROW(tbl_GS_EligibilitySummary[#Headers])-ROWS(tbl_GS_Assessment[ActionID]))=0,"",INDEX(tbl_GS_AdditionalActions[Vulnerability Evidence Count],ROW()-ROW(tbl_GS_EligibilitySummary[#Headers])-ROWS(tbl_GS_Assessment[ActionID]))))</f>
        <v/>
      </c>
      <c r="G60" s="13" t="str" cm="1">
        <f t="array" ref="G60">IF(tbl_GS_EligibilitySummary[[#This Row],[Vulnerability Eligibility]]="Eligible",IF(ROW()-ROW(tbl_GS_EligibilitySummary[#Headers])&lt;=ROWS(tbl_GS_Assessment[ActionID]),IF(INDEX(tbl_GS_Assessment[Effectiveness on Vulnerability],ROW()-ROW(tbl_GS_EligibilitySummary[#Headers]))="","",INDEX(tbl_GS_Assessment[Effectiveness on Vulnerability],ROW()-ROW(tbl_GS_EligibilitySummary[#Headers]))),IF(INDEX(tbl_GS_AdditionalActions[Effectiveness on Vulnerability],ROW()-ROW(tbl_GS_EligibilitySummary[#Headers])-ROWS(tbl_GS_Assessment[ActionID]))="","",INDEX(tbl_GS_AdditionalActions[Effectiveness on Vulnerability],ROW()-ROW(tbl_GS_EligibilitySummary[#Headers])-ROWS(tbl_GS_Assessment[ActionID])))),IF(tbl_GS_EligibilitySummary[[#This Row],[Vulnerability Eligibility]]="Review required","Review required",IF(tbl_GS_EligibilitySummary[[#This Row],[Vulnerability Eligibility]]="Not eligible","N/A","")))</f>
        <v/>
      </c>
      <c r="H60" s="13" cm="1">
        <f t="array" ref="H60">IF(ROW()-ROW(tbl_GS_EligibilitySummary[#Headers])&lt;=ROWS(tbl_GS_Assessment[ActionID]),INDEX(tbl_GS_Assessment[Exposure Eligibility],ROW()-ROW(tbl_GS_EligibilitySummary[#Headers])),INDEX(tbl_GS_AdditionalActions[Exposure Eligibility],ROW()-ROW(tbl_GS_EligibilitySummary[#Headers])-ROWS(tbl_GS_Assessment[ActionID])))</f>
        <v>0</v>
      </c>
      <c r="I60" s="13" t="str" cm="1">
        <f t="array" ref="I60">IF(ROW()-ROW(tbl_GS_EligibilitySummary[#Headers])&lt;=ROWS(tbl_GS_Assessment[ActionID]),IF(INDEX(tbl_GS_Assessment[Exposure Evidence Count],ROW()-ROW(tbl_GS_EligibilitySummary[#Headers]))=0,"",INDEX(tbl_GS_Assessment[Exposure Evidence Count],ROW()-ROW(tbl_GS_EligibilitySummary[#Headers]))),IF(INDEX(tbl_GS_AdditionalActions[Exposure Evidence Count],ROW()-ROW(tbl_GS_EligibilitySummary[#Headers])-ROWS(tbl_GS_Assessment[ActionID]))=0,"",INDEX(tbl_GS_AdditionalActions[Exposure Evidence Count],ROW()-ROW(tbl_GS_EligibilitySummary[#Headers])-ROWS(tbl_GS_Assessment[ActionID]))))</f>
        <v/>
      </c>
      <c r="J60" s="13" t="str" cm="1">
        <f t="array" ref="J60">IF(tbl_GS_EligibilitySummary[[#This Row],[Exposure Eligibility]]="Eligible",IF(ROW()-ROW(tbl_GS_EligibilitySummary[#Headers])&lt;=ROWS(tbl_GS_Assessment[ActionID]),IF(INDEX(tbl_GS_Assessment[Effectiveness on Exposure],ROW()-ROW(tbl_GS_EligibilitySummary[#Headers]))="","",INDEX(tbl_GS_Assessment[Effectiveness on Exposure],ROW()-ROW(tbl_GS_EligibilitySummary[#Headers]))),IF(INDEX(tbl_GS_AdditionalActions[Effectiveness on Exposure],ROW()-ROW(tbl_GS_EligibilitySummary[#Headers])-ROWS(tbl_GS_Assessment[ActionID]))="","",INDEX(tbl_GS_AdditionalActions[Effectiveness on Exposure],ROW()-ROW(tbl_GS_EligibilitySummary[#Headers])-ROWS(tbl_GS_Assessment[ActionID])))),IF(tbl_GS_EligibilitySummary[[#This Row],[Exposure Eligibility]]="Review required","Review required",IF(tbl_GS_EligibilitySummary[[#This Row],[Exposure Eligibility]]="Not eligible","N/A","")))</f>
        <v/>
      </c>
      <c r="K60" s="13" cm="1">
        <f t="array" ref="K60">IF(ROW()-ROW(tbl_GS_EligibilitySummary[#Headers])&lt;=ROWS(tbl_GS_Assessment[ActionID]),INDEX(tbl_GS_Assessment[ReviewStatus],ROW()-ROW(tbl_GS_EligibilitySummary[#Headers])),INDEX(tbl_GS_AdditionalActions[ReviewStatus],ROW()-ROW(tbl_GS_EligibilitySummary[#Headers])-ROWS(tbl_GS_Assessment[ActionID])))</f>
        <v>0</v>
      </c>
      <c r="L60" s="87"/>
      <c r="M60" s="87"/>
      <c r="N60" s="87"/>
      <c r="O60" s="87"/>
      <c r="P60" s="87"/>
      <c r="Q60" s="87"/>
      <c r="R60" s="87"/>
      <c r="S60" s="87"/>
      <c r="T60" s="87"/>
      <c r="U60" s="87"/>
      <c r="V60" s="87"/>
      <c r="AA60" s="186"/>
      <c r="AB60" s="186"/>
      <c r="AC60" s="186"/>
      <c r="AD60" s="186"/>
      <c r="AE60" s="186"/>
      <c r="AF60" s="186"/>
      <c r="AG60" s="186"/>
      <c r="AH60" s="186"/>
      <c r="AI60" s="186"/>
      <c r="AJ60" s="186"/>
    </row>
    <row r="61" spans="1:36" s="185" customFormat="1">
      <c r="B61" s="13" t="str" cm="1">
        <f t="array" ref="B61">IF(ROW()-ROW(tbl_GS_EligibilitySummary[#Headers])&lt;=ROWS(tbl_GS_Assessment[ActionID]),"Existing action","Additional action")</f>
        <v>Additional action</v>
      </c>
      <c r="C61" s="13"/>
      <c r="D61" s="13"/>
      <c r="E61" s="13"/>
      <c r="F61" s="13"/>
      <c r="G61" s="13"/>
      <c r="H61" s="13"/>
      <c r="I61" s="13"/>
      <c r="J61" s="13"/>
      <c r="K61" s="13"/>
      <c r="L61" s="87"/>
      <c r="M61" s="87"/>
      <c r="N61" s="87"/>
      <c r="O61" s="87"/>
      <c r="P61" s="87"/>
      <c r="Q61" s="87"/>
      <c r="R61" s="87"/>
      <c r="S61" s="87"/>
      <c r="T61" s="87"/>
      <c r="AA61" s="186"/>
      <c r="AB61" s="186"/>
      <c r="AC61" s="186"/>
      <c r="AD61" s="186"/>
      <c r="AE61" s="186"/>
      <c r="AF61" s="186"/>
      <c r="AG61" s="186"/>
      <c r="AH61" s="186"/>
      <c r="AI61" s="186"/>
      <c r="AJ61" s="186"/>
    </row>
    <row r="62" spans="1:36" s="185" customFormat="1">
      <c r="B62" s="13" t="str" cm="1">
        <f t="array" ref="B62">IF(ROW()-ROW(tbl_GS_EligibilitySummary[#Headers])&lt;=ROWS(tbl_GS_Assessment[ActionID]),"Existing action","Additional action")</f>
        <v>Additional action</v>
      </c>
      <c r="C62" s="13"/>
      <c r="D62" s="13"/>
      <c r="E62" s="13"/>
      <c r="F62" s="13"/>
      <c r="G62" s="13"/>
      <c r="H62" s="13"/>
      <c r="I62" s="13"/>
      <c r="J62" s="13"/>
      <c r="K62" s="13"/>
      <c r="L62" s="87"/>
      <c r="M62" s="87"/>
      <c r="N62" s="87"/>
      <c r="O62" s="87"/>
      <c r="P62" s="87"/>
      <c r="Q62" s="87"/>
      <c r="R62" s="87"/>
      <c r="S62" s="87"/>
      <c r="T62" s="87"/>
      <c r="AA62" s="186"/>
      <c r="AB62" s="186"/>
      <c r="AC62" s="186"/>
      <c r="AD62" s="186"/>
      <c r="AE62" s="186"/>
      <c r="AF62" s="186"/>
      <c r="AG62" s="186"/>
      <c r="AH62" s="186"/>
      <c r="AI62" s="186"/>
      <c r="AJ62" s="186"/>
    </row>
    <row r="63" spans="1:36">
      <c r="A63" s="185"/>
      <c r="B63" s="13" t="str" cm="1">
        <f t="array" ref="B63">IF(ROW()-ROW(tbl_GS_EligibilitySummary[#Headers])&lt;=ROWS(tbl_GS_Assessment[ActionID]),"Existing action","Additional action")</f>
        <v>Additional action</v>
      </c>
      <c r="C63" s="13"/>
      <c r="D63" s="13"/>
      <c r="E63" s="13"/>
      <c r="F63" s="13"/>
      <c r="G63" s="13"/>
      <c r="H63" s="13"/>
      <c r="I63" s="13"/>
      <c r="J63" s="13"/>
      <c r="K63" s="13"/>
      <c r="L63" s="191" t="s">
        <v>1505</v>
      </c>
      <c r="M63" s="191"/>
      <c r="N63" s="191"/>
      <c r="O63" s="191"/>
      <c r="P63" s="191"/>
      <c r="Q63" s="191"/>
      <c r="R63" s="191"/>
      <c r="S63" s="191"/>
      <c r="T63" s="191"/>
    </row>
    <row r="64" spans="1:36">
      <c r="B64" s="13" t="str" cm="1">
        <f t="array" ref="B64">IF(ROW()-ROW(tbl_GS_EligibilitySummary[#Headers])&lt;=ROWS(tbl_GS_Assessment[ActionID]),"Existing action","Additional action")</f>
        <v>Additional action</v>
      </c>
      <c r="C64" s="13"/>
      <c r="D64" s="13"/>
      <c r="E64" s="13"/>
      <c r="F64" s="13"/>
      <c r="G64" s="13"/>
      <c r="H64" s="13"/>
      <c r="I64" s="13"/>
      <c r="J64" s="13"/>
      <c r="K64" s="13"/>
    </row>
    <row r="65" spans="1:20">
      <c r="B65" s="13" t="str" cm="1">
        <f t="array" ref="B65">IF(ROW()-ROW(tbl_GS_EligibilitySummary[#Headers])&lt;=ROWS(tbl_GS_Assessment[ActionID]),"Existing action","Additional action")</f>
        <v>Additional action</v>
      </c>
      <c r="C65" s="13"/>
      <c r="D65" s="13"/>
      <c r="E65" s="13"/>
      <c r="F65" s="13"/>
      <c r="G65" s="13"/>
      <c r="H65" s="13"/>
      <c r="I65" s="13"/>
      <c r="J65" s="13"/>
      <c r="K65" s="13"/>
    </row>
    <row r="66" spans="1:20">
      <c r="B66" s="13" t="str" cm="1">
        <f t="array" ref="B66">IF(ROW()-ROW(tbl_GS_EligibilitySummary[#Headers])&lt;=ROWS(tbl_GS_Assessment[ActionID]),"Existing action","Additional action")</f>
        <v>Additional action</v>
      </c>
      <c r="C66" s="13"/>
      <c r="D66" s="13"/>
      <c r="E66" s="13"/>
      <c r="F66" s="13"/>
      <c r="G66" s="13"/>
      <c r="H66" s="13"/>
      <c r="I66" s="13"/>
      <c r="J66" s="13"/>
      <c r="K66" s="13"/>
    </row>
    <row r="67" spans="1:20">
      <c r="B67" s="13" t="str" cm="1">
        <f t="array" ref="B67">IF(ROW()-ROW(tbl_GS_EligibilitySummary[#Headers])&lt;=ROWS(tbl_GS_Assessment[ActionID]),"Existing action","Additional action")</f>
        <v>Additional action</v>
      </c>
      <c r="C67" s="13"/>
      <c r="D67" s="13"/>
      <c r="E67" s="13"/>
      <c r="F67" s="13"/>
      <c r="G67" s="13"/>
      <c r="H67" s="13"/>
      <c r="I67" s="13"/>
      <c r="J67" s="13"/>
      <c r="K67" s="13"/>
    </row>
    <row r="68" spans="1:20">
      <c r="B68" s="13" t="str" cm="1">
        <f t="array" ref="B68">IF(ROW()-ROW(tbl_GS_EligibilitySummary[#Headers])&lt;=ROWS(tbl_GS_Assessment[ActionID]),"Existing action","Additional action")</f>
        <v>Additional action</v>
      </c>
      <c r="C68" s="13"/>
      <c r="D68" s="13"/>
      <c r="E68" s="13"/>
      <c r="F68" s="13"/>
      <c r="G68" s="13"/>
      <c r="H68" s="13"/>
      <c r="I68" s="13"/>
      <c r="J68" s="13"/>
      <c r="K68" s="13"/>
    </row>
    <row r="69" spans="1:20">
      <c r="B69" s="13" t="str" cm="1">
        <f t="array" ref="B69">IF(ROW()-ROW(tbl_GS_EligibilitySummary[#Headers])&lt;=ROWS(tbl_GS_Assessment[ActionID]),"Existing action","Additional action")</f>
        <v>Additional action</v>
      </c>
      <c r="C69" s="13"/>
      <c r="D69" s="13"/>
      <c r="E69" s="13"/>
      <c r="F69" s="13"/>
      <c r="G69" s="13"/>
      <c r="H69" s="13"/>
      <c r="I69" s="13"/>
      <c r="J69" s="13"/>
      <c r="K69" s="13"/>
    </row>
    <row r="70" spans="1:20">
      <c r="B70" s="13" t="str" cm="1">
        <f t="array" ref="B70">IF(ROW()-ROW(tbl_GS_EligibilitySummary[#Headers])&lt;=ROWS(tbl_GS_Assessment[ActionID]),"Existing action","Additional action")</f>
        <v>Additional action</v>
      </c>
      <c r="C70" s="13"/>
      <c r="D70" s="13"/>
      <c r="E70" s="13"/>
      <c r="F70" s="13"/>
      <c r="G70" s="13"/>
      <c r="H70" s="13"/>
      <c r="I70" s="13"/>
      <c r="J70" s="13"/>
      <c r="K70" s="13"/>
    </row>
    <row r="71" spans="1:20" ht="21">
      <c r="A71" s="185"/>
      <c r="B71" s="116" t="s">
        <v>2566</v>
      </c>
      <c r="C71" s="116"/>
      <c r="D71" s="116"/>
      <c r="E71" s="116"/>
      <c r="F71" s="116"/>
      <c r="G71" s="116"/>
      <c r="H71" s="116"/>
      <c r="I71" s="116"/>
      <c r="J71" s="116"/>
      <c r="K71" s="116"/>
      <c r="L71" s="116"/>
      <c r="M71" s="116"/>
      <c r="N71" s="116"/>
      <c r="O71" s="116"/>
      <c r="P71" s="116"/>
      <c r="Q71" s="116"/>
      <c r="R71" s="116"/>
      <c r="S71" s="116"/>
      <c r="T71" s="116"/>
    </row>
    <row r="72" spans="1:20">
      <c r="B72" s="93" t="s">
        <v>1613</v>
      </c>
      <c r="C72" s="80" t="s">
        <v>2585</v>
      </c>
    </row>
    <row r="73" spans="1:20">
      <c r="B73" s="192" t="s">
        <v>1542</v>
      </c>
      <c r="C73" s="83" t="s">
        <v>2312</v>
      </c>
    </row>
    <row r="75" spans="1:20" ht="15.6">
      <c r="A75" s="185"/>
      <c r="B75" s="119" t="s">
        <v>1532</v>
      </c>
      <c r="C75" s="120"/>
    </row>
    <row r="76" spans="1:20">
      <c r="A76" s="185"/>
      <c r="B76" s="193" t="s">
        <v>828</v>
      </c>
      <c r="C76" s="194" t="s">
        <v>1465</v>
      </c>
    </row>
    <row r="77" spans="1:20">
      <c r="A77" s="185"/>
      <c r="B77" s="193" t="s">
        <v>1504</v>
      </c>
      <c r="C77" s="195" t="s">
        <v>33</v>
      </c>
    </row>
    <row r="78" spans="1:20">
      <c r="A78" s="185"/>
      <c r="B78" s="82" t="s">
        <v>1520</v>
      </c>
      <c r="C78" s="106" t="str" cm="1">
        <f t="array" ref="C78">_xlfn.TEXTJOIN(", ",TRUE,_xlfn.UNIQUE(_xlfn._xlws.FILTER(Table2[base_indicator_name],(Table2[sector_name]="Geohydrological disasters")*(Table2[risk_component_name]="Vulnerability")*(Table2[base_indicator_level]=6))))</f>
        <v>Investment in adaptation policies, Tax management, Employment and income, Gross domestic product by urban area, Resilient cities program, Institutions for risk management, Waste management and public cleaning, Urban occupation management in risk areas, Actions to reduce risk, Early warning systems, Contingency plan, Land use and occupation, Environmental governance, Housing governance, Transport governance, Healthcare facilities, Municipal basic sanitation plan, Population with special demands, Young people without secondary education, Income inequality, Inappropriate households, Lack of urban mobility, Inaccessibility to cities, Basic sanitation, Drainage</v>
      </c>
    </row>
    <row r="80" spans="1:20" ht="15.6">
      <c r="A80" s="185"/>
      <c r="B80" s="117" t="s">
        <v>2313</v>
      </c>
      <c r="C80" s="118"/>
    </row>
    <row r="81" spans="1:36">
      <c r="A81" s="185"/>
      <c r="B81" s="193" t="s">
        <v>828</v>
      </c>
      <c r="C81" s="194" t="s">
        <v>1465</v>
      </c>
    </row>
    <row r="82" spans="1:36">
      <c r="A82" s="185"/>
      <c r="B82" s="193" t="s">
        <v>1504</v>
      </c>
      <c r="C82" s="195" t="s">
        <v>71</v>
      </c>
    </row>
    <row r="83" spans="1:36">
      <c r="A83" s="185"/>
      <c r="B83" s="82" t="s">
        <v>2290</v>
      </c>
      <c r="C83" s="107" t="str" cm="1">
        <f t="array" ref="C83">_xlfn.TEXTJOIN(", ",TRUE,_xlfn.UNIQUE(_xlfn._xlws.FILTER(Table2[base_indicator_name],(Table2[sector_name]="Geohydrological disasters")*(Table2[risk_component_name]="Exposure")*(Table2[base_indicator_level]=5))))</f>
        <v>Households in risk areas, Urban population density</v>
      </c>
    </row>
    <row r="85" spans="1:36" s="185" customFormat="1" ht="21">
      <c r="B85" s="114" t="s">
        <v>2568</v>
      </c>
      <c r="C85" s="114"/>
      <c r="D85" s="114"/>
      <c r="E85" s="114"/>
      <c r="F85" s="114"/>
      <c r="G85" s="114"/>
      <c r="H85" s="114"/>
      <c r="I85" s="114"/>
      <c r="J85" s="114"/>
      <c r="K85" s="114"/>
      <c r="L85" s="114"/>
      <c r="M85" s="114"/>
      <c r="N85" s="114"/>
      <c r="O85" s="114"/>
      <c r="P85" s="114"/>
      <c r="Q85" s="114"/>
      <c r="R85" s="114"/>
      <c r="S85" s="114"/>
      <c r="T85" s="114"/>
      <c r="AA85" s="186"/>
      <c r="AB85" s="186"/>
      <c r="AC85" s="186"/>
      <c r="AD85" s="186"/>
      <c r="AE85" s="186"/>
      <c r="AF85" s="186"/>
      <c r="AG85" s="186"/>
      <c r="AH85" s="186"/>
      <c r="AI85" s="186"/>
      <c r="AJ85" s="186"/>
    </row>
    <row r="86" spans="1:36" s="185" customFormat="1">
      <c r="B86" s="89" t="s">
        <v>1576</v>
      </c>
      <c r="C86" s="80" t="s">
        <v>1562</v>
      </c>
      <c r="D86" s="80"/>
      <c r="E86" s="80"/>
      <c r="F86" s="80"/>
      <c r="G86" s="80"/>
      <c r="H86" s="80"/>
      <c r="I86" s="80"/>
      <c r="J86" s="80"/>
      <c r="K86" s="80"/>
      <c r="L86" s="80"/>
      <c r="M86" s="80"/>
      <c r="N86" s="80"/>
      <c r="O86" s="80"/>
      <c r="P86" s="80"/>
      <c r="Q86" s="80"/>
      <c r="R86" s="80"/>
      <c r="S86" s="80"/>
      <c r="T86" s="80"/>
      <c r="AA86" s="186"/>
      <c r="AB86" s="186"/>
      <c r="AC86" s="186"/>
      <c r="AD86" s="186"/>
      <c r="AE86" s="186"/>
      <c r="AF86" s="186"/>
      <c r="AG86" s="186"/>
      <c r="AH86" s="186"/>
      <c r="AI86" s="186"/>
      <c r="AJ86" s="186"/>
    </row>
    <row r="87" spans="1:36" s="185" customFormat="1">
      <c r="B87" s="89" t="s">
        <v>1577</v>
      </c>
      <c r="C87" s="80" t="s">
        <v>2586</v>
      </c>
      <c r="D87" s="80"/>
      <c r="AA87" s="186"/>
      <c r="AB87" s="186"/>
      <c r="AC87" s="186"/>
      <c r="AD87" s="186"/>
      <c r="AE87" s="186"/>
      <c r="AF87" s="186"/>
      <c r="AG87" s="186"/>
      <c r="AH87" s="186"/>
      <c r="AI87" s="186"/>
      <c r="AJ87" s="186"/>
    </row>
    <row r="88" spans="1:36" s="185" customFormat="1">
      <c r="B88" s="89" t="s">
        <v>1557</v>
      </c>
      <c r="C88" s="80" t="str">
        <f>"Sector:"&amp;CHAR(10)&amp;"Geohydrological Disasters"&amp;CHAR(10)&amp;CHAR(10)&amp;"Approved Vulnerability Indicators:"&amp;CHAR(10)&amp;C78&amp;CHAR(10)&amp;CHAR(10)&amp;"Approved Exposure Indicators:"&amp;CHAR(10)&amp;C83&amp;CHAR(10)&amp;CHAR(10)&amp;"Mandatory framework sources:"&amp;CHAR(10)&amp;"GS_SRC_001 | Brazil | AdaptaBrasil MCTI: Índices e Indicadores | MCTI | 2023"&amp;CHAR(10)&amp;CHAR(10)&amp;"GS_SRC_002 | International | IPCC AR6 WGII"</f>
        <v>Sector:
Geohydrological Disasters
Approved Vulnerability Indicators:
Investment in adaptation policies, Tax management, Employment and income, Gross domestic product by urban area, Resilient cities program, Institutions for risk management, Waste management and public cleaning, Urban occupation management in risk areas, Actions to reduce risk, Early warning systems, Contingency plan, Land use and occupation, Environmental governance, Housing governance, Transport governance, Healthcare facilities, Municipal basic sanitation plan, Population with special demands, Young people without secondary education, Income inequality, Inappropriate households, Lack of urban mobility, Inaccessibility to cities, Basic sanitation, Drainage
Approved Exposure Indicators:
Households in risk areas, Urban population density
Mandatory framework sources:
GS_SRC_001 | Brazil | AdaptaBrasil MCTI: Índices e Indicadores | MCTI | 2023
GS_SRC_002 | International | IPCC AR6 WGII</v>
      </c>
      <c r="D88" s="91" t="s">
        <v>1588</v>
      </c>
    </row>
    <row r="89" spans="1:36" s="185" customFormat="1">
      <c r="B89" s="84" t="s">
        <v>1543</v>
      </c>
      <c r="C89" s="83" t="s">
        <v>2314</v>
      </c>
      <c r="D89" s="91" t="s">
        <v>1588</v>
      </c>
      <c r="E89" s="186"/>
    </row>
    <row r="90" spans="1:36" s="185" customFormat="1">
      <c r="B90" s="89" t="s">
        <v>1544</v>
      </c>
      <c r="C90" s="90" t="s">
        <v>1579</v>
      </c>
      <c r="D90" s="90"/>
    </row>
    <row r="91" spans="1:36">
      <c r="AA91" s="185"/>
      <c r="AB91" s="185"/>
      <c r="AC91" s="185"/>
      <c r="AD91" s="185"/>
      <c r="AE91" s="185"/>
      <c r="AF91" s="185"/>
      <c r="AG91" s="185"/>
      <c r="AH91" s="185"/>
      <c r="AI91" s="185"/>
      <c r="AJ91" s="185"/>
    </row>
    <row r="92" spans="1:36">
      <c r="B92" s="196" t="s">
        <v>1580</v>
      </c>
      <c r="C92" s="196"/>
      <c r="D92" s="196"/>
      <c r="E92" s="196"/>
      <c r="F92" s="196"/>
      <c r="G92" s="196"/>
      <c r="AA92" s="185"/>
      <c r="AB92" s="185"/>
      <c r="AC92" s="185"/>
      <c r="AD92" s="185"/>
      <c r="AE92" s="185"/>
      <c r="AF92" s="185"/>
      <c r="AG92" s="185"/>
      <c r="AH92" s="185"/>
      <c r="AI92" s="185"/>
      <c r="AJ92" s="185"/>
    </row>
    <row r="93" spans="1:36">
      <c r="A93" s="185"/>
      <c r="B93" s="104" t="s">
        <v>1506</v>
      </c>
      <c r="C93" s="104" t="s">
        <v>1507</v>
      </c>
      <c r="D93" s="104" t="s">
        <v>1508</v>
      </c>
      <c r="E93" s="104" t="s">
        <v>1509</v>
      </c>
      <c r="F93" s="104" t="s">
        <v>1510</v>
      </c>
      <c r="G93" s="104" t="s">
        <v>1511</v>
      </c>
      <c r="H93" s="105"/>
      <c r="I93" s="105"/>
      <c r="J93" s="105"/>
      <c r="K93" s="105"/>
      <c r="L93" s="105"/>
      <c r="M93" s="74"/>
      <c r="N93" s="74"/>
      <c r="O93" s="74"/>
      <c r="P93" s="74"/>
      <c r="Q93" s="74"/>
      <c r="R93" s="74"/>
      <c r="S93" s="74"/>
      <c r="T93" s="74"/>
      <c r="AA93" s="185"/>
      <c r="AB93" s="185"/>
      <c r="AC93" s="185"/>
      <c r="AD93" s="185"/>
      <c r="AE93" s="185"/>
      <c r="AF93" s="185"/>
      <c r="AG93" s="185"/>
      <c r="AH93" s="185"/>
      <c r="AI93" s="185"/>
      <c r="AJ93" s="185"/>
    </row>
    <row r="94" spans="1:36">
      <c r="B94" s="76" t="s">
        <v>2315</v>
      </c>
      <c r="C94" s="74" t="s">
        <v>1472</v>
      </c>
      <c r="D94" s="74" t="s">
        <v>2357</v>
      </c>
      <c r="E94" s="74" t="s">
        <v>2331</v>
      </c>
      <c r="F94" s="86">
        <v>2023</v>
      </c>
      <c r="G94" s="74" t="s">
        <v>2358</v>
      </c>
      <c r="H94" s="74"/>
      <c r="I94" s="74"/>
      <c r="J94" s="74"/>
      <c r="K94" s="74"/>
      <c r="L94" s="74"/>
      <c r="M94" s="74"/>
      <c r="N94" s="74"/>
      <c r="O94" s="74"/>
      <c r="P94" s="74"/>
      <c r="Q94" s="74"/>
      <c r="R94" s="74"/>
      <c r="S94" s="74"/>
      <c r="T94" s="74"/>
    </row>
    <row r="95" spans="1:36">
      <c r="B95" s="76" t="s">
        <v>2316</v>
      </c>
      <c r="C95" s="74" t="s">
        <v>1474</v>
      </c>
      <c r="D95" s="80" t="s">
        <v>2359</v>
      </c>
      <c r="E95" s="74" t="s">
        <v>1475</v>
      </c>
      <c r="F95" s="86">
        <v>2022</v>
      </c>
      <c r="G95" s="74" t="s">
        <v>2334</v>
      </c>
      <c r="H95" s="74"/>
      <c r="I95" s="74"/>
      <c r="J95" s="74"/>
      <c r="K95" s="74"/>
      <c r="L95" s="74"/>
      <c r="M95" s="74"/>
      <c r="N95" s="74"/>
      <c r="O95" s="74"/>
      <c r="P95" s="74"/>
      <c r="Q95" s="74"/>
      <c r="R95" s="74"/>
      <c r="S95" s="74"/>
      <c r="T95" s="74"/>
    </row>
    <row r="96" spans="1:36">
      <c r="B96" s="76" t="s">
        <v>2317</v>
      </c>
      <c r="C96" s="74" t="s">
        <v>1472</v>
      </c>
      <c r="D96" s="74" t="s">
        <v>2360</v>
      </c>
      <c r="E96" s="74" t="s">
        <v>2361</v>
      </c>
      <c r="F96" s="86">
        <v>2021</v>
      </c>
      <c r="G96" s="85" t="s">
        <v>2362</v>
      </c>
      <c r="H96" s="74"/>
      <c r="I96" s="74"/>
      <c r="J96" s="74"/>
      <c r="K96" s="74"/>
      <c r="L96" s="74"/>
      <c r="M96" s="74"/>
      <c r="N96" s="74"/>
      <c r="O96" s="74"/>
      <c r="P96" s="74"/>
      <c r="Q96" s="74"/>
      <c r="R96" s="74"/>
      <c r="S96" s="74"/>
      <c r="T96" s="74"/>
    </row>
    <row r="97" spans="2:36">
      <c r="B97" s="76" t="s">
        <v>2318</v>
      </c>
      <c r="C97" s="74" t="s">
        <v>1472</v>
      </c>
      <c r="D97" s="74" t="s">
        <v>2363</v>
      </c>
      <c r="E97" s="74" t="s">
        <v>2364</v>
      </c>
      <c r="F97" s="86">
        <v>2020</v>
      </c>
      <c r="G97" s="74" t="s">
        <v>2365</v>
      </c>
      <c r="H97" s="74"/>
      <c r="I97" s="74"/>
      <c r="J97" s="74"/>
      <c r="K97" s="74"/>
      <c r="L97" s="74"/>
      <c r="M97" s="74"/>
      <c r="N97" s="74"/>
      <c r="O97" s="74"/>
      <c r="P97" s="74"/>
      <c r="Q97" s="74"/>
      <c r="R97" s="74"/>
      <c r="S97" s="74"/>
      <c r="T97" s="74"/>
    </row>
    <row r="98" spans="2:36">
      <c r="B98" s="76" t="s">
        <v>2319</v>
      </c>
      <c r="C98" s="74" t="s">
        <v>1472</v>
      </c>
      <c r="D98" s="74" t="s">
        <v>2366</v>
      </c>
      <c r="E98" s="74" t="s">
        <v>1476</v>
      </c>
      <c r="F98" s="86">
        <v>2021</v>
      </c>
      <c r="G98" s="85" t="s">
        <v>2367</v>
      </c>
      <c r="H98" s="74"/>
      <c r="I98" s="74"/>
      <c r="J98" s="74"/>
      <c r="K98" s="74"/>
      <c r="L98" s="74"/>
      <c r="M98" s="74"/>
      <c r="N98" s="74"/>
      <c r="O98" s="74"/>
      <c r="P98" s="74"/>
      <c r="Q98" s="74"/>
      <c r="R98" s="74"/>
      <c r="S98" s="74"/>
      <c r="T98" s="74"/>
    </row>
    <row r="99" spans="2:36">
      <c r="B99" s="76" t="s">
        <v>2320</v>
      </c>
      <c r="C99" s="74" t="s">
        <v>1472</v>
      </c>
      <c r="D99" s="74" t="s">
        <v>2368</v>
      </c>
      <c r="E99" s="74" t="s">
        <v>1476</v>
      </c>
      <c r="F99" s="86">
        <v>2014</v>
      </c>
      <c r="G99" s="85" t="s">
        <v>2369</v>
      </c>
      <c r="H99" s="74"/>
      <c r="I99" s="74"/>
      <c r="J99" s="74"/>
      <c r="K99" s="74"/>
      <c r="L99" s="74"/>
      <c r="M99" s="74"/>
      <c r="N99" s="74"/>
      <c r="O99" s="74"/>
      <c r="P99" s="74"/>
      <c r="Q99" s="74"/>
      <c r="R99" s="74"/>
      <c r="S99" s="74"/>
      <c r="T99" s="74"/>
    </row>
    <row r="100" spans="2:36">
      <c r="B100" s="76" t="s">
        <v>2321</v>
      </c>
      <c r="C100" s="74" t="s">
        <v>1474</v>
      </c>
      <c r="D100" s="74" t="s">
        <v>2370</v>
      </c>
      <c r="E100" s="74" t="s">
        <v>2371</v>
      </c>
      <c r="F100" s="86">
        <v>2019</v>
      </c>
      <c r="G100" s="74" t="s">
        <v>2372</v>
      </c>
      <c r="H100" s="74"/>
      <c r="I100" s="74"/>
      <c r="J100" s="74"/>
      <c r="K100" s="74"/>
      <c r="L100" s="74"/>
      <c r="M100" s="74"/>
      <c r="N100" s="74"/>
      <c r="O100" s="74"/>
      <c r="P100" s="74"/>
      <c r="Q100" s="74"/>
      <c r="R100" s="74"/>
      <c r="S100" s="74"/>
      <c r="T100" s="74"/>
    </row>
    <row r="101" spans="2:36">
      <c r="B101" s="76" t="s">
        <v>2322</v>
      </c>
      <c r="C101" s="74" t="s">
        <v>1474</v>
      </c>
      <c r="D101" s="74" t="s">
        <v>2373</v>
      </c>
      <c r="E101" s="74" t="s">
        <v>2371</v>
      </c>
      <c r="F101" s="86">
        <v>2021</v>
      </c>
      <c r="G101" s="85" t="s">
        <v>2374</v>
      </c>
      <c r="H101" s="74"/>
      <c r="I101" s="74"/>
      <c r="J101" s="74"/>
      <c r="K101" s="74"/>
      <c r="L101" s="74"/>
      <c r="M101" s="74"/>
      <c r="N101" s="74"/>
      <c r="O101" s="74"/>
      <c r="P101" s="74"/>
      <c r="Q101" s="74"/>
      <c r="R101" s="74"/>
      <c r="S101" s="74"/>
      <c r="T101" s="74"/>
    </row>
    <row r="102" spans="2:36">
      <c r="B102" s="76" t="s">
        <v>2323</v>
      </c>
      <c r="C102" s="74" t="s">
        <v>1474</v>
      </c>
      <c r="D102" s="74" t="s">
        <v>2375</v>
      </c>
      <c r="E102" s="74" t="s">
        <v>2376</v>
      </c>
      <c r="F102" s="86">
        <v>2022</v>
      </c>
      <c r="G102" s="85" t="s">
        <v>2377</v>
      </c>
      <c r="H102" s="74"/>
      <c r="I102" s="74"/>
      <c r="J102" s="74"/>
      <c r="K102" s="74"/>
      <c r="L102" s="74"/>
      <c r="M102" s="74"/>
      <c r="N102" s="74"/>
      <c r="O102" s="74"/>
      <c r="P102" s="74"/>
      <c r="Q102" s="74"/>
      <c r="R102" s="74"/>
      <c r="S102" s="74"/>
      <c r="T102" s="74"/>
    </row>
    <row r="103" spans="2:36">
      <c r="B103" s="76" t="s">
        <v>2324</v>
      </c>
      <c r="C103" s="74" t="s">
        <v>1474</v>
      </c>
      <c r="D103" s="74" t="s">
        <v>2378</v>
      </c>
      <c r="E103" s="80" t="s">
        <v>1476</v>
      </c>
      <c r="F103" s="86">
        <v>2019</v>
      </c>
      <c r="G103" s="85" t="s">
        <v>2379</v>
      </c>
      <c r="H103" s="74"/>
      <c r="I103" s="74"/>
      <c r="J103" s="74"/>
      <c r="K103" s="74"/>
      <c r="L103" s="74"/>
      <c r="M103" s="74"/>
      <c r="N103" s="74"/>
      <c r="O103" s="74"/>
      <c r="P103" s="74"/>
      <c r="Q103" s="74"/>
      <c r="R103" s="74"/>
      <c r="S103" s="74"/>
      <c r="T103" s="74"/>
    </row>
    <row r="104" spans="2:36">
      <c r="B104" s="76" t="s">
        <v>2325</v>
      </c>
      <c r="C104" s="74"/>
      <c r="D104" s="80"/>
      <c r="E104" s="74"/>
      <c r="F104" s="86"/>
      <c r="G104" s="85"/>
      <c r="H104" s="74"/>
      <c r="I104" s="74"/>
      <c r="J104" s="74"/>
      <c r="K104" s="74"/>
      <c r="L104" s="74"/>
      <c r="M104" s="74"/>
      <c r="N104" s="74"/>
      <c r="O104" s="74"/>
      <c r="P104" s="74"/>
      <c r="Q104" s="74"/>
      <c r="R104" s="74"/>
      <c r="S104" s="74"/>
      <c r="T104" s="74"/>
    </row>
    <row r="105" spans="2:36">
      <c r="B105" s="76" t="s">
        <v>2326</v>
      </c>
      <c r="C105" s="74"/>
      <c r="D105" s="74"/>
      <c r="E105" s="74"/>
      <c r="F105" s="86"/>
      <c r="G105" s="85"/>
      <c r="H105" s="74"/>
      <c r="I105" s="74"/>
      <c r="J105" s="74"/>
      <c r="K105" s="74"/>
      <c r="L105" s="74"/>
      <c r="M105" s="74"/>
      <c r="N105" s="74"/>
      <c r="O105" s="74"/>
      <c r="P105" s="74"/>
      <c r="Q105" s="74"/>
      <c r="R105" s="74"/>
      <c r="S105" s="74"/>
      <c r="T105" s="74"/>
    </row>
    <row r="106" spans="2:36">
      <c r="B106" s="76"/>
      <c r="C106" s="74"/>
      <c r="D106" s="74"/>
      <c r="E106" s="74"/>
      <c r="F106" s="86"/>
      <c r="G106" s="74"/>
      <c r="H106" s="74"/>
      <c r="I106" s="74"/>
      <c r="J106" s="74"/>
      <c r="K106" s="74"/>
      <c r="L106" s="74"/>
      <c r="M106" s="74"/>
      <c r="N106" s="74"/>
      <c r="O106" s="74"/>
      <c r="P106" s="74"/>
      <c r="Q106" s="74"/>
      <c r="R106" s="74"/>
      <c r="S106" s="74"/>
      <c r="T106" s="74"/>
    </row>
    <row r="107" spans="2:36" s="185" customFormat="1" ht="17.399999999999999">
      <c r="B107" s="113" t="s">
        <v>2570</v>
      </c>
      <c r="C107" s="113"/>
      <c r="D107" s="113"/>
      <c r="E107" s="113"/>
      <c r="F107" s="113"/>
      <c r="G107" s="113"/>
      <c r="H107" s="113"/>
      <c r="I107" s="113"/>
      <c r="J107" s="113"/>
      <c r="K107" s="113"/>
      <c r="L107" s="113"/>
      <c r="M107" s="113"/>
      <c r="N107" s="113"/>
      <c r="O107" s="113"/>
      <c r="P107" s="113"/>
      <c r="Q107" s="113"/>
      <c r="R107" s="113"/>
      <c r="S107" s="113"/>
      <c r="T107" s="113"/>
      <c r="AA107" s="186"/>
      <c r="AB107" s="186"/>
      <c r="AC107" s="186"/>
      <c r="AD107" s="186"/>
      <c r="AE107" s="186"/>
      <c r="AF107" s="186"/>
      <c r="AG107" s="186"/>
      <c r="AH107" s="186"/>
      <c r="AI107" s="186"/>
      <c r="AJ107" s="186"/>
    </row>
    <row r="108" spans="2:36" s="185" customFormat="1">
      <c r="B108" s="89" t="s">
        <v>1558</v>
      </c>
      <c r="C108" s="96" t="s">
        <v>2587</v>
      </c>
      <c r="D108" s="87"/>
      <c r="E108" s="87"/>
      <c r="F108" s="87"/>
      <c r="G108" s="87"/>
      <c r="H108" s="87"/>
      <c r="I108" s="87"/>
      <c r="J108" s="87"/>
      <c r="K108" s="87"/>
      <c r="L108" s="87"/>
      <c r="M108" s="87"/>
      <c r="N108" s="87"/>
      <c r="O108" s="87"/>
      <c r="P108" s="87"/>
      <c r="Q108" s="87"/>
      <c r="R108" s="87"/>
      <c r="S108" s="87"/>
      <c r="T108" s="87"/>
      <c r="AA108" s="186"/>
      <c r="AB108" s="186"/>
      <c r="AC108" s="186"/>
      <c r="AD108" s="186"/>
      <c r="AE108" s="186"/>
      <c r="AF108" s="186"/>
      <c r="AG108" s="186"/>
      <c r="AH108" s="186"/>
      <c r="AI108" s="186"/>
      <c r="AJ108" s="186"/>
    </row>
    <row r="109" spans="2:36" s="185" customFormat="1">
      <c r="B109" s="89" t="s">
        <v>1560</v>
      </c>
      <c r="C109" s="96" t="str">
        <f>C78</f>
        <v>Investment in adaptation policies, Tax management, Employment and income, Gross domestic product by urban area, Resilient cities program, Institutions for risk management, Waste management and public cleaning, Urban occupation management in risk areas, Actions to reduce risk, Early warning systems, Contingency plan, Land use and occupation, Environmental governance, Housing governance, Transport governance, Healthcare facilities, Municipal basic sanitation plan, Population with special demands, Young people without secondary education, Income inequality, Inappropriate households, Lack of urban mobility, Inaccessibility to cities, Basic sanitation, Drainage</v>
      </c>
      <c r="D109" s="91" t="s">
        <v>1588</v>
      </c>
      <c r="E109" s="87"/>
      <c r="F109" s="87"/>
      <c r="G109" s="87"/>
      <c r="H109" s="87"/>
      <c r="I109" s="87"/>
      <c r="J109" s="87"/>
      <c r="K109" s="87"/>
      <c r="L109" s="87"/>
      <c r="M109" s="87"/>
      <c r="N109" s="87"/>
      <c r="O109" s="87"/>
      <c r="P109" s="87"/>
      <c r="Q109" s="87"/>
      <c r="R109" s="87"/>
      <c r="S109" s="87"/>
      <c r="T109" s="87"/>
      <c r="AA109" s="186"/>
      <c r="AB109" s="186"/>
      <c r="AC109" s="186"/>
      <c r="AD109" s="186"/>
      <c r="AE109" s="186"/>
      <c r="AF109" s="186"/>
      <c r="AG109" s="186"/>
      <c r="AH109" s="186"/>
      <c r="AI109" s="186"/>
      <c r="AJ109" s="186"/>
    </row>
    <row r="110" spans="2:36" s="185" customFormat="1">
      <c r="B110" s="89" t="s">
        <v>1561</v>
      </c>
      <c r="C110" s="96" t="str">
        <f>C83</f>
        <v>Households in risk areas, Urban population density</v>
      </c>
      <c r="D110" s="91" t="s">
        <v>1588</v>
      </c>
      <c r="E110" s="87"/>
      <c r="F110" s="87"/>
      <c r="G110" s="87"/>
      <c r="H110" s="87"/>
      <c r="I110" s="87"/>
      <c r="J110" s="87"/>
      <c r="K110" s="87"/>
      <c r="L110" s="87"/>
      <c r="M110" s="87"/>
      <c r="N110" s="87"/>
      <c r="O110" s="87"/>
      <c r="P110" s="87"/>
      <c r="Q110" s="87"/>
      <c r="R110" s="87"/>
      <c r="S110" s="87"/>
      <c r="T110" s="87"/>
    </row>
    <row r="111" spans="2:36" s="185" customFormat="1">
      <c r="B111" s="89" t="s">
        <v>1632</v>
      </c>
      <c r="C111" s="96" t="s">
        <v>2327</v>
      </c>
      <c r="D111" s="91" t="s">
        <v>1634</v>
      </c>
      <c r="E111" s="87"/>
      <c r="F111" s="87"/>
      <c r="G111" s="87"/>
      <c r="H111" s="87"/>
      <c r="I111" s="87"/>
      <c r="J111" s="87"/>
      <c r="K111" s="87"/>
      <c r="L111" s="87"/>
      <c r="M111" s="87"/>
      <c r="N111" s="87"/>
      <c r="O111" s="87"/>
      <c r="P111" s="87"/>
      <c r="Q111" s="87"/>
      <c r="R111" s="87"/>
      <c r="S111" s="87"/>
      <c r="T111" s="87"/>
    </row>
    <row r="112" spans="2:36" s="185" customFormat="1">
      <c r="B112" s="89" t="s">
        <v>1564</v>
      </c>
      <c r="C112" s="96" t="s">
        <v>1567</v>
      </c>
      <c r="D112" s="91" t="s">
        <v>1634</v>
      </c>
      <c r="E112" s="87"/>
      <c r="F112" s="87"/>
      <c r="G112" s="87"/>
      <c r="H112" s="87"/>
      <c r="I112" s="87"/>
      <c r="J112" s="87"/>
      <c r="K112" s="87"/>
      <c r="L112" s="87"/>
      <c r="M112" s="87"/>
      <c r="N112" s="87"/>
      <c r="O112" s="87"/>
      <c r="P112" s="87"/>
      <c r="Q112" s="87"/>
      <c r="R112" s="87"/>
      <c r="S112" s="87"/>
      <c r="T112" s="87"/>
      <c r="U112" s="87"/>
    </row>
    <row r="113" spans="2:26" s="185" customFormat="1">
      <c r="B113" s="84" t="s">
        <v>1563</v>
      </c>
      <c r="C113" s="83" t="s">
        <v>2588</v>
      </c>
      <c r="D113" s="91" t="s">
        <v>1588</v>
      </c>
      <c r="E113" s="87"/>
      <c r="F113" s="87"/>
      <c r="G113" s="87"/>
      <c r="H113" s="87"/>
      <c r="I113" s="87"/>
      <c r="J113" s="87"/>
      <c r="K113" s="87"/>
      <c r="L113" s="87"/>
      <c r="M113" s="87"/>
      <c r="N113" s="87"/>
      <c r="O113" s="87"/>
      <c r="P113" s="87"/>
      <c r="Q113" s="87"/>
      <c r="R113" s="87"/>
      <c r="S113" s="87"/>
      <c r="T113" s="87"/>
      <c r="U113" s="87"/>
    </row>
    <row r="114" spans="2:26" s="185" customFormat="1">
      <c r="B114" s="89" t="s">
        <v>1565</v>
      </c>
      <c r="C114" s="97" t="s">
        <v>1559</v>
      </c>
      <c r="D114" s="98"/>
      <c r="E114" s="87"/>
      <c r="F114" s="87"/>
      <c r="G114" s="87"/>
      <c r="H114" s="87"/>
      <c r="I114" s="87"/>
      <c r="J114" s="87"/>
      <c r="K114" s="87"/>
      <c r="L114" s="87"/>
      <c r="M114" s="87"/>
      <c r="N114" s="87"/>
      <c r="O114" s="87"/>
      <c r="P114" s="87"/>
      <c r="Q114" s="87"/>
      <c r="R114" s="87"/>
      <c r="S114" s="87"/>
      <c r="T114" s="87"/>
      <c r="U114" s="87"/>
    </row>
    <row r="115" spans="2:26" s="185" customFormat="1">
      <c r="B115" s="89" t="s">
        <v>1566</v>
      </c>
      <c r="C115" s="96" t="s">
        <v>2328</v>
      </c>
      <c r="D115" s="87"/>
      <c r="E115" s="87"/>
      <c r="F115" s="87"/>
      <c r="G115" s="87"/>
      <c r="H115" s="87"/>
      <c r="I115" s="87"/>
      <c r="J115" s="87"/>
      <c r="K115" s="87"/>
      <c r="L115" s="87"/>
      <c r="M115" s="87"/>
      <c r="N115" s="87"/>
      <c r="O115" s="87"/>
      <c r="P115" s="87"/>
      <c r="Q115" s="87"/>
      <c r="R115" s="87"/>
      <c r="S115" s="87"/>
      <c r="T115" s="87"/>
    </row>
    <row r="116" spans="2:26" s="185" customFormat="1">
      <c r="D116" s="87"/>
      <c r="E116" s="87"/>
      <c r="F116" s="87"/>
      <c r="G116" s="87"/>
      <c r="H116" s="87"/>
      <c r="I116" s="87"/>
      <c r="J116" s="87"/>
      <c r="K116" s="87"/>
      <c r="L116" s="87"/>
      <c r="M116" s="87"/>
      <c r="N116" s="87"/>
      <c r="O116" s="87"/>
      <c r="P116" s="87"/>
      <c r="Q116" s="87"/>
      <c r="R116" s="87"/>
      <c r="S116" s="87"/>
      <c r="T116" s="87"/>
    </row>
    <row r="117" spans="2:26" s="185" customFormat="1" ht="17.399999999999999">
      <c r="B117" s="121" t="s">
        <v>1269</v>
      </c>
      <c r="C117" s="121"/>
      <c r="D117" s="121"/>
      <c r="E117" s="121"/>
      <c r="F117" s="121"/>
      <c r="G117" s="121"/>
      <c r="H117" s="121"/>
      <c r="I117" s="121"/>
      <c r="J117" s="121"/>
      <c r="K117" s="121"/>
      <c r="L117" s="121"/>
      <c r="M117" s="121"/>
      <c r="N117" s="121"/>
      <c r="O117" s="121"/>
      <c r="P117" s="121"/>
      <c r="Q117" s="121"/>
      <c r="R117" s="121"/>
      <c r="S117" s="121"/>
      <c r="T117" s="121"/>
    </row>
    <row r="118" spans="2:26" s="185" customFormat="1">
      <c r="B118" s="92" t="s">
        <v>310</v>
      </c>
      <c r="C118" s="92" t="s">
        <v>311</v>
      </c>
      <c r="D118" s="92" t="s">
        <v>1293</v>
      </c>
      <c r="E118" s="102" t="s">
        <v>1636</v>
      </c>
      <c r="F118" s="103" t="s">
        <v>1637</v>
      </c>
      <c r="G118" s="103" t="s">
        <v>1647</v>
      </c>
      <c r="H118" s="92" t="s">
        <v>1502</v>
      </c>
      <c r="I118" s="92" t="s">
        <v>1487</v>
      </c>
      <c r="J118" s="92" t="s">
        <v>1469</v>
      </c>
      <c r="K118" s="92" t="s">
        <v>1488</v>
      </c>
      <c r="L118" s="92" t="s">
        <v>1500</v>
      </c>
      <c r="M118" s="92" t="s">
        <v>1489</v>
      </c>
      <c r="N118" s="92" t="s">
        <v>1490</v>
      </c>
      <c r="O118" s="102" t="s">
        <v>1638</v>
      </c>
      <c r="P118" s="103" t="s">
        <v>1639</v>
      </c>
      <c r="Q118" s="103" t="s">
        <v>1648</v>
      </c>
      <c r="R118" s="92" t="s">
        <v>1503</v>
      </c>
      <c r="S118" s="92" t="s">
        <v>1491</v>
      </c>
      <c r="T118" s="92" t="s">
        <v>1470</v>
      </c>
      <c r="U118" s="92" t="s">
        <v>1492</v>
      </c>
      <c r="V118" s="92" t="s">
        <v>1501</v>
      </c>
      <c r="W118" s="92" t="s">
        <v>1493</v>
      </c>
      <c r="X118" s="92" t="s">
        <v>1494</v>
      </c>
      <c r="Y118" s="92" t="s">
        <v>1495</v>
      </c>
      <c r="Z118" s="92" t="s">
        <v>1496</v>
      </c>
    </row>
    <row r="119" spans="2:26" s="185" customFormat="1">
      <c r="B119" s="88" t="s">
        <v>320</v>
      </c>
      <c r="C119" s="80" t="s">
        <v>321</v>
      </c>
      <c r="D119" s="80" t="s">
        <v>322</v>
      </c>
      <c r="E119" s="100"/>
      <c r="F119" s="101"/>
      <c r="G119" s="101"/>
      <c r="H119" s="88"/>
      <c r="I119" s="80"/>
      <c r="J119" s="80"/>
      <c r="K119" s="80"/>
      <c r="L119" s="80"/>
      <c r="M119" s="80"/>
      <c r="N119" s="80"/>
      <c r="O119" s="100"/>
      <c r="P119" s="101"/>
      <c r="Q119" s="101"/>
      <c r="R119" s="88"/>
      <c r="S119" s="80"/>
      <c r="T119" s="80"/>
      <c r="U119" s="80"/>
      <c r="V119" s="80"/>
      <c r="W119" s="80"/>
      <c r="X119" s="80"/>
      <c r="Y119" s="88"/>
      <c r="Z119" s="80"/>
    </row>
    <row r="120" spans="2:26" s="185" customFormat="1">
      <c r="B120" s="88" t="s">
        <v>329</v>
      </c>
      <c r="C120" s="80" t="s">
        <v>330</v>
      </c>
      <c r="D120" s="80" t="s">
        <v>331</v>
      </c>
      <c r="E120" s="100"/>
      <c r="F120" s="101"/>
      <c r="G120" s="101"/>
      <c r="H120" s="88"/>
      <c r="I120" s="80"/>
      <c r="J120" s="80"/>
      <c r="K120" s="80"/>
      <c r="L120" s="80"/>
      <c r="M120" s="80"/>
      <c r="N120" s="80"/>
      <c r="O120" s="100"/>
      <c r="P120" s="101"/>
      <c r="Q120" s="101"/>
      <c r="R120" s="88"/>
      <c r="S120" s="80"/>
      <c r="T120" s="80"/>
      <c r="U120" s="80"/>
      <c r="V120" s="80"/>
      <c r="W120" s="80"/>
      <c r="X120" s="80"/>
      <c r="Y120" s="88"/>
      <c r="Z120" s="80"/>
    </row>
    <row r="121" spans="2:26" s="185" customFormat="1">
      <c r="B121" s="88" t="s">
        <v>335</v>
      </c>
      <c r="C121" s="80" t="s">
        <v>336</v>
      </c>
      <c r="D121" s="80" t="s">
        <v>337</v>
      </c>
      <c r="E121" s="100"/>
      <c r="F121" s="101"/>
      <c r="G121" s="101"/>
      <c r="H121" s="88"/>
      <c r="I121" s="80"/>
      <c r="J121" s="80"/>
      <c r="K121" s="80"/>
      <c r="L121" s="80"/>
      <c r="M121" s="80"/>
      <c r="N121" s="80"/>
      <c r="O121" s="100"/>
      <c r="P121" s="101"/>
      <c r="Q121" s="101"/>
      <c r="R121" s="88"/>
      <c r="S121" s="80"/>
      <c r="T121" s="80"/>
      <c r="U121" s="80"/>
      <c r="V121" s="80"/>
      <c r="W121" s="80"/>
      <c r="X121" s="80"/>
      <c r="Y121" s="88"/>
      <c r="Z121" s="80"/>
    </row>
    <row r="122" spans="2:26" s="185" customFormat="1">
      <c r="B122" s="88" t="s">
        <v>341</v>
      </c>
      <c r="C122" s="80" t="s">
        <v>342</v>
      </c>
      <c r="D122" s="80" t="s">
        <v>343</v>
      </c>
      <c r="E122" s="100"/>
      <c r="F122" s="101"/>
      <c r="G122" s="101"/>
      <c r="H122" s="88"/>
      <c r="I122" s="80"/>
      <c r="J122" s="80"/>
      <c r="K122" s="80"/>
      <c r="L122" s="80"/>
      <c r="M122" s="80"/>
      <c r="N122" s="80"/>
      <c r="O122" s="100"/>
      <c r="P122" s="101"/>
      <c r="Q122" s="101"/>
      <c r="R122" s="88"/>
      <c r="S122" s="80"/>
      <c r="T122" s="80"/>
      <c r="U122" s="80"/>
      <c r="V122" s="80"/>
      <c r="W122" s="80"/>
      <c r="X122" s="80"/>
      <c r="Y122" s="88"/>
      <c r="Z122" s="80"/>
    </row>
    <row r="123" spans="2:26" s="185" customFormat="1">
      <c r="B123" s="88" t="s">
        <v>346</v>
      </c>
      <c r="C123" s="80" t="s">
        <v>347</v>
      </c>
      <c r="D123" s="80" t="s">
        <v>348</v>
      </c>
      <c r="E123" s="100"/>
      <c r="F123" s="101"/>
      <c r="G123" s="101"/>
      <c r="H123" s="88"/>
      <c r="I123" s="80"/>
      <c r="J123" s="80"/>
      <c r="K123" s="80"/>
      <c r="L123" s="80"/>
      <c r="M123" s="80"/>
      <c r="N123" s="80"/>
      <c r="O123" s="100"/>
      <c r="P123" s="101"/>
      <c r="Q123" s="101"/>
      <c r="R123" s="88"/>
      <c r="S123" s="80"/>
      <c r="T123" s="80"/>
      <c r="U123" s="80"/>
      <c r="V123" s="80"/>
      <c r="W123" s="80"/>
      <c r="X123" s="80"/>
      <c r="Y123" s="88"/>
      <c r="Z123" s="80"/>
    </row>
    <row r="124" spans="2:26" s="185" customFormat="1">
      <c r="B124" s="88" t="s">
        <v>349</v>
      </c>
      <c r="C124" s="80" t="s">
        <v>350</v>
      </c>
      <c r="D124" s="80" t="s">
        <v>351</v>
      </c>
      <c r="E124" s="100"/>
      <c r="F124" s="101"/>
      <c r="G124" s="101"/>
      <c r="H124" s="88"/>
      <c r="I124" s="80"/>
      <c r="J124" s="80"/>
      <c r="K124" s="80"/>
      <c r="L124" s="80"/>
      <c r="M124" s="80"/>
      <c r="N124" s="80"/>
      <c r="O124" s="100"/>
      <c r="P124" s="101"/>
      <c r="Q124" s="101"/>
      <c r="R124" s="88"/>
      <c r="S124" s="80"/>
      <c r="T124" s="80"/>
      <c r="U124" s="80"/>
      <c r="V124" s="80"/>
      <c r="W124" s="80"/>
      <c r="X124" s="80"/>
      <c r="Y124" s="88"/>
      <c r="Z124" s="80"/>
    </row>
    <row r="125" spans="2:26" s="185" customFormat="1">
      <c r="B125" s="88" t="s">
        <v>355</v>
      </c>
      <c r="C125" s="80" t="s">
        <v>356</v>
      </c>
      <c r="D125" s="80" t="s">
        <v>357</v>
      </c>
      <c r="E125" s="100"/>
      <c r="F125" s="101"/>
      <c r="G125" s="101"/>
      <c r="H125" s="88"/>
      <c r="I125" s="80"/>
      <c r="J125" s="80"/>
      <c r="K125" s="80"/>
      <c r="L125" s="80"/>
      <c r="M125" s="80"/>
      <c r="N125" s="80"/>
      <c r="O125" s="100"/>
      <c r="P125" s="101"/>
      <c r="Q125" s="101"/>
      <c r="R125" s="88"/>
      <c r="S125" s="80"/>
      <c r="T125" s="80"/>
      <c r="U125" s="80"/>
      <c r="V125" s="80"/>
      <c r="W125" s="80"/>
      <c r="X125" s="80"/>
      <c r="Y125" s="88"/>
      <c r="Z125" s="80"/>
    </row>
    <row r="126" spans="2:26" s="185" customFormat="1">
      <c r="B126" s="88" t="s">
        <v>360</v>
      </c>
      <c r="C126" s="80" t="s">
        <v>361</v>
      </c>
      <c r="D126" s="80" t="s">
        <v>362</v>
      </c>
      <c r="E126" s="100"/>
      <c r="F126" s="101"/>
      <c r="G126" s="101"/>
      <c r="H126" s="88"/>
      <c r="I126" s="80"/>
      <c r="J126" s="80"/>
      <c r="K126" s="80"/>
      <c r="L126" s="80"/>
      <c r="M126" s="80"/>
      <c r="N126" s="80"/>
      <c r="O126" s="100"/>
      <c r="P126" s="101"/>
      <c r="Q126" s="101"/>
      <c r="R126" s="88"/>
      <c r="S126" s="80"/>
      <c r="T126" s="80"/>
      <c r="U126" s="80"/>
      <c r="V126" s="80"/>
      <c r="W126" s="80"/>
      <c r="X126" s="80"/>
      <c r="Y126" s="88"/>
      <c r="Z126" s="80"/>
    </row>
    <row r="127" spans="2:26" s="185" customFormat="1">
      <c r="B127" s="88" t="s">
        <v>364</v>
      </c>
      <c r="C127" s="80" t="s">
        <v>365</v>
      </c>
      <c r="D127" s="80" t="s">
        <v>366</v>
      </c>
      <c r="E127" s="100"/>
      <c r="F127" s="101"/>
      <c r="G127" s="101"/>
      <c r="H127" s="88"/>
      <c r="I127" s="80"/>
      <c r="J127" s="80"/>
      <c r="K127" s="80"/>
      <c r="L127" s="80"/>
      <c r="M127" s="80"/>
      <c r="N127" s="80"/>
      <c r="O127" s="100"/>
      <c r="P127" s="101"/>
      <c r="Q127" s="101"/>
      <c r="R127" s="88"/>
      <c r="S127" s="80"/>
      <c r="T127" s="80"/>
      <c r="U127" s="80"/>
      <c r="V127" s="80"/>
      <c r="W127" s="80"/>
      <c r="X127" s="80"/>
      <c r="Y127" s="88"/>
      <c r="Z127" s="80"/>
    </row>
    <row r="128" spans="2:26" s="185" customFormat="1">
      <c r="B128" s="88" t="s">
        <v>369</v>
      </c>
      <c r="C128" s="80" t="s">
        <v>370</v>
      </c>
      <c r="D128" s="80" t="s">
        <v>371</v>
      </c>
      <c r="E128" s="100"/>
      <c r="F128" s="101"/>
      <c r="G128" s="101"/>
      <c r="H128" s="88"/>
      <c r="I128" s="80"/>
      <c r="J128" s="80"/>
      <c r="K128" s="80"/>
      <c r="L128" s="80"/>
      <c r="M128" s="80"/>
      <c r="N128" s="80"/>
      <c r="O128" s="100"/>
      <c r="P128" s="101"/>
      <c r="Q128" s="101"/>
      <c r="R128" s="88"/>
      <c r="S128" s="80"/>
      <c r="T128" s="80"/>
      <c r="U128" s="80"/>
      <c r="V128" s="80"/>
      <c r="W128" s="80"/>
      <c r="X128" s="80"/>
      <c r="Y128" s="88"/>
      <c r="Z128" s="80"/>
    </row>
    <row r="129" spans="2:26" s="185" customFormat="1">
      <c r="B129" s="88" t="s">
        <v>375</v>
      </c>
      <c r="C129" s="80" t="s">
        <v>376</v>
      </c>
      <c r="D129" s="80" t="s">
        <v>377</v>
      </c>
      <c r="E129" s="100"/>
      <c r="F129" s="101"/>
      <c r="G129" s="101"/>
      <c r="H129" s="88"/>
      <c r="I129" s="80"/>
      <c r="J129" s="80"/>
      <c r="K129" s="80"/>
      <c r="L129" s="80"/>
      <c r="M129" s="80"/>
      <c r="N129" s="80"/>
      <c r="O129" s="100"/>
      <c r="P129" s="101"/>
      <c r="Q129" s="101"/>
      <c r="R129" s="88"/>
      <c r="S129" s="80"/>
      <c r="T129" s="80"/>
      <c r="U129" s="80"/>
      <c r="V129" s="80"/>
      <c r="W129" s="80"/>
      <c r="X129" s="80"/>
      <c r="Y129" s="88"/>
      <c r="Z129" s="80"/>
    </row>
    <row r="130" spans="2:26" s="185" customFormat="1">
      <c r="B130" s="88" t="s">
        <v>379</v>
      </c>
      <c r="C130" s="80" t="s">
        <v>380</v>
      </c>
      <c r="D130" s="80" t="s">
        <v>381</v>
      </c>
      <c r="E130" s="100"/>
      <c r="F130" s="101"/>
      <c r="G130" s="101"/>
      <c r="H130" s="88"/>
      <c r="I130" s="80"/>
      <c r="J130" s="80"/>
      <c r="K130" s="80"/>
      <c r="L130" s="80"/>
      <c r="M130" s="80"/>
      <c r="N130" s="80"/>
      <c r="O130" s="100"/>
      <c r="P130" s="101"/>
      <c r="Q130" s="101"/>
      <c r="R130" s="88"/>
      <c r="S130" s="80"/>
      <c r="T130" s="80"/>
      <c r="U130" s="80"/>
      <c r="V130" s="80"/>
      <c r="W130" s="80"/>
      <c r="X130" s="80"/>
      <c r="Y130" s="88"/>
      <c r="Z130" s="80"/>
    </row>
    <row r="131" spans="2:26" s="185" customFormat="1">
      <c r="B131" s="88" t="s">
        <v>384</v>
      </c>
      <c r="C131" s="80" t="s">
        <v>385</v>
      </c>
      <c r="D131" s="80" t="s">
        <v>386</v>
      </c>
      <c r="E131" s="100"/>
      <c r="F131" s="101"/>
      <c r="G131" s="101"/>
      <c r="H131" s="88"/>
      <c r="I131" s="80"/>
      <c r="J131" s="80"/>
      <c r="K131" s="80"/>
      <c r="L131" s="80"/>
      <c r="M131" s="80"/>
      <c r="N131" s="80"/>
      <c r="O131" s="100"/>
      <c r="P131" s="101"/>
      <c r="Q131" s="101"/>
      <c r="R131" s="88"/>
      <c r="S131" s="80"/>
      <c r="T131" s="80"/>
      <c r="U131" s="80"/>
      <c r="V131" s="80"/>
      <c r="W131" s="80"/>
      <c r="X131" s="80"/>
      <c r="Y131" s="88"/>
      <c r="Z131" s="80"/>
    </row>
    <row r="132" spans="2:26" s="185" customFormat="1">
      <c r="B132" s="88" t="s">
        <v>388</v>
      </c>
      <c r="C132" s="80" t="s">
        <v>389</v>
      </c>
      <c r="D132" s="80" t="s">
        <v>390</v>
      </c>
      <c r="E132" s="100"/>
      <c r="F132" s="101"/>
      <c r="G132" s="101"/>
      <c r="H132" s="88"/>
      <c r="I132" s="80"/>
      <c r="J132" s="80"/>
      <c r="K132" s="80"/>
      <c r="L132" s="80"/>
      <c r="M132" s="80"/>
      <c r="N132" s="80"/>
      <c r="O132" s="100"/>
      <c r="P132" s="101"/>
      <c r="Q132" s="101"/>
      <c r="R132" s="88"/>
      <c r="S132" s="80"/>
      <c r="T132" s="80"/>
      <c r="U132" s="80"/>
      <c r="V132" s="80"/>
      <c r="W132" s="80"/>
      <c r="X132" s="80"/>
      <c r="Y132" s="88"/>
      <c r="Z132" s="80"/>
    </row>
    <row r="133" spans="2:26" s="185" customFormat="1">
      <c r="B133" s="88" t="s">
        <v>393</v>
      </c>
      <c r="C133" s="80" t="s">
        <v>394</v>
      </c>
      <c r="D133" s="80" t="s">
        <v>395</v>
      </c>
      <c r="E133" s="100"/>
      <c r="F133" s="101"/>
      <c r="G133" s="101"/>
      <c r="H133" s="88"/>
      <c r="I133" s="80"/>
      <c r="J133" s="80"/>
      <c r="K133" s="80"/>
      <c r="L133" s="80"/>
      <c r="M133" s="80"/>
      <c r="N133" s="80"/>
      <c r="O133" s="100"/>
      <c r="P133" s="101"/>
      <c r="Q133" s="101"/>
      <c r="R133" s="88"/>
      <c r="S133" s="80"/>
      <c r="T133" s="80"/>
      <c r="U133" s="80"/>
      <c r="V133" s="80"/>
      <c r="W133" s="80"/>
      <c r="X133" s="80"/>
      <c r="Y133" s="88"/>
      <c r="Z133" s="80"/>
    </row>
    <row r="134" spans="2:26" s="185" customFormat="1">
      <c r="B134" s="88" t="s">
        <v>398</v>
      </c>
      <c r="C134" s="80" t="s">
        <v>399</v>
      </c>
      <c r="D134" s="80" t="s">
        <v>400</v>
      </c>
      <c r="E134" s="100"/>
      <c r="F134" s="101"/>
      <c r="G134" s="101"/>
      <c r="H134" s="88"/>
      <c r="I134" s="80"/>
      <c r="J134" s="80"/>
      <c r="K134" s="80"/>
      <c r="L134" s="80"/>
      <c r="M134" s="80"/>
      <c r="N134" s="80"/>
      <c r="O134" s="100"/>
      <c r="P134" s="101"/>
      <c r="Q134" s="101"/>
      <c r="R134" s="88"/>
      <c r="S134" s="80"/>
      <c r="T134" s="80"/>
      <c r="U134" s="80"/>
      <c r="V134" s="80"/>
      <c r="W134" s="80"/>
      <c r="X134" s="80"/>
      <c r="Y134" s="88"/>
      <c r="Z134" s="80"/>
    </row>
    <row r="135" spans="2:26" s="185" customFormat="1">
      <c r="B135" s="88" t="s">
        <v>404</v>
      </c>
      <c r="C135" s="80" t="s">
        <v>405</v>
      </c>
      <c r="D135" s="80" t="s">
        <v>406</v>
      </c>
      <c r="E135" s="100"/>
      <c r="F135" s="101"/>
      <c r="G135" s="101"/>
      <c r="H135" s="88"/>
      <c r="I135" s="80"/>
      <c r="J135" s="80"/>
      <c r="K135" s="80"/>
      <c r="L135" s="80"/>
      <c r="M135" s="80"/>
      <c r="N135" s="80"/>
      <c r="O135" s="100"/>
      <c r="P135" s="101"/>
      <c r="Q135" s="101"/>
      <c r="R135" s="88"/>
      <c r="S135" s="80"/>
      <c r="T135" s="80"/>
      <c r="U135" s="80"/>
      <c r="V135" s="80"/>
      <c r="W135" s="80"/>
      <c r="X135" s="80"/>
      <c r="Y135" s="88"/>
      <c r="Z135" s="80"/>
    </row>
    <row r="136" spans="2:26" s="185" customFormat="1">
      <c r="B136" s="88" t="s">
        <v>408</v>
      </c>
      <c r="C136" s="80" t="s">
        <v>409</v>
      </c>
      <c r="D136" s="80" t="s">
        <v>410</v>
      </c>
      <c r="E136" s="100"/>
      <c r="F136" s="101"/>
      <c r="G136" s="101"/>
      <c r="H136" s="88"/>
      <c r="I136" s="80"/>
      <c r="J136" s="80"/>
      <c r="K136" s="80"/>
      <c r="L136" s="80"/>
      <c r="M136" s="80"/>
      <c r="N136" s="80"/>
      <c r="O136" s="100"/>
      <c r="P136" s="101"/>
      <c r="Q136" s="101"/>
      <c r="R136" s="88"/>
      <c r="S136" s="80"/>
      <c r="T136" s="80"/>
      <c r="U136" s="80"/>
      <c r="V136" s="80"/>
      <c r="W136" s="80"/>
      <c r="X136" s="80"/>
      <c r="Y136" s="88"/>
      <c r="Z136" s="80"/>
    </row>
    <row r="137" spans="2:26" s="185" customFormat="1">
      <c r="B137" s="88" t="s">
        <v>412</v>
      </c>
      <c r="C137" s="80" t="s">
        <v>413</v>
      </c>
      <c r="D137" s="80" t="s">
        <v>414</v>
      </c>
      <c r="E137" s="100"/>
      <c r="F137" s="101"/>
      <c r="G137" s="101"/>
      <c r="H137" s="88"/>
      <c r="I137" s="80"/>
      <c r="J137" s="80"/>
      <c r="K137" s="80"/>
      <c r="L137" s="80"/>
      <c r="M137" s="80"/>
      <c r="N137" s="80"/>
      <c r="O137" s="100"/>
      <c r="P137" s="101"/>
      <c r="Q137" s="101"/>
      <c r="R137" s="88"/>
      <c r="S137" s="80"/>
      <c r="T137" s="80"/>
      <c r="U137" s="80"/>
      <c r="V137" s="80"/>
      <c r="W137" s="80"/>
      <c r="X137" s="80"/>
      <c r="Y137" s="88"/>
      <c r="Z137" s="80"/>
    </row>
    <row r="138" spans="2:26" s="185" customFormat="1">
      <c r="B138" s="88" t="s">
        <v>417</v>
      </c>
      <c r="C138" s="80" t="s">
        <v>418</v>
      </c>
      <c r="D138" s="80" t="s">
        <v>419</v>
      </c>
      <c r="E138" s="100"/>
      <c r="F138" s="101"/>
      <c r="G138" s="101"/>
      <c r="H138" s="88"/>
      <c r="I138" s="80"/>
      <c r="J138" s="80"/>
      <c r="K138" s="80"/>
      <c r="L138" s="80"/>
      <c r="M138" s="80"/>
      <c r="N138" s="80"/>
      <c r="O138" s="100"/>
      <c r="P138" s="101"/>
      <c r="Q138" s="101"/>
      <c r="R138" s="88"/>
      <c r="S138" s="80"/>
      <c r="T138" s="80"/>
      <c r="U138" s="80"/>
      <c r="V138" s="80"/>
      <c r="W138" s="80"/>
      <c r="X138" s="80"/>
      <c r="Y138" s="88"/>
      <c r="Z138" s="80"/>
    </row>
    <row r="139" spans="2:26" s="185" customFormat="1">
      <c r="B139" s="88" t="s">
        <v>423</v>
      </c>
      <c r="C139" s="80" t="s">
        <v>424</v>
      </c>
      <c r="D139" s="80" t="s">
        <v>425</v>
      </c>
      <c r="E139" s="100"/>
      <c r="F139" s="101"/>
      <c r="G139" s="101"/>
      <c r="H139" s="88"/>
      <c r="I139" s="80"/>
      <c r="J139" s="80"/>
      <c r="K139" s="80"/>
      <c r="L139" s="80"/>
      <c r="M139" s="80"/>
      <c r="N139" s="80"/>
      <c r="O139" s="100"/>
      <c r="P139" s="101"/>
      <c r="Q139" s="101"/>
      <c r="R139" s="88"/>
      <c r="S139" s="80"/>
      <c r="T139" s="80"/>
      <c r="U139" s="80"/>
      <c r="V139" s="80"/>
      <c r="W139" s="80"/>
      <c r="X139" s="80"/>
      <c r="Y139" s="88"/>
      <c r="Z139" s="80"/>
    </row>
    <row r="140" spans="2:26" s="185" customFormat="1">
      <c r="B140" s="88" t="s">
        <v>427</v>
      </c>
      <c r="C140" s="80" t="s">
        <v>428</v>
      </c>
      <c r="D140" s="80" t="s">
        <v>429</v>
      </c>
      <c r="E140" s="100"/>
      <c r="F140" s="101"/>
      <c r="G140" s="101"/>
      <c r="H140" s="88"/>
      <c r="I140" s="80"/>
      <c r="J140" s="80"/>
      <c r="K140" s="80"/>
      <c r="L140" s="80"/>
      <c r="M140" s="80"/>
      <c r="N140" s="80"/>
      <c r="O140" s="100"/>
      <c r="P140" s="101"/>
      <c r="Q140" s="101"/>
      <c r="R140" s="88"/>
      <c r="S140" s="80"/>
      <c r="T140" s="80"/>
      <c r="U140" s="80"/>
      <c r="V140" s="80"/>
      <c r="W140" s="80"/>
      <c r="X140" s="80"/>
      <c r="Y140" s="88"/>
      <c r="Z140" s="80"/>
    </row>
    <row r="141" spans="2:26" s="185" customFormat="1">
      <c r="B141" s="88" t="s">
        <v>432</v>
      </c>
      <c r="C141" s="80" t="s">
        <v>433</v>
      </c>
      <c r="D141" s="80" t="s">
        <v>434</v>
      </c>
      <c r="E141" s="100"/>
      <c r="F141" s="101"/>
      <c r="G141" s="101"/>
      <c r="H141" s="88"/>
      <c r="I141" s="80"/>
      <c r="J141" s="80"/>
      <c r="K141" s="80"/>
      <c r="L141" s="80"/>
      <c r="M141" s="80"/>
      <c r="N141" s="80"/>
      <c r="O141" s="100"/>
      <c r="P141" s="101"/>
      <c r="Q141" s="101"/>
      <c r="R141" s="88"/>
      <c r="S141" s="80"/>
      <c r="T141" s="80"/>
      <c r="U141" s="80"/>
      <c r="V141" s="80"/>
      <c r="W141" s="80"/>
      <c r="X141" s="80"/>
      <c r="Y141" s="88"/>
      <c r="Z141" s="80"/>
    </row>
    <row r="142" spans="2:26" s="185" customFormat="1">
      <c r="B142" s="88" t="s">
        <v>436</v>
      </c>
      <c r="C142" s="80" t="s">
        <v>437</v>
      </c>
      <c r="D142" s="80" t="s">
        <v>438</v>
      </c>
      <c r="E142" s="100"/>
      <c r="F142" s="101"/>
      <c r="G142" s="101"/>
      <c r="H142" s="88"/>
      <c r="I142" s="80"/>
      <c r="J142" s="80"/>
      <c r="K142" s="80"/>
      <c r="L142" s="80"/>
      <c r="M142" s="80"/>
      <c r="N142" s="80"/>
      <c r="O142" s="100"/>
      <c r="P142" s="101"/>
      <c r="Q142" s="101"/>
      <c r="R142" s="88"/>
      <c r="S142" s="80"/>
      <c r="T142" s="80"/>
      <c r="U142" s="80"/>
      <c r="V142" s="80"/>
      <c r="W142" s="80"/>
      <c r="X142" s="80"/>
      <c r="Y142" s="88"/>
      <c r="Z142" s="80"/>
    </row>
    <row r="143" spans="2:26" s="185" customFormat="1">
      <c r="B143" s="88" t="s">
        <v>440</v>
      </c>
      <c r="C143" s="80" t="s">
        <v>441</v>
      </c>
      <c r="D143" s="80" t="s">
        <v>442</v>
      </c>
      <c r="E143" s="100"/>
      <c r="F143" s="101"/>
      <c r="G143" s="101"/>
      <c r="H143" s="88"/>
      <c r="I143" s="80"/>
      <c r="J143" s="80"/>
      <c r="K143" s="80"/>
      <c r="L143" s="80"/>
      <c r="M143" s="80"/>
      <c r="N143" s="80"/>
      <c r="O143" s="100"/>
      <c r="P143" s="101"/>
      <c r="Q143" s="101"/>
      <c r="R143" s="88"/>
      <c r="S143" s="80"/>
      <c r="T143" s="80"/>
      <c r="U143" s="80"/>
      <c r="V143" s="80"/>
      <c r="W143" s="80"/>
      <c r="X143" s="80"/>
      <c r="Y143" s="88"/>
      <c r="Z143" s="80"/>
    </row>
    <row r="144" spans="2:26" s="185" customFormat="1">
      <c r="B144" s="88" t="s">
        <v>444</v>
      </c>
      <c r="C144" s="80" t="s">
        <v>445</v>
      </c>
      <c r="D144" s="80" t="s">
        <v>446</v>
      </c>
      <c r="E144" s="100"/>
      <c r="F144" s="101"/>
      <c r="G144" s="101"/>
      <c r="H144" s="88"/>
      <c r="I144" s="80"/>
      <c r="J144" s="80"/>
      <c r="K144" s="80"/>
      <c r="L144" s="80"/>
      <c r="M144" s="80"/>
      <c r="N144" s="80"/>
      <c r="O144" s="100"/>
      <c r="P144" s="101"/>
      <c r="Q144" s="101"/>
      <c r="R144" s="88"/>
      <c r="S144" s="80"/>
      <c r="T144" s="80"/>
      <c r="U144" s="80"/>
      <c r="V144" s="80"/>
      <c r="W144" s="80"/>
      <c r="X144" s="80"/>
      <c r="Y144" s="88"/>
      <c r="Z144" s="80"/>
    </row>
    <row r="145" spans="2:26" s="185" customFormat="1">
      <c r="B145" s="88" t="s">
        <v>449</v>
      </c>
      <c r="C145" s="80" t="s">
        <v>450</v>
      </c>
      <c r="D145" s="80" t="s">
        <v>451</v>
      </c>
      <c r="E145" s="100"/>
      <c r="F145" s="101"/>
      <c r="G145" s="101"/>
      <c r="H145" s="88"/>
      <c r="I145" s="80"/>
      <c r="J145" s="80"/>
      <c r="K145" s="80"/>
      <c r="L145" s="80"/>
      <c r="M145" s="80"/>
      <c r="N145" s="80"/>
      <c r="O145" s="100"/>
      <c r="P145" s="101"/>
      <c r="Q145" s="101"/>
      <c r="R145" s="88"/>
      <c r="S145" s="80"/>
      <c r="T145" s="80"/>
      <c r="U145" s="80"/>
      <c r="V145" s="80"/>
      <c r="W145" s="80"/>
      <c r="X145" s="80"/>
      <c r="Y145" s="88"/>
      <c r="Z145" s="80"/>
    </row>
    <row r="146" spans="2:26" s="185" customFormat="1">
      <c r="B146" s="88" t="s">
        <v>453</v>
      </c>
      <c r="C146" s="80" t="s">
        <v>454</v>
      </c>
      <c r="D146" s="80" t="s">
        <v>455</v>
      </c>
      <c r="E146" s="100"/>
      <c r="F146" s="101"/>
      <c r="G146" s="101"/>
      <c r="H146" s="88"/>
      <c r="I146" s="80"/>
      <c r="J146" s="80"/>
      <c r="K146" s="80"/>
      <c r="L146" s="80"/>
      <c r="M146" s="80"/>
      <c r="N146" s="80"/>
      <c r="O146" s="100"/>
      <c r="P146" s="101"/>
      <c r="Q146" s="101"/>
      <c r="R146" s="88"/>
      <c r="S146" s="80"/>
      <c r="T146" s="80"/>
      <c r="U146" s="80"/>
      <c r="V146" s="80"/>
      <c r="W146" s="80"/>
      <c r="X146" s="80"/>
      <c r="Y146" s="88"/>
      <c r="Z146" s="80"/>
    </row>
    <row r="147" spans="2:26" s="185" customFormat="1">
      <c r="B147" s="88" t="s">
        <v>457</v>
      </c>
      <c r="C147" s="80" t="s">
        <v>458</v>
      </c>
      <c r="D147" s="80" t="s">
        <v>459</v>
      </c>
      <c r="E147" s="100"/>
      <c r="F147" s="101"/>
      <c r="G147" s="101"/>
      <c r="H147" s="88"/>
      <c r="I147" s="80"/>
      <c r="J147" s="80"/>
      <c r="K147" s="80"/>
      <c r="L147" s="80"/>
      <c r="M147" s="80"/>
      <c r="N147" s="80"/>
      <c r="O147" s="100"/>
      <c r="P147" s="101"/>
      <c r="Q147" s="101"/>
      <c r="R147" s="88"/>
      <c r="S147" s="80"/>
      <c r="T147" s="80"/>
      <c r="U147" s="80"/>
      <c r="V147" s="80"/>
      <c r="W147" s="80"/>
      <c r="X147" s="80"/>
      <c r="Y147" s="88"/>
      <c r="Z147" s="80"/>
    </row>
    <row r="148" spans="2:26" s="185" customFormat="1">
      <c r="B148" s="88" t="s">
        <v>461</v>
      </c>
      <c r="C148" s="80" t="s">
        <v>462</v>
      </c>
      <c r="D148" s="80" t="s">
        <v>463</v>
      </c>
      <c r="E148" s="100"/>
      <c r="F148" s="101"/>
      <c r="G148" s="101"/>
      <c r="H148" s="88"/>
      <c r="I148" s="80"/>
      <c r="J148" s="80"/>
      <c r="K148" s="80"/>
      <c r="L148" s="80"/>
      <c r="M148" s="80"/>
      <c r="N148" s="80"/>
      <c r="O148" s="100"/>
      <c r="P148" s="101"/>
      <c r="Q148" s="101"/>
      <c r="R148" s="88"/>
      <c r="S148" s="80"/>
      <c r="T148" s="80"/>
      <c r="U148" s="80"/>
      <c r="V148" s="80"/>
      <c r="W148" s="80"/>
      <c r="X148" s="80"/>
      <c r="Y148" s="88"/>
      <c r="Z148" s="80"/>
    </row>
    <row r="149" spans="2:26" s="185" customFormat="1">
      <c r="B149" s="88" t="s">
        <v>466</v>
      </c>
      <c r="C149" s="80" t="s">
        <v>467</v>
      </c>
      <c r="D149" s="80" t="s">
        <v>468</v>
      </c>
      <c r="E149" s="100"/>
      <c r="F149" s="101"/>
      <c r="G149" s="101"/>
      <c r="H149" s="88"/>
      <c r="I149" s="80"/>
      <c r="J149" s="80"/>
      <c r="K149" s="80"/>
      <c r="L149" s="80"/>
      <c r="M149" s="80"/>
      <c r="N149" s="80"/>
      <c r="O149" s="100"/>
      <c r="P149" s="101"/>
      <c r="Q149" s="101"/>
      <c r="R149" s="88"/>
      <c r="S149" s="80"/>
      <c r="T149" s="80"/>
      <c r="U149" s="80"/>
      <c r="V149" s="80"/>
      <c r="W149" s="80"/>
      <c r="X149" s="80"/>
      <c r="Y149" s="88"/>
      <c r="Z149" s="80"/>
    </row>
    <row r="150" spans="2:26" s="185" customFormat="1">
      <c r="B150" s="88" t="s">
        <v>471</v>
      </c>
      <c r="C150" s="80" t="s">
        <v>472</v>
      </c>
      <c r="D150" s="80" t="s">
        <v>473</v>
      </c>
      <c r="E150" s="100"/>
      <c r="F150" s="101"/>
      <c r="G150" s="101"/>
      <c r="H150" s="88"/>
      <c r="I150" s="80"/>
      <c r="J150" s="80"/>
      <c r="K150" s="80"/>
      <c r="L150" s="80"/>
      <c r="M150" s="80"/>
      <c r="N150" s="80"/>
      <c r="O150" s="100"/>
      <c r="P150" s="101"/>
      <c r="Q150" s="101"/>
      <c r="R150" s="88"/>
      <c r="S150" s="80"/>
      <c r="T150" s="80"/>
      <c r="U150" s="80"/>
      <c r="V150" s="80"/>
      <c r="W150" s="80"/>
      <c r="X150" s="80"/>
      <c r="Y150" s="88"/>
      <c r="Z150" s="80"/>
    </row>
    <row r="151" spans="2:26" s="185" customFormat="1">
      <c r="B151" s="88" t="s">
        <v>475</v>
      </c>
      <c r="C151" s="80" t="s">
        <v>476</v>
      </c>
      <c r="D151" s="80" t="s">
        <v>477</v>
      </c>
      <c r="E151" s="100"/>
      <c r="F151" s="101"/>
      <c r="G151" s="101"/>
      <c r="H151" s="88"/>
      <c r="I151" s="80"/>
      <c r="J151" s="80"/>
      <c r="K151" s="80"/>
      <c r="L151" s="80"/>
      <c r="M151" s="80"/>
      <c r="N151" s="80"/>
      <c r="O151" s="100"/>
      <c r="P151" s="101"/>
      <c r="Q151" s="101"/>
      <c r="R151" s="88"/>
      <c r="S151" s="80"/>
      <c r="T151" s="80"/>
      <c r="U151" s="80"/>
      <c r="V151" s="80"/>
      <c r="W151" s="80"/>
      <c r="X151" s="80"/>
      <c r="Y151" s="88"/>
      <c r="Z151" s="80"/>
    </row>
    <row r="152" spans="2:26" s="185" customFormat="1">
      <c r="B152" s="88" t="s">
        <v>480</v>
      </c>
      <c r="C152" s="80" t="s">
        <v>481</v>
      </c>
      <c r="D152" s="80" t="s">
        <v>482</v>
      </c>
      <c r="E152" s="100"/>
      <c r="F152" s="101"/>
      <c r="G152" s="101"/>
      <c r="H152" s="88"/>
      <c r="I152" s="80"/>
      <c r="J152" s="80"/>
      <c r="K152" s="80"/>
      <c r="L152" s="80"/>
      <c r="M152" s="80"/>
      <c r="N152" s="80"/>
      <c r="O152" s="100"/>
      <c r="P152" s="101"/>
      <c r="Q152" s="101"/>
      <c r="R152" s="88"/>
      <c r="S152" s="80"/>
      <c r="T152" s="80"/>
      <c r="U152" s="80"/>
      <c r="V152" s="80"/>
      <c r="W152" s="80"/>
      <c r="X152" s="80"/>
      <c r="Y152" s="88"/>
      <c r="Z152" s="80"/>
    </row>
    <row r="153" spans="2:26" s="185" customFormat="1">
      <c r="B153" s="88" t="s">
        <v>485</v>
      </c>
      <c r="C153" s="80" t="s">
        <v>486</v>
      </c>
      <c r="D153" s="80" t="s">
        <v>487</v>
      </c>
      <c r="E153" s="100"/>
      <c r="F153" s="101"/>
      <c r="G153" s="101"/>
      <c r="H153" s="88"/>
      <c r="I153" s="80"/>
      <c r="J153" s="80"/>
      <c r="K153" s="80"/>
      <c r="L153" s="80"/>
      <c r="M153" s="80"/>
      <c r="N153" s="80"/>
      <c r="O153" s="100"/>
      <c r="P153" s="101"/>
      <c r="Q153" s="101"/>
      <c r="R153" s="88"/>
      <c r="S153" s="80"/>
      <c r="T153" s="80"/>
      <c r="U153" s="80"/>
      <c r="V153" s="80"/>
      <c r="W153" s="80"/>
      <c r="X153" s="80"/>
      <c r="Y153" s="88"/>
      <c r="Z153" s="80"/>
    </row>
    <row r="154" spans="2:26" s="185" customFormat="1">
      <c r="B154" s="88" t="s">
        <v>490</v>
      </c>
      <c r="C154" s="80" t="s">
        <v>491</v>
      </c>
      <c r="D154" s="80" t="s">
        <v>492</v>
      </c>
      <c r="E154" s="100"/>
      <c r="F154" s="101"/>
      <c r="G154" s="101"/>
      <c r="H154" s="88"/>
      <c r="I154" s="80"/>
      <c r="J154" s="80"/>
      <c r="K154" s="80"/>
      <c r="L154" s="80"/>
      <c r="M154" s="80"/>
      <c r="N154" s="80"/>
      <c r="O154" s="100"/>
      <c r="P154" s="101"/>
      <c r="Q154" s="101"/>
      <c r="R154" s="88"/>
      <c r="S154" s="80"/>
      <c r="T154" s="80"/>
      <c r="U154" s="80"/>
      <c r="V154" s="80"/>
      <c r="W154" s="80"/>
      <c r="X154" s="80"/>
      <c r="Y154" s="88"/>
      <c r="Z154" s="80"/>
    </row>
    <row r="155" spans="2:26" s="185" customFormat="1">
      <c r="B155" s="88" t="s">
        <v>495</v>
      </c>
      <c r="C155" s="80" t="s">
        <v>496</v>
      </c>
      <c r="D155" s="80" t="s">
        <v>497</v>
      </c>
      <c r="E155" s="100"/>
      <c r="F155" s="101"/>
      <c r="G155" s="101"/>
      <c r="H155" s="88"/>
      <c r="I155" s="80"/>
      <c r="J155" s="80"/>
      <c r="K155" s="80"/>
      <c r="L155" s="80"/>
      <c r="M155" s="80"/>
      <c r="N155" s="80"/>
      <c r="O155" s="100"/>
      <c r="P155" s="101"/>
      <c r="Q155" s="101"/>
      <c r="R155" s="88"/>
      <c r="S155" s="80"/>
      <c r="T155" s="80"/>
      <c r="U155" s="80"/>
      <c r="V155" s="80"/>
      <c r="W155" s="80"/>
      <c r="X155" s="80"/>
      <c r="Y155" s="88"/>
      <c r="Z155" s="80"/>
    </row>
    <row r="156" spans="2:26" s="185" customFormat="1">
      <c r="B156" s="88" t="s">
        <v>500</v>
      </c>
      <c r="C156" s="80" t="s">
        <v>501</v>
      </c>
      <c r="D156" s="80" t="s">
        <v>502</v>
      </c>
      <c r="E156" s="100"/>
      <c r="F156" s="101"/>
      <c r="G156" s="101"/>
      <c r="H156" s="88"/>
      <c r="I156" s="80"/>
      <c r="J156" s="80"/>
      <c r="K156" s="80"/>
      <c r="L156" s="80"/>
      <c r="M156" s="80"/>
      <c r="N156" s="80"/>
      <c r="O156" s="100"/>
      <c r="P156" s="101"/>
      <c r="Q156" s="101"/>
      <c r="R156" s="88"/>
      <c r="S156" s="80"/>
      <c r="T156" s="80"/>
      <c r="U156" s="80"/>
      <c r="V156" s="80"/>
      <c r="W156" s="80"/>
      <c r="X156" s="80"/>
      <c r="Y156" s="88"/>
      <c r="Z156" s="80"/>
    </row>
    <row r="157" spans="2:26" s="185" customFormat="1">
      <c r="B157" s="88" t="s">
        <v>505</v>
      </c>
      <c r="C157" s="80" t="s">
        <v>506</v>
      </c>
      <c r="D157" s="80" t="s">
        <v>507</v>
      </c>
      <c r="E157" s="100"/>
      <c r="F157" s="101"/>
      <c r="G157" s="101"/>
      <c r="H157" s="88"/>
      <c r="I157" s="80"/>
      <c r="J157" s="80"/>
      <c r="K157" s="80"/>
      <c r="L157" s="80"/>
      <c r="M157" s="80"/>
      <c r="N157" s="80"/>
      <c r="O157" s="100"/>
      <c r="P157" s="101"/>
      <c r="Q157" s="101"/>
      <c r="R157" s="88"/>
      <c r="S157" s="80"/>
      <c r="T157" s="80"/>
      <c r="U157" s="80"/>
      <c r="V157" s="80"/>
      <c r="W157" s="80"/>
      <c r="X157" s="80"/>
      <c r="Y157" s="88"/>
      <c r="Z157" s="80"/>
    </row>
    <row r="158" spans="2:26" s="185" customFormat="1">
      <c r="B158" s="88" t="s">
        <v>509</v>
      </c>
      <c r="C158" s="80" t="s">
        <v>510</v>
      </c>
      <c r="D158" s="80" t="s">
        <v>511</v>
      </c>
      <c r="E158" s="100"/>
      <c r="F158" s="101"/>
      <c r="G158" s="101"/>
      <c r="H158" s="88"/>
      <c r="I158" s="80"/>
      <c r="J158" s="80"/>
      <c r="K158" s="80"/>
      <c r="L158" s="80"/>
      <c r="M158" s="80"/>
      <c r="N158" s="80"/>
      <c r="O158" s="100"/>
      <c r="P158" s="101"/>
      <c r="Q158" s="101"/>
      <c r="R158" s="88"/>
      <c r="S158" s="80"/>
      <c r="T158" s="80"/>
      <c r="U158" s="80"/>
      <c r="V158" s="80"/>
      <c r="W158" s="80"/>
      <c r="X158" s="80"/>
      <c r="Y158" s="88"/>
      <c r="Z158" s="80"/>
    </row>
    <row r="159" spans="2:26" s="185" customFormat="1">
      <c r="B159" s="88" t="s">
        <v>513</v>
      </c>
      <c r="C159" s="80" t="s">
        <v>514</v>
      </c>
      <c r="D159" s="80" t="s">
        <v>515</v>
      </c>
      <c r="E159" s="100"/>
      <c r="F159" s="101"/>
      <c r="G159" s="101"/>
      <c r="H159" s="88"/>
      <c r="I159" s="80"/>
      <c r="J159" s="80"/>
      <c r="K159" s="80"/>
      <c r="L159" s="80"/>
      <c r="M159" s="80"/>
      <c r="N159" s="80"/>
      <c r="O159" s="100"/>
      <c r="P159" s="101"/>
      <c r="Q159" s="101"/>
      <c r="R159" s="88"/>
      <c r="S159" s="80"/>
      <c r="T159" s="80"/>
      <c r="U159" s="80"/>
      <c r="V159" s="80"/>
      <c r="W159" s="80"/>
      <c r="X159" s="80"/>
      <c r="Y159" s="88"/>
      <c r="Z159" s="80"/>
    </row>
    <row r="160" spans="2:26" s="185" customFormat="1">
      <c r="B160" s="88" t="s">
        <v>517</v>
      </c>
      <c r="C160" s="80" t="s">
        <v>518</v>
      </c>
      <c r="D160" s="80" t="s">
        <v>519</v>
      </c>
      <c r="E160" s="100"/>
      <c r="F160" s="101"/>
      <c r="G160" s="101"/>
      <c r="H160" s="88"/>
      <c r="I160" s="80"/>
      <c r="J160" s="80"/>
      <c r="K160" s="80"/>
      <c r="L160" s="80"/>
      <c r="M160" s="80"/>
      <c r="N160" s="80"/>
      <c r="O160" s="100"/>
      <c r="P160" s="101"/>
      <c r="Q160" s="101"/>
      <c r="R160" s="88"/>
      <c r="S160" s="80"/>
      <c r="T160" s="80"/>
      <c r="U160" s="80"/>
      <c r="V160" s="80"/>
      <c r="W160" s="80"/>
      <c r="X160" s="80"/>
      <c r="Y160" s="88"/>
      <c r="Z160" s="80"/>
    </row>
    <row r="161" spans="2:36" s="185" customFormat="1">
      <c r="B161" s="88" t="s">
        <v>522</v>
      </c>
      <c r="C161" s="80" t="s">
        <v>523</v>
      </c>
      <c r="D161" s="80" t="s">
        <v>524</v>
      </c>
      <c r="E161" s="100"/>
      <c r="F161" s="101"/>
      <c r="G161" s="101"/>
      <c r="H161" s="88"/>
      <c r="I161" s="80"/>
      <c r="J161" s="80"/>
      <c r="K161" s="80"/>
      <c r="L161" s="80"/>
      <c r="M161" s="80"/>
      <c r="N161" s="80"/>
      <c r="O161" s="100"/>
      <c r="P161" s="101"/>
      <c r="Q161" s="101"/>
      <c r="R161" s="88"/>
      <c r="S161" s="80"/>
      <c r="T161" s="80"/>
      <c r="U161" s="80"/>
      <c r="V161" s="80"/>
      <c r="W161" s="80"/>
      <c r="X161" s="80"/>
      <c r="Y161" s="88"/>
      <c r="Z161" s="80"/>
    </row>
    <row r="162" spans="2:36" s="185" customFormat="1">
      <c r="B162" s="88" t="s">
        <v>527</v>
      </c>
      <c r="C162" s="80" t="s">
        <v>528</v>
      </c>
      <c r="D162" s="80" t="s">
        <v>529</v>
      </c>
      <c r="E162" s="100"/>
      <c r="F162" s="101"/>
      <c r="G162" s="101"/>
      <c r="H162" s="88"/>
      <c r="I162" s="80"/>
      <c r="J162" s="80"/>
      <c r="K162" s="80"/>
      <c r="L162" s="80"/>
      <c r="M162" s="80"/>
      <c r="N162" s="80"/>
      <c r="O162" s="100"/>
      <c r="P162" s="101"/>
      <c r="Q162" s="101"/>
      <c r="R162" s="88"/>
      <c r="S162" s="80"/>
      <c r="T162" s="80"/>
      <c r="U162" s="80"/>
      <c r="V162" s="80"/>
      <c r="W162" s="80"/>
      <c r="X162" s="80"/>
      <c r="Y162" s="88"/>
      <c r="Z162" s="80"/>
    </row>
    <row r="163" spans="2:36" s="185" customFormat="1">
      <c r="B163" s="88" t="s">
        <v>531</v>
      </c>
      <c r="C163" s="80" t="s">
        <v>532</v>
      </c>
      <c r="D163" s="80" t="s">
        <v>533</v>
      </c>
      <c r="E163" s="100"/>
      <c r="F163" s="101"/>
      <c r="G163" s="101"/>
      <c r="H163" s="88"/>
      <c r="I163" s="80"/>
      <c r="J163" s="80"/>
      <c r="K163" s="80"/>
      <c r="L163" s="80"/>
      <c r="M163" s="80"/>
      <c r="N163" s="80"/>
      <c r="O163" s="100"/>
      <c r="P163" s="101"/>
      <c r="Q163" s="101"/>
      <c r="R163" s="88"/>
      <c r="S163" s="80"/>
      <c r="T163" s="80"/>
      <c r="U163" s="80"/>
      <c r="V163" s="80"/>
      <c r="W163" s="80"/>
      <c r="X163" s="80"/>
      <c r="Y163" s="88"/>
      <c r="Z163" s="80"/>
    </row>
    <row r="164" spans="2:36" s="185" customFormat="1">
      <c r="B164" s="88" t="s">
        <v>535</v>
      </c>
      <c r="C164" s="80" t="s">
        <v>536</v>
      </c>
      <c r="D164" s="80" t="s">
        <v>537</v>
      </c>
      <c r="E164" s="100"/>
      <c r="F164" s="101"/>
      <c r="G164" s="101"/>
      <c r="H164" s="88"/>
      <c r="I164" s="80"/>
      <c r="J164" s="80"/>
      <c r="K164" s="80"/>
      <c r="L164" s="80"/>
      <c r="M164" s="80"/>
      <c r="N164" s="80"/>
      <c r="O164" s="100"/>
      <c r="P164" s="101"/>
      <c r="Q164" s="101"/>
      <c r="R164" s="88"/>
      <c r="S164" s="80"/>
      <c r="T164" s="80"/>
      <c r="U164" s="80"/>
      <c r="V164" s="80"/>
      <c r="W164" s="80"/>
      <c r="X164" s="80"/>
      <c r="Y164" s="88"/>
      <c r="Z164" s="80"/>
    </row>
    <row r="165" spans="2:36" s="185" customFormat="1">
      <c r="B165" s="88" t="s">
        <v>539</v>
      </c>
      <c r="C165" s="80" t="s">
        <v>540</v>
      </c>
      <c r="D165" s="80" t="s">
        <v>541</v>
      </c>
      <c r="E165" s="100"/>
      <c r="F165" s="101"/>
      <c r="G165" s="101"/>
      <c r="H165" s="88"/>
      <c r="I165" s="80"/>
      <c r="J165" s="80"/>
      <c r="K165" s="80"/>
      <c r="L165" s="80"/>
      <c r="M165" s="80"/>
      <c r="N165" s="80"/>
      <c r="O165" s="100"/>
      <c r="P165" s="101"/>
      <c r="Q165" s="101"/>
      <c r="R165" s="88"/>
      <c r="S165" s="80"/>
      <c r="T165" s="80"/>
      <c r="U165" s="80"/>
      <c r="V165" s="80"/>
      <c r="W165" s="80"/>
      <c r="X165" s="80"/>
      <c r="Y165" s="88"/>
      <c r="Z165" s="80"/>
    </row>
    <row r="166" spans="2:36" s="185" customFormat="1">
      <c r="B166" s="88" t="s">
        <v>543</v>
      </c>
      <c r="C166" s="80" t="s">
        <v>544</v>
      </c>
      <c r="D166" s="80" t="s">
        <v>545</v>
      </c>
      <c r="E166" s="100"/>
      <c r="F166" s="101"/>
      <c r="G166" s="101"/>
      <c r="H166" s="88"/>
      <c r="I166" s="80"/>
      <c r="J166" s="80"/>
      <c r="K166" s="80"/>
      <c r="L166" s="80"/>
      <c r="M166" s="80"/>
      <c r="N166" s="80"/>
      <c r="O166" s="100"/>
      <c r="P166" s="101"/>
      <c r="Q166" s="101"/>
      <c r="R166" s="88"/>
      <c r="S166" s="80"/>
      <c r="T166" s="80"/>
      <c r="U166" s="80"/>
      <c r="V166" s="80"/>
      <c r="W166" s="80"/>
      <c r="X166" s="80"/>
      <c r="Y166" s="88"/>
      <c r="Z166" s="80"/>
    </row>
    <row r="167" spans="2:36" s="185" customFormat="1">
      <c r="B167" s="88" t="s">
        <v>547</v>
      </c>
      <c r="C167" s="80" t="s">
        <v>548</v>
      </c>
      <c r="D167" s="80" t="s">
        <v>549</v>
      </c>
      <c r="E167" s="100"/>
      <c r="F167" s="101"/>
      <c r="G167" s="101"/>
      <c r="H167" s="88"/>
      <c r="I167" s="80"/>
      <c r="J167" s="80"/>
      <c r="K167" s="80"/>
      <c r="L167" s="80"/>
      <c r="M167" s="80"/>
      <c r="N167" s="80"/>
      <c r="O167" s="100"/>
      <c r="P167" s="101"/>
      <c r="Q167" s="101"/>
      <c r="R167" s="88"/>
      <c r="S167" s="80"/>
      <c r="T167" s="80"/>
      <c r="U167" s="80"/>
      <c r="V167" s="80"/>
      <c r="W167" s="80"/>
      <c r="X167" s="80"/>
      <c r="Y167" s="88"/>
      <c r="Z167" s="80"/>
    </row>
    <row r="168" spans="2:36" s="185" customFormat="1">
      <c r="B168" s="88" t="s">
        <v>552</v>
      </c>
      <c r="C168" s="80" t="s">
        <v>553</v>
      </c>
      <c r="D168" s="80" t="s">
        <v>554</v>
      </c>
      <c r="E168" s="100"/>
      <c r="F168" s="101"/>
      <c r="G168" s="101"/>
      <c r="H168" s="88"/>
      <c r="I168" s="80"/>
      <c r="J168" s="80"/>
      <c r="K168" s="80"/>
      <c r="L168" s="80"/>
      <c r="M168" s="80"/>
      <c r="N168" s="80"/>
      <c r="O168" s="100"/>
      <c r="P168" s="101"/>
      <c r="Q168" s="101"/>
      <c r="R168" s="88"/>
      <c r="S168" s="80"/>
      <c r="T168" s="80"/>
      <c r="U168" s="80"/>
      <c r="V168" s="80"/>
      <c r="W168" s="80"/>
      <c r="X168" s="80"/>
      <c r="Y168" s="88"/>
      <c r="Z168" s="80"/>
    </row>
    <row r="169" spans="2:36" s="185" customFormat="1">
      <c r="B169" s="88" t="s">
        <v>556</v>
      </c>
      <c r="C169" s="80" t="s">
        <v>557</v>
      </c>
      <c r="D169" s="80" t="s">
        <v>558</v>
      </c>
      <c r="E169" s="100"/>
      <c r="F169" s="101"/>
      <c r="G169" s="101"/>
      <c r="H169" s="88"/>
      <c r="I169" s="80"/>
      <c r="J169" s="80"/>
      <c r="K169" s="80"/>
      <c r="L169" s="80"/>
      <c r="M169" s="80"/>
      <c r="N169" s="80"/>
      <c r="O169" s="100"/>
      <c r="P169" s="101"/>
      <c r="Q169" s="101"/>
      <c r="R169" s="88"/>
      <c r="S169" s="80"/>
      <c r="T169" s="80"/>
      <c r="U169" s="80"/>
      <c r="V169" s="80"/>
      <c r="W169" s="80"/>
      <c r="X169" s="80"/>
      <c r="Y169" s="88"/>
      <c r="Z169" s="80"/>
    </row>
    <row r="170" spans="2:36" s="185" customFormat="1">
      <c r="B170" s="88" t="s">
        <v>561</v>
      </c>
      <c r="C170" s="80" t="s">
        <v>562</v>
      </c>
      <c r="D170" s="80" t="s">
        <v>563</v>
      </c>
      <c r="E170" s="100"/>
      <c r="F170" s="101"/>
      <c r="G170" s="101"/>
      <c r="H170" s="88"/>
      <c r="I170" s="80"/>
      <c r="J170" s="80"/>
      <c r="K170" s="80"/>
      <c r="L170" s="80"/>
      <c r="M170" s="80"/>
      <c r="N170" s="80"/>
      <c r="O170" s="100"/>
      <c r="P170" s="101"/>
      <c r="Q170" s="101"/>
      <c r="R170" s="88"/>
      <c r="S170" s="80"/>
      <c r="T170" s="80"/>
      <c r="U170" s="80"/>
      <c r="V170" s="80"/>
      <c r="W170" s="80"/>
      <c r="X170" s="80"/>
      <c r="Y170" s="88"/>
      <c r="Z170" s="80"/>
    </row>
    <row r="171" spans="2:36" s="185" customFormat="1">
      <c r="B171" s="88" t="s">
        <v>564</v>
      </c>
      <c r="C171" s="80" t="s">
        <v>565</v>
      </c>
      <c r="D171" s="80" t="s">
        <v>566</v>
      </c>
      <c r="E171" s="100"/>
      <c r="F171" s="101"/>
      <c r="G171" s="101"/>
      <c r="H171" s="88"/>
      <c r="I171" s="80"/>
      <c r="J171" s="80"/>
      <c r="K171" s="80"/>
      <c r="L171" s="80"/>
      <c r="M171" s="80"/>
      <c r="N171" s="80"/>
      <c r="O171" s="100"/>
      <c r="P171" s="101"/>
      <c r="Q171" s="101"/>
      <c r="R171" s="88"/>
      <c r="S171" s="80"/>
      <c r="T171" s="80"/>
      <c r="U171" s="80"/>
      <c r="V171" s="80"/>
      <c r="W171" s="80"/>
      <c r="X171" s="80"/>
      <c r="Y171" s="88"/>
      <c r="Z171" s="80"/>
    </row>
    <row r="172" spans="2:36" s="185" customFormat="1"/>
    <row r="173" spans="2:36" s="185" customFormat="1"/>
    <row r="174" spans="2:36" s="75" customFormat="1" ht="17.399999999999999">
      <c r="B174" s="113" t="s">
        <v>2593</v>
      </c>
      <c r="C174" s="113"/>
      <c r="D174" s="113"/>
      <c r="E174" s="113"/>
      <c r="F174" s="113"/>
      <c r="G174" s="113"/>
      <c r="H174" s="113"/>
      <c r="I174" s="113"/>
      <c r="J174" s="113"/>
      <c r="K174" s="113"/>
      <c r="L174" s="113"/>
      <c r="M174" s="113"/>
      <c r="N174" s="113"/>
      <c r="O174" s="113"/>
      <c r="P174" s="113"/>
      <c r="Q174" s="113"/>
      <c r="R174" s="113"/>
      <c r="S174" s="113"/>
      <c r="T174" s="113"/>
      <c r="AA174" s="185"/>
      <c r="AB174" s="185"/>
      <c r="AC174" s="185"/>
      <c r="AD174" s="185"/>
      <c r="AE174" s="185"/>
      <c r="AF174" s="185"/>
      <c r="AG174" s="185"/>
      <c r="AH174" s="185"/>
      <c r="AI174" s="185"/>
      <c r="AJ174" s="185"/>
    </row>
    <row r="175" spans="2:36" s="75" customFormat="1">
      <c r="B175" s="95" t="s">
        <v>312</v>
      </c>
      <c r="C175" s="99" t="s">
        <v>2594</v>
      </c>
      <c r="D175" s="99"/>
      <c r="E175" s="99"/>
      <c r="F175" s="99"/>
      <c r="G175" s="99"/>
      <c r="H175" s="99"/>
      <c r="I175" s="99"/>
      <c r="J175" s="99"/>
      <c r="K175" s="99"/>
      <c r="L175" s="99"/>
      <c r="M175" s="99"/>
      <c r="N175" s="99"/>
      <c r="O175" s="99"/>
      <c r="P175" s="99"/>
      <c r="Q175" s="99"/>
      <c r="R175" s="99"/>
      <c r="S175" s="99"/>
      <c r="T175" s="99"/>
      <c r="AA175" s="185"/>
      <c r="AB175" s="185"/>
      <c r="AC175" s="185"/>
      <c r="AD175" s="185"/>
      <c r="AE175" s="185"/>
      <c r="AF175" s="185"/>
      <c r="AG175" s="185"/>
      <c r="AH175" s="185"/>
      <c r="AI175" s="185"/>
      <c r="AJ175" s="185"/>
    </row>
    <row r="176" spans="2:36" s="75" customFormat="1">
      <c r="D176" s="99"/>
      <c r="E176" s="99"/>
      <c r="F176" s="99"/>
      <c r="G176" s="99"/>
      <c r="H176" s="99"/>
      <c r="I176" s="99"/>
      <c r="J176" s="99"/>
      <c r="K176" s="99"/>
      <c r="L176" s="99"/>
      <c r="M176" s="99"/>
      <c r="N176" s="99"/>
      <c r="O176" s="99"/>
      <c r="P176" s="99"/>
      <c r="Q176" s="99"/>
      <c r="R176" s="99"/>
      <c r="S176" s="99"/>
      <c r="T176" s="99"/>
      <c r="AA176" s="185"/>
      <c r="AB176" s="185"/>
      <c r="AC176" s="185"/>
      <c r="AD176" s="185"/>
      <c r="AE176" s="185"/>
      <c r="AF176" s="185"/>
      <c r="AG176" s="185"/>
      <c r="AH176" s="185"/>
      <c r="AI176" s="185"/>
      <c r="AJ176" s="185"/>
    </row>
    <row r="177" spans="2:36" s="75" customFormat="1" ht="17.399999999999999">
      <c r="B177" s="113" t="s">
        <v>1635</v>
      </c>
      <c r="C177" s="113"/>
      <c r="D177" s="113"/>
      <c r="E177" s="113"/>
      <c r="F177" s="113"/>
      <c r="G177" s="113"/>
      <c r="H177" s="113"/>
      <c r="I177" s="113"/>
      <c r="J177" s="113"/>
      <c r="K177" s="113"/>
      <c r="L177" s="113"/>
      <c r="M177" s="113"/>
      <c r="N177" s="113"/>
      <c r="O177" s="113"/>
      <c r="P177" s="113"/>
      <c r="Q177" s="113"/>
      <c r="R177" s="113"/>
      <c r="S177" s="113"/>
      <c r="T177" s="113"/>
    </row>
    <row r="178" spans="2:36" s="75" customFormat="1">
      <c r="B178" s="92" t="s">
        <v>1614</v>
      </c>
      <c r="C178" s="92" t="s">
        <v>311</v>
      </c>
      <c r="D178" s="92" t="s">
        <v>1293</v>
      </c>
      <c r="E178" s="102" t="s">
        <v>1636</v>
      </c>
      <c r="F178" s="103" t="s">
        <v>1637</v>
      </c>
      <c r="G178" s="103" t="s">
        <v>1647</v>
      </c>
      <c r="H178" s="92" t="s">
        <v>1502</v>
      </c>
      <c r="I178" s="92" t="s">
        <v>1487</v>
      </c>
      <c r="J178" s="92" t="s">
        <v>1469</v>
      </c>
      <c r="K178" s="92" t="s">
        <v>1488</v>
      </c>
      <c r="L178" s="92" t="s">
        <v>1500</v>
      </c>
      <c r="M178" s="92" t="s">
        <v>1489</v>
      </c>
      <c r="N178" s="92" t="s">
        <v>1490</v>
      </c>
      <c r="O178" s="102" t="s">
        <v>1638</v>
      </c>
      <c r="P178" s="103" t="s">
        <v>1639</v>
      </c>
      <c r="Q178" s="103" t="s">
        <v>1648</v>
      </c>
      <c r="R178" s="92" t="s">
        <v>1503</v>
      </c>
      <c r="S178" s="92" t="s">
        <v>1491</v>
      </c>
      <c r="T178" s="92" t="s">
        <v>1470</v>
      </c>
      <c r="U178" s="92" t="s">
        <v>1492</v>
      </c>
      <c r="V178" s="92" t="s">
        <v>1501</v>
      </c>
      <c r="W178" s="92" t="s">
        <v>1493</v>
      </c>
      <c r="X178" s="92" t="s">
        <v>1494</v>
      </c>
      <c r="Y178" s="92" t="s">
        <v>1495</v>
      </c>
      <c r="Z178" s="92" t="s">
        <v>1496</v>
      </c>
    </row>
    <row r="179" spans="2:36" s="75" customFormat="1">
      <c r="B179" s="88"/>
      <c r="C179" s="80"/>
      <c r="D179" s="80"/>
      <c r="E179" s="100"/>
      <c r="F179" s="101"/>
      <c r="G179" s="101"/>
      <c r="H179" s="88"/>
      <c r="I179" s="80"/>
      <c r="J179" s="80"/>
      <c r="K179" s="80"/>
      <c r="L179" s="80"/>
      <c r="M179" s="80"/>
      <c r="N179" s="80"/>
      <c r="O179" s="100"/>
      <c r="P179" s="101"/>
      <c r="Q179" s="101"/>
      <c r="R179" s="88"/>
      <c r="S179" s="80"/>
      <c r="T179" s="80"/>
      <c r="U179" s="80"/>
      <c r="V179" s="80"/>
      <c r="W179" s="80"/>
      <c r="X179" s="80"/>
      <c r="Y179" s="88"/>
      <c r="Z179" s="80"/>
    </row>
    <row r="180" spans="2:36">
      <c r="B180" s="88"/>
      <c r="C180" s="80"/>
      <c r="D180" s="80"/>
      <c r="E180" s="100"/>
      <c r="F180" s="101"/>
      <c r="G180" s="101"/>
      <c r="H180" s="88"/>
      <c r="I180" s="80"/>
      <c r="J180" s="80"/>
      <c r="K180" s="80"/>
      <c r="L180" s="80"/>
      <c r="M180" s="80"/>
      <c r="N180" s="80"/>
      <c r="O180" s="100"/>
      <c r="P180" s="101"/>
      <c r="Q180" s="101"/>
      <c r="R180" s="88"/>
      <c r="S180" s="80"/>
      <c r="T180" s="80"/>
      <c r="U180" s="80"/>
      <c r="V180" s="80"/>
      <c r="W180" s="80"/>
      <c r="X180" s="80"/>
      <c r="Y180" s="88"/>
      <c r="Z180" s="80"/>
      <c r="AA180" s="75"/>
      <c r="AB180" s="75"/>
      <c r="AC180" s="75"/>
      <c r="AD180" s="75"/>
      <c r="AE180" s="75"/>
      <c r="AF180" s="75"/>
      <c r="AG180" s="75"/>
      <c r="AH180" s="75"/>
      <c r="AI180" s="75"/>
      <c r="AJ180" s="75"/>
    </row>
    <row r="181" spans="2:36">
      <c r="B181" s="88"/>
      <c r="C181" s="80"/>
      <c r="D181" s="80"/>
      <c r="E181" s="100"/>
      <c r="F181" s="101"/>
      <c r="G181" s="101"/>
      <c r="H181" s="88"/>
      <c r="I181" s="80"/>
      <c r="J181" s="80"/>
      <c r="K181" s="80"/>
      <c r="L181" s="80"/>
      <c r="M181" s="80"/>
      <c r="N181" s="80"/>
      <c r="O181" s="100"/>
      <c r="P181" s="101"/>
      <c r="Q181" s="101"/>
      <c r="R181" s="88"/>
      <c r="S181" s="80"/>
      <c r="T181" s="80"/>
      <c r="U181" s="80"/>
      <c r="V181" s="80"/>
      <c r="W181" s="80"/>
      <c r="X181" s="80"/>
      <c r="Y181" s="88"/>
      <c r="Z181" s="80"/>
      <c r="AA181" s="75"/>
      <c r="AB181" s="75"/>
      <c r="AC181" s="75"/>
      <c r="AD181" s="75"/>
      <c r="AE181" s="75"/>
      <c r="AF181" s="75"/>
      <c r="AG181" s="75"/>
      <c r="AH181" s="75"/>
      <c r="AI181" s="75"/>
      <c r="AJ181" s="75"/>
    </row>
    <row r="182" spans="2:36">
      <c r="B182" s="88"/>
      <c r="C182" s="80"/>
      <c r="D182" s="80"/>
      <c r="E182" s="100"/>
      <c r="F182" s="101"/>
      <c r="G182" s="101"/>
      <c r="H182" s="88"/>
      <c r="I182" s="80"/>
      <c r="J182" s="80"/>
      <c r="K182" s="80"/>
      <c r="L182" s="80"/>
      <c r="M182" s="80"/>
      <c r="N182" s="80"/>
      <c r="O182" s="100"/>
      <c r="P182" s="101"/>
      <c r="Q182" s="101"/>
      <c r="R182" s="88"/>
      <c r="S182" s="80"/>
      <c r="T182" s="80"/>
      <c r="U182" s="80"/>
      <c r="V182" s="80"/>
      <c r="W182" s="80"/>
      <c r="X182" s="80"/>
      <c r="Y182" s="88"/>
      <c r="Z182" s="80"/>
      <c r="AA182" s="75"/>
      <c r="AB182" s="75"/>
      <c r="AC182" s="75"/>
      <c r="AD182" s="75"/>
      <c r="AE182" s="75"/>
      <c r="AF182" s="75"/>
      <c r="AG182" s="75"/>
      <c r="AH182" s="75"/>
      <c r="AI182" s="75"/>
      <c r="AJ182" s="75"/>
    </row>
    <row r="183" spans="2:36">
      <c r="B183" s="88"/>
      <c r="C183" s="80"/>
      <c r="D183" s="80"/>
      <c r="E183" s="100"/>
      <c r="F183" s="101"/>
      <c r="G183" s="101"/>
      <c r="H183" s="88"/>
      <c r="I183" s="80"/>
      <c r="J183" s="80"/>
      <c r="K183" s="80"/>
      <c r="L183" s="80"/>
      <c r="M183" s="80"/>
      <c r="N183" s="80"/>
      <c r="O183" s="100"/>
      <c r="P183" s="101"/>
      <c r="Q183" s="101"/>
      <c r="R183" s="88"/>
      <c r="S183" s="80"/>
      <c r="T183" s="80"/>
      <c r="U183" s="80"/>
      <c r="V183" s="80"/>
      <c r="W183" s="80"/>
      <c r="X183" s="80"/>
      <c r="Y183" s="88"/>
      <c r="Z183" s="80"/>
    </row>
    <row r="184" spans="2:36">
      <c r="B184" s="88"/>
      <c r="C184" s="80"/>
      <c r="D184" s="80"/>
      <c r="E184" s="100"/>
      <c r="F184" s="101"/>
      <c r="G184" s="101"/>
      <c r="H184" s="88"/>
      <c r="I184" s="80"/>
      <c r="J184" s="80"/>
      <c r="K184" s="80"/>
      <c r="L184" s="80"/>
      <c r="M184" s="80"/>
      <c r="N184" s="80"/>
      <c r="O184" s="100"/>
      <c r="P184" s="101"/>
      <c r="Q184" s="101"/>
      <c r="R184" s="88"/>
      <c r="S184" s="80"/>
      <c r="T184" s="80"/>
      <c r="U184" s="80"/>
      <c r="V184" s="80"/>
      <c r="W184" s="80"/>
      <c r="X184" s="80"/>
      <c r="Y184" s="88"/>
      <c r="Z184" s="80"/>
    </row>
    <row r="185" spans="2:36">
      <c r="B185" s="88"/>
      <c r="C185" s="80"/>
      <c r="D185" s="80"/>
      <c r="E185" s="100"/>
      <c r="F185" s="101"/>
      <c r="G185" s="101"/>
      <c r="H185" s="88"/>
      <c r="I185" s="80"/>
      <c r="J185" s="80"/>
      <c r="K185" s="80"/>
      <c r="L185" s="80"/>
      <c r="M185" s="80"/>
      <c r="N185" s="80"/>
      <c r="O185" s="100"/>
      <c r="P185" s="101"/>
      <c r="Q185" s="101"/>
      <c r="R185" s="88"/>
      <c r="S185" s="80"/>
      <c r="T185" s="80"/>
      <c r="U185" s="80"/>
      <c r="V185" s="80"/>
      <c r="W185" s="80"/>
      <c r="X185" s="80"/>
      <c r="Y185" s="88"/>
      <c r="Z185" s="80"/>
    </row>
    <row r="186" spans="2:36">
      <c r="B186" s="88"/>
      <c r="C186" s="80"/>
      <c r="D186" s="80"/>
      <c r="E186" s="100"/>
      <c r="F186" s="101"/>
      <c r="G186" s="101"/>
      <c r="H186" s="88"/>
      <c r="I186" s="80"/>
      <c r="J186" s="80"/>
      <c r="K186" s="80"/>
      <c r="L186" s="80"/>
      <c r="M186" s="80"/>
      <c r="N186" s="80"/>
      <c r="O186" s="100"/>
      <c r="P186" s="101"/>
      <c r="Q186" s="101"/>
      <c r="R186" s="88"/>
      <c r="S186" s="80"/>
      <c r="T186" s="80"/>
      <c r="U186" s="80"/>
      <c r="V186" s="80"/>
      <c r="W186" s="80"/>
      <c r="X186" s="80"/>
      <c r="Y186" s="88"/>
      <c r="Z186" s="80"/>
    </row>
    <row r="187" spans="2:36">
      <c r="B187" s="88"/>
      <c r="C187" s="80"/>
      <c r="D187" s="80"/>
      <c r="E187" s="100"/>
      <c r="F187" s="101"/>
      <c r="G187" s="101"/>
      <c r="H187" s="88"/>
      <c r="I187" s="80"/>
      <c r="J187" s="80"/>
      <c r="K187" s="80"/>
      <c r="L187" s="80"/>
      <c r="M187" s="80"/>
      <c r="N187" s="80"/>
      <c r="O187" s="100"/>
      <c r="P187" s="101"/>
      <c r="Q187" s="101"/>
      <c r="R187" s="88"/>
      <c r="S187" s="80"/>
      <c r="T187" s="80"/>
      <c r="U187" s="80"/>
      <c r="V187" s="80"/>
      <c r="W187" s="80"/>
      <c r="X187" s="80"/>
      <c r="Y187" s="88"/>
      <c r="Z187" s="80"/>
    </row>
    <row r="188" spans="2:36">
      <c r="B188" s="88"/>
      <c r="C188" s="80"/>
      <c r="D188" s="80"/>
      <c r="E188" s="100"/>
      <c r="F188" s="101"/>
      <c r="G188" s="101"/>
      <c r="H188" s="88"/>
      <c r="I188" s="80"/>
      <c r="J188" s="80"/>
      <c r="K188" s="80"/>
      <c r="L188" s="80"/>
      <c r="M188" s="80"/>
      <c r="N188" s="80"/>
      <c r="O188" s="100"/>
      <c r="P188" s="101"/>
      <c r="Q188" s="101"/>
      <c r="R188" s="88"/>
      <c r="S188" s="80"/>
      <c r="T188" s="80"/>
      <c r="U188" s="80"/>
      <c r="V188" s="80"/>
      <c r="W188" s="80"/>
      <c r="X188" s="80"/>
      <c r="Y188" s="88"/>
      <c r="Z188" s="80"/>
    </row>
  </sheetData>
  <mergeCells count="11">
    <mergeCell ref="B85:T85"/>
    <mergeCell ref="B107:T107"/>
    <mergeCell ref="B117:T117"/>
    <mergeCell ref="B174:T174"/>
    <mergeCell ref="B177:T177"/>
    <mergeCell ref="B80:C80"/>
    <mergeCell ref="B2:T2"/>
    <mergeCell ref="B3:T3"/>
    <mergeCell ref="L63:T63"/>
    <mergeCell ref="B71:T71"/>
    <mergeCell ref="B75:C75"/>
  </mergeCells>
  <conditionalFormatting sqref="B119:Z171 B179:Z188">
    <cfRule type="expression" dxfId="446" priority="1">
      <formula>B119=""</formula>
    </cfRule>
  </conditionalFormatting>
  <dataValidations count="8">
    <dataValidation type="list" allowBlank="1" showInputMessage="1" showErrorMessage="1" sqref="O119:O171 E119:E171 O179:O188 E179:E188" xr:uid="{D3B17006-2A80-4972-BF5E-F689981C54FE}">
      <formula1>"Eligible,Review required,Not eligible"</formula1>
    </dataValidation>
    <dataValidation type="list" allowBlank="1" showInputMessage="1" showErrorMessage="1" sqref="C94:C106" xr:uid="{B9098366-E388-4EB8-8075-86559982F5B8}">
      <formula1>WR_SourceScope</formula1>
    </dataValidation>
    <dataValidation type="list" allowBlank="1" showInputMessage="1" showErrorMessage="1" sqref="Y119:Y171" xr:uid="{BED6F671-0382-4BC7-BD6A-80836380E342}">
      <formula1>WR_ReviewStatus</formula1>
    </dataValidation>
    <dataValidation type="list" allowBlank="1" showInputMessage="1" showErrorMessage="1" sqref="R119:R171 H119:H171" xr:uid="{686E0FB2-CB92-481E-A991-E294A930F6CF}">
      <formula1>WR_EffectivenessLevel</formula1>
    </dataValidation>
    <dataValidation type="list" allowBlank="1" showInputMessage="1" showErrorMessage="1" sqref="C77" xr:uid="{55C1CB86-26EF-4D85-B874-C9B92D1CA033}">
      <formula1>WR_VulnerabilityComponents</formula1>
    </dataValidation>
    <dataValidation type="list" allowBlank="1" showInputMessage="1" showErrorMessage="1" sqref="C76" xr:uid="{83B3803D-147E-499A-A39B-50108619899F}">
      <formula1>WR_VulnerabilitySectors</formula1>
    </dataValidation>
    <dataValidation type="list" allowBlank="1" showInputMessage="1" showErrorMessage="1" sqref="C82" xr:uid="{9B04B65D-86BB-4D1B-AEC1-69DB91DBA571}">
      <formula1>WR_ExposureComponents</formula1>
    </dataValidation>
    <dataValidation type="list" allowBlank="1" showInputMessage="1" showErrorMessage="1" sqref="C81" xr:uid="{D24BE15D-10A8-4DFC-B4DE-41635BDF7F45}">
      <formula1>WR_ExposureSectors</formula1>
    </dataValidation>
  </dataValidations>
  <pageMargins left="0.7" right="0.7" top="0.75" bottom="0.75" header="0.3" footer="0.3"/>
  <tableParts count="4">
    <tablePart r:id="rId1"/>
    <tablePart r:id="rId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D060-4773-41EB-B0B3-BE301D9F1E68}">
  <dimension ref="A2:AJ188"/>
  <sheetViews>
    <sheetView showGridLines="0" topLeftCell="A60" zoomScale="55" zoomScaleNormal="55" workbookViewId="0">
      <selection activeCell="A60" sqref="A1:XFD1048576"/>
    </sheetView>
  </sheetViews>
  <sheetFormatPr baseColWidth="10" defaultRowHeight="15"/>
  <cols>
    <col min="1" max="1" width="6.09765625" style="186" customWidth="1"/>
    <col min="2" max="2" width="32" style="186" customWidth="1"/>
    <col min="3" max="3" width="51.296875" style="186" customWidth="1"/>
    <col min="4" max="4" width="66.796875" style="186" customWidth="1"/>
    <col min="5" max="5" width="28" style="186" customWidth="1"/>
    <col min="6" max="6" width="58" style="186" customWidth="1"/>
    <col min="7" max="7" width="41" style="186" customWidth="1"/>
    <col min="8" max="8" width="51" style="186" customWidth="1"/>
    <col min="9" max="9" width="33" style="186" customWidth="1"/>
    <col min="10" max="10" width="30" style="186" customWidth="1"/>
    <col min="11" max="11" width="30.796875" style="186" customWidth="1"/>
    <col min="12" max="12" width="17.5" style="186" customWidth="1"/>
    <col min="13" max="13" width="22.5" style="186" customWidth="1"/>
    <col min="14" max="14" width="30" style="186" customWidth="1"/>
    <col min="15" max="15" width="19.19921875" style="186" customWidth="1"/>
    <col min="16" max="16" width="24.19921875" style="186" customWidth="1"/>
    <col min="17" max="17" width="14.19921875" style="186" customWidth="1"/>
    <col min="18" max="18" width="30.796875" style="186" customWidth="1"/>
    <col min="19" max="19" width="20" style="186" customWidth="1"/>
    <col min="20" max="20" width="27.5" style="186" customWidth="1"/>
    <col min="21" max="21" width="15.59765625" style="186" bestFit="1" customWidth="1"/>
    <col min="22" max="24" width="11.19921875" style="186"/>
    <col min="25" max="25" width="17.69921875" style="186" bestFit="1" customWidth="1"/>
    <col min="26" max="16384" width="11.19921875" style="186"/>
  </cols>
  <sheetData>
    <row r="2" spans="1:36" ht="24">
      <c r="A2" s="185"/>
      <c r="B2" s="115" t="s">
        <v>2272</v>
      </c>
      <c r="C2" s="115"/>
      <c r="D2" s="115"/>
      <c r="E2" s="115"/>
      <c r="F2" s="115"/>
      <c r="G2" s="115"/>
      <c r="H2" s="115"/>
      <c r="I2" s="115"/>
      <c r="J2" s="115"/>
      <c r="K2" s="115"/>
      <c r="L2" s="115"/>
      <c r="M2" s="115"/>
      <c r="N2" s="115"/>
      <c r="O2" s="115"/>
      <c r="P2" s="115"/>
      <c r="Q2" s="115"/>
      <c r="R2" s="115"/>
      <c r="S2" s="115"/>
      <c r="T2" s="115"/>
    </row>
    <row r="3" spans="1:36">
      <c r="A3" s="185"/>
      <c r="B3" s="187" t="s">
        <v>2564</v>
      </c>
      <c r="C3" s="187"/>
      <c r="D3" s="187"/>
      <c r="E3" s="187"/>
      <c r="F3" s="187"/>
      <c r="G3" s="187"/>
      <c r="H3" s="187"/>
      <c r="I3" s="187"/>
      <c r="J3" s="187"/>
      <c r="K3" s="187"/>
      <c r="L3" s="187"/>
      <c r="M3" s="187"/>
      <c r="N3" s="187"/>
      <c r="O3" s="187"/>
      <c r="P3" s="187"/>
      <c r="Q3" s="187"/>
      <c r="R3" s="187"/>
      <c r="S3" s="187"/>
      <c r="T3" s="187"/>
    </row>
    <row r="4" spans="1:36">
      <c r="A4" s="185"/>
      <c r="B4" s="188" t="s">
        <v>2565</v>
      </c>
      <c r="C4" s="189"/>
      <c r="D4" s="189"/>
      <c r="E4" s="189"/>
      <c r="F4" s="189"/>
      <c r="G4" s="189"/>
      <c r="H4" s="189"/>
      <c r="I4" s="189"/>
      <c r="J4" s="189"/>
      <c r="K4" s="189"/>
      <c r="L4" s="189"/>
      <c r="M4" s="189"/>
      <c r="N4" s="189"/>
      <c r="O4" s="189"/>
      <c r="P4" s="189"/>
      <c r="Q4" s="189"/>
      <c r="R4" s="189"/>
      <c r="S4" s="189"/>
      <c r="T4" s="189"/>
    </row>
    <row r="5" spans="1:36">
      <c r="A5" s="185"/>
    </row>
    <row r="6" spans="1:36" s="185" customFormat="1" ht="17.399999999999999">
      <c r="B6" s="190" t="s">
        <v>2273</v>
      </c>
      <c r="C6" s="190"/>
      <c r="D6" s="190"/>
      <c r="E6" s="190"/>
      <c r="F6" s="190"/>
      <c r="G6" s="190"/>
      <c r="H6" s="190"/>
      <c r="I6" s="190"/>
      <c r="J6" s="87"/>
      <c r="K6" s="87"/>
      <c r="L6" s="87"/>
      <c r="M6" s="87"/>
      <c r="N6" s="87"/>
      <c r="O6" s="87"/>
      <c r="P6" s="87"/>
      <c r="Q6" s="87"/>
      <c r="R6" s="87"/>
      <c r="S6" s="87"/>
      <c r="T6" s="87"/>
    </row>
    <row r="7" spans="1:36" s="185" customFormat="1">
      <c r="B7" s="186" t="s">
        <v>1641</v>
      </c>
      <c r="C7" s="186" t="s">
        <v>1642</v>
      </c>
      <c r="D7" s="186" t="s">
        <v>1643</v>
      </c>
      <c r="E7" s="186" t="s">
        <v>1636</v>
      </c>
      <c r="F7" s="186" t="s">
        <v>1647</v>
      </c>
      <c r="G7" s="186" t="s">
        <v>1644</v>
      </c>
      <c r="H7" s="186" t="s">
        <v>1638</v>
      </c>
      <c r="I7" s="186" t="s">
        <v>1648</v>
      </c>
      <c r="J7" s="186" t="s">
        <v>1645</v>
      </c>
      <c r="K7" s="186" t="s">
        <v>1495</v>
      </c>
      <c r="L7" s="87"/>
      <c r="M7" s="87"/>
      <c r="N7" s="87"/>
      <c r="O7" s="87"/>
      <c r="P7" s="87"/>
      <c r="Q7" s="87"/>
      <c r="R7" s="87"/>
      <c r="S7" s="87"/>
      <c r="T7" s="87"/>
      <c r="U7" s="87"/>
      <c r="V7" s="87"/>
      <c r="AA7" s="186"/>
      <c r="AB7" s="186"/>
      <c r="AC7" s="186"/>
      <c r="AD7" s="186"/>
      <c r="AE7" s="186"/>
      <c r="AF7" s="186"/>
      <c r="AG7" s="186"/>
      <c r="AH7" s="186"/>
      <c r="AI7" s="186"/>
      <c r="AJ7" s="186"/>
    </row>
    <row r="8" spans="1:36" s="185" customFormat="1">
      <c r="B8" s="13" t="str" cm="1">
        <f t="array" ref="B8">IF(ROW()-ROW(tbl_H_EligibilitySummary[#Headers])&lt;=ROWS(tbl_H_Assessment[ActionID]),"Existing action","Additional action")</f>
        <v>Existing action</v>
      </c>
      <c r="C8" s="13" t="str" cm="1">
        <f t="array" ref="C8">IF(ROW()-ROW(tbl_H_EligibilitySummary[#Headers])&lt;=ROWS(tbl_H_Assessment[ActionID]),INDEX(tbl_H_Assessment[ActionID],ROW()-ROW(tbl_H_EligibilitySummary[#Headers])),INDEX(tbl_H_AdditionalActions[AdditionalActionID],ROW()-ROW(tbl_H_EligibilitySummary[#Headers])-ROWS(tbl_H_Assessment[ActionID])))</f>
        <v>c40_0046</v>
      </c>
      <c r="D8" s="13" t="str" cm="1">
        <f t="array" ref="D8">IF(ROW()-ROW(tbl_H_EligibilitySummary[#Headers])&lt;=ROWS(tbl_H_Assessment[ActionID]),INDEX(tbl_H_Assessment[ActionName],ROW()-ROW(tbl_H_EligibilitySummary[#Headers])),INDEX(tbl_H_AdditionalActions[ActionName],ROW()-ROW(tbl_H_EligibilitySummary[#Headers])-ROWS(tbl_H_Assessment[ActionID])))</f>
        <v>Strengthen coastal protection infrastructure</v>
      </c>
      <c r="E8" s="13" cm="1">
        <f t="array" ref="E8">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8" s="13" t="str" cm="1">
        <f t="array" ref="F8">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8" s="13" t="str" cm="1">
        <f t="array" ref="G8">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8" s="13" cm="1">
        <f t="array" ref="H8">IF(ROW()-ROW(tbl_H_EligibilitySummary[#Headers])&lt;=ROWS(tbl_H_Assessment[ActionID]),INDEX(tbl_H_Assessment[Exposure Eligibility],ROW()-ROW(tbl_H_EligibilitySummary[#Headers])),INDEX(tbl_H_AdditionalActions[Exposure Eligibility],ROW()-ROW(tbl_H_EligibilitySummary[#Headers])-ROWS(tbl_H_Assessment[ActionID])))</f>
        <v>0</v>
      </c>
      <c r="I8" s="13" t="str" cm="1">
        <f t="array" ref="I8">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8" s="13" t="str" cm="1">
        <f t="array" ref="J8">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8" s="13" cm="1">
        <f t="array" ref="K8">IF(ROW()-ROW(tbl_H_EligibilitySummary[#Headers])&lt;=ROWS(tbl_H_Assessment[ActionID]),INDEX(tbl_H_Assessment[ReviewStatus],ROW()-ROW(tbl_H_EligibilitySummary[#Headers])),INDEX(tbl_H_AdditionalActions[ReviewStatus],ROW()-ROW(tbl_H_EligibilitySummary[#Headers])-ROWS(tbl_H_Assessment[ActionID])))</f>
        <v>0</v>
      </c>
      <c r="L8" s="87"/>
      <c r="M8" s="87"/>
      <c r="N8" s="87"/>
      <c r="O8" s="87"/>
      <c r="P8" s="87"/>
      <c r="Q8" s="87"/>
      <c r="R8" s="87"/>
      <c r="S8" s="87"/>
      <c r="T8" s="87"/>
      <c r="U8" s="87"/>
      <c r="V8" s="87"/>
      <c r="AA8" s="186"/>
      <c r="AB8" s="186"/>
      <c r="AC8" s="186"/>
      <c r="AD8" s="186"/>
      <c r="AE8" s="186"/>
      <c r="AF8" s="186"/>
      <c r="AG8" s="186"/>
      <c r="AH8" s="186"/>
      <c r="AI8" s="186"/>
      <c r="AJ8" s="186"/>
    </row>
    <row r="9" spans="1:36" s="185" customFormat="1">
      <c r="B9" s="13" t="str" cm="1">
        <f t="array" ref="B9">IF(ROW()-ROW(tbl_H_EligibilitySummary[#Headers])&lt;=ROWS(tbl_H_Assessment[ActionID]),"Existing action","Additional action")</f>
        <v>Existing action</v>
      </c>
      <c r="C9" s="13" t="str" cm="1">
        <f t="array" ref="C9">IF(ROW()-ROW(tbl_H_EligibilitySummary[#Headers])&lt;=ROWS(tbl_H_Assessment[ActionID]),INDEX(tbl_H_Assessment[ActionID],ROW()-ROW(tbl_H_EligibilitySummary[#Headers])),INDEX(tbl_H_AdditionalActions[AdditionalActionID],ROW()-ROW(tbl_H_EligibilitySummary[#Headers])-ROWS(tbl_H_Assessment[ActionID])))</f>
        <v>c40_0048</v>
      </c>
      <c r="D9" s="13" t="str" cm="1">
        <f t="array" ref="D9">IF(ROW()-ROW(tbl_H_EligibilitySummary[#Headers])&lt;=ROWS(tbl_H_Assessment[ActionID]),INDEX(tbl_H_Assessment[ActionName],ROW()-ROW(tbl_H_EligibilitySummary[#Headers])),INDEX(tbl_H_AdditionalActions[ActionName],ROW()-ROW(tbl_H_EligibilitySummary[#Headers])-ROWS(tbl_H_Assessment[ActionID])))</f>
        <v>Upgrade urban drainage systems</v>
      </c>
      <c r="E9" s="13" cm="1">
        <f t="array" ref="E9">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9" s="13" t="str" cm="1">
        <f t="array" ref="F9">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9" s="13" t="str" cm="1">
        <f t="array" ref="G9">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9" s="13" cm="1">
        <f t="array" ref="H9">IF(ROW()-ROW(tbl_H_EligibilitySummary[#Headers])&lt;=ROWS(tbl_H_Assessment[ActionID]),INDEX(tbl_H_Assessment[Exposure Eligibility],ROW()-ROW(tbl_H_EligibilitySummary[#Headers])),INDEX(tbl_H_AdditionalActions[Exposure Eligibility],ROW()-ROW(tbl_H_EligibilitySummary[#Headers])-ROWS(tbl_H_Assessment[ActionID])))</f>
        <v>0</v>
      </c>
      <c r="I9" s="13" t="str" cm="1">
        <f t="array" ref="I9">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9" s="13" t="str" cm="1">
        <f t="array" ref="J9">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9" s="13" cm="1">
        <f t="array" ref="K9">IF(ROW()-ROW(tbl_H_EligibilitySummary[#Headers])&lt;=ROWS(tbl_H_Assessment[ActionID]),INDEX(tbl_H_Assessment[ReviewStatus],ROW()-ROW(tbl_H_EligibilitySummary[#Headers])),INDEX(tbl_H_AdditionalActions[ReviewStatus],ROW()-ROW(tbl_H_EligibilitySummary[#Headers])-ROWS(tbl_H_Assessment[ActionID])))</f>
        <v>0</v>
      </c>
      <c r="L9" s="87"/>
      <c r="M9" s="87"/>
      <c r="N9" s="87"/>
      <c r="O9" s="87"/>
      <c r="P9" s="87"/>
      <c r="Q9" s="87"/>
      <c r="R9" s="87"/>
      <c r="S9" s="87"/>
      <c r="T9" s="87"/>
      <c r="U9" s="87"/>
      <c r="V9" s="87"/>
      <c r="AA9" s="186"/>
      <c r="AB9" s="186"/>
      <c r="AC9" s="186"/>
      <c r="AD9" s="186"/>
      <c r="AE9" s="186"/>
      <c r="AF9" s="186"/>
      <c r="AG9" s="186"/>
      <c r="AH9" s="186"/>
      <c r="AI9" s="186"/>
      <c r="AJ9" s="186"/>
    </row>
    <row r="10" spans="1:36" s="185" customFormat="1">
      <c r="B10" s="13" t="str" cm="1">
        <f t="array" ref="B10">IF(ROW()-ROW(tbl_H_EligibilitySummary[#Headers])&lt;=ROWS(tbl_H_Assessment[ActionID]),"Existing action","Additional action")</f>
        <v>Existing action</v>
      </c>
      <c r="C10" s="13" t="str" cm="1">
        <f t="array" ref="C10">IF(ROW()-ROW(tbl_H_EligibilitySummary[#Headers])&lt;=ROWS(tbl_H_Assessment[ActionID]),INDEX(tbl_H_Assessment[ActionID],ROW()-ROW(tbl_H_EligibilitySummary[#Headers])),INDEX(tbl_H_AdditionalActions[AdditionalActionID],ROW()-ROW(tbl_H_EligibilitySummary[#Headers])-ROWS(tbl_H_Assessment[ActionID])))</f>
        <v>c40_0049</v>
      </c>
      <c r="D10" s="13" t="str" cm="1">
        <f t="array" ref="D10">IF(ROW()-ROW(tbl_H_EligibilitySummary[#Headers])&lt;=ROWS(tbl_H_Assessment[ActionID]),INDEX(tbl_H_Assessment[ActionName],ROW()-ROW(tbl_H_EligibilitySummary[#Headers])),INDEX(tbl_H_AdditionalActions[ActionName],ROW()-ROW(tbl_H_EligibilitySummary[#Headers])-ROWS(tbl_H_Assessment[ActionID])))</f>
        <v>Build and maintain shelters for critical climate hazards</v>
      </c>
      <c r="E10" s="13" cm="1">
        <f t="array" ref="E10">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10" s="13" t="str" cm="1">
        <f t="array" ref="F10">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10" s="13" t="str" cm="1">
        <f t="array" ref="G10">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10" s="13" cm="1">
        <f t="array" ref="H10">IF(ROW()-ROW(tbl_H_EligibilitySummary[#Headers])&lt;=ROWS(tbl_H_Assessment[ActionID]),INDEX(tbl_H_Assessment[Exposure Eligibility],ROW()-ROW(tbl_H_EligibilitySummary[#Headers])),INDEX(tbl_H_AdditionalActions[Exposure Eligibility],ROW()-ROW(tbl_H_EligibilitySummary[#Headers])-ROWS(tbl_H_Assessment[ActionID])))</f>
        <v>0</v>
      </c>
      <c r="I10" s="13" t="str" cm="1">
        <f t="array" ref="I10">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10" s="13" t="str" cm="1">
        <f t="array" ref="J10">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10" s="13" cm="1">
        <f t="array" ref="K10">IF(ROW()-ROW(tbl_H_EligibilitySummary[#Headers])&lt;=ROWS(tbl_H_Assessment[ActionID]),INDEX(tbl_H_Assessment[ReviewStatus],ROW()-ROW(tbl_H_EligibilitySummary[#Headers])),INDEX(tbl_H_AdditionalActions[ReviewStatus],ROW()-ROW(tbl_H_EligibilitySummary[#Headers])-ROWS(tbl_H_Assessment[ActionID])))</f>
        <v>0</v>
      </c>
      <c r="L10" s="87"/>
      <c r="M10" s="87"/>
      <c r="N10" s="87"/>
      <c r="O10" s="87"/>
      <c r="P10" s="87"/>
      <c r="Q10" s="87"/>
      <c r="R10" s="87"/>
      <c r="S10" s="87"/>
      <c r="T10" s="87"/>
      <c r="U10" s="87"/>
      <c r="V10" s="87"/>
      <c r="AA10" s="186"/>
      <c r="AB10" s="186"/>
      <c r="AC10" s="186"/>
      <c r="AD10" s="186"/>
      <c r="AE10" s="186"/>
      <c r="AF10" s="186"/>
      <c r="AG10" s="186"/>
      <c r="AH10" s="186"/>
      <c r="AI10" s="186"/>
      <c r="AJ10" s="186"/>
    </row>
    <row r="11" spans="1:36" s="185" customFormat="1">
      <c r="B11" s="13" t="str" cm="1">
        <f t="array" ref="B11">IF(ROW()-ROW(tbl_H_EligibilitySummary[#Headers])&lt;=ROWS(tbl_H_Assessment[ActionID]),"Existing action","Additional action")</f>
        <v>Existing action</v>
      </c>
      <c r="C11" s="13" t="str" cm="1">
        <f t="array" ref="C11">IF(ROW()-ROW(tbl_H_EligibilitySummary[#Headers])&lt;=ROWS(tbl_H_Assessment[ActionID]),INDEX(tbl_H_Assessment[ActionID],ROW()-ROW(tbl_H_EligibilitySummary[#Headers])),INDEX(tbl_H_AdditionalActions[AdditionalActionID],ROW()-ROW(tbl_H_EligibilitySummary[#Headers])-ROWS(tbl_H_Assessment[ActionID])))</f>
        <v>c40_0051</v>
      </c>
      <c r="D11" s="13" t="str" cm="1">
        <f t="array" ref="D11">IF(ROW()-ROW(tbl_H_EligibilitySummary[#Headers])&lt;=ROWS(tbl_H_Assessment[ActionID]),INDEX(tbl_H_Assessment[ActionName],ROW()-ROW(tbl_H_EligibilitySummary[#Headers])),INDEX(tbl_H_AdditionalActions[ActionName],ROW()-ROW(tbl_H_EligibilitySummary[#Headers])-ROWS(tbl_H_Assessment[ActionID])))</f>
        <v>Provide public shading in heat hotspots</v>
      </c>
      <c r="E11" s="13" cm="1">
        <f t="array" ref="E11">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11" s="13" t="str" cm="1">
        <f t="array" ref="F11">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11" s="13" t="str" cm="1">
        <f t="array" ref="G11">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11" s="13" cm="1">
        <f t="array" ref="H11">IF(ROW()-ROW(tbl_H_EligibilitySummary[#Headers])&lt;=ROWS(tbl_H_Assessment[ActionID]),INDEX(tbl_H_Assessment[Exposure Eligibility],ROW()-ROW(tbl_H_EligibilitySummary[#Headers])),INDEX(tbl_H_AdditionalActions[Exposure Eligibility],ROW()-ROW(tbl_H_EligibilitySummary[#Headers])-ROWS(tbl_H_Assessment[ActionID])))</f>
        <v>0</v>
      </c>
      <c r="I11" s="13" t="str" cm="1">
        <f t="array" ref="I11">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11" s="13" t="str" cm="1">
        <f t="array" ref="J11">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11" s="13" cm="1">
        <f t="array" ref="K11">IF(ROW()-ROW(tbl_H_EligibilitySummary[#Headers])&lt;=ROWS(tbl_H_Assessment[ActionID]),INDEX(tbl_H_Assessment[ReviewStatus],ROW()-ROW(tbl_H_EligibilitySummary[#Headers])),INDEX(tbl_H_AdditionalActions[ReviewStatus],ROW()-ROW(tbl_H_EligibilitySummary[#Headers])-ROWS(tbl_H_Assessment[ActionID])))</f>
        <v>0</v>
      </c>
      <c r="L11" s="87"/>
      <c r="M11" s="87"/>
      <c r="N11" s="87"/>
      <c r="O11" s="87"/>
      <c r="P11" s="87"/>
      <c r="Q11" s="87"/>
      <c r="R11" s="87"/>
      <c r="S11" s="87"/>
      <c r="T11" s="87"/>
      <c r="U11" s="87"/>
      <c r="V11" s="87"/>
      <c r="AA11" s="186"/>
      <c r="AB11" s="186"/>
      <c r="AC11" s="186"/>
      <c r="AD11" s="186"/>
      <c r="AE11" s="186"/>
      <c r="AF11" s="186"/>
      <c r="AG11" s="186"/>
      <c r="AH11" s="186"/>
      <c r="AI11" s="186"/>
      <c r="AJ11" s="186"/>
    </row>
    <row r="12" spans="1:36" s="185" customFormat="1">
      <c r="B12" s="13" t="str" cm="1">
        <f t="array" ref="B12">IF(ROW()-ROW(tbl_H_EligibilitySummary[#Headers])&lt;=ROWS(tbl_H_Assessment[ActionID]),"Existing action","Additional action")</f>
        <v>Existing action</v>
      </c>
      <c r="C12" s="13" t="str" cm="1">
        <f t="array" ref="C12">IF(ROW()-ROW(tbl_H_EligibilitySummary[#Headers])&lt;=ROWS(tbl_H_Assessment[ActionID]),INDEX(tbl_H_Assessment[ActionID],ROW()-ROW(tbl_H_EligibilitySummary[#Headers])),INDEX(tbl_H_AdditionalActions[AdditionalActionID],ROW()-ROW(tbl_H_EligibilitySummary[#Headers])-ROWS(tbl_H_Assessment[ActionID])))</f>
        <v>c40_0052</v>
      </c>
      <c r="D12" s="13" t="str" cm="1">
        <f t="array" ref="D12">IF(ROW()-ROW(tbl_H_EligibilitySummary[#Headers])&lt;=ROWS(tbl_H_Assessment[ActionID]),INDEX(tbl_H_Assessment[ActionName],ROW()-ROW(tbl_H_EligibilitySummary[#Headers])),INDEX(tbl_H_AdditionalActions[ActionName],ROW()-ROW(tbl_H_EligibilitySummary[#Headers])-ROWS(tbl_H_Assessment[ActionID])))</f>
        <v>Deploy cool pavements and cool roofs on heat‑exposed streets and buildings</v>
      </c>
      <c r="E12" s="13" cm="1">
        <f t="array" ref="E12">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12" s="13" t="str" cm="1">
        <f t="array" ref="F12">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12" s="13" t="str" cm="1">
        <f t="array" ref="G12">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12" s="13" cm="1">
        <f t="array" ref="H12">IF(ROW()-ROW(tbl_H_EligibilitySummary[#Headers])&lt;=ROWS(tbl_H_Assessment[ActionID]),INDEX(tbl_H_Assessment[Exposure Eligibility],ROW()-ROW(tbl_H_EligibilitySummary[#Headers])),INDEX(tbl_H_AdditionalActions[Exposure Eligibility],ROW()-ROW(tbl_H_EligibilitySummary[#Headers])-ROWS(tbl_H_Assessment[ActionID])))</f>
        <v>0</v>
      </c>
      <c r="I12" s="13" t="str" cm="1">
        <f t="array" ref="I12">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12" s="13" t="str" cm="1">
        <f t="array" ref="J12">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12" s="13" cm="1">
        <f t="array" ref="K12">IF(ROW()-ROW(tbl_H_EligibilitySummary[#Headers])&lt;=ROWS(tbl_H_Assessment[ActionID]),INDEX(tbl_H_Assessment[ReviewStatus],ROW()-ROW(tbl_H_EligibilitySummary[#Headers])),INDEX(tbl_H_AdditionalActions[ReviewStatus],ROW()-ROW(tbl_H_EligibilitySummary[#Headers])-ROWS(tbl_H_Assessment[ActionID])))</f>
        <v>0</v>
      </c>
      <c r="L12" s="87"/>
      <c r="M12" s="87"/>
      <c r="N12" s="87"/>
      <c r="O12" s="87"/>
      <c r="P12" s="87"/>
      <c r="Q12" s="87"/>
      <c r="R12" s="87"/>
      <c r="S12" s="87"/>
      <c r="T12" s="87"/>
      <c r="U12" s="87"/>
      <c r="V12" s="87"/>
      <c r="AA12" s="186"/>
      <c r="AB12" s="186"/>
      <c r="AC12" s="186"/>
      <c r="AD12" s="186"/>
      <c r="AE12" s="186"/>
      <c r="AF12" s="186"/>
      <c r="AG12" s="186"/>
      <c r="AH12" s="186"/>
      <c r="AI12" s="186"/>
      <c r="AJ12" s="186"/>
    </row>
    <row r="13" spans="1:36" s="185" customFormat="1">
      <c r="B13" s="13" t="str" cm="1">
        <f t="array" ref="B13">IF(ROW()-ROW(tbl_H_EligibilitySummary[#Headers])&lt;=ROWS(tbl_H_Assessment[ActionID]),"Existing action","Additional action")</f>
        <v>Existing action</v>
      </c>
      <c r="C13" s="13" t="str" cm="1">
        <f t="array" ref="C13">IF(ROW()-ROW(tbl_H_EligibilitySummary[#Headers])&lt;=ROWS(tbl_H_Assessment[ActionID]),INDEX(tbl_H_Assessment[ActionID],ROW()-ROW(tbl_H_EligibilitySummary[#Headers])),INDEX(tbl_H_AdditionalActions[AdditionalActionID],ROW()-ROW(tbl_H_EligibilitySummary[#Headers])-ROWS(tbl_H_Assessment[ActionID])))</f>
        <v>c40_0053</v>
      </c>
      <c r="D13" s="13" t="str" cm="1">
        <f t="array" ref="D13">IF(ROW()-ROW(tbl_H_EligibilitySummary[#Headers])&lt;=ROWS(tbl_H_Assessment[ActionID]),INDEX(tbl_H_Assessment[ActionName],ROW()-ROW(tbl_H_EligibilitySummary[#Headers])),INDEX(tbl_H_AdditionalActions[ActionName],ROW()-ROW(tbl_H_EligibilitySummary[#Headers])-ROWS(tbl_H_Assessment[ActionID])))</f>
        <v>Promote water-saving technologies and practices</v>
      </c>
      <c r="E13" s="13" cm="1">
        <f t="array" ref="E13">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13" s="13" t="str" cm="1">
        <f t="array" ref="F13">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13" s="13" t="str" cm="1">
        <f t="array" ref="G13">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13" s="13" cm="1">
        <f t="array" ref="H13">IF(ROW()-ROW(tbl_H_EligibilitySummary[#Headers])&lt;=ROWS(tbl_H_Assessment[ActionID]),INDEX(tbl_H_Assessment[Exposure Eligibility],ROW()-ROW(tbl_H_EligibilitySummary[#Headers])),INDEX(tbl_H_AdditionalActions[Exposure Eligibility],ROW()-ROW(tbl_H_EligibilitySummary[#Headers])-ROWS(tbl_H_Assessment[ActionID])))</f>
        <v>0</v>
      </c>
      <c r="I13" s="13" t="str" cm="1">
        <f t="array" ref="I13">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13" s="13" t="str" cm="1">
        <f t="array" ref="J13">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13" s="13" cm="1">
        <f t="array" ref="K13">IF(ROW()-ROW(tbl_H_EligibilitySummary[#Headers])&lt;=ROWS(tbl_H_Assessment[ActionID]),INDEX(tbl_H_Assessment[ReviewStatus],ROW()-ROW(tbl_H_EligibilitySummary[#Headers])),INDEX(tbl_H_AdditionalActions[ReviewStatus],ROW()-ROW(tbl_H_EligibilitySummary[#Headers])-ROWS(tbl_H_Assessment[ActionID])))</f>
        <v>0</v>
      </c>
      <c r="L13" s="87"/>
      <c r="M13" s="87"/>
      <c r="N13" s="87"/>
      <c r="O13" s="87"/>
      <c r="P13" s="87"/>
      <c r="Q13" s="87"/>
      <c r="R13" s="87"/>
      <c r="S13" s="87"/>
      <c r="T13" s="87"/>
      <c r="U13" s="87"/>
      <c r="V13" s="87"/>
      <c r="AA13" s="186"/>
      <c r="AB13" s="186"/>
      <c r="AC13" s="186"/>
      <c r="AD13" s="186"/>
      <c r="AE13" s="186"/>
      <c r="AF13" s="186"/>
      <c r="AG13" s="186"/>
      <c r="AH13" s="186"/>
      <c r="AI13" s="186"/>
      <c r="AJ13" s="186"/>
    </row>
    <row r="14" spans="1:36" s="185" customFormat="1">
      <c r="B14" s="13" t="str" cm="1">
        <f t="array" ref="B14">IF(ROW()-ROW(tbl_H_EligibilitySummary[#Headers])&lt;=ROWS(tbl_H_Assessment[ActionID]),"Existing action","Additional action")</f>
        <v>Existing action</v>
      </c>
      <c r="C14" s="13" t="str" cm="1">
        <f t="array" ref="C14">IF(ROW()-ROW(tbl_H_EligibilitySummary[#Headers])&lt;=ROWS(tbl_H_Assessment[ActionID]),INDEX(tbl_H_Assessment[ActionID],ROW()-ROW(tbl_H_EligibilitySummary[#Headers])),INDEX(tbl_H_AdditionalActions[AdditionalActionID],ROW()-ROW(tbl_H_EligibilitySummary[#Headers])-ROWS(tbl_H_Assessment[ActionID])))</f>
        <v>c40_0056</v>
      </c>
      <c r="D14" s="13" t="str" cm="1">
        <f t="array" ref="D14">IF(ROW()-ROW(tbl_H_EligibilitySummary[#Headers])&lt;=ROWS(tbl_H_Assessment[ActionID]),INDEX(tbl_H_Assessment[ActionName],ROW()-ROW(tbl_H_EligibilitySummary[#Headers])),INDEX(tbl_H_AdditionalActions[ActionName],ROW()-ROW(tbl_H_EligibilitySummary[#Headers])-ROWS(tbl_H_Assessment[ActionID])))</f>
        <v>Improve Watershed Protection and Management</v>
      </c>
      <c r="E14" s="13" cm="1">
        <f t="array" ref="E14">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14" s="13" t="str" cm="1">
        <f t="array" ref="F14">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14" s="13" t="str" cm="1">
        <f t="array" ref="G14">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14" s="13" cm="1">
        <f t="array" ref="H14">IF(ROW()-ROW(tbl_H_EligibilitySummary[#Headers])&lt;=ROWS(tbl_H_Assessment[ActionID]),INDEX(tbl_H_Assessment[Exposure Eligibility],ROW()-ROW(tbl_H_EligibilitySummary[#Headers])),INDEX(tbl_H_AdditionalActions[Exposure Eligibility],ROW()-ROW(tbl_H_EligibilitySummary[#Headers])-ROWS(tbl_H_Assessment[ActionID])))</f>
        <v>0</v>
      </c>
      <c r="I14" s="13" t="str" cm="1">
        <f t="array" ref="I14">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14" s="13" t="str" cm="1">
        <f t="array" ref="J14">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14" s="13" cm="1">
        <f t="array" ref="K14">IF(ROW()-ROW(tbl_H_EligibilitySummary[#Headers])&lt;=ROWS(tbl_H_Assessment[ActionID]),INDEX(tbl_H_Assessment[ReviewStatus],ROW()-ROW(tbl_H_EligibilitySummary[#Headers])),INDEX(tbl_H_AdditionalActions[ReviewStatus],ROW()-ROW(tbl_H_EligibilitySummary[#Headers])-ROWS(tbl_H_Assessment[ActionID])))</f>
        <v>0</v>
      </c>
      <c r="L14" s="87"/>
      <c r="M14" s="87"/>
      <c r="N14" s="87"/>
      <c r="O14" s="87"/>
      <c r="P14" s="87"/>
      <c r="Q14" s="87"/>
      <c r="R14" s="87"/>
      <c r="S14" s="87"/>
      <c r="T14" s="87"/>
      <c r="U14" s="87"/>
      <c r="V14" s="87"/>
      <c r="AA14" s="186"/>
      <c r="AB14" s="186"/>
      <c r="AC14" s="186"/>
      <c r="AD14" s="186"/>
      <c r="AE14" s="186"/>
      <c r="AF14" s="186"/>
      <c r="AG14" s="186"/>
      <c r="AH14" s="186"/>
      <c r="AI14" s="186"/>
      <c r="AJ14" s="186"/>
    </row>
    <row r="15" spans="1:36" s="185" customFormat="1">
      <c r="B15" s="13" t="str" cm="1">
        <f t="array" ref="B15">IF(ROW()-ROW(tbl_H_EligibilitySummary[#Headers])&lt;=ROWS(tbl_H_Assessment[ActionID]),"Existing action","Additional action")</f>
        <v>Existing action</v>
      </c>
      <c r="C15" s="13" t="str" cm="1">
        <f t="array" ref="C15">IF(ROW()-ROW(tbl_H_EligibilitySummary[#Headers])&lt;=ROWS(tbl_H_Assessment[ActionID]),INDEX(tbl_H_Assessment[ActionID],ROW()-ROW(tbl_H_EligibilitySummary[#Headers])),INDEX(tbl_H_AdditionalActions[AdditionalActionID],ROW()-ROW(tbl_H_EligibilitySummary[#Headers])-ROWS(tbl_H_Assessment[ActionID])))</f>
        <v>c40_0062</v>
      </c>
      <c r="D15" s="13" t="str" cm="1">
        <f t="array" ref="D15">IF(ROW()-ROW(tbl_H_EligibilitySummary[#Headers])&lt;=ROWS(tbl_H_Assessment[ActionID]),INDEX(tbl_H_Assessment[ActionName],ROW()-ROW(tbl_H_EligibilitySummary[#Headers])),INDEX(tbl_H_AdditionalActions[ActionName],ROW()-ROW(tbl_H_EligibilitySummary[#Headers])-ROWS(tbl_H_Assessment[ActionID])))</f>
        <v>Reform water tariffs to support efficiency and equity</v>
      </c>
      <c r="E15" s="13" cm="1">
        <f t="array" ref="E15">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15" s="13" t="str" cm="1">
        <f t="array" ref="F15">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15" s="13" t="str" cm="1">
        <f t="array" ref="G15">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15" s="13" cm="1">
        <f t="array" ref="H15">IF(ROW()-ROW(tbl_H_EligibilitySummary[#Headers])&lt;=ROWS(tbl_H_Assessment[ActionID]),INDEX(tbl_H_Assessment[Exposure Eligibility],ROW()-ROW(tbl_H_EligibilitySummary[#Headers])),INDEX(tbl_H_AdditionalActions[Exposure Eligibility],ROW()-ROW(tbl_H_EligibilitySummary[#Headers])-ROWS(tbl_H_Assessment[ActionID])))</f>
        <v>0</v>
      </c>
      <c r="I15" s="13" t="str" cm="1">
        <f t="array" ref="I15">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15" s="13" t="str" cm="1">
        <f t="array" ref="J15">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15" s="13" cm="1">
        <f t="array" ref="K15">IF(ROW()-ROW(tbl_H_EligibilitySummary[#Headers])&lt;=ROWS(tbl_H_Assessment[ActionID]),INDEX(tbl_H_Assessment[ReviewStatus],ROW()-ROW(tbl_H_EligibilitySummary[#Headers])),INDEX(tbl_H_AdditionalActions[ReviewStatus],ROW()-ROW(tbl_H_EligibilitySummary[#Headers])-ROWS(tbl_H_Assessment[ActionID])))</f>
        <v>0</v>
      </c>
      <c r="L15" s="87"/>
      <c r="M15" s="87"/>
      <c r="N15" s="87"/>
      <c r="O15" s="87"/>
      <c r="P15" s="87"/>
      <c r="Q15" s="87"/>
      <c r="R15" s="87"/>
      <c r="S15" s="87"/>
      <c r="T15" s="87"/>
      <c r="U15" s="87"/>
      <c r="V15" s="87"/>
      <c r="AA15" s="186"/>
      <c r="AB15" s="186"/>
      <c r="AC15" s="186"/>
      <c r="AD15" s="186"/>
      <c r="AE15" s="186"/>
      <c r="AF15" s="186"/>
      <c r="AG15" s="186"/>
      <c r="AH15" s="186"/>
      <c r="AI15" s="186"/>
      <c r="AJ15" s="186"/>
    </row>
    <row r="16" spans="1:36" s="185" customFormat="1">
      <c r="B16" s="13" t="str" cm="1">
        <f t="array" ref="B16">IF(ROW()-ROW(tbl_H_EligibilitySummary[#Headers])&lt;=ROWS(tbl_H_Assessment[ActionID]),"Existing action","Additional action")</f>
        <v>Existing action</v>
      </c>
      <c r="C16" s="13" t="str" cm="1">
        <f t="array" ref="C16">IF(ROW()-ROW(tbl_H_EligibilitySummary[#Headers])&lt;=ROWS(tbl_H_Assessment[ActionID]),INDEX(tbl_H_Assessment[ActionID],ROW()-ROW(tbl_H_EligibilitySummary[#Headers])),INDEX(tbl_H_AdditionalActions[AdditionalActionID],ROW()-ROW(tbl_H_EligibilitySummary[#Headers])-ROWS(tbl_H_Assessment[ActionID])))</f>
        <v>icare_0144</v>
      </c>
      <c r="D16" s="13" t="str" cm="1">
        <f t="array" ref="D16">IF(ROW()-ROW(tbl_H_EligibilitySummary[#Headers])&lt;=ROWS(tbl_H_Assessment[ActionID]),INDEX(tbl_H_Assessment[ActionName],ROW()-ROW(tbl_H_EligibilitySummary[#Headers])),INDEX(tbl_H_AdditionalActions[ActionName],ROW()-ROW(tbl_H_EligibilitySummary[#Headers])-ROWS(tbl_H_Assessment[ActionID])))</f>
        <v>Establish a financial support program for extreme weather events</v>
      </c>
      <c r="E16" s="13" cm="1">
        <f t="array" ref="E16">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16" s="13" t="str" cm="1">
        <f t="array" ref="F16">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16" s="13" t="str" cm="1">
        <f t="array" ref="G16">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16" s="13" cm="1">
        <f t="array" ref="H16">IF(ROW()-ROW(tbl_H_EligibilitySummary[#Headers])&lt;=ROWS(tbl_H_Assessment[ActionID]),INDEX(tbl_H_Assessment[Exposure Eligibility],ROW()-ROW(tbl_H_EligibilitySummary[#Headers])),INDEX(tbl_H_AdditionalActions[Exposure Eligibility],ROW()-ROW(tbl_H_EligibilitySummary[#Headers])-ROWS(tbl_H_Assessment[ActionID])))</f>
        <v>0</v>
      </c>
      <c r="I16" s="13" t="str" cm="1">
        <f t="array" ref="I16">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16" s="13" t="str" cm="1">
        <f t="array" ref="J16">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16" s="13" cm="1">
        <f t="array" ref="K16">IF(ROW()-ROW(tbl_H_EligibilitySummary[#Headers])&lt;=ROWS(tbl_H_Assessment[ActionID]),INDEX(tbl_H_Assessment[ReviewStatus],ROW()-ROW(tbl_H_EligibilitySummary[#Headers])),INDEX(tbl_H_AdditionalActions[ReviewStatus],ROW()-ROW(tbl_H_EligibilitySummary[#Headers])-ROWS(tbl_H_Assessment[ActionID])))</f>
        <v>0</v>
      </c>
      <c r="L16" s="87"/>
      <c r="M16" s="87"/>
      <c r="N16" s="87"/>
      <c r="O16" s="87"/>
      <c r="P16" s="87"/>
      <c r="Q16" s="87"/>
      <c r="R16" s="87"/>
      <c r="S16" s="87"/>
      <c r="T16" s="87"/>
      <c r="U16" s="87"/>
      <c r="V16" s="87"/>
      <c r="AA16" s="186"/>
      <c r="AB16" s="186"/>
      <c r="AC16" s="186"/>
      <c r="AD16" s="186"/>
      <c r="AE16" s="186"/>
      <c r="AF16" s="186"/>
      <c r="AG16" s="186"/>
      <c r="AH16" s="186"/>
      <c r="AI16" s="186"/>
      <c r="AJ16" s="186"/>
    </row>
    <row r="17" spans="2:36" s="185" customFormat="1">
      <c r="B17" s="13" t="str" cm="1">
        <f t="array" ref="B17">IF(ROW()-ROW(tbl_H_EligibilitySummary[#Headers])&lt;=ROWS(tbl_H_Assessment[ActionID]),"Existing action","Additional action")</f>
        <v>Existing action</v>
      </c>
      <c r="C17" s="13" t="str" cm="1">
        <f t="array" ref="C17">IF(ROW()-ROW(tbl_H_EligibilitySummary[#Headers])&lt;=ROWS(tbl_H_Assessment[ActionID]),INDEX(tbl_H_Assessment[ActionID],ROW()-ROW(tbl_H_EligibilitySummary[#Headers])),INDEX(tbl_H_AdditionalActions[AdditionalActionID],ROW()-ROW(tbl_H_EligibilitySummary[#Headers])-ROWS(tbl_H_Assessment[ActionID])))</f>
        <v>icare_0145</v>
      </c>
      <c r="D17" s="13" t="str" cm="1">
        <f t="array" ref="D17">IF(ROW()-ROW(tbl_H_EligibilitySummary[#Headers])&lt;=ROWS(tbl_H_Assessment[ActionID]),INDEX(tbl_H_Assessment[ActionName],ROW()-ROW(tbl_H_EligibilitySummary[#Headers])),INDEX(tbl_H_AdditionalActions[ActionName],ROW()-ROW(tbl_H_EligibilitySummary[#Headers])-ROWS(tbl_H_Assessment[ActionID])))</f>
        <v>Strengthen the healthcare system to respond effectively to extreme events</v>
      </c>
      <c r="E17" s="13" cm="1">
        <f t="array" ref="E17">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17" s="13" t="str" cm="1">
        <f t="array" ref="F17">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17" s="13" t="str" cm="1">
        <f t="array" ref="G17">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17" s="13" cm="1">
        <f t="array" ref="H17">IF(ROW()-ROW(tbl_H_EligibilitySummary[#Headers])&lt;=ROWS(tbl_H_Assessment[ActionID]),INDEX(tbl_H_Assessment[Exposure Eligibility],ROW()-ROW(tbl_H_EligibilitySummary[#Headers])),INDEX(tbl_H_AdditionalActions[Exposure Eligibility],ROW()-ROW(tbl_H_EligibilitySummary[#Headers])-ROWS(tbl_H_Assessment[ActionID])))</f>
        <v>0</v>
      </c>
      <c r="I17" s="13" t="str" cm="1">
        <f t="array" ref="I17">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17" s="13" t="str" cm="1">
        <f t="array" ref="J17">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17" s="13" cm="1">
        <f t="array" ref="K17">IF(ROW()-ROW(tbl_H_EligibilitySummary[#Headers])&lt;=ROWS(tbl_H_Assessment[ActionID]),INDEX(tbl_H_Assessment[ReviewStatus],ROW()-ROW(tbl_H_EligibilitySummary[#Headers])),INDEX(tbl_H_AdditionalActions[ReviewStatus],ROW()-ROW(tbl_H_EligibilitySummary[#Headers])-ROWS(tbl_H_Assessment[ActionID])))</f>
        <v>0</v>
      </c>
      <c r="L17" s="87"/>
      <c r="M17" s="87"/>
      <c r="N17" s="87"/>
      <c r="O17" s="87"/>
      <c r="P17" s="87"/>
      <c r="Q17" s="87"/>
      <c r="R17" s="87"/>
      <c r="S17" s="87"/>
      <c r="T17" s="87"/>
      <c r="U17" s="87"/>
      <c r="V17" s="87"/>
      <c r="AA17" s="186"/>
      <c r="AB17" s="186"/>
      <c r="AC17" s="186"/>
      <c r="AD17" s="186"/>
      <c r="AE17" s="186"/>
      <c r="AF17" s="186"/>
      <c r="AG17" s="186"/>
      <c r="AH17" s="186"/>
      <c r="AI17" s="186"/>
      <c r="AJ17" s="186"/>
    </row>
    <row r="18" spans="2:36" s="185" customFormat="1">
      <c r="B18" s="13" t="str" cm="1">
        <f t="array" ref="B18">IF(ROW()-ROW(tbl_H_EligibilitySummary[#Headers])&lt;=ROWS(tbl_H_Assessment[ActionID]),"Existing action","Additional action")</f>
        <v>Existing action</v>
      </c>
      <c r="C18" s="13" t="str" cm="1">
        <f t="array" ref="C18">IF(ROW()-ROW(tbl_H_EligibilitySummary[#Headers])&lt;=ROWS(tbl_H_Assessment[ActionID]),INDEX(tbl_H_Assessment[ActionID],ROW()-ROW(tbl_H_EligibilitySummary[#Headers])),INDEX(tbl_H_AdditionalActions[AdditionalActionID],ROW()-ROW(tbl_H_EligibilitySummary[#Headers])-ROWS(tbl_H_Assessment[ActionID])))</f>
        <v>icare_0154</v>
      </c>
      <c r="D18" s="13" t="str" cm="1">
        <f t="array" ref="D18">IF(ROW()-ROW(tbl_H_EligibilitySummary[#Headers])&lt;=ROWS(tbl_H_Assessment[ActionID]),INDEX(tbl_H_Assessment[ActionName],ROW()-ROW(tbl_H_EligibilitySummary[#Headers])),INDEX(tbl_H_AdditionalActions[ActionName],ROW()-ROW(tbl_H_EligibilitySummary[#Headers])-ROWS(tbl_H_Assessment[ActionID])))</f>
        <v>Clean and unclog drainage channels and install eco-barriers</v>
      </c>
      <c r="E18" s="13" cm="1">
        <f t="array" ref="E18">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18" s="13" t="str" cm="1">
        <f t="array" ref="F18">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18" s="13" t="str" cm="1">
        <f t="array" ref="G18">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18" s="13" cm="1">
        <f t="array" ref="H18">IF(ROW()-ROW(tbl_H_EligibilitySummary[#Headers])&lt;=ROWS(tbl_H_Assessment[ActionID]),INDEX(tbl_H_Assessment[Exposure Eligibility],ROW()-ROW(tbl_H_EligibilitySummary[#Headers])),INDEX(tbl_H_AdditionalActions[Exposure Eligibility],ROW()-ROW(tbl_H_EligibilitySummary[#Headers])-ROWS(tbl_H_Assessment[ActionID])))</f>
        <v>0</v>
      </c>
      <c r="I18" s="13" t="str" cm="1">
        <f t="array" ref="I18">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18" s="13" t="str" cm="1">
        <f t="array" ref="J18">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18" s="13" cm="1">
        <f t="array" ref="K18">IF(ROW()-ROW(tbl_H_EligibilitySummary[#Headers])&lt;=ROWS(tbl_H_Assessment[ActionID]),INDEX(tbl_H_Assessment[ReviewStatus],ROW()-ROW(tbl_H_EligibilitySummary[#Headers])),INDEX(tbl_H_AdditionalActions[ReviewStatus],ROW()-ROW(tbl_H_EligibilitySummary[#Headers])-ROWS(tbl_H_Assessment[ActionID])))</f>
        <v>0</v>
      </c>
      <c r="L18" s="87"/>
      <c r="M18" s="87"/>
      <c r="N18" s="87"/>
      <c r="O18" s="87"/>
      <c r="P18" s="87"/>
      <c r="Q18" s="87"/>
      <c r="R18" s="87"/>
      <c r="S18" s="87"/>
      <c r="T18" s="87"/>
      <c r="U18" s="87"/>
      <c r="V18" s="87"/>
      <c r="AA18" s="186"/>
      <c r="AB18" s="186"/>
      <c r="AC18" s="186"/>
      <c r="AD18" s="186"/>
      <c r="AE18" s="186"/>
      <c r="AF18" s="186"/>
      <c r="AG18" s="186"/>
      <c r="AH18" s="186"/>
      <c r="AI18" s="186"/>
      <c r="AJ18" s="186"/>
    </row>
    <row r="19" spans="2:36" s="185" customFormat="1">
      <c r="B19" s="13" t="str" cm="1">
        <f t="array" ref="B19">IF(ROW()-ROW(tbl_H_EligibilitySummary[#Headers])&lt;=ROWS(tbl_H_Assessment[ActionID]),"Existing action","Additional action")</f>
        <v>Existing action</v>
      </c>
      <c r="C19" s="13" t="str" cm="1">
        <f t="array" ref="C19">IF(ROW()-ROW(tbl_H_EligibilitySummary[#Headers])&lt;=ROWS(tbl_H_Assessment[ActionID]),INDEX(tbl_H_Assessment[ActionID],ROW()-ROW(tbl_H_EligibilitySummary[#Headers])),INDEX(tbl_H_AdditionalActions[AdditionalActionID],ROW()-ROW(tbl_H_EligibilitySummary[#Headers])-ROWS(tbl_H_Assessment[ActionID])))</f>
        <v>icare_0156</v>
      </c>
      <c r="D19" s="13" t="str" cm="1">
        <f t="array" ref="D19">IF(ROW()-ROW(tbl_H_EligibilitySummary[#Headers])&lt;=ROWS(tbl_H_Assessment[ActionID]),INDEX(tbl_H_Assessment[ActionName],ROW()-ROW(tbl_H_EligibilitySummary[#Headers])),INDEX(tbl_H_AdditionalActions[ActionName],ROW()-ROW(tbl_H_EligibilitySummary[#Headers])-ROWS(tbl_H_Assessment[ActionID])))</f>
        <v>Improve Implementation of urban gardens</v>
      </c>
      <c r="E19" s="13" cm="1">
        <f t="array" ref="E19">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19" s="13" t="str" cm="1">
        <f t="array" ref="F19">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19" s="13" t="str" cm="1">
        <f t="array" ref="G19">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19" s="13" cm="1">
        <f t="array" ref="H19">IF(ROW()-ROW(tbl_H_EligibilitySummary[#Headers])&lt;=ROWS(tbl_H_Assessment[ActionID]),INDEX(tbl_H_Assessment[Exposure Eligibility],ROW()-ROW(tbl_H_EligibilitySummary[#Headers])),INDEX(tbl_H_AdditionalActions[Exposure Eligibility],ROW()-ROW(tbl_H_EligibilitySummary[#Headers])-ROWS(tbl_H_Assessment[ActionID])))</f>
        <v>0</v>
      </c>
      <c r="I19" s="13" t="str" cm="1">
        <f t="array" ref="I19">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19" s="13" t="str" cm="1">
        <f t="array" ref="J19">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19" s="13" cm="1">
        <f t="array" ref="K19">IF(ROW()-ROW(tbl_H_EligibilitySummary[#Headers])&lt;=ROWS(tbl_H_Assessment[ActionID]),INDEX(tbl_H_Assessment[ReviewStatus],ROW()-ROW(tbl_H_EligibilitySummary[#Headers])),INDEX(tbl_H_AdditionalActions[ReviewStatus],ROW()-ROW(tbl_H_EligibilitySummary[#Headers])-ROWS(tbl_H_Assessment[ActionID])))</f>
        <v>0</v>
      </c>
      <c r="L19" s="87"/>
      <c r="M19" s="87"/>
      <c r="N19" s="87"/>
      <c r="O19" s="87"/>
      <c r="P19" s="87"/>
      <c r="Q19" s="87"/>
      <c r="R19" s="87"/>
      <c r="S19" s="87"/>
      <c r="T19" s="87"/>
      <c r="U19" s="87"/>
      <c r="V19" s="87"/>
      <c r="AA19" s="186"/>
      <c r="AB19" s="186"/>
      <c r="AC19" s="186"/>
      <c r="AD19" s="186"/>
      <c r="AE19" s="186"/>
      <c r="AF19" s="186"/>
      <c r="AG19" s="186"/>
      <c r="AH19" s="186"/>
      <c r="AI19" s="186"/>
      <c r="AJ19" s="186"/>
    </row>
    <row r="20" spans="2:36" s="185" customFormat="1">
      <c r="B20" s="13" t="str" cm="1">
        <f t="array" ref="B20">IF(ROW()-ROW(tbl_H_EligibilitySummary[#Headers])&lt;=ROWS(tbl_H_Assessment[ActionID]),"Existing action","Additional action")</f>
        <v>Existing action</v>
      </c>
      <c r="C20" s="13" t="str" cm="1">
        <f t="array" ref="C20">IF(ROW()-ROW(tbl_H_EligibilitySummary[#Headers])&lt;=ROWS(tbl_H_Assessment[ActionID]),INDEX(tbl_H_Assessment[ActionID],ROW()-ROW(tbl_H_EligibilitySummary[#Headers])),INDEX(tbl_H_AdditionalActions[AdditionalActionID],ROW()-ROW(tbl_H_EligibilitySummary[#Headers])-ROWS(tbl_H_Assessment[ActionID])))</f>
        <v>icare_0160</v>
      </c>
      <c r="D20" s="13" t="str" cm="1">
        <f t="array" ref="D20">IF(ROW()-ROW(tbl_H_EligibilitySummary[#Headers])&lt;=ROWS(tbl_H_Assessment[ActionID]),INDEX(tbl_H_Assessment[ActionName],ROW()-ROW(tbl_H_EligibilitySummary[#Headers])),INDEX(tbl_H_AdditionalActions[ActionName],ROW()-ROW(tbl_H_EligibilitySummary[#Headers])-ROWS(tbl_H_Assessment[ActionID])))</f>
        <v>Establish mechanisms for intersectoral coordination and public participation in climate policy</v>
      </c>
      <c r="E20" s="13" cm="1">
        <f t="array" ref="E20">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20" s="13" t="str" cm="1">
        <f t="array" ref="F20">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20" s="13" t="str" cm="1">
        <f t="array" ref="G20">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20" s="13" cm="1">
        <f t="array" ref="H20">IF(ROW()-ROW(tbl_H_EligibilitySummary[#Headers])&lt;=ROWS(tbl_H_Assessment[ActionID]),INDEX(tbl_H_Assessment[Exposure Eligibility],ROW()-ROW(tbl_H_EligibilitySummary[#Headers])),INDEX(tbl_H_AdditionalActions[Exposure Eligibility],ROW()-ROW(tbl_H_EligibilitySummary[#Headers])-ROWS(tbl_H_Assessment[ActionID])))</f>
        <v>0</v>
      </c>
      <c r="I20" s="13" t="str" cm="1">
        <f t="array" ref="I20">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20" s="13" t="str" cm="1">
        <f t="array" ref="J20">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20" s="13" cm="1">
        <f t="array" ref="K20">IF(ROW()-ROW(tbl_H_EligibilitySummary[#Headers])&lt;=ROWS(tbl_H_Assessment[ActionID]),INDEX(tbl_H_Assessment[ReviewStatus],ROW()-ROW(tbl_H_EligibilitySummary[#Headers])),INDEX(tbl_H_AdditionalActions[ReviewStatus],ROW()-ROW(tbl_H_EligibilitySummary[#Headers])-ROWS(tbl_H_Assessment[ActionID])))</f>
        <v>0</v>
      </c>
      <c r="L20" s="87"/>
      <c r="M20" s="87"/>
      <c r="N20" s="87"/>
      <c r="O20" s="87"/>
      <c r="P20" s="87"/>
      <c r="Q20" s="87"/>
      <c r="R20" s="87"/>
      <c r="S20" s="87"/>
      <c r="T20" s="87"/>
      <c r="U20" s="87"/>
      <c r="V20" s="87"/>
      <c r="AA20" s="186"/>
      <c r="AB20" s="186"/>
      <c r="AC20" s="186"/>
      <c r="AD20" s="186"/>
      <c r="AE20" s="186"/>
      <c r="AF20" s="186"/>
      <c r="AG20" s="186"/>
      <c r="AH20" s="186"/>
      <c r="AI20" s="186"/>
      <c r="AJ20" s="186"/>
    </row>
    <row r="21" spans="2:36" s="185" customFormat="1">
      <c r="B21" s="13" t="str" cm="1">
        <f t="array" ref="B21">IF(ROW()-ROW(tbl_H_EligibilitySummary[#Headers])&lt;=ROWS(tbl_H_Assessment[ActionID]),"Existing action","Additional action")</f>
        <v>Existing action</v>
      </c>
      <c r="C21" s="13" t="str" cm="1">
        <f t="array" ref="C21">IF(ROW()-ROW(tbl_H_EligibilitySummary[#Headers])&lt;=ROWS(tbl_H_Assessment[ActionID]),INDEX(tbl_H_Assessment[ActionID],ROW()-ROW(tbl_H_EligibilitySummary[#Headers])),INDEX(tbl_H_AdditionalActions[AdditionalActionID],ROW()-ROW(tbl_H_EligibilitySummary[#Headers])-ROWS(tbl_H_Assessment[ActionID])))</f>
        <v>icare_0162</v>
      </c>
      <c r="D21" s="13" t="str" cm="1">
        <f t="array" ref="D21">IF(ROW()-ROW(tbl_H_EligibilitySummary[#Headers])&lt;=ROWS(tbl_H_Assessment[ActionID]),INDEX(tbl_H_Assessment[ActionName],ROW()-ROW(tbl_H_EligibilitySummary[#Headers])),INDEX(tbl_H_AdditionalActions[ActionName],ROW()-ROW(tbl_H_EligibilitySummary[#Headers])-ROWS(tbl_H_Assessment[ActionID])))</f>
        <v>Strengthen programs for control and conservation of protected areas</v>
      </c>
      <c r="E21" s="13" cm="1">
        <f t="array" ref="E21">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21" s="13" t="str" cm="1">
        <f t="array" ref="F21">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21" s="13" t="str" cm="1">
        <f t="array" ref="G21">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21" s="13" cm="1">
        <f t="array" ref="H21">IF(ROW()-ROW(tbl_H_EligibilitySummary[#Headers])&lt;=ROWS(tbl_H_Assessment[ActionID]),INDEX(tbl_H_Assessment[Exposure Eligibility],ROW()-ROW(tbl_H_EligibilitySummary[#Headers])),INDEX(tbl_H_AdditionalActions[Exposure Eligibility],ROW()-ROW(tbl_H_EligibilitySummary[#Headers])-ROWS(tbl_H_Assessment[ActionID])))</f>
        <v>0</v>
      </c>
      <c r="I21" s="13" t="str" cm="1">
        <f t="array" ref="I21">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21" s="13" t="str" cm="1">
        <f t="array" ref="J21">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21" s="13" cm="1">
        <f t="array" ref="K21">IF(ROW()-ROW(tbl_H_EligibilitySummary[#Headers])&lt;=ROWS(tbl_H_Assessment[ActionID]),INDEX(tbl_H_Assessment[ReviewStatus],ROW()-ROW(tbl_H_EligibilitySummary[#Headers])),INDEX(tbl_H_AdditionalActions[ReviewStatus],ROW()-ROW(tbl_H_EligibilitySummary[#Headers])-ROWS(tbl_H_Assessment[ActionID])))</f>
        <v>0</v>
      </c>
      <c r="L21" s="87"/>
      <c r="M21" s="87"/>
      <c r="N21" s="87"/>
      <c r="O21" s="87"/>
      <c r="P21" s="87"/>
      <c r="Q21" s="87"/>
      <c r="R21" s="87"/>
      <c r="S21" s="87"/>
      <c r="T21" s="87"/>
      <c r="U21" s="87"/>
      <c r="V21" s="87"/>
      <c r="AA21" s="186"/>
      <c r="AB21" s="186"/>
      <c r="AC21" s="186"/>
      <c r="AD21" s="186"/>
      <c r="AE21" s="186"/>
      <c r="AF21" s="186"/>
      <c r="AG21" s="186"/>
      <c r="AH21" s="186"/>
      <c r="AI21" s="186"/>
      <c r="AJ21" s="186"/>
    </row>
    <row r="22" spans="2:36" s="185" customFormat="1">
      <c r="B22" s="13" t="str" cm="1">
        <f t="array" ref="B22">IF(ROW()-ROW(tbl_H_EligibilitySummary[#Headers])&lt;=ROWS(tbl_H_Assessment[ActionID]),"Existing action","Additional action")</f>
        <v>Existing action</v>
      </c>
      <c r="C22" s="13" t="str" cm="1">
        <f t="array" ref="C22">IF(ROW()-ROW(tbl_H_EligibilitySummary[#Headers])&lt;=ROWS(tbl_H_Assessment[ActionID]),INDEX(tbl_H_Assessment[ActionID],ROW()-ROW(tbl_H_EligibilitySummary[#Headers])),INDEX(tbl_H_AdditionalActions[AdditionalActionID],ROW()-ROW(tbl_H_EligibilitySummary[#Headers])-ROWS(tbl_H_Assessment[ActionID])))</f>
        <v>icare_0163</v>
      </c>
      <c r="D22" s="13" t="str" cm="1">
        <f t="array" ref="D22">IF(ROW()-ROW(tbl_H_EligibilitySummary[#Headers])&lt;=ROWS(tbl_H_Assessment[ActionID]),INDEX(tbl_H_Assessment[ActionName],ROW()-ROW(tbl_H_EligibilitySummary[#Headers])),INDEX(tbl_H_AdditionalActions[ActionName],ROW()-ROW(tbl_H_EligibilitySummary[#Headers])-ROWS(tbl_H_Assessment[ActionID])))</f>
        <v>Establish a first‑response firefighting brigade</v>
      </c>
      <c r="E22" s="13" cm="1">
        <f t="array" ref="E22">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22" s="13" t="str" cm="1">
        <f t="array" ref="F22">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22" s="13" t="str" cm="1">
        <f t="array" ref="G22">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22" s="13" cm="1">
        <f t="array" ref="H22">IF(ROW()-ROW(tbl_H_EligibilitySummary[#Headers])&lt;=ROWS(tbl_H_Assessment[ActionID]),INDEX(tbl_H_Assessment[Exposure Eligibility],ROW()-ROW(tbl_H_EligibilitySummary[#Headers])),INDEX(tbl_H_AdditionalActions[Exposure Eligibility],ROW()-ROW(tbl_H_EligibilitySummary[#Headers])-ROWS(tbl_H_Assessment[ActionID])))</f>
        <v>0</v>
      </c>
      <c r="I22" s="13" t="str" cm="1">
        <f t="array" ref="I22">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22" s="13" t="str" cm="1">
        <f t="array" ref="J22">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22" s="13" cm="1">
        <f t="array" ref="K22">IF(ROW()-ROW(tbl_H_EligibilitySummary[#Headers])&lt;=ROWS(tbl_H_Assessment[ActionID]),INDEX(tbl_H_Assessment[ReviewStatus],ROW()-ROW(tbl_H_EligibilitySummary[#Headers])),INDEX(tbl_H_AdditionalActions[ReviewStatus],ROW()-ROW(tbl_H_EligibilitySummary[#Headers])-ROWS(tbl_H_Assessment[ActionID])))</f>
        <v>0</v>
      </c>
      <c r="L22" s="87"/>
      <c r="M22" s="87"/>
      <c r="N22" s="87"/>
      <c r="O22" s="87"/>
      <c r="P22" s="87"/>
      <c r="Q22" s="87"/>
      <c r="R22" s="87"/>
      <c r="S22" s="87"/>
      <c r="T22" s="87"/>
      <c r="U22" s="87"/>
      <c r="V22" s="87"/>
      <c r="AA22" s="186"/>
      <c r="AB22" s="186"/>
      <c r="AC22" s="186"/>
      <c r="AD22" s="186"/>
      <c r="AE22" s="186"/>
      <c r="AF22" s="186"/>
      <c r="AG22" s="186"/>
      <c r="AH22" s="186"/>
      <c r="AI22" s="186"/>
      <c r="AJ22" s="186"/>
    </row>
    <row r="23" spans="2:36" s="185" customFormat="1">
      <c r="B23" s="13" t="str" cm="1">
        <f t="array" ref="B23">IF(ROW()-ROW(tbl_H_EligibilitySummary[#Headers])&lt;=ROWS(tbl_H_Assessment[ActionID]),"Existing action","Additional action")</f>
        <v>Existing action</v>
      </c>
      <c r="C23" s="13" t="str" cm="1">
        <f t="array" ref="C23">IF(ROW()-ROW(tbl_H_EligibilitySummary[#Headers])&lt;=ROWS(tbl_H_Assessment[ActionID]),INDEX(tbl_H_Assessment[ActionID],ROW()-ROW(tbl_H_EligibilitySummary[#Headers])),INDEX(tbl_H_AdditionalActions[AdditionalActionID],ROW()-ROW(tbl_H_EligibilitySummary[#Headers])-ROWS(tbl_H_Assessment[ActionID])))</f>
        <v>icare_0164</v>
      </c>
      <c r="D23" s="13" t="str" cm="1">
        <f t="array" ref="D23">IF(ROW()-ROW(tbl_H_EligibilitySummary[#Headers])&lt;=ROWS(tbl_H_Assessment[ActionID]),INDEX(tbl_H_Assessment[ActionName],ROW()-ROW(tbl_H_EligibilitySummary[#Headers])),INDEX(tbl_H_AdditionalActions[ActionName],ROW()-ROW(tbl_H_EligibilitySummary[#Headers])-ROWS(tbl_H_Assessment[ActionID])))</f>
        <v>Improve Hydrological Monitoring System with Telemetry Stations</v>
      </c>
      <c r="E23" s="13" cm="1">
        <f t="array" ref="E23">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23" s="13" t="str" cm="1">
        <f t="array" ref="F23">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23" s="13" t="str" cm="1">
        <f t="array" ref="G23">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23" s="13" cm="1">
        <f t="array" ref="H23">IF(ROW()-ROW(tbl_H_EligibilitySummary[#Headers])&lt;=ROWS(tbl_H_Assessment[ActionID]),INDEX(tbl_H_Assessment[Exposure Eligibility],ROW()-ROW(tbl_H_EligibilitySummary[#Headers])),INDEX(tbl_H_AdditionalActions[Exposure Eligibility],ROW()-ROW(tbl_H_EligibilitySummary[#Headers])-ROWS(tbl_H_Assessment[ActionID])))</f>
        <v>0</v>
      </c>
      <c r="I23" s="13" t="str" cm="1">
        <f t="array" ref="I23">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23" s="13" t="str" cm="1">
        <f t="array" ref="J23">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23" s="13" cm="1">
        <f t="array" ref="K23">IF(ROW()-ROW(tbl_H_EligibilitySummary[#Headers])&lt;=ROWS(tbl_H_Assessment[ActionID]),INDEX(tbl_H_Assessment[ReviewStatus],ROW()-ROW(tbl_H_EligibilitySummary[#Headers])),INDEX(tbl_H_AdditionalActions[ReviewStatus],ROW()-ROW(tbl_H_EligibilitySummary[#Headers])-ROWS(tbl_H_Assessment[ActionID])))</f>
        <v>0</v>
      </c>
      <c r="L23" s="87"/>
      <c r="M23" s="87"/>
      <c r="N23" s="87"/>
      <c r="O23" s="87"/>
      <c r="P23" s="87"/>
      <c r="Q23" s="87"/>
      <c r="R23" s="87"/>
      <c r="S23" s="87"/>
      <c r="T23" s="87"/>
      <c r="U23" s="87"/>
      <c r="V23" s="87"/>
      <c r="AA23" s="186"/>
      <c r="AB23" s="186"/>
      <c r="AC23" s="186"/>
      <c r="AD23" s="186"/>
      <c r="AE23" s="186"/>
      <c r="AF23" s="186"/>
      <c r="AG23" s="186"/>
      <c r="AH23" s="186"/>
      <c r="AI23" s="186"/>
      <c r="AJ23" s="186"/>
    </row>
    <row r="24" spans="2:36" s="185" customFormat="1">
      <c r="B24" s="13" t="str" cm="1">
        <f t="array" ref="B24">IF(ROW()-ROW(tbl_H_EligibilitySummary[#Headers])&lt;=ROWS(tbl_H_Assessment[ActionID]),"Existing action","Additional action")</f>
        <v>Existing action</v>
      </c>
      <c r="C24" s="13" t="str" cm="1">
        <f t="array" ref="C24">IF(ROW()-ROW(tbl_H_EligibilitySummary[#Headers])&lt;=ROWS(tbl_H_Assessment[ActionID]),INDEX(tbl_H_Assessment[ActionID],ROW()-ROW(tbl_H_EligibilitySummary[#Headers])),INDEX(tbl_H_AdditionalActions[AdditionalActionID],ROW()-ROW(tbl_H_EligibilitySummary[#Headers])-ROWS(tbl_H_Assessment[ActionID])))</f>
        <v>icare_0165</v>
      </c>
      <c r="D24" s="13" t="str" cm="1">
        <f t="array" ref="D24">IF(ROW()-ROW(tbl_H_EligibilitySummary[#Headers])&lt;=ROWS(tbl_H_Assessment[ActionID]),INDEX(tbl_H_Assessment[ActionName],ROW()-ROW(tbl_H_EligibilitySummary[#Headers])),INDEX(tbl_H_AdditionalActions[ActionName],ROW()-ROW(tbl_H_EligibilitySummary[#Headers])-ROWS(tbl_H_Assessment[ActionID])))</f>
        <v>Develop an Environmental Education Plan</v>
      </c>
      <c r="E24" s="13" cm="1">
        <f t="array" ref="E24">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24" s="13" t="str" cm="1">
        <f t="array" ref="F24">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24" s="13" t="str" cm="1">
        <f t="array" ref="G24">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24" s="13" cm="1">
        <f t="array" ref="H24">IF(ROW()-ROW(tbl_H_EligibilitySummary[#Headers])&lt;=ROWS(tbl_H_Assessment[ActionID]),INDEX(tbl_H_Assessment[Exposure Eligibility],ROW()-ROW(tbl_H_EligibilitySummary[#Headers])),INDEX(tbl_H_AdditionalActions[Exposure Eligibility],ROW()-ROW(tbl_H_EligibilitySummary[#Headers])-ROWS(tbl_H_Assessment[ActionID])))</f>
        <v>0</v>
      </c>
      <c r="I24" s="13" t="str" cm="1">
        <f t="array" ref="I24">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24" s="13" t="str" cm="1">
        <f t="array" ref="J24">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24" s="13" cm="1">
        <f t="array" ref="K24">IF(ROW()-ROW(tbl_H_EligibilitySummary[#Headers])&lt;=ROWS(tbl_H_Assessment[ActionID]),INDEX(tbl_H_Assessment[ReviewStatus],ROW()-ROW(tbl_H_EligibilitySummary[#Headers])),INDEX(tbl_H_AdditionalActions[ReviewStatus],ROW()-ROW(tbl_H_EligibilitySummary[#Headers])-ROWS(tbl_H_Assessment[ActionID])))</f>
        <v>0</v>
      </c>
      <c r="L24" s="87"/>
      <c r="M24" s="87"/>
      <c r="N24" s="87"/>
      <c r="O24" s="87"/>
      <c r="P24" s="87"/>
      <c r="Q24" s="87"/>
      <c r="R24" s="87"/>
      <c r="S24" s="87"/>
      <c r="T24" s="87"/>
      <c r="U24" s="87"/>
      <c r="V24" s="87"/>
      <c r="AA24" s="186"/>
      <c r="AB24" s="186"/>
      <c r="AC24" s="186"/>
      <c r="AD24" s="186"/>
      <c r="AE24" s="186"/>
      <c r="AF24" s="186"/>
      <c r="AG24" s="186"/>
      <c r="AH24" s="186"/>
      <c r="AI24" s="186"/>
      <c r="AJ24" s="186"/>
    </row>
    <row r="25" spans="2:36" s="185" customFormat="1">
      <c r="B25" s="13" t="str" cm="1">
        <f t="array" ref="B25">IF(ROW()-ROW(tbl_H_EligibilitySummary[#Headers])&lt;=ROWS(tbl_H_Assessment[ActionID]),"Existing action","Additional action")</f>
        <v>Existing action</v>
      </c>
      <c r="C25" s="13" t="str" cm="1">
        <f t="array" ref="C25">IF(ROW()-ROW(tbl_H_EligibilitySummary[#Headers])&lt;=ROWS(tbl_H_Assessment[ActionID]),INDEX(tbl_H_Assessment[ActionID],ROW()-ROW(tbl_H_EligibilitySummary[#Headers])),INDEX(tbl_H_AdditionalActions[AdditionalActionID],ROW()-ROW(tbl_H_EligibilitySummary[#Headers])-ROWS(tbl_H_Assessment[ActionID])))</f>
        <v>icare_0169</v>
      </c>
      <c r="D25" s="13" t="str" cm="1">
        <f t="array" ref="D25">IF(ROW()-ROW(tbl_H_EligibilitySummary[#Headers])&lt;=ROWS(tbl_H_Assessment[ActionID]),INDEX(tbl_H_Assessment[ActionName],ROW()-ROW(tbl_H_EligibilitySummary[#Headers])),INDEX(tbl_H_AdditionalActions[ActionName],ROW()-ROW(tbl_H_EligibilitySummary[#Headers])-ROWS(tbl_H_Assessment[ActionID])))</f>
        <v>Establish a Plan for Preparation and Emergency Response Measures in the event of extreme weather events</v>
      </c>
      <c r="E25" s="13" cm="1">
        <f t="array" ref="E25">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25" s="13" t="str" cm="1">
        <f t="array" ref="F25">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25" s="13" t="str" cm="1">
        <f t="array" ref="G25">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25" s="13" cm="1">
        <f t="array" ref="H25">IF(ROW()-ROW(tbl_H_EligibilitySummary[#Headers])&lt;=ROWS(tbl_H_Assessment[ActionID]),INDEX(tbl_H_Assessment[Exposure Eligibility],ROW()-ROW(tbl_H_EligibilitySummary[#Headers])),INDEX(tbl_H_AdditionalActions[Exposure Eligibility],ROW()-ROW(tbl_H_EligibilitySummary[#Headers])-ROWS(tbl_H_Assessment[ActionID])))</f>
        <v>0</v>
      </c>
      <c r="I25" s="13" t="str" cm="1">
        <f t="array" ref="I25">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25" s="13" t="str" cm="1">
        <f t="array" ref="J25">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25" s="13" cm="1">
        <f t="array" ref="K25">IF(ROW()-ROW(tbl_H_EligibilitySummary[#Headers])&lt;=ROWS(tbl_H_Assessment[ActionID]),INDEX(tbl_H_Assessment[ReviewStatus],ROW()-ROW(tbl_H_EligibilitySummary[#Headers])),INDEX(tbl_H_AdditionalActions[ReviewStatus],ROW()-ROW(tbl_H_EligibilitySummary[#Headers])-ROWS(tbl_H_Assessment[ActionID])))</f>
        <v>0</v>
      </c>
      <c r="L25" s="87"/>
      <c r="M25" s="87"/>
      <c r="N25" s="87"/>
      <c r="O25" s="87"/>
      <c r="P25" s="87"/>
      <c r="Q25" s="87"/>
      <c r="R25" s="87"/>
      <c r="S25" s="87"/>
      <c r="T25" s="87"/>
      <c r="U25" s="87"/>
      <c r="V25" s="87"/>
      <c r="AA25" s="186"/>
      <c r="AB25" s="186"/>
      <c r="AC25" s="186"/>
      <c r="AD25" s="186"/>
      <c r="AE25" s="186"/>
      <c r="AF25" s="186"/>
      <c r="AG25" s="186"/>
      <c r="AH25" s="186"/>
      <c r="AI25" s="186"/>
      <c r="AJ25" s="186"/>
    </row>
    <row r="26" spans="2:36" s="185" customFormat="1">
      <c r="B26" s="13" t="str" cm="1">
        <f t="array" ref="B26">IF(ROW()-ROW(tbl_H_EligibilitySummary[#Headers])&lt;=ROWS(tbl_H_Assessment[ActionID]),"Existing action","Additional action")</f>
        <v>Existing action</v>
      </c>
      <c r="C26" s="13" t="str" cm="1">
        <f t="array" ref="C26">IF(ROW()-ROW(tbl_H_EligibilitySummary[#Headers])&lt;=ROWS(tbl_H_Assessment[ActionID]),INDEX(tbl_H_Assessment[ActionID],ROW()-ROW(tbl_H_EligibilitySummary[#Headers])),INDEX(tbl_H_AdditionalActions[AdditionalActionID],ROW()-ROW(tbl_H_EligibilitySummary[#Headers])-ROWS(tbl_H_Assessment[ActionID])))</f>
        <v>icare_0170</v>
      </c>
      <c r="D26" s="13" t="str" cm="1">
        <f t="array" ref="D26">IF(ROW()-ROW(tbl_H_EligibilitySummary[#Headers])&lt;=ROWS(tbl_H_Assessment[ActionID]),INDEX(tbl_H_Assessment[ActionName],ROW()-ROW(tbl_H_EligibilitySummary[#Headers])),INDEX(tbl_H_AdditionalActions[ActionName],ROW()-ROW(tbl_H_EligibilitySummary[#Headers])-ROWS(tbl_H_Assessment[ActionID])))</f>
        <v>Build safe housing and implement urban rehabilitation projects for populations living in high-risk areas</v>
      </c>
      <c r="E26" s="13" cm="1">
        <f t="array" ref="E26">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26" s="13" t="str" cm="1">
        <f t="array" ref="F26">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26" s="13" t="str" cm="1">
        <f t="array" ref="G26">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26" s="13" cm="1">
        <f t="array" ref="H26">IF(ROW()-ROW(tbl_H_EligibilitySummary[#Headers])&lt;=ROWS(tbl_H_Assessment[ActionID]),INDEX(tbl_H_Assessment[Exposure Eligibility],ROW()-ROW(tbl_H_EligibilitySummary[#Headers])),INDEX(tbl_H_AdditionalActions[Exposure Eligibility],ROW()-ROW(tbl_H_EligibilitySummary[#Headers])-ROWS(tbl_H_Assessment[ActionID])))</f>
        <v>0</v>
      </c>
      <c r="I26" s="13" t="str" cm="1">
        <f t="array" ref="I26">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26" s="13" t="str" cm="1">
        <f t="array" ref="J26">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26" s="13" cm="1">
        <f t="array" ref="K26">IF(ROW()-ROW(tbl_H_EligibilitySummary[#Headers])&lt;=ROWS(tbl_H_Assessment[ActionID]),INDEX(tbl_H_Assessment[ReviewStatus],ROW()-ROW(tbl_H_EligibilitySummary[#Headers])),INDEX(tbl_H_AdditionalActions[ReviewStatus],ROW()-ROW(tbl_H_EligibilitySummary[#Headers])-ROWS(tbl_H_Assessment[ActionID])))</f>
        <v>0</v>
      </c>
      <c r="L26" s="87"/>
      <c r="M26" s="87"/>
      <c r="N26" s="87"/>
      <c r="O26" s="87"/>
      <c r="P26" s="87"/>
      <c r="Q26" s="87"/>
      <c r="R26" s="87"/>
      <c r="S26" s="87"/>
      <c r="T26" s="87"/>
      <c r="U26" s="87"/>
      <c r="V26" s="87"/>
      <c r="AA26" s="186"/>
      <c r="AB26" s="186"/>
      <c r="AC26" s="186"/>
      <c r="AD26" s="186"/>
      <c r="AE26" s="186"/>
      <c r="AF26" s="186"/>
      <c r="AG26" s="186"/>
      <c r="AH26" s="186"/>
      <c r="AI26" s="186"/>
      <c r="AJ26" s="186"/>
    </row>
    <row r="27" spans="2:36" s="185" customFormat="1">
      <c r="B27" s="13" t="str" cm="1">
        <f t="array" ref="B27">IF(ROW()-ROW(tbl_H_EligibilitySummary[#Headers])&lt;=ROWS(tbl_H_Assessment[ActionID]),"Existing action","Additional action")</f>
        <v>Existing action</v>
      </c>
      <c r="C27" s="13" t="str" cm="1">
        <f t="array" ref="C27">IF(ROW()-ROW(tbl_H_EligibilitySummary[#Headers])&lt;=ROWS(tbl_H_Assessment[ActionID]),INDEX(tbl_H_Assessment[ActionID],ROW()-ROW(tbl_H_EligibilitySummary[#Headers])),INDEX(tbl_H_AdditionalActions[AdditionalActionID],ROW()-ROW(tbl_H_EligibilitySummary[#Headers])-ROWS(tbl_H_Assessment[ActionID])))</f>
        <v>icare_0171</v>
      </c>
      <c r="D27" s="13" t="str" cm="1">
        <f t="array" ref="D27">IF(ROW()-ROW(tbl_H_EligibilitySummary[#Headers])&lt;=ROWS(tbl_H_Assessment[ActionID]),INDEX(tbl_H_Assessment[ActionName],ROW()-ROW(tbl_H_EligibilitySummary[#Headers])),INDEX(tbl_H_AdditionalActions[ActionName],ROW()-ROW(tbl_H_EligibilitySummary[#Headers])-ROWS(tbl_H_Assessment[ActionID])))</f>
        <v>Improve the hydrometeorological forecasting, monitoring, and alert system for climate risks</v>
      </c>
      <c r="E27" s="13" cm="1">
        <f t="array" ref="E27">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27" s="13" t="str" cm="1">
        <f t="array" ref="F27">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27" s="13" t="str" cm="1">
        <f t="array" ref="G27">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27" s="13" cm="1">
        <f t="array" ref="H27">IF(ROW()-ROW(tbl_H_EligibilitySummary[#Headers])&lt;=ROWS(tbl_H_Assessment[ActionID]),INDEX(tbl_H_Assessment[Exposure Eligibility],ROW()-ROW(tbl_H_EligibilitySummary[#Headers])),INDEX(tbl_H_AdditionalActions[Exposure Eligibility],ROW()-ROW(tbl_H_EligibilitySummary[#Headers])-ROWS(tbl_H_Assessment[ActionID])))</f>
        <v>0</v>
      </c>
      <c r="I27" s="13" t="str" cm="1">
        <f t="array" ref="I27">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27" s="13" t="str" cm="1">
        <f t="array" ref="J27">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27" s="13" cm="1">
        <f t="array" ref="K27">IF(ROW()-ROW(tbl_H_EligibilitySummary[#Headers])&lt;=ROWS(tbl_H_Assessment[ActionID]),INDEX(tbl_H_Assessment[ReviewStatus],ROW()-ROW(tbl_H_EligibilitySummary[#Headers])),INDEX(tbl_H_AdditionalActions[ReviewStatus],ROW()-ROW(tbl_H_EligibilitySummary[#Headers])-ROWS(tbl_H_Assessment[ActionID])))</f>
        <v>0</v>
      </c>
      <c r="L27" s="87"/>
      <c r="M27" s="87"/>
      <c r="N27" s="87"/>
      <c r="O27" s="87"/>
      <c r="P27" s="87"/>
      <c r="Q27" s="87"/>
      <c r="R27" s="87"/>
      <c r="S27" s="87"/>
      <c r="T27" s="87"/>
      <c r="U27" s="87"/>
      <c r="V27" s="87"/>
      <c r="AA27" s="186"/>
      <c r="AB27" s="186"/>
      <c r="AC27" s="186"/>
      <c r="AD27" s="186"/>
      <c r="AE27" s="186"/>
      <c r="AF27" s="186"/>
      <c r="AG27" s="186"/>
      <c r="AH27" s="186"/>
      <c r="AI27" s="186"/>
      <c r="AJ27" s="186"/>
    </row>
    <row r="28" spans="2:36" s="185" customFormat="1">
      <c r="B28" s="13" t="str" cm="1">
        <f t="array" ref="B28">IF(ROW()-ROW(tbl_H_EligibilitySummary[#Headers])&lt;=ROWS(tbl_H_Assessment[ActionID]),"Existing action","Additional action")</f>
        <v>Existing action</v>
      </c>
      <c r="C28" s="13" t="str" cm="1">
        <f t="array" ref="C28">IF(ROW()-ROW(tbl_H_EligibilitySummary[#Headers])&lt;=ROWS(tbl_H_Assessment[ActionID]),INDEX(tbl_H_Assessment[ActionID],ROW()-ROW(tbl_H_EligibilitySummary[#Headers])),INDEX(tbl_H_AdditionalActions[AdditionalActionID],ROW()-ROW(tbl_H_EligibilitySummary[#Headers])-ROWS(tbl_H_Assessment[ActionID])))</f>
        <v>icare_0172</v>
      </c>
      <c r="D28" s="13" t="str" cm="1">
        <f t="array" ref="D28">IF(ROW()-ROW(tbl_H_EligibilitySummary[#Headers])&lt;=ROWS(tbl_H_Assessment[ActionID]),INDEX(tbl_H_Assessment[ActionName],ROW()-ROW(tbl_H_EligibilitySummary[#Headers])),INDEX(tbl_H_AdditionalActions[ActionName],ROW()-ROW(tbl_H_EligibilitySummary[#Headers])-ROWS(tbl_H_Assessment[ActionID])))</f>
        <v>Develop and implement the Municipal Risk Reduction Plan (PMRR) and identify population groups vulnerable to climate risks.</v>
      </c>
      <c r="E28" s="13" cm="1">
        <f t="array" ref="E28">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28" s="13" t="str" cm="1">
        <f t="array" ref="F28">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28" s="13" t="str" cm="1">
        <f t="array" ref="G28">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28" s="13" cm="1">
        <f t="array" ref="H28">IF(ROW()-ROW(tbl_H_EligibilitySummary[#Headers])&lt;=ROWS(tbl_H_Assessment[ActionID]),INDEX(tbl_H_Assessment[Exposure Eligibility],ROW()-ROW(tbl_H_EligibilitySummary[#Headers])),INDEX(tbl_H_AdditionalActions[Exposure Eligibility],ROW()-ROW(tbl_H_EligibilitySummary[#Headers])-ROWS(tbl_H_Assessment[ActionID])))</f>
        <v>0</v>
      </c>
      <c r="I28" s="13" t="str" cm="1">
        <f t="array" ref="I28">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28" s="13" t="str" cm="1">
        <f t="array" ref="J28">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28" s="13" cm="1">
        <f t="array" ref="K28">IF(ROW()-ROW(tbl_H_EligibilitySummary[#Headers])&lt;=ROWS(tbl_H_Assessment[ActionID]),INDEX(tbl_H_Assessment[ReviewStatus],ROW()-ROW(tbl_H_EligibilitySummary[#Headers])),INDEX(tbl_H_AdditionalActions[ReviewStatus],ROW()-ROW(tbl_H_EligibilitySummary[#Headers])-ROWS(tbl_H_Assessment[ActionID])))</f>
        <v>0</v>
      </c>
      <c r="L28" s="87"/>
      <c r="M28" s="87"/>
      <c r="N28" s="87"/>
      <c r="O28" s="87"/>
      <c r="P28" s="87"/>
      <c r="Q28" s="87"/>
      <c r="R28" s="87"/>
      <c r="S28" s="87"/>
      <c r="T28" s="87"/>
      <c r="U28" s="87"/>
      <c r="V28" s="87"/>
      <c r="AA28" s="186"/>
      <c r="AB28" s="186"/>
      <c r="AC28" s="186"/>
      <c r="AD28" s="186"/>
      <c r="AE28" s="186"/>
      <c r="AF28" s="186"/>
      <c r="AG28" s="186"/>
      <c r="AH28" s="186"/>
      <c r="AI28" s="186"/>
      <c r="AJ28" s="186"/>
    </row>
    <row r="29" spans="2:36" s="185" customFormat="1">
      <c r="B29" s="13" t="str" cm="1">
        <f t="array" ref="B29">IF(ROW()-ROW(tbl_H_EligibilitySummary[#Headers])&lt;=ROWS(tbl_H_Assessment[ActionID]),"Existing action","Additional action")</f>
        <v>Existing action</v>
      </c>
      <c r="C29" s="13" t="str" cm="1">
        <f t="array" ref="C29">IF(ROW()-ROW(tbl_H_EligibilitySummary[#Headers])&lt;=ROWS(tbl_H_Assessment[ActionID]),INDEX(tbl_H_Assessment[ActionID],ROW()-ROW(tbl_H_EligibilitySummary[#Headers])),INDEX(tbl_H_AdditionalActions[AdditionalActionID],ROW()-ROW(tbl_H_EligibilitySummary[#Headers])-ROWS(tbl_H_Assessment[ActionID])))</f>
        <v>icare_0173</v>
      </c>
      <c r="D29" s="13" t="str" cm="1">
        <f t="array" ref="D29">IF(ROW()-ROW(tbl_H_EligibilitySummary[#Headers])&lt;=ROWS(tbl_H_Assessment[ActionID]),INDEX(tbl_H_Assessment[ActionName],ROW()-ROW(tbl_H_EligibilitySummary[#Headers])),INDEX(tbl_H_AdditionalActions[ActionName],ROW()-ROW(tbl_H_EligibilitySummary[#Headers])-ROWS(tbl_H_Assessment[ActionID])))</f>
        <v>Preventive maintenance of drainage systems</v>
      </c>
      <c r="E29" s="13" cm="1">
        <f t="array" ref="E29">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29" s="13" t="str" cm="1">
        <f t="array" ref="F29">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29" s="13" t="str" cm="1">
        <f t="array" ref="G29">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29" s="13" cm="1">
        <f t="array" ref="H29">IF(ROW()-ROW(tbl_H_EligibilitySummary[#Headers])&lt;=ROWS(tbl_H_Assessment[ActionID]),INDEX(tbl_H_Assessment[Exposure Eligibility],ROW()-ROW(tbl_H_EligibilitySummary[#Headers])),INDEX(tbl_H_AdditionalActions[Exposure Eligibility],ROW()-ROW(tbl_H_EligibilitySummary[#Headers])-ROWS(tbl_H_Assessment[ActionID])))</f>
        <v>0</v>
      </c>
      <c r="I29" s="13" t="str" cm="1">
        <f t="array" ref="I29">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29" s="13" t="str" cm="1">
        <f t="array" ref="J29">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29" s="13" cm="1">
        <f t="array" ref="K29">IF(ROW()-ROW(tbl_H_EligibilitySummary[#Headers])&lt;=ROWS(tbl_H_Assessment[ActionID]),INDEX(tbl_H_Assessment[ReviewStatus],ROW()-ROW(tbl_H_EligibilitySummary[#Headers])),INDEX(tbl_H_AdditionalActions[ReviewStatus],ROW()-ROW(tbl_H_EligibilitySummary[#Headers])-ROWS(tbl_H_Assessment[ActionID])))</f>
        <v>0</v>
      </c>
      <c r="L29" s="87"/>
      <c r="M29" s="87"/>
      <c r="N29" s="87"/>
      <c r="O29" s="87"/>
      <c r="P29" s="87"/>
      <c r="Q29" s="87"/>
      <c r="R29" s="87"/>
      <c r="S29" s="87"/>
      <c r="T29" s="87"/>
      <c r="U29" s="87"/>
      <c r="V29" s="87"/>
      <c r="AA29" s="186"/>
      <c r="AB29" s="186"/>
      <c r="AC29" s="186"/>
      <c r="AD29" s="186"/>
      <c r="AE29" s="186"/>
      <c r="AF29" s="186"/>
      <c r="AG29" s="186"/>
      <c r="AH29" s="186"/>
      <c r="AI29" s="186"/>
      <c r="AJ29" s="186"/>
    </row>
    <row r="30" spans="2:36" s="185" customFormat="1">
      <c r="B30" s="13" t="str" cm="1">
        <f t="array" ref="B30">IF(ROW()-ROW(tbl_H_EligibilitySummary[#Headers])&lt;=ROWS(tbl_H_Assessment[ActionID]),"Existing action","Additional action")</f>
        <v>Existing action</v>
      </c>
      <c r="C30" s="13" t="str" cm="1">
        <f t="array" ref="C30">IF(ROW()-ROW(tbl_H_EligibilitySummary[#Headers])&lt;=ROWS(tbl_H_Assessment[ActionID]),INDEX(tbl_H_Assessment[ActionID],ROW()-ROW(tbl_H_EligibilitySummary[#Headers])),INDEX(tbl_H_AdditionalActions[AdditionalActionID],ROW()-ROW(tbl_H_EligibilitySummary[#Headers])-ROWS(tbl_H_Assessment[ActionID])))</f>
        <v>icare_0176</v>
      </c>
      <c r="D30" s="13" t="str" cm="1">
        <f t="array" ref="D30">IF(ROW()-ROW(tbl_H_EligibilitySummary[#Headers])&lt;=ROWS(tbl_H_Assessment[ActionID]),INDEX(tbl_H_Assessment[ActionName],ROW()-ROW(tbl_H_EligibilitySummary[#Headers])),INDEX(tbl_H_AdditionalActions[ActionName],ROW()-ROW(tbl_H_EligibilitySummary[#Headers])-ROWS(tbl_H_Assessment[ActionID])))</f>
        <v>Develop a Climate Action Plan</v>
      </c>
      <c r="E30" s="13" cm="1">
        <f t="array" ref="E30">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30" s="13" t="str" cm="1">
        <f t="array" ref="F30">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30" s="13" t="str" cm="1">
        <f t="array" ref="G30">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30" s="13" cm="1">
        <f t="array" ref="H30">IF(ROW()-ROW(tbl_H_EligibilitySummary[#Headers])&lt;=ROWS(tbl_H_Assessment[ActionID]),INDEX(tbl_H_Assessment[Exposure Eligibility],ROW()-ROW(tbl_H_EligibilitySummary[#Headers])),INDEX(tbl_H_AdditionalActions[Exposure Eligibility],ROW()-ROW(tbl_H_EligibilitySummary[#Headers])-ROWS(tbl_H_Assessment[ActionID])))</f>
        <v>0</v>
      </c>
      <c r="I30" s="13" t="str" cm="1">
        <f t="array" ref="I30">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30" s="13" t="str" cm="1">
        <f t="array" ref="J30">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30" s="13" cm="1">
        <f t="array" ref="K30">IF(ROW()-ROW(tbl_H_EligibilitySummary[#Headers])&lt;=ROWS(tbl_H_Assessment[ActionID]),INDEX(tbl_H_Assessment[ReviewStatus],ROW()-ROW(tbl_H_EligibilitySummary[#Headers])),INDEX(tbl_H_AdditionalActions[ReviewStatus],ROW()-ROW(tbl_H_EligibilitySummary[#Headers])-ROWS(tbl_H_Assessment[ActionID])))</f>
        <v>0</v>
      </c>
      <c r="L30" s="87"/>
      <c r="M30" s="87"/>
      <c r="N30" s="87"/>
      <c r="O30" s="87"/>
      <c r="P30" s="87"/>
      <c r="Q30" s="87"/>
      <c r="R30" s="87"/>
      <c r="S30" s="87"/>
      <c r="T30" s="87"/>
      <c r="U30" s="87"/>
      <c r="V30" s="87"/>
      <c r="AA30" s="186"/>
      <c r="AB30" s="186"/>
      <c r="AC30" s="186"/>
      <c r="AD30" s="186"/>
      <c r="AE30" s="186"/>
      <c r="AF30" s="186"/>
      <c r="AG30" s="186"/>
      <c r="AH30" s="186"/>
      <c r="AI30" s="186"/>
      <c r="AJ30" s="186"/>
    </row>
    <row r="31" spans="2:36" s="185" customFormat="1">
      <c r="B31" s="13" t="str" cm="1">
        <f t="array" ref="B31">IF(ROW()-ROW(tbl_H_EligibilitySummary[#Headers])&lt;=ROWS(tbl_H_Assessment[ActionID]),"Existing action","Additional action")</f>
        <v>Existing action</v>
      </c>
      <c r="C31" s="13" t="str" cm="1">
        <f t="array" ref="C31">IF(ROW()-ROW(tbl_H_EligibilitySummary[#Headers])&lt;=ROWS(tbl_H_Assessment[ActionID]),INDEX(tbl_H_Assessment[ActionID],ROW()-ROW(tbl_H_EligibilitySummary[#Headers])),INDEX(tbl_H_AdditionalActions[AdditionalActionID],ROW()-ROW(tbl_H_EligibilitySummary[#Headers])-ROWS(tbl_H_Assessment[ActionID])))</f>
        <v>icare_0178</v>
      </c>
      <c r="D31" s="13" t="str" cm="1">
        <f t="array" ref="D31">IF(ROW()-ROW(tbl_H_EligibilitySummary[#Headers])&lt;=ROWS(tbl_H_Assessment[ActionID]),INDEX(tbl_H_Assessment[ActionName],ROW()-ROW(tbl_H_EligibilitySummary[#Headers])),INDEX(tbl_H_AdditionalActions[ActionName],ROW()-ROW(tbl_H_EligibilitySummary[#Headers])-ROWS(tbl_H_Assessment[ActionID])))</f>
        <v>Redirect urban development through climate‑risk spatial planning</v>
      </c>
      <c r="E31" s="13" cm="1">
        <f t="array" ref="E31">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31" s="13" t="str" cm="1">
        <f t="array" ref="F31">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31" s="13" t="str" cm="1">
        <f t="array" ref="G31">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31" s="13" cm="1">
        <f t="array" ref="H31">IF(ROW()-ROW(tbl_H_EligibilitySummary[#Headers])&lt;=ROWS(tbl_H_Assessment[ActionID]),INDEX(tbl_H_Assessment[Exposure Eligibility],ROW()-ROW(tbl_H_EligibilitySummary[#Headers])),INDEX(tbl_H_AdditionalActions[Exposure Eligibility],ROW()-ROW(tbl_H_EligibilitySummary[#Headers])-ROWS(tbl_H_Assessment[ActionID])))</f>
        <v>0</v>
      </c>
      <c r="I31" s="13" t="str" cm="1">
        <f t="array" ref="I31">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31" s="13" t="str" cm="1">
        <f t="array" ref="J31">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31" s="13" cm="1">
        <f t="array" ref="K31">IF(ROW()-ROW(tbl_H_EligibilitySummary[#Headers])&lt;=ROWS(tbl_H_Assessment[ActionID]),INDEX(tbl_H_Assessment[ReviewStatus],ROW()-ROW(tbl_H_EligibilitySummary[#Headers])),INDEX(tbl_H_AdditionalActions[ReviewStatus],ROW()-ROW(tbl_H_EligibilitySummary[#Headers])-ROWS(tbl_H_Assessment[ActionID])))</f>
        <v>0</v>
      </c>
      <c r="L31" s="87"/>
      <c r="M31" s="87"/>
      <c r="N31" s="87"/>
      <c r="O31" s="87"/>
      <c r="P31" s="87"/>
      <c r="Q31" s="87"/>
      <c r="R31" s="87"/>
      <c r="S31" s="87"/>
      <c r="T31" s="87"/>
      <c r="U31" s="87"/>
      <c r="V31" s="87"/>
      <c r="AA31" s="186"/>
      <c r="AB31" s="186"/>
      <c r="AC31" s="186"/>
      <c r="AD31" s="186"/>
      <c r="AE31" s="186"/>
      <c r="AF31" s="186"/>
      <c r="AG31" s="186"/>
      <c r="AH31" s="186"/>
      <c r="AI31" s="186"/>
      <c r="AJ31" s="186"/>
    </row>
    <row r="32" spans="2:36" s="185" customFormat="1">
      <c r="B32" s="13" t="str" cm="1">
        <f t="array" ref="B32">IF(ROW()-ROW(tbl_H_EligibilitySummary[#Headers])&lt;=ROWS(tbl_H_Assessment[ActionID]),"Existing action","Additional action")</f>
        <v>Existing action</v>
      </c>
      <c r="C32" s="13" t="str" cm="1">
        <f t="array" ref="C32">IF(ROW()-ROW(tbl_H_EligibilitySummary[#Headers])&lt;=ROWS(tbl_H_Assessment[ActionID]),INDEX(tbl_H_Assessment[ActionID],ROW()-ROW(tbl_H_EligibilitySummary[#Headers])),INDEX(tbl_H_AdditionalActions[AdditionalActionID],ROW()-ROW(tbl_H_EligibilitySummary[#Headers])-ROWS(tbl_H_Assessment[ActionID])))</f>
        <v>icare_0180</v>
      </c>
      <c r="D32" s="13" t="str" cm="1">
        <f t="array" ref="D32">IF(ROW()-ROW(tbl_H_EligibilitySummary[#Headers])&lt;=ROWS(tbl_H_Assessment[ActionID]),INDEX(tbl_H_Assessment[ActionName],ROW()-ROW(tbl_H_EligibilitySummary[#Headers])),INDEX(tbl_H_AdditionalActions[ActionName],ROW()-ROW(tbl_H_EligibilitySummary[#Headers])-ROWS(tbl_H_Assessment[ActionID])))</f>
        <v>Expand urban green-blue networks and corridors</v>
      </c>
      <c r="E32" s="13" cm="1">
        <f t="array" ref="E32">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32" s="13" t="str" cm="1">
        <f t="array" ref="F32">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32" s="13" t="str" cm="1">
        <f t="array" ref="G32">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32" s="13" cm="1">
        <f t="array" ref="H32">IF(ROW()-ROW(tbl_H_EligibilitySummary[#Headers])&lt;=ROWS(tbl_H_Assessment[ActionID]),INDEX(tbl_H_Assessment[Exposure Eligibility],ROW()-ROW(tbl_H_EligibilitySummary[#Headers])),INDEX(tbl_H_AdditionalActions[Exposure Eligibility],ROW()-ROW(tbl_H_EligibilitySummary[#Headers])-ROWS(tbl_H_Assessment[ActionID])))</f>
        <v>0</v>
      </c>
      <c r="I32" s="13" t="str" cm="1">
        <f t="array" ref="I32">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32" s="13" t="str" cm="1">
        <f t="array" ref="J32">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32" s="13" cm="1">
        <f t="array" ref="K32">IF(ROW()-ROW(tbl_H_EligibilitySummary[#Headers])&lt;=ROWS(tbl_H_Assessment[ActionID]),INDEX(tbl_H_Assessment[ReviewStatus],ROW()-ROW(tbl_H_EligibilitySummary[#Headers])),INDEX(tbl_H_AdditionalActions[ReviewStatus],ROW()-ROW(tbl_H_EligibilitySummary[#Headers])-ROWS(tbl_H_Assessment[ActionID])))</f>
        <v>0</v>
      </c>
      <c r="L32" s="87"/>
      <c r="M32" s="87"/>
      <c r="N32" s="87"/>
      <c r="O32" s="87"/>
      <c r="P32" s="87"/>
      <c r="Q32" s="87"/>
      <c r="R32" s="87"/>
      <c r="S32" s="87"/>
      <c r="T32" s="87"/>
      <c r="U32" s="87"/>
      <c r="V32" s="87"/>
      <c r="AA32" s="186"/>
      <c r="AB32" s="186"/>
      <c r="AC32" s="186"/>
      <c r="AD32" s="186"/>
      <c r="AE32" s="186"/>
      <c r="AF32" s="186"/>
      <c r="AG32" s="186"/>
      <c r="AH32" s="186"/>
      <c r="AI32" s="186"/>
      <c r="AJ32" s="186"/>
    </row>
    <row r="33" spans="2:36" s="185" customFormat="1">
      <c r="B33" s="13" t="str" cm="1">
        <f t="array" ref="B33">IF(ROW()-ROW(tbl_H_EligibilitySummary[#Headers])&lt;=ROWS(tbl_H_Assessment[ActionID]),"Existing action","Additional action")</f>
        <v>Existing action</v>
      </c>
      <c r="C33" s="13" t="str" cm="1">
        <f t="array" ref="C33">IF(ROW()-ROW(tbl_H_EligibilitySummary[#Headers])&lt;=ROWS(tbl_H_Assessment[ActionID]),INDEX(tbl_H_Assessment[ActionID],ROW()-ROW(tbl_H_EligibilitySummary[#Headers])),INDEX(tbl_H_AdditionalActions[AdditionalActionID],ROW()-ROW(tbl_H_EligibilitySummary[#Headers])-ROWS(tbl_H_Assessment[ActionID])))</f>
        <v>icare_0181</v>
      </c>
      <c r="D33" s="13" t="str" cm="1">
        <f t="array" ref="D33">IF(ROW()-ROW(tbl_H_EligibilitySummary[#Headers])&lt;=ROWS(tbl_H_Assessment[ActionID]),INDEX(tbl_H_Assessment[ActionName],ROW()-ROW(tbl_H_EligibilitySummary[#Headers])),INDEX(tbl_H_AdditionalActions[ActionName],ROW()-ROW(tbl_H_EligibilitySummary[#Headers])-ROWS(tbl_H_Assessment[ActionID])))</f>
        <v>Restore in Vulnerable Areas</v>
      </c>
      <c r="E33" s="13" cm="1">
        <f t="array" ref="E33">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33" s="13" t="str" cm="1">
        <f t="array" ref="F33">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33" s="13" t="str" cm="1">
        <f t="array" ref="G33">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33" s="13" cm="1">
        <f t="array" ref="H33">IF(ROW()-ROW(tbl_H_EligibilitySummary[#Headers])&lt;=ROWS(tbl_H_Assessment[ActionID]),INDEX(tbl_H_Assessment[Exposure Eligibility],ROW()-ROW(tbl_H_EligibilitySummary[#Headers])),INDEX(tbl_H_AdditionalActions[Exposure Eligibility],ROW()-ROW(tbl_H_EligibilitySummary[#Headers])-ROWS(tbl_H_Assessment[ActionID])))</f>
        <v>0</v>
      </c>
      <c r="I33" s="13" t="str" cm="1">
        <f t="array" ref="I33">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33" s="13" t="str" cm="1">
        <f t="array" ref="J33">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33" s="13" cm="1">
        <f t="array" ref="K33">IF(ROW()-ROW(tbl_H_EligibilitySummary[#Headers])&lt;=ROWS(tbl_H_Assessment[ActionID]),INDEX(tbl_H_Assessment[ReviewStatus],ROW()-ROW(tbl_H_EligibilitySummary[#Headers])),INDEX(tbl_H_AdditionalActions[ReviewStatus],ROW()-ROW(tbl_H_EligibilitySummary[#Headers])-ROWS(tbl_H_Assessment[ActionID])))</f>
        <v>0</v>
      </c>
      <c r="L33" s="87"/>
      <c r="M33" s="87"/>
      <c r="N33" s="87"/>
      <c r="O33" s="87"/>
      <c r="P33" s="87"/>
      <c r="Q33" s="87"/>
      <c r="R33" s="87"/>
      <c r="S33" s="87"/>
      <c r="T33" s="87"/>
      <c r="U33" s="87"/>
      <c r="V33" s="87"/>
      <c r="AA33" s="186"/>
      <c r="AB33" s="186"/>
      <c r="AC33" s="186"/>
      <c r="AD33" s="186"/>
      <c r="AE33" s="186"/>
      <c r="AF33" s="186"/>
      <c r="AG33" s="186"/>
      <c r="AH33" s="186"/>
      <c r="AI33" s="186"/>
      <c r="AJ33" s="186"/>
    </row>
    <row r="34" spans="2:36" s="185" customFormat="1">
      <c r="B34" s="13" t="str" cm="1">
        <f t="array" ref="B34">IF(ROW()-ROW(tbl_H_EligibilitySummary[#Headers])&lt;=ROWS(tbl_H_Assessment[ActionID]),"Existing action","Additional action")</f>
        <v>Existing action</v>
      </c>
      <c r="C34" s="13" t="str" cm="1">
        <f t="array" ref="C34">IF(ROW()-ROW(tbl_H_EligibilitySummary[#Headers])&lt;=ROWS(tbl_H_Assessment[ActionID]),INDEX(tbl_H_Assessment[ActionID],ROW()-ROW(tbl_H_EligibilitySummary[#Headers])),INDEX(tbl_H_AdditionalActions[AdditionalActionID],ROW()-ROW(tbl_H_EligibilitySummary[#Headers])-ROWS(tbl_H_Assessment[ActionID])))</f>
        <v>icare_0182</v>
      </c>
      <c r="D34" s="13" t="str" cm="1">
        <f t="array" ref="D34">IF(ROW()-ROW(tbl_H_EligibilitySummary[#Headers])&lt;=ROWS(tbl_H_Assessment[ActionID]),INDEX(tbl_H_Assessment[ActionName],ROW()-ROW(tbl_H_EligibilitySummary[#Headers])),INDEX(tbl_H_AdditionalActions[ActionName],ROW()-ROW(tbl_H_EligibilitySummary[#Headers])-ROWS(tbl_H_Assessment[ActionID])))</f>
        <v>Develop an Urban Afforestation Plan</v>
      </c>
      <c r="E34" s="13" cm="1">
        <f t="array" ref="E34">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34" s="13" t="str" cm="1">
        <f t="array" ref="F34">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34" s="13" t="str" cm="1">
        <f t="array" ref="G34">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34" s="13" cm="1">
        <f t="array" ref="H34">IF(ROW()-ROW(tbl_H_EligibilitySummary[#Headers])&lt;=ROWS(tbl_H_Assessment[ActionID]),INDEX(tbl_H_Assessment[Exposure Eligibility],ROW()-ROW(tbl_H_EligibilitySummary[#Headers])),INDEX(tbl_H_AdditionalActions[Exposure Eligibility],ROW()-ROW(tbl_H_EligibilitySummary[#Headers])-ROWS(tbl_H_Assessment[ActionID])))</f>
        <v>0</v>
      </c>
      <c r="I34" s="13" t="str" cm="1">
        <f t="array" ref="I34">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34" s="13" t="str" cm="1">
        <f t="array" ref="J34">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34" s="13" cm="1">
        <f t="array" ref="K34">IF(ROW()-ROW(tbl_H_EligibilitySummary[#Headers])&lt;=ROWS(tbl_H_Assessment[ActionID]),INDEX(tbl_H_Assessment[ReviewStatus],ROW()-ROW(tbl_H_EligibilitySummary[#Headers])),INDEX(tbl_H_AdditionalActions[ReviewStatus],ROW()-ROW(tbl_H_EligibilitySummary[#Headers])-ROWS(tbl_H_Assessment[ActionID])))</f>
        <v>0</v>
      </c>
      <c r="L34" s="87"/>
      <c r="M34" s="87"/>
      <c r="N34" s="87"/>
      <c r="O34" s="87"/>
      <c r="P34" s="87"/>
      <c r="Q34" s="87"/>
      <c r="R34" s="87"/>
      <c r="S34" s="87"/>
      <c r="T34" s="87"/>
      <c r="U34" s="87"/>
      <c r="V34" s="87"/>
      <c r="AA34" s="186"/>
      <c r="AB34" s="186"/>
      <c r="AC34" s="186"/>
      <c r="AD34" s="186"/>
      <c r="AE34" s="186"/>
      <c r="AF34" s="186"/>
      <c r="AG34" s="186"/>
      <c r="AH34" s="186"/>
      <c r="AI34" s="186"/>
      <c r="AJ34" s="186"/>
    </row>
    <row r="35" spans="2:36" s="185" customFormat="1">
      <c r="B35" s="13" t="str" cm="1">
        <f t="array" ref="B35">IF(ROW()-ROW(tbl_H_EligibilitySummary[#Headers])&lt;=ROWS(tbl_H_Assessment[ActionID]),"Existing action","Additional action")</f>
        <v>Existing action</v>
      </c>
      <c r="C35" s="13" t="str" cm="1">
        <f t="array" ref="C35">IF(ROW()-ROW(tbl_H_EligibilitySummary[#Headers])&lt;=ROWS(tbl_H_Assessment[ActionID]),INDEX(tbl_H_Assessment[ActionID],ROW()-ROW(tbl_H_EligibilitySummary[#Headers])),INDEX(tbl_H_AdditionalActions[AdditionalActionID],ROW()-ROW(tbl_H_EligibilitySummary[#Headers])-ROWS(tbl_H_Assessment[ActionID])))</f>
        <v>icare_0183</v>
      </c>
      <c r="D35" s="13" t="str" cm="1">
        <f t="array" ref="D35">IF(ROW()-ROW(tbl_H_EligibilitySummary[#Headers])&lt;=ROWS(tbl_H_Assessment[ActionID]),INDEX(tbl_H_Assessment[ActionName],ROW()-ROW(tbl_H_EligibilitySummary[#Headers])),INDEX(tbl_H_AdditionalActions[ActionName],ROW()-ROW(tbl_H_EligibilitySummary[#Headers])-ROWS(tbl_H_Assessment[ActionID])))</f>
        <v>Implement Multi-hazard Early Warning Systems (MH-EWS)</v>
      </c>
      <c r="E35" s="13" cm="1">
        <f t="array" ref="E35">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35" s="13" t="str" cm="1">
        <f t="array" ref="F35">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35" s="13" t="str" cm="1">
        <f t="array" ref="G35">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35" s="13" cm="1">
        <f t="array" ref="H35">IF(ROW()-ROW(tbl_H_EligibilitySummary[#Headers])&lt;=ROWS(tbl_H_Assessment[ActionID]),INDEX(tbl_H_Assessment[Exposure Eligibility],ROW()-ROW(tbl_H_EligibilitySummary[#Headers])),INDEX(tbl_H_AdditionalActions[Exposure Eligibility],ROW()-ROW(tbl_H_EligibilitySummary[#Headers])-ROWS(tbl_H_Assessment[ActionID])))</f>
        <v>0</v>
      </c>
      <c r="I35" s="13" t="str" cm="1">
        <f t="array" ref="I35">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35" s="13" t="str" cm="1">
        <f t="array" ref="J35">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35" s="13" cm="1">
        <f t="array" ref="K35">IF(ROW()-ROW(tbl_H_EligibilitySummary[#Headers])&lt;=ROWS(tbl_H_Assessment[ActionID]),INDEX(tbl_H_Assessment[ReviewStatus],ROW()-ROW(tbl_H_EligibilitySummary[#Headers])),INDEX(tbl_H_AdditionalActions[ReviewStatus],ROW()-ROW(tbl_H_EligibilitySummary[#Headers])-ROWS(tbl_H_Assessment[ActionID])))</f>
        <v>0</v>
      </c>
      <c r="L35" s="87"/>
      <c r="M35" s="87"/>
      <c r="N35" s="87"/>
      <c r="O35" s="87"/>
      <c r="P35" s="87"/>
      <c r="Q35" s="87"/>
      <c r="R35" s="87"/>
      <c r="S35" s="87"/>
      <c r="T35" s="87"/>
      <c r="U35" s="87"/>
      <c r="V35" s="87"/>
      <c r="AA35" s="186"/>
      <c r="AB35" s="186"/>
      <c r="AC35" s="186"/>
      <c r="AD35" s="186"/>
      <c r="AE35" s="186"/>
      <c r="AF35" s="186"/>
      <c r="AG35" s="186"/>
      <c r="AH35" s="186"/>
      <c r="AI35" s="186"/>
      <c r="AJ35" s="186"/>
    </row>
    <row r="36" spans="2:36" s="185" customFormat="1">
      <c r="B36" s="13" t="str" cm="1">
        <f t="array" ref="B36">IF(ROW()-ROW(tbl_H_EligibilitySummary[#Headers])&lt;=ROWS(tbl_H_Assessment[ActionID]),"Existing action","Additional action")</f>
        <v>Existing action</v>
      </c>
      <c r="C36" s="13" t="str" cm="1">
        <f t="array" ref="C36">IF(ROW()-ROW(tbl_H_EligibilitySummary[#Headers])&lt;=ROWS(tbl_H_Assessment[ActionID]),INDEX(tbl_H_Assessment[ActionID],ROW()-ROW(tbl_H_EligibilitySummary[#Headers])),INDEX(tbl_H_AdditionalActions[AdditionalActionID],ROW()-ROW(tbl_H_EligibilitySummary[#Headers])-ROWS(tbl_H_Assessment[ActionID])))</f>
        <v>icare_0184</v>
      </c>
      <c r="D36" s="13" t="str" cm="1">
        <f t="array" ref="D36">IF(ROW()-ROW(tbl_H_EligibilitySummary[#Headers])&lt;=ROWS(tbl_H_Assessment[ActionID]),INDEX(tbl_H_Assessment[ActionName],ROW()-ROW(tbl_H_EligibilitySummary[#Headers])),INDEX(tbl_H_AdditionalActions[ActionName],ROW()-ROW(tbl_H_EligibilitySummary[#Headers])-ROWS(tbl_H_Assessment[ActionID])))</f>
        <v>Upgrade Slope stabilization and drainage</v>
      </c>
      <c r="E36" s="13" cm="1">
        <f t="array" ref="E36">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36" s="13" t="str" cm="1">
        <f t="array" ref="F36">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36" s="13" t="str" cm="1">
        <f t="array" ref="G36">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36" s="13" cm="1">
        <f t="array" ref="H36">IF(ROW()-ROW(tbl_H_EligibilitySummary[#Headers])&lt;=ROWS(tbl_H_Assessment[ActionID]),INDEX(tbl_H_Assessment[Exposure Eligibility],ROW()-ROW(tbl_H_EligibilitySummary[#Headers])),INDEX(tbl_H_AdditionalActions[Exposure Eligibility],ROW()-ROW(tbl_H_EligibilitySummary[#Headers])-ROWS(tbl_H_Assessment[ActionID])))</f>
        <v>0</v>
      </c>
      <c r="I36" s="13" t="str" cm="1">
        <f t="array" ref="I36">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36" s="13" t="str" cm="1">
        <f t="array" ref="J36">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36" s="13" cm="1">
        <f t="array" ref="K36">IF(ROW()-ROW(tbl_H_EligibilitySummary[#Headers])&lt;=ROWS(tbl_H_Assessment[ActionID]),INDEX(tbl_H_Assessment[ReviewStatus],ROW()-ROW(tbl_H_EligibilitySummary[#Headers])),INDEX(tbl_H_AdditionalActions[ReviewStatus],ROW()-ROW(tbl_H_EligibilitySummary[#Headers])-ROWS(tbl_H_Assessment[ActionID])))</f>
        <v>0</v>
      </c>
      <c r="L36" s="87"/>
      <c r="M36" s="87"/>
      <c r="N36" s="87"/>
      <c r="O36" s="87"/>
      <c r="P36" s="87"/>
      <c r="Q36" s="87"/>
      <c r="R36" s="87"/>
      <c r="S36" s="87"/>
      <c r="T36" s="87"/>
      <c r="U36" s="87"/>
      <c r="V36" s="87"/>
      <c r="AA36" s="186"/>
      <c r="AB36" s="186"/>
      <c r="AC36" s="186"/>
      <c r="AD36" s="186"/>
      <c r="AE36" s="186"/>
      <c r="AF36" s="186"/>
      <c r="AG36" s="186"/>
      <c r="AH36" s="186"/>
      <c r="AI36" s="186"/>
      <c r="AJ36" s="186"/>
    </row>
    <row r="37" spans="2:36" s="185" customFormat="1">
      <c r="B37" s="13" t="str" cm="1">
        <f t="array" ref="B37">IF(ROW()-ROW(tbl_H_EligibilitySummary[#Headers])&lt;=ROWS(tbl_H_Assessment[ActionID]),"Existing action","Additional action")</f>
        <v>Existing action</v>
      </c>
      <c r="C37" s="13" t="str" cm="1">
        <f t="array" ref="C37">IF(ROW()-ROW(tbl_H_EligibilitySummary[#Headers])&lt;=ROWS(tbl_H_Assessment[ActionID]),INDEX(tbl_H_Assessment[ActionID],ROW()-ROW(tbl_H_EligibilitySummary[#Headers])),INDEX(tbl_H_AdditionalActions[AdditionalActionID],ROW()-ROW(tbl_H_EligibilitySummary[#Headers])-ROWS(tbl_H_Assessment[ActionID])))</f>
        <v>icare_0185</v>
      </c>
      <c r="D37" s="13" t="str" cm="1">
        <f t="array" ref="D37">IF(ROW()-ROW(tbl_H_EligibilitySummary[#Headers])&lt;=ROWS(tbl_H_Assessment[ActionID]),INDEX(tbl_H_Assessment[ActionName],ROW()-ROW(tbl_H_EligibilitySummary[#Headers])),INDEX(tbl_H_AdditionalActions[ActionName],ROW()-ROW(tbl_H_EligibilitySummary[#Headers])-ROWS(tbl_H_Assessment[ActionID])))</f>
        <v>Improve Creation of An Epidemiological Intelligence Center</v>
      </c>
      <c r="E37" s="13" cm="1">
        <f t="array" ref="E37">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37" s="13" t="str" cm="1">
        <f t="array" ref="F37">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37" s="13" t="str" cm="1">
        <f t="array" ref="G37">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37" s="13" cm="1">
        <f t="array" ref="H37">IF(ROW()-ROW(tbl_H_EligibilitySummary[#Headers])&lt;=ROWS(tbl_H_Assessment[ActionID]),INDEX(tbl_H_Assessment[Exposure Eligibility],ROW()-ROW(tbl_H_EligibilitySummary[#Headers])),INDEX(tbl_H_AdditionalActions[Exposure Eligibility],ROW()-ROW(tbl_H_EligibilitySummary[#Headers])-ROWS(tbl_H_Assessment[ActionID])))</f>
        <v>0</v>
      </c>
      <c r="I37" s="13" t="str" cm="1">
        <f t="array" ref="I37">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37" s="13" t="str" cm="1">
        <f t="array" ref="J37">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37" s="13" cm="1">
        <f t="array" ref="K37">IF(ROW()-ROW(tbl_H_EligibilitySummary[#Headers])&lt;=ROWS(tbl_H_Assessment[ActionID]),INDEX(tbl_H_Assessment[ReviewStatus],ROW()-ROW(tbl_H_EligibilitySummary[#Headers])),INDEX(tbl_H_AdditionalActions[ReviewStatus],ROW()-ROW(tbl_H_EligibilitySummary[#Headers])-ROWS(tbl_H_Assessment[ActionID])))</f>
        <v>0</v>
      </c>
      <c r="L37" s="87"/>
      <c r="M37" s="87"/>
      <c r="N37" s="87"/>
      <c r="O37" s="87"/>
      <c r="P37" s="87"/>
      <c r="Q37" s="87"/>
      <c r="R37" s="87"/>
      <c r="S37" s="87"/>
      <c r="T37" s="87"/>
      <c r="U37" s="87"/>
      <c r="V37" s="87"/>
      <c r="AA37" s="186"/>
      <c r="AB37" s="186"/>
      <c r="AC37" s="186"/>
      <c r="AD37" s="186"/>
      <c r="AE37" s="186"/>
      <c r="AF37" s="186"/>
      <c r="AG37" s="186"/>
      <c r="AH37" s="186"/>
      <c r="AI37" s="186"/>
      <c r="AJ37" s="186"/>
    </row>
    <row r="38" spans="2:36" s="185" customFormat="1">
      <c r="B38" s="13" t="str" cm="1">
        <f t="array" ref="B38">IF(ROW()-ROW(tbl_H_EligibilitySummary[#Headers])&lt;=ROWS(tbl_H_Assessment[ActionID]),"Existing action","Additional action")</f>
        <v>Existing action</v>
      </c>
      <c r="C38" s="13" t="str" cm="1">
        <f t="array" ref="C38">IF(ROW()-ROW(tbl_H_EligibilitySummary[#Headers])&lt;=ROWS(tbl_H_Assessment[ActionID]),INDEX(tbl_H_Assessment[ActionID],ROW()-ROW(tbl_H_EligibilitySummary[#Headers])),INDEX(tbl_H_AdditionalActions[AdditionalActionID],ROW()-ROW(tbl_H_EligibilitySummary[#Headers])-ROWS(tbl_H_Assessment[ActionID])))</f>
        <v>icare_0186</v>
      </c>
      <c r="D38" s="13" t="str" cm="1">
        <f t="array" ref="D38">IF(ROW()-ROW(tbl_H_EligibilitySummary[#Headers])&lt;=ROWS(tbl_H_Assessment[ActionID]),INDEX(tbl_H_Assessment[ActionName],ROW()-ROW(tbl_H_EligibilitySummary[#Headers])),INDEX(tbl_H_AdditionalActions[ActionName],ROW()-ROW(tbl_H_EligibilitySummary[#Headers])-ROWS(tbl_H_Assessment[ActionID])))</f>
        <v>Implement integrated coastal zone management</v>
      </c>
      <c r="E38" s="13" cm="1">
        <f t="array" ref="E38">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38" s="13" t="str" cm="1">
        <f t="array" ref="F38">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38" s="13" t="str" cm="1">
        <f t="array" ref="G38">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38" s="13" cm="1">
        <f t="array" ref="H38">IF(ROW()-ROW(tbl_H_EligibilitySummary[#Headers])&lt;=ROWS(tbl_H_Assessment[ActionID]),INDEX(tbl_H_Assessment[Exposure Eligibility],ROW()-ROW(tbl_H_EligibilitySummary[#Headers])),INDEX(tbl_H_AdditionalActions[Exposure Eligibility],ROW()-ROW(tbl_H_EligibilitySummary[#Headers])-ROWS(tbl_H_Assessment[ActionID])))</f>
        <v>0</v>
      </c>
      <c r="I38" s="13" t="str" cm="1">
        <f t="array" ref="I38">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38" s="13" t="str" cm="1">
        <f t="array" ref="J38">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38" s="13" cm="1">
        <f t="array" ref="K38">IF(ROW()-ROW(tbl_H_EligibilitySummary[#Headers])&lt;=ROWS(tbl_H_Assessment[ActionID]),INDEX(tbl_H_Assessment[ReviewStatus],ROW()-ROW(tbl_H_EligibilitySummary[#Headers])),INDEX(tbl_H_AdditionalActions[ReviewStatus],ROW()-ROW(tbl_H_EligibilitySummary[#Headers])-ROWS(tbl_H_Assessment[ActionID])))</f>
        <v>0</v>
      </c>
      <c r="L38" s="87"/>
      <c r="M38" s="87"/>
      <c r="N38" s="87"/>
      <c r="O38" s="87"/>
      <c r="P38" s="87"/>
      <c r="Q38" s="87"/>
      <c r="R38" s="87"/>
      <c r="S38" s="87"/>
      <c r="T38" s="87"/>
      <c r="U38" s="87"/>
      <c r="V38" s="87"/>
      <c r="AA38" s="186"/>
      <c r="AB38" s="186"/>
      <c r="AC38" s="186"/>
      <c r="AD38" s="186"/>
      <c r="AE38" s="186"/>
      <c r="AF38" s="186"/>
      <c r="AG38" s="186"/>
      <c r="AH38" s="186"/>
      <c r="AI38" s="186"/>
      <c r="AJ38" s="186"/>
    </row>
    <row r="39" spans="2:36" s="185" customFormat="1">
      <c r="B39" s="13" t="str" cm="1">
        <f t="array" ref="B39">IF(ROW()-ROW(tbl_H_EligibilitySummary[#Headers])&lt;=ROWS(tbl_H_Assessment[ActionID]),"Existing action","Additional action")</f>
        <v>Existing action</v>
      </c>
      <c r="C39" s="13" t="str" cm="1">
        <f t="array" ref="C39">IF(ROW()-ROW(tbl_H_EligibilitySummary[#Headers])&lt;=ROWS(tbl_H_Assessment[ActionID]),INDEX(tbl_H_Assessment[ActionID],ROW()-ROW(tbl_H_EligibilitySummary[#Headers])),INDEX(tbl_H_AdditionalActions[AdditionalActionID],ROW()-ROW(tbl_H_EligibilitySummary[#Headers])-ROWS(tbl_H_Assessment[ActionID])))</f>
        <v>icare_0188</v>
      </c>
      <c r="D39" s="13" t="str" cm="1">
        <f t="array" ref="D39">IF(ROW()-ROW(tbl_H_EligibilitySummary[#Headers])&lt;=ROWS(tbl_H_Assessment[ActionID]),INDEX(tbl_H_Assessment[ActionName],ROW()-ROW(tbl_H_EligibilitySummary[#Headers])),INDEX(tbl_H_AdditionalActions[ActionName],ROW()-ROW(tbl_H_EligibilitySummary[#Headers])-ROWS(tbl_H_Assessment[ActionID])))</f>
        <v>Create an Environmental Health Surveillance Program related to Populations Exposed to Air Pollution, Noise Pollution, Water Pollution, and Soil Pollution.</v>
      </c>
      <c r="E39" s="13" cm="1">
        <f t="array" ref="E39">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39" s="13" t="str" cm="1">
        <f t="array" ref="F39">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39" s="13" t="str" cm="1">
        <f t="array" ref="G39">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39" s="13" cm="1">
        <f t="array" ref="H39">IF(ROW()-ROW(tbl_H_EligibilitySummary[#Headers])&lt;=ROWS(tbl_H_Assessment[ActionID]),INDEX(tbl_H_Assessment[Exposure Eligibility],ROW()-ROW(tbl_H_EligibilitySummary[#Headers])),INDEX(tbl_H_AdditionalActions[Exposure Eligibility],ROW()-ROW(tbl_H_EligibilitySummary[#Headers])-ROWS(tbl_H_Assessment[ActionID])))</f>
        <v>0</v>
      </c>
      <c r="I39" s="13" t="str" cm="1">
        <f t="array" ref="I39">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39" s="13" t="str" cm="1">
        <f t="array" ref="J39">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39" s="13" cm="1">
        <f t="array" ref="K39">IF(ROW()-ROW(tbl_H_EligibilitySummary[#Headers])&lt;=ROWS(tbl_H_Assessment[ActionID]),INDEX(tbl_H_Assessment[ReviewStatus],ROW()-ROW(tbl_H_EligibilitySummary[#Headers])),INDEX(tbl_H_AdditionalActions[ReviewStatus],ROW()-ROW(tbl_H_EligibilitySummary[#Headers])-ROWS(tbl_H_Assessment[ActionID])))</f>
        <v>0</v>
      </c>
      <c r="L39" s="87"/>
      <c r="M39" s="87"/>
      <c r="N39" s="87"/>
      <c r="O39" s="87"/>
      <c r="P39" s="87"/>
      <c r="Q39" s="87"/>
      <c r="R39" s="87"/>
      <c r="S39" s="87"/>
      <c r="T39" s="87"/>
      <c r="U39" s="87"/>
      <c r="V39" s="87"/>
      <c r="AA39" s="186"/>
      <c r="AB39" s="186"/>
      <c r="AC39" s="186"/>
      <c r="AD39" s="186"/>
      <c r="AE39" s="186"/>
      <c r="AF39" s="186"/>
      <c r="AG39" s="186"/>
      <c r="AH39" s="186"/>
      <c r="AI39" s="186"/>
      <c r="AJ39" s="186"/>
    </row>
    <row r="40" spans="2:36" s="185" customFormat="1">
      <c r="B40" s="13" t="str" cm="1">
        <f t="array" ref="B40">IF(ROW()-ROW(tbl_H_EligibilitySummary[#Headers])&lt;=ROWS(tbl_H_Assessment[ActionID]),"Existing action","Additional action")</f>
        <v>Existing action</v>
      </c>
      <c r="C40" s="13" t="str" cm="1">
        <f t="array" ref="C40">IF(ROW()-ROW(tbl_H_EligibilitySummary[#Headers])&lt;=ROWS(tbl_H_Assessment[ActionID]),INDEX(tbl_H_Assessment[ActionID],ROW()-ROW(tbl_H_EligibilitySummary[#Headers])),INDEX(tbl_H_AdditionalActions[AdditionalActionID],ROW()-ROW(tbl_H_EligibilitySummary[#Headers])-ROWS(tbl_H_Assessment[ActionID])))</f>
        <v>ipcc_0078</v>
      </c>
      <c r="D40" s="13" t="str" cm="1">
        <f t="array" ref="D40">IF(ROW()-ROW(tbl_H_EligibilitySummary[#Headers])&lt;=ROWS(tbl_H_Assessment[ActionID]),INDEX(tbl_H_Assessment[ActionName],ROW()-ROW(tbl_H_EligibilitySummary[#Headers])),INDEX(tbl_H_AdditionalActions[ActionName],ROW()-ROW(tbl_H_EligibilitySummary[#Headers])-ROWS(tbl_H_Assessment[ActionID])))</f>
        <v>Implement green roofs and walls</v>
      </c>
      <c r="E40" s="13" cm="1">
        <f t="array" ref="E40">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40" s="13" t="str" cm="1">
        <f t="array" ref="F40">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40" s="13" t="str" cm="1">
        <f t="array" ref="G40">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40" s="13" cm="1">
        <f t="array" ref="H40">IF(ROW()-ROW(tbl_H_EligibilitySummary[#Headers])&lt;=ROWS(tbl_H_Assessment[ActionID]),INDEX(tbl_H_Assessment[Exposure Eligibility],ROW()-ROW(tbl_H_EligibilitySummary[#Headers])),INDEX(tbl_H_AdditionalActions[Exposure Eligibility],ROW()-ROW(tbl_H_EligibilitySummary[#Headers])-ROWS(tbl_H_Assessment[ActionID])))</f>
        <v>0</v>
      </c>
      <c r="I40" s="13" t="str" cm="1">
        <f t="array" ref="I40">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40" s="13" t="str" cm="1">
        <f t="array" ref="J40">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40" s="13" cm="1">
        <f t="array" ref="K40">IF(ROW()-ROW(tbl_H_EligibilitySummary[#Headers])&lt;=ROWS(tbl_H_Assessment[ActionID]),INDEX(tbl_H_Assessment[ReviewStatus],ROW()-ROW(tbl_H_EligibilitySummary[#Headers])),INDEX(tbl_H_AdditionalActions[ReviewStatus],ROW()-ROW(tbl_H_EligibilitySummary[#Headers])-ROWS(tbl_H_Assessment[ActionID])))</f>
        <v>0</v>
      </c>
      <c r="L40" s="87"/>
      <c r="M40" s="87"/>
      <c r="N40" s="87"/>
      <c r="O40" s="87"/>
      <c r="P40" s="87"/>
      <c r="Q40" s="87"/>
      <c r="R40" s="87"/>
      <c r="S40" s="87"/>
      <c r="T40" s="87"/>
      <c r="U40" s="87"/>
      <c r="V40" s="87"/>
      <c r="AA40" s="186"/>
      <c r="AB40" s="186"/>
      <c r="AC40" s="186"/>
      <c r="AD40" s="186"/>
      <c r="AE40" s="186"/>
      <c r="AF40" s="186"/>
      <c r="AG40" s="186"/>
      <c r="AH40" s="186"/>
      <c r="AI40" s="186"/>
      <c r="AJ40" s="186"/>
    </row>
    <row r="41" spans="2:36" s="185" customFormat="1">
      <c r="B41" s="13" t="str" cm="1">
        <f t="array" ref="B41">IF(ROW()-ROW(tbl_H_EligibilitySummary[#Headers])&lt;=ROWS(tbl_H_Assessment[ActionID]),"Existing action","Additional action")</f>
        <v>Existing action</v>
      </c>
      <c r="C41" s="13" t="str" cm="1">
        <f t="array" ref="C41">IF(ROW()-ROW(tbl_H_EligibilitySummary[#Headers])&lt;=ROWS(tbl_H_Assessment[ActionID]),INDEX(tbl_H_Assessment[ActionID],ROW()-ROW(tbl_H_EligibilitySummary[#Headers])),INDEX(tbl_H_AdditionalActions[AdditionalActionID],ROW()-ROW(tbl_H_EligibilitySummary[#Headers])-ROWS(tbl_H_Assessment[ActionID])))</f>
        <v>ipcc_0083</v>
      </c>
      <c r="D41" s="13" t="str" cm="1">
        <f t="array" ref="D41">IF(ROW()-ROW(tbl_H_EligibilitySummary[#Headers])&lt;=ROWS(tbl_H_Assessment[ActionID]),INDEX(tbl_H_Assessment[ActionName],ROW()-ROW(tbl_H_EligibilitySummary[#Headers])),INDEX(tbl_H_AdditionalActions[ActionName],ROW()-ROW(tbl_H_EligibilitySummary[#Headers])-ROWS(tbl_H_Assessment[ActionID])))</f>
        <v>Plan strategic coastal retreat for vulnerable communities</v>
      </c>
      <c r="E41" s="13" cm="1">
        <f t="array" ref="E41">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41" s="13" t="str" cm="1">
        <f t="array" ref="F41">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41" s="13" t="str" cm="1">
        <f t="array" ref="G41">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41" s="13" cm="1">
        <f t="array" ref="H41">IF(ROW()-ROW(tbl_H_EligibilitySummary[#Headers])&lt;=ROWS(tbl_H_Assessment[ActionID]),INDEX(tbl_H_Assessment[Exposure Eligibility],ROW()-ROW(tbl_H_EligibilitySummary[#Headers])),INDEX(tbl_H_AdditionalActions[Exposure Eligibility],ROW()-ROW(tbl_H_EligibilitySummary[#Headers])-ROWS(tbl_H_Assessment[ActionID])))</f>
        <v>0</v>
      </c>
      <c r="I41" s="13" t="str" cm="1">
        <f t="array" ref="I41">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41" s="13" t="str" cm="1">
        <f t="array" ref="J41">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41" s="13" cm="1">
        <f t="array" ref="K41">IF(ROW()-ROW(tbl_H_EligibilitySummary[#Headers])&lt;=ROWS(tbl_H_Assessment[ActionID]),INDEX(tbl_H_Assessment[ReviewStatus],ROW()-ROW(tbl_H_EligibilitySummary[#Headers])),INDEX(tbl_H_AdditionalActions[ReviewStatus],ROW()-ROW(tbl_H_EligibilitySummary[#Headers])-ROWS(tbl_H_Assessment[ActionID])))</f>
        <v>0</v>
      </c>
      <c r="L41" s="87"/>
      <c r="M41" s="87"/>
      <c r="N41" s="87"/>
      <c r="O41" s="87"/>
      <c r="P41" s="87"/>
      <c r="Q41" s="87"/>
      <c r="R41" s="87"/>
      <c r="S41" s="87"/>
      <c r="T41" s="87"/>
      <c r="U41" s="87"/>
      <c r="V41" s="87"/>
      <c r="AA41" s="186"/>
      <c r="AB41" s="186"/>
      <c r="AC41" s="186"/>
      <c r="AD41" s="186"/>
      <c r="AE41" s="186"/>
      <c r="AF41" s="186"/>
      <c r="AG41" s="186"/>
      <c r="AH41" s="186"/>
      <c r="AI41" s="186"/>
      <c r="AJ41" s="186"/>
    </row>
    <row r="42" spans="2:36" s="185" customFormat="1">
      <c r="B42" s="13" t="str" cm="1">
        <f t="array" ref="B42">IF(ROW()-ROW(tbl_H_EligibilitySummary[#Headers])&lt;=ROWS(tbl_H_Assessment[ActionID]),"Existing action","Additional action")</f>
        <v>Existing action</v>
      </c>
      <c r="C42" s="13" t="str" cm="1">
        <f t="array" ref="C42">IF(ROW()-ROW(tbl_H_EligibilitySummary[#Headers])&lt;=ROWS(tbl_H_Assessment[ActionID]),INDEX(tbl_H_Assessment[ActionID],ROW()-ROW(tbl_H_EligibilitySummary[#Headers])),INDEX(tbl_H_AdditionalActions[AdditionalActionID],ROW()-ROW(tbl_H_EligibilitySummary[#Headers])-ROWS(tbl_H_Assessment[ActionID])))</f>
        <v>ipcc_0084</v>
      </c>
      <c r="D42" s="13" t="str" cm="1">
        <f t="array" ref="D42">IF(ROW()-ROW(tbl_H_EligibilitySummary[#Headers])&lt;=ROWS(tbl_H_Assessment[ActionID]),INDEX(tbl_H_Assessment[ActionName],ROW()-ROW(tbl_H_EligibilitySummary[#Headers])),INDEX(tbl_H_AdditionalActions[ActionName],ROW()-ROW(tbl_H_EligibilitySummary[#Headers])-ROWS(tbl_H_Assessment[ActionID])))</f>
        <v>Restore/create natural areas</v>
      </c>
      <c r="E42" s="13" cm="1">
        <f t="array" ref="E42">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42" s="13" t="str" cm="1">
        <f t="array" ref="F42">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42" s="13" t="str" cm="1">
        <f t="array" ref="G42">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42" s="13" cm="1">
        <f t="array" ref="H42">IF(ROW()-ROW(tbl_H_EligibilitySummary[#Headers])&lt;=ROWS(tbl_H_Assessment[ActionID]),INDEX(tbl_H_Assessment[Exposure Eligibility],ROW()-ROW(tbl_H_EligibilitySummary[#Headers])),INDEX(tbl_H_AdditionalActions[Exposure Eligibility],ROW()-ROW(tbl_H_EligibilitySummary[#Headers])-ROWS(tbl_H_Assessment[ActionID])))</f>
        <v>0</v>
      </c>
      <c r="I42" s="13" t="str" cm="1">
        <f t="array" ref="I42">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42" s="13" t="str" cm="1">
        <f t="array" ref="J42">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42" s="13" cm="1">
        <f t="array" ref="K42">IF(ROW()-ROW(tbl_H_EligibilitySummary[#Headers])&lt;=ROWS(tbl_H_Assessment[ActionID]),INDEX(tbl_H_Assessment[ReviewStatus],ROW()-ROW(tbl_H_EligibilitySummary[#Headers])),INDEX(tbl_H_AdditionalActions[ReviewStatus],ROW()-ROW(tbl_H_EligibilitySummary[#Headers])-ROWS(tbl_H_Assessment[ActionID])))</f>
        <v>0</v>
      </c>
      <c r="L42" s="87"/>
      <c r="M42" s="87"/>
      <c r="N42" s="87"/>
      <c r="O42" s="87"/>
      <c r="P42" s="87"/>
      <c r="Q42" s="87"/>
      <c r="R42" s="87"/>
      <c r="S42" s="87"/>
      <c r="T42" s="87"/>
      <c r="U42" s="87"/>
      <c r="V42" s="87"/>
      <c r="AA42" s="186"/>
      <c r="AB42" s="186"/>
      <c r="AC42" s="186"/>
      <c r="AD42" s="186"/>
      <c r="AE42" s="186"/>
      <c r="AF42" s="186"/>
      <c r="AG42" s="186"/>
      <c r="AH42" s="186"/>
      <c r="AI42" s="186"/>
      <c r="AJ42" s="186"/>
    </row>
    <row r="43" spans="2:36" s="185" customFormat="1">
      <c r="B43" s="13" t="str" cm="1">
        <f t="array" ref="B43">IF(ROW()-ROW(tbl_H_EligibilitySummary[#Headers])&lt;=ROWS(tbl_H_Assessment[ActionID]),"Existing action","Additional action")</f>
        <v>Existing action</v>
      </c>
      <c r="C43" s="13" t="str" cm="1">
        <f t="array" ref="C43">IF(ROW()-ROW(tbl_H_EligibilitySummary[#Headers])&lt;=ROWS(tbl_H_Assessment[ActionID]),INDEX(tbl_H_Assessment[ActionID],ROW()-ROW(tbl_H_EligibilitySummary[#Headers])),INDEX(tbl_H_AdditionalActions[AdditionalActionID],ROW()-ROW(tbl_H_EligibilitySummary[#Headers])-ROWS(tbl_H_Assessment[ActionID])))</f>
        <v>ipcc_0085</v>
      </c>
      <c r="D43" s="13" t="str" cm="1">
        <f t="array" ref="D43">IF(ROW()-ROW(tbl_H_EligibilitySummary[#Headers])&lt;=ROWS(tbl_H_Assessment[ActionID]),INDEX(tbl_H_Assessment[ActionName],ROW()-ROW(tbl_H_EligibilitySummary[#Headers])),INDEX(tbl_H_AdditionalActions[ActionName],ROW()-ROW(tbl_H_EligibilitySummary[#Headers])-ROWS(tbl_H_Assessment[ActionID])))</f>
        <v>Reduce pressures on ecosystems to build resilience</v>
      </c>
      <c r="E43" s="13" cm="1">
        <f t="array" ref="E43">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43" s="13" t="str" cm="1">
        <f t="array" ref="F43">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43" s="13" t="str" cm="1">
        <f t="array" ref="G43">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43" s="13" cm="1">
        <f t="array" ref="H43">IF(ROW()-ROW(tbl_H_EligibilitySummary[#Headers])&lt;=ROWS(tbl_H_Assessment[ActionID]),INDEX(tbl_H_Assessment[Exposure Eligibility],ROW()-ROW(tbl_H_EligibilitySummary[#Headers])),INDEX(tbl_H_AdditionalActions[Exposure Eligibility],ROW()-ROW(tbl_H_EligibilitySummary[#Headers])-ROWS(tbl_H_Assessment[ActionID])))</f>
        <v>0</v>
      </c>
      <c r="I43" s="13" t="str" cm="1">
        <f t="array" ref="I43">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43" s="13" t="str" cm="1">
        <f t="array" ref="J43">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43" s="13" cm="1">
        <f t="array" ref="K43">IF(ROW()-ROW(tbl_H_EligibilitySummary[#Headers])&lt;=ROWS(tbl_H_Assessment[ActionID]),INDEX(tbl_H_Assessment[ReviewStatus],ROW()-ROW(tbl_H_EligibilitySummary[#Headers])),INDEX(tbl_H_AdditionalActions[ReviewStatus],ROW()-ROW(tbl_H_EligibilitySummary[#Headers])-ROWS(tbl_H_Assessment[ActionID])))</f>
        <v>0</v>
      </c>
      <c r="L43" s="87"/>
      <c r="M43" s="87"/>
      <c r="N43" s="87"/>
      <c r="O43" s="87"/>
      <c r="P43" s="87"/>
      <c r="Q43" s="87"/>
      <c r="R43" s="87"/>
      <c r="S43" s="87"/>
      <c r="T43" s="87"/>
      <c r="U43" s="87"/>
      <c r="V43" s="87"/>
      <c r="AA43" s="186"/>
      <c r="AB43" s="186"/>
      <c r="AC43" s="186"/>
      <c r="AD43" s="186"/>
      <c r="AE43" s="186"/>
      <c r="AF43" s="186"/>
      <c r="AG43" s="186"/>
      <c r="AH43" s="186"/>
      <c r="AI43" s="186"/>
      <c r="AJ43" s="186"/>
    </row>
    <row r="44" spans="2:36" s="185" customFormat="1">
      <c r="B44" s="13" t="str" cm="1">
        <f t="array" ref="B44">IF(ROW()-ROW(tbl_H_EligibilitySummary[#Headers])&lt;=ROWS(tbl_H_Assessment[ActionID]),"Existing action","Additional action")</f>
        <v>Existing action</v>
      </c>
      <c r="C44" s="13" t="str" cm="1">
        <f t="array" ref="C44">IF(ROW()-ROW(tbl_H_EligibilitySummary[#Headers])&lt;=ROWS(tbl_H_Assessment[ActionID]),INDEX(tbl_H_Assessment[ActionID],ROW()-ROW(tbl_H_EligibilitySummary[#Headers])),INDEX(tbl_H_AdditionalActions[AdditionalActionID],ROW()-ROW(tbl_H_EligibilitySummary[#Headers])-ROWS(tbl_H_Assessment[ActionID])))</f>
        <v>ipcc_0086</v>
      </c>
      <c r="D44" s="13" t="str" cm="1">
        <f t="array" ref="D44">IF(ROW()-ROW(tbl_H_EligibilitySummary[#Headers])&lt;=ROWS(tbl_H_Assessment[ActionID]),INDEX(tbl_H_Assessment[ActionName],ROW()-ROW(tbl_H_EligibilitySummary[#Headers])),INDEX(tbl_H_AdditionalActions[ActionName],ROW()-ROW(tbl_H_EligibilitySummary[#Headers])-ROWS(tbl_H_Assessment[ActionID])))</f>
        <v>Implement ecosystem‑based adaptation measures</v>
      </c>
      <c r="E44" s="13" cm="1">
        <f t="array" ref="E44">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44" s="13" t="str" cm="1">
        <f t="array" ref="F44">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44" s="13" t="str" cm="1">
        <f t="array" ref="G44">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44" s="13" cm="1">
        <f t="array" ref="H44">IF(ROW()-ROW(tbl_H_EligibilitySummary[#Headers])&lt;=ROWS(tbl_H_Assessment[ActionID]),INDEX(tbl_H_Assessment[Exposure Eligibility],ROW()-ROW(tbl_H_EligibilitySummary[#Headers])),INDEX(tbl_H_AdditionalActions[Exposure Eligibility],ROW()-ROW(tbl_H_EligibilitySummary[#Headers])-ROWS(tbl_H_Assessment[ActionID])))</f>
        <v>0</v>
      </c>
      <c r="I44" s="13" t="str" cm="1">
        <f t="array" ref="I44">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44" s="13" t="str" cm="1">
        <f t="array" ref="J44">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44" s="13" cm="1">
        <f t="array" ref="K44">IF(ROW()-ROW(tbl_H_EligibilitySummary[#Headers])&lt;=ROWS(tbl_H_Assessment[ActionID]),INDEX(tbl_H_Assessment[ReviewStatus],ROW()-ROW(tbl_H_EligibilitySummary[#Headers])),INDEX(tbl_H_AdditionalActions[ReviewStatus],ROW()-ROW(tbl_H_EligibilitySummary[#Headers])-ROWS(tbl_H_Assessment[ActionID])))</f>
        <v>0</v>
      </c>
      <c r="L44" s="87"/>
      <c r="M44" s="87"/>
      <c r="N44" s="87"/>
      <c r="O44" s="87"/>
      <c r="P44" s="87"/>
      <c r="Q44" s="87"/>
      <c r="R44" s="87"/>
      <c r="S44" s="87"/>
      <c r="T44" s="87"/>
      <c r="U44" s="87"/>
      <c r="V44" s="87"/>
      <c r="AA44" s="186"/>
      <c r="AB44" s="186"/>
      <c r="AC44" s="186"/>
      <c r="AD44" s="186"/>
      <c r="AE44" s="186"/>
      <c r="AF44" s="186"/>
      <c r="AG44" s="186"/>
      <c r="AH44" s="186"/>
      <c r="AI44" s="186"/>
      <c r="AJ44" s="186"/>
    </row>
    <row r="45" spans="2:36" s="185" customFormat="1">
      <c r="B45" s="13" t="str" cm="1">
        <f t="array" ref="B45">IF(ROW()-ROW(tbl_H_EligibilitySummary[#Headers])&lt;=ROWS(tbl_H_Assessment[ActionID]),"Existing action","Additional action")</f>
        <v>Existing action</v>
      </c>
      <c r="C45" s="13" t="str" cm="1">
        <f t="array" ref="C45">IF(ROW()-ROW(tbl_H_EligibilitySummary[#Headers])&lt;=ROWS(tbl_H_Assessment[ActionID]),INDEX(tbl_H_Assessment[ActionID],ROW()-ROW(tbl_H_EligibilitySummary[#Headers])),INDEX(tbl_H_AdditionalActions[AdditionalActionID],ROW()-ROW(tbl_H_EligibilitySummary[#Headers])-ROWS(tbl_H_Assessment[ActionID])))</f>
        <v>ipcc_0087</v>
      </c>
      <c r="D45" s="13" t="str" cm="1">
        <f t="array" ref="D45">IF(ROW()-ROW(tbl_H_EligibilitySummary[#Headers])&lt;=ROWS(tbl_H_Assessment[ActionID]),INDEX(tbl_H_Assessment[ActionName],ROW()-ROW(tbl_H_EligibilitySummary[#Headers])),INDEX(tbl_H_AdditionalActions[ActionName],ROW()-ROW(tbl_H_EligibilitySummary[#Headers])-ROWS(tbl_H_Assessment[ActionID])))</f>
        <v>Improve Infrastructure retrofitting</v>
      </c>
      <c r="E45" s="13" cm="1">
        <f t="array" ref="E45">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45" s="13" t="str" cm="1">
        <f t="array" ref="F45">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45" s="13" t="str" cm="1">
        <f t="array" ref="G45">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45" s="13" cm="1">
        <f t="array" ref="H45">IF(ROW()-ROW(tbl_H_EligibilitySummary[#Headers])&lt;=ROWS(tbl_H_Assessment[ActionID]),INDEX(tbl_H_Assessment[Exposure Eligibility],ROW()-ROW(tbl_H_EligibilitySummary[#Headers])),INDEX(tbl_H_AdditionalActions[Exposure Eligibility],ROW()-ROW(tbl_H_EligibilitySummary[#Headers])-ROWS(tbl_H_Assessment[ActionID])))</f>
        <v>0</v>
      </c>
      <c r="I45" s="13" t="str" cm="1">
        <f t="array" ref="I45">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45" s="13" t="str" cm="1">
        <f t="array" ref="J45">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45" s="13" cm="1">
        <f t="array" ref="K45">IF(ROW()-ROW(tbl_H_EligibilitySummary[#Headers])&lt;=ROWS(tbl_H_Assessment[ActionID]),INDEX(tbl_H_Assessment[ReviewStatus],ROW()-ROW(tbl_H_EligibilitySummary[#Headers])),INDEX(tbl_H_AdditionalActions[ReviewStatus],ROW()-ROW(tbl_H_EligibilitySummary[#Headers])-ROWS(tbl_H_Assessment[ActionID])))</f>
        <v>0</v>
      </c>
      <c r="L45" s="87"/>
      <c r="M45" s="87"/>
      <c r="N45" s="87"/>
      <c r="O45" s="87"/>
      <c r="P45" s="87"/>
      <c r="Q45" s="87"/>
      <c r="R45" s="87"/>
      <c r="S45" s="87"/>
      <c r="T45" s="87"/>
      <c r="U45" s="87"/>
      <c r="V45" s="87"/>
      <c r="AA45" s="186"/>
      <c r="AB45" s="186"/>
      <c r="AC45" s="186"/>
      <c r="AD45" s="186"/>
      <c r="AE45" s="186"/>
      <c r="AF45" s="186"/>
      <c r="AG45" s="186"/>
      <c r="AH45" s="186"/>
      <c r="AI45" s="186"/>
      <c r="AJ45" s="186"/>
    </row>
    <row r="46" spans="2:36" s="185" customFormat="1">
      <c r="B46" s="13" t="str" cm="1">
        <f t="array" ref="B46">IF(ROW()-ROW(tbl_H_EligibilitySummary[#Headers])&lt;=ROWS(tbl_H_Assessment[ActionID]),"Existing action","Additional action")</f>
        <v>Existing action</v>
      </c>
      <c r="C46" s="13" t="str" cm="1">
        <f t="array" ref="C46">IF(ROW()-ROW(tbl_H_EligibilitySummary[#Headers])&lt;=ROWS(tbl_H_Assessment[ActionID]),INDEX(tbl_H_Assessment[ActionID],ROW()-ROW(tbl_H_EligibilitySummary[#Headers])),INDEX(tbl_H_AdditionalActions[AdditionalActionID],ROW()-ROW(tbl_H_EligibilitySummary[#Headers])-ROWS(tbl_H_Assessment[ActionID])))</f>
        <v>ipcc_0088</v>
      </c>
      <c r="D46" s="13" t="str" cm="1">
        <f t="array" ref="D46">IF(ROW()-ROW(tbl_H_EligibilitySummary[#Headers])&lt;=ROWS(tbl_H_Assessment[ActionID]),INDEX(tbl_H_Assessment[ActionName],ROW()-ROW(tbl_H_EligibilitySummary[#Headers])),INDEX(tbl_H_AdditionalActions[ActionName],ROW()-ROW(tbl_H_EligibilitySummary[#Headers])-ROWS(tbl_H_Assessment[ActionID])))</f>
        <v>Update and enforce climate‑resilient building codes</v>
      </c>
      <c r="E46" s="13" cm="1">
        <f t="array" ref="E46">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46" s="13" t="str" cm="1">
        <f t="array" ref="F46">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46" s="13" t="str" cm="1">
        <f t="array" ref="G46">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46" s="13" cm="1">
        <f t="array" ref="H46">IF(ROW()-ROW(tbl_H_EligibilitySummary[#Headers])&lt;=ROWS(tbl_H_Assessment[ActionID]),INDEX(tbl_H_Assessment[Exposure Eligibility],ROW()-ROW(tbl_H_EligibilitySummary[#Headers])),INDEX(tbl_H_AdditionalActions[Exposure Eligibility],ROW()-ROW(tbl_H_EligibilitySummary[#Headers])-ROWS(tbl_H_Assessment[ActionID])))</f>
        <v>0</v>
      </c>
      <c r="I46" s="13" t="str" cm="1">
        <f t="array" ref="I46">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46" s="13" t="str" cm="1">
        <f t="array" ref="J46">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46" s="13" cm="1">
        <f t="array" ref="K46">IF(ROW()-ROW(tbl_H_EligibilitySummary[#Headers])&lt;=ROWS(tbl_H_Assessment[ActionID]),INDEX(tbl_H_Assessment[ReviewStatus],ROW()-ROW(tbl_H_EligibilitySummary[#Headers])),INDEX(tbl_H_AdditionalActions[ReviewStatus],ROW()-ROW(tbl_H_EligibilitySummary[#Headers])-ROWS(tbl_H_Assessment[ActionID])))</f>
        <v>0</v>
      </c>
      <c r="L46" s="87"/>
      <c r="M46" s="87"/>
      <c r="N46" s="87"/>
      <c r="O46" s="87"/>
      <c r="P46" s="87"/>
      <c r="Q46" s="87"/>
      <c r="R46" s="87"/>
      <c r="S46" s="87"/>
      <c r="T46" s="87"/>
      <c r="U46" s="87"/>
      <c r="V46" s="87"/>
      <c r="AA46" s="186"/>
      <c r="AB46" s="186"/>
      <c r="AC46" s="186"/>
      <c r="AD46" s="186"/>
      <c r="AE46" s="186"/>
      <c r="AF46" s="186"/>
      <c r="AG46" s="186"/>
      <c r="AH46" s="186"/>
      <c r="AI46" s="186"/>
      <c r="AJ46" s="186"/>
    </row>
    <row r="47" spans="2:36" s="185" customFormat="1">
      <c r="B47" s="13" t="str" cm="1">
        <f t="array" ref="B47">IF(ROW()-ROW(tbl_H_EligibilitySummary[#Headers])&lt;=ROWS(tbl_H_Assessment[ActionID]),"Existing action","Additional action")</f>
        <v>Existing action</v>
      </c>
      <c r="C47" s="13" t="str" cm="1">
        <f t="array" ref="C47">IF(ROW()-ROW(tbl_H_EligibilitySummary[#Headers])&lt;=ROWS(tbl_H_Assessment[ActionID]),INDEX(tbl_H_Assessment[ActionID],ROW()-ROW(tbl_H_EligibilitySummary[#Headers])),INDEX(tbl_H_AdditionalActions[AdditionalActionID],ROW()-ROW(tbl_H_EligibilitySummary[#Headers])-ROWS(tbl_H_Assessment[ActionID])))</f>
        <v>ipcc_0089</v>
      </c>
      <c r="D47" s="13" t="str" cm="1">
        <f t="array" ref="D47">IF(ROW()-ROW(tbl_H_EligibilitySummary[#Headers])&lt;=ROWS(tbl_H_Assessment[ActionID]),INDEX(tbl_H_Assessment[ActionName],ROW()-ROW(tbl_H_EligibilitySummary[#Headers])),INDEX(tbl_H_AdditionalActions[ActionName],ROW()-ROW(tbl_H_EligibilitySummary[#Headers])-ROWS(tbl_H_Assessment[ActionID])))</f>
        <v>Spatially redirect development</v>
      </c>
      <c r="E47" s="13" cm="1">
        <f t="array" ref="E47">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47" s="13" t="str" cm="1">
        <f t="array" ref="F47">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47" s="13" t="str" cm="1">
        <f t="array" ref="G47">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47" s="13" cm="1">
        <f t="array" ref="H47">IF(ROW()-ROW(tbl_H_EligibilitySummary[#Headers])&lt;=ROWS(tbl_H_Assessment[ActionID]),INDEX(tbl_H_Assessment[Exposure Eligibility],ROW()-ROW(tbl_H_EligibilitySummary[#Headers])),INDEX(tbl_H_AdditionalActions[Exposure Eligibility],ROW()-ROW(tbl_H_EligibilitySummary[#Headers])-ROWS(tbl_H_Assessment[ActionID])))</f>
        <v>0</v>
      </c>
      <c r="I47" s="13" t="str" cm="1">
        <f t="array" ref="I47">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47" s="13" t="str" cm="1">
        <f t="array" ref="J47">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47" s="13" cm="1">
        <f t="array" ref="K47">IF(ROW()-ROW(tbl_H_EligibilitySummary[#Headers])&lt;=ROWS(tbl_H_Assessment[ActionID]),INDEX(tbl_H_Assessment[ReviewStatus],ROW()-ROW(tbl_H_EligibilitySummary[#Headers])),INDEX(tbl_H_AdditionalActions[ReviewStatus],ROW()-ROW(tbl_H_EligibilitySummary[#Headers])-ROWS(tbl_H_Assessment[ActionID])))</f>
        <v>0</v>
      </c>
      <c r="L47" s="87"/>
      <c r="M47" s="87"/>
      <c r="N47" s="87"/>
      <c r="O47" s="87"/>
      <c r="P47" s="87"/>
      <c r="Q47" s="87"/>
      <c r="R47" s="87"/>
      <c r="S47" s="87"/>
      <c r="T47" s="87"/>
      <c r="U47" s="87"/>
      <c r="V47" s="87"/>
      <c r="AA47" s="186"/>
      <c r="AB47" s="186"/>
      <c r="AC47" s="186"/>
      <c r="AD47" s="186"/>
      <c r="AE47" s="186"/>
      <c r="AF47" s="186"/>
      <c r="AG47" s="186"/>
      <c r="AH47" s="186"/>
      <c r="AI47" s="186"/>
      <c r="AJ47" s="186"/>
    </row>
    <row r="48" spans="2:36" s="185" customFormat="1">
      <c r="B48" s="13" t="str" cm="1">
        <f t="array" ref="B48">IF(ROW()-ROW(tbl_H_EligibilitySummary[#Headers])&lt;=ROWS(tbl_H_Assessment[ActionID]),"Existing action","Additional action")</f>
        <v>Existing action</v>
      </c>
      <c r="C48" s="13" t="str" cm="1">
        <f t="array" ref="C48">IF(ROW()-ROW(tbl_H_EligibilitySummary[#Headers])&lt;=ROWS(tbl_H_Assessment[ActionID]),INDEX(tbl_H_Assessment[ActionID],ROW()-ROW(tbl_H_EligibilitySummary[#Headers])),INDEX(tbl_H_AdditionalActions[AdditionalActionID],ROW()-ROW(tbl_H_EligibilitySummary[#Headers])-ROWS(tbl_H_Assessment[ActionID])))</f>
        <v>ipcc_0090</v>
      </c>
      <c r="D48" s="13" t="str" cm="1">
        <f t="array" ref="D48">IF(ROW()-ROW(tbl_H_EligibilitySummary[#Headers])&lt;=ROWS(tbl_H_Assessment[ActionID]),INDEX(tbl_H_Assessment[ActionName],ROW()-ROW(tbl_H_EligibilitySummary[#Headers])),INDEX(tbl_H_AdditionalActions[ActionName],ROW()-ROW(tbl_H_EligibilitySummary[#Headers])-ROWS(tbl_H_Assessment[ActionID])))</f>
        <v>Expand climate risk insurance coverage</v>
      </c>
      <c r="E48" s="13" cm="1">
        <f t="array" ref="E48">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48" s="13" t="str" cm="1">
        <f t="array" ref="F48">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48" s="13" t="str" cm="1">
        <f t="array" ref="G48">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48" s="13" cm="1">
        <f t="array" ref="H48">IF(ROW()-ROW(tbl_H_EligibilitySummary[#Headers])&lt;=ROWS(tbl_H_Assessment[ActionID]),INDEX(tbl_H_Assessment[Exposure Eligibility],ROW()-ROW(tbl_H_EligibilitySummary[#Headers])),INDEX(tbl_H_AdditionalActions[Exposure Eligibility],ROW()-ROW(tbl_H_EligibilitySummary[#Headers])-ROWS(tbl_H_Assessment[ActionID])))</f>
        <v>0</v>
      </c>
      <c r="I48" s="13" t="str" cm="1">
        <f t="array" ref="I48">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48" s="13" t="str" cm="1">
        <f t="array" ref="J48">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48" s="13" cm="1">
        <f t="array" ref="K48">IF(ROW()-ROW(tbl_H_EligibilitySummary[#Headers])&lt;=ROWS(tbl_H_Assessment[ActionID]),INDEX(tbl_H_Assessment[ReviewStatus],ROW()-ROW(tbl_H_EligibilitySummary[#Headers])),INDEX(tbl_H_AdditionalActions[ReviewStatus],ROW()-ROW(tbl_H_EligibilitySummary[#Headers])-ROWS(tbl_H_Assessment[ActionID])))</f>
        <v>0</v>
      </c>
      <c r="L48" s="87"/>
      <c r="M48" s="87"/>
      <c r="N48" s="87"/>
      <c r="O48" s="87"/>
      <c r="P48" s="87"/>
      <c r="Q48" s="87"/>
      <c r="R48" s="87"/>
      <c r="S48" s="87"/>
      <c r="T48" s="87"/>
      <c r="U48" s="87"/>
      <c r="V48" s="87"/>
      <c r="AA48" s="186"/>
      <c r="AB48" s="186"/>
      <c r="AC48" s="186"/>
      <c r="AD48" s="186"/>
      <c r="AE48" s="186"/>
      <c r="AF48" s="186"/>
      <c r="AG48" s="186"/>
      <c r="AH48" s="186"/>
      <c r="AI48" s="186"/>
      <c r="AJ48" s="186"/>
    </row>
    <row r="49" spans="1:36" s="185" customFormat="1">
      <c r="B49" s="13" t="str" cm="1">
        <f t="array" ref="B49">IF(ROW()-ROW(tbl_H_EligibilitySummary[#Headers])&lt;=ROWS(tbl_H_Assessment[ActionID]),"Existing action","Additional action")</f>
        <v>Existing action</v>
      </c>
      <c r="C49" s="13" t="str" cm="1">
        <f t="array" ref="C49">IF(ROW()-ROW(tbl_H_EligibilitySummary[#Headers])&lt;=ROWS(tbl_H_Assessment[ActionID]),INDEX(tbl_H_Assessment[ActionID],ROW()-ROW(tbl_H_EligibilitySummary[#Headers])),INDEX(tbl_H_AdditionalActions[AdditionalActionID],ROW()-ROW(tbl_H_EligibilitySummary[#Headers])-ROWS(tbl_H_Assessment[ActionID])))</f>
        <v>ipcc_0091</v>
      </c>
      <c r="D49" s="13" t="str" cm="1">
        <f t="array" ref="D49">IF(ROW()-ROW(tbl_H_EligibilitySummary[#Headers])&lt;=ROWS(tbl_H_Assessment[ActionID]),INDEX(tbl_H_Assessment[ActionName],ROW()-ROW(tbl_H_EligibilitySummary[#Headers])),INDEX(tbl_H_AdditionalActions[ActionName],ROW()-ROW(tbl_H_EligibilitySummary[#Headers])-ROWS(tbl_H_Assessment[ActionID])))</f>
        <v>Support livelihood diversification for climate resilience</v>
      </c>
      <c r="E49" s="13" cm="1">
        <f t="array" ref="E49">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49" s="13" t="str" cm="1">
        <f t="array" ref="F49">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49" s="13" t="str" cm="1">
        <f t="array" ref="G49">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49" s="13" cm="1">
        <f t="array" ref="H49">IF(ROW()-ROW(tbl_H_EligibilitySummary[#Headers])&lt;=ROWS(tbl_H_Assessment[ActionID]),INDEX(tbl_H_Assessment[Exposure Eligibility],ROW()-ROW(tbl_H_EligibilitySummary[#Headers])),INDEX(tbl_H_AdditionalActions[Exposure Eligibility],ROW()-ROW(tbl_H_EligibilitySummary[#Headers])-ROWS(tbl_H_Assessment[ActionID])))</f>
        <v>0</v>
      </c>
      <c r="I49" s="13" t="str" cm="1">
        <f t="array" ref="I49">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49" s="13" t="str" cm="1">
        <f t="array" ref="J49">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49" s="13" cm="1">
        <f t="array" ref="K49">IF(ROW()-ROW(tbl_H_EligibilitySummary[#Headers])&lt;=ROWS(tbl_H_Assessment[ActionID]),INDEX(tbl_H_Assessment[ReviewStatus],ROW()-ROW(tbl_H_EligibilitySummary[#Headers])),INDEX(tbl_H_AdditionalActions[ReviewStatus],ROW()-ROW(tbl_H_EligibilitySummary[#Headers])-ROWS(tbl_H_Assessment[ActionID])))</f>
        <v>0</v>
      </c>
      <c r="L49" s="87"/>
      <c r="M49" s="87"/>
      <c r="N49" s="87"/>
      <c r="O49" s="87"/>
      <c r="P49" s="87"/>
      <c r="Q49" s="87"/>
      <c r="R49" s="87"/>
      <c r="S49" s="87"/>
      <c r="T49" s="87"/>
      <c r="U49" s="87"/>
      <c r="V49" s="87"/>
      <c r="AA49" s="186"/>
      <c r="AB49" s="186"/>
      <c r="AC49" s="186"/>
      <c r="AD49" s="186"/>
      <c r="AE49" s="186"/>
      <c r="AF49" s="186"/>
      <c r="AG49" s="186"/>
      <c r="AH49" s="186"/>
      <c r="AI49" s="186"/>
      <c r="AJ49" s="186"/>
    </row>
    <row r="50" spans="1:36" s="185" customFormat="1">
      <c r="B50" s="13" t="str" cm="1">
        <f t="array" ref="B50">IF(ROW()-ROW(tbl_H_EligibilitySummary[#Headers])&lt;=ROWS(tbl_H_Assessment[ActionID]),"Existing action","Additional action")</f>
        <v>Existing action</v>
      </c>
      <c r="C50" s="13" t="str" cm="1">
        <f t="array" ref="C50">IF(ROW()-ROW(tbl_H_EligibilitySummary[#Headers])&lt;=ROWS(tbl_H_Assessment[ActionID]),INDEX(tbl_H_Assessment[ActionID],ROW()-ROW(tbl_H_EligibilitySummary[#Headers])),INDEX(tbl_H_AdditionalActions[AdditionalActionID],ROW()-ROW(tbl_H_EligibilitySummary[#Headers])-ROWS(tbl_H_Assessment[ActionID])))</f>
        <v>ipcc_0092</v>
      </c>
      <c r="D50" s="13" t="str" cm="1">
        <f t="array" ref="D50">IF(ROW()-ROW(tbl_H_EligibilitySummary[#Headers])&lt;=ROWS(tbl_H_Assessment[ActionID]),INDEX(tbl_H_Assessment[ActionName],ROW()-ROW(tbl_H_EligibilitySummary[#Headers])),INDEX(tbl_H_AdditionalActions[ActionName],ROW()-ROW(tbl_H_EligibilitySummary[#Headers])-ROWS(tbl_H_Assessment[ActionID])))</f>
        <v>Expand climate‑responsive social safety nets</v>
      </c>
      <c r="E50" s="13" cm="1">
        <f t="array" ref="E50">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50" s="13" t="str" cm="1">
        <f t="array" ref="F50">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50" s="13" t="str" cm="1">
        <f t="array" ref="G50">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50" s="13" cm="1">
        <f t="array" ref="H50">IF(ROW()-ROW(tbl_H_EligibilitySummary[#Headers])&lt;=ROWS(tbl_H_Assessment[ActionID]),INDEX(tbl_H_Assessment[Exposure Eligibility],ROW()-ROW(tbl_H_EligibilitySummary[#Headers])),INDEX(tbl_H_AdditionalActions[Exposure Eligibility],ROW()-ROW(tbl_H_EligibilitySummary[#Headers])-ROWS(tbl_H_Assessment[ActionID])))</f>
        <v>0</v>
      </c>
      <c r="I50" s="13" t="str" cm="1">
        <f t="array" ref="I50">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50" s="13" t="str" cm="1">
        <f t="array" ref="J50">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50" s="13" cm="1">
        <f t="array" ref="K50">IF(ROW()-ROW(tbl_H_EligibilitySummary[#Headers])&lt;=ROWS(tbl_H_Assessment[ActionID]),INDEX(tbl_H_Assessment[ReviewStatus],ROW()-ROW(tbl_H_EligibilitySummary[#Headers])),INDEX(tbl_H_AdditionalActions[ReviewStatus],ROW()-ROW(tbl_H_EligibilitySummary[#Headers])-ROWS(tbl_H_Assessment[ActionID])))</f>
        <v>0</v>
      </c>
      <c r="L50" s="87"/>
      <c r="M50" s="87"/>
      <c r="N50" s="87"/>
      <c r="O50" s="87"/>
      <c r="P50" s="87"/>
      <c r="Q50" s="87"/>
      <c r="R50" s="87"/>
      <c r="S50" s="87"/>
      <c r="T50" s="87"/>
      <c r="U50" s="87"/>
      <c r="V50" s="87"/>
      <c r="AA50" s="186"/>
      <c r="AB50" s="186"/>
      <c r="AC50" s="186"/>
      <c r="AD50" s="186"/>
      <c r="AE50" s="186"/>
      <c r="AF50" s="186"/>
      <c r="AG50" s="186"/>
      <c r="AH50" s="186"/>
      <c r="AI50" s="186"/>
      <c r="AJ50" s="186"/>
    </row>
    <row r="51" spans="1:36" s="185" customFormat="1">
      <c r="B51" s="13" t="str" cm="1">
        <f t="array" ref="B51">IF(ROW()-ROW(tbl_H_EligibilitySummary[#Headers])&lt;=ROWS(tbl_H_Assessment[ActionID]),"Existing action","Additional action")</f>
        <v>Existing action</v>
      </c>
      <c r="C51" s="13" t="str" cm="1">
        <f t="array" ref="C51">IF(ROW()-ROW(tbl_H_EligibilitySummary[#Headers])&lt;=ROWS(tbl_H_Assessment[ActionID]),INDEX(tbl_H_Assessment[ActionID],ROW()-ROW(tbl_H_EligibilitySummary[#Headers])),INDEX(tbl_H_AdditionalActions[AdditionalActionID],ROW()-ROW(tbl_H_EligibilitySummary[#Headers])-ROWS(tbl_H_Assessment[ActionID])))</f>
        <v>ipcc_0094</v>
      </c>
      <c r="D51" s="13" t="str" cm="1">
        <f t="array" ref="D51">IF(ROW()-ROW(tbl_H_EligibilitySummary[#Headers])&lt;=ROWS(tbl_H_Assessment[ActionID]),INDEX(tbl_H_Assessment[ActionName],ROW()-ROW(tbl_H_EligibilitySummary[#Headers])),INDEX(tbl_H_AdditionalActions[ActionName],ROW()-ROW(tbl_H_EligibilitySummary[#Headers])-ROWS(tbl_H_Assessment[ActionID])))</f>
        <v>Strengthen climate‑resilient health services</v>
      </c>
      <c r="E51" s="13" cm="1">
        <f t="array" ref="E51">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51" s="13" t="str" cm="1">
        <f t="array" ref="F51">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51" s="13" t="str" cm="1">
        <f t="array" ref="G51">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51" s="13" cm="1">
        <f t="array" ref="H51">IF(ROW()-ROW(tbl_H_EligibilitySummary[#Headers])&lt;=ROWS(tbl_H_Assessment[ActionID]),INDEX(tbl_H_Assessment[Exposure Eligibility],ROW()-ROW(tbl_H_EligibilitySummary[#Headers])),INDEX(tbl_H_AdditionalActions[Exposure Eligibility],ROW()-ROW(tbl_H_EligibilitySummary[#Headers])-ROWS(tbl_H_Assessment[ActionID])))</f>
        <v>0</v>
      </c>
      <c r="I51" s="13" t="str" cm="1">
        <f t="array" ref="I51">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51" s="13" t="str" cm="1">
        <f t="array" ref="J51">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51" s="13" cm="1">
        <f t="array" ref="K51">IF(ROW()-ROW(tbl_H_EligibilitySummary[#Headers])&lt;=ROWS(tbl_H_Assessment[ActionID]),INDEX(tbl_H_Assessment[ReviewStatus],ROW()-ROW(tbl_H_EligibilitySummary[#Headers])),INDEX(tbl_H_AdditionalActions[ReviewStatus],ROW()-ROW(tbl_H_EligibilitySummary[#Headers])-ROWS(tbl_H_Assessment[ActionID])))</f>
        <v>0</v>
      </c>
      <c r="L51" s="87"/>
      <c r="M51" s="87"/>
      <c r="N51" s="87"/>
      <c r="O51" s="87"/>
      <c r="P51" s="87"/>
      <c r="Q51" s="87"/>
      <c r="R51" s="87"/>
      <c r="S51" s="87"/>
      <c r="T51" s="87"/>
      <c r="U51" s="87"/>
      <c r="V51" s="87"/>
      <c r="AA51" s="186"/>
      <c r="AB51" s="186"/>
      <c r="AC51" s="186"/>
      <c r="AD51" s="186"/>
      <c r="AE51" s="186"/>
      <c r="AF51" s="186"/>
      <c r="AG51" s="186"/>
      <c r="AH51" s="186"/>
      <c r="AI51" s="186"/>
      <c r="AJ51" s="186"/>
    </row>
    <row r="52" spans="1:36" s="185" customFormat="1">
      <c r="B52" s="13" t="str" cm="1">
        <f t="array" ref="B52">IF(ROW()-ROW(tbl_H_EligibilitySummary[#Headers])&lt;=ROWS(tbl_H_Assessment[ActionID]),"Existing action","Additional action")</f>
        <v>Existing action</v>
      </c>
      <c r="C52" s="13" t="str" cm="1">
        <f t="array" ref="C52">IF(ROW()-ROW(tbl_H_EligibilitySummary[#Headers])&lt;=ROWS(tbl_H_Assessment[ActionID]),INDEX(tbl_H_Assessment[ActionID],ROW()-ROW(tbl_H_EligibilitySummary[#Headers])),INDEX(tbl_H_AdditionalActions[AdditionalActionID],ROW()-ROW(tbl_H_EligibilitySummary[#Headers])-ROWS(tbl_H_Assessment[ActionID])))</f>
        <v>ipcc_0096</v>
      </c>
      <c r="D52" s="13" t="str" cm="1">
        <f t="array" ref="D52">IF(ROW()-ROW(tbl_H_EligibilitySummary[#Headers])&lt;=ROWS(tbl_H_Assessment[ActionID]),INDEX(tbl_H_Assessment[ActionName],ROW()-ROW(tbl_H_EligibilitySummary[#Headers])),INDEX(tbl_H_AdditionalActions[ActionName],ROW()-ROW(tbl_H_EligibilitySummary[#Headers])-ROWS(tbl_H_Assessment[ActionID])))</f>
        <v>Strengthen climate resilience in farming and fisheries</v>
      </c>
      <c r="E52" s="13" cm="1">
        <f t="array" ref="E52">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52" s="13" t="str" cm="1">
        <f t="array" ref="F52">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52" s="13" t="str" cm="1">
        <f t="array" ref="G52">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52" s="13" cm="1">
        <f t="array" ref="H52">IF(ROW()-ROW(tbl_H_EligibilitySummary[#Headers])&lt;=ROWS(tbl_H_Assessment[ActionID]),INDEX(tbl_H_Assessment[Exposure Eligibility],ROW()-ROW(tbl_H_EligibilitySummary[#Headers])),INDEX(tbl_H_AdditionalActions[Exposure Eligibility],ROW()-ROW(tbl_H_EligibilitySummary[#Headers])-ROWS(tbl_H_Assessment[ActionID])))</f>
        <v>0</v>
      </c>
      <c r="I52" s="13" t="str" cm="1">
        <f t="array" ref="I52">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52" s="13" t="str" cm="1">
        <f t="array" ref="J52">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52" s="13" cm="1">
        <f t="array" ref="K52">IF(ROW()-ROW(tbl_H_EligibilitySummary[#Headers])&lt;=ROWS(tbl_H_Assessment[ActionID]),INDEX(tbl_H_Assessment[ReviewStatus],ROW()-ROW(tbl_H_EligibilitySummary[#Headers])),INDEX(tbl_H_AdditionalActions[ReviewStatus],ROW()-ROW(tbl_H_EligibilitySummary[#Headers])-ROWS(tbl_H_Assessment[ActionID])))</f>
        <v>0</v>
      </c>
      <c r="L52" s="87"/>
      <c r="M52" s="87"/>
      <c r="N52" s="87"/>
      <c r="O52" s="87"/>
      <c r="P52" s="87"/>
      <c r="Q52" s="87"/>
      <c r="R52" s="87"/>
      <c r="S52" s="87"/>
      <c r="T52" s="87"/>
      <c r="U52" s="87"/>
      <c r="V52" s="87"/>
      <c r="AA52" s="186"/>
      <c r="AB52" s="186"/>
      <c r="AC52" s="186"/>
      <c r="AD52" s="186"/>
      <c r="AE52" s="186"/>
      <c r="AF52" s="186"/>
      <c r="AG52" s="186"/>
      <c r="AH52" s="186"/>
      <c r="AI52" s="186"/>
      <c r="AJ52" s="186"/>
    </row>
    <row r="53" spans="1:36" s="185" customFormat="1">
      <c r="B53" s="13" t="str" cm="1">
        <f t="array" ref="B53">IF(ROW()-ROW(tbl_H_EligibilitySummary[#Headers])&lt;=ROWS(tbl_H_Assessment[ActionID]),"Existing action","Additional action")</f>
        <v>Existing action</v>
      </c>
      <c r="C53" s="13" t="str" cm="1">
        <f t="array" ref="C53">IF(ROW()-ROW(tbl_H_EligibilitySummary[#Headers])&lt;=ROWS(tbl_H_Assessment[ActionID]),INDEX(tbl_H_Assessment[ActionID],ROW()-ROW(tbl_H_EligibilitySummary[#Headers])),INDEX(tbl_H_AdditionalActions[AdditionalActionID],ROW()-ROW(tbl_H_EligibilitySummary[#Headers])-ROWS(tbl_H_Assessment[ActionID])))</f>
        <v>ipcc_0097</v>
      </c>
      <c r="D53" s="13" t="str" cm="1">
        <f t="array" ref="D53">IF(ROW()-ROW(tbl_H_EligibilitySummary[#Headers])&lt;=ROWS(tbl_H_Assessment[ActionID]),INDEX(tbl_H_Assessment[ActionName],ROW()-ROW(tbl_H_EligibilitySummary[#Headers])),INDEX(tbl_H_AdditionalActions[ActionName],ROW()-ROW(tbl_H_EligibilitySummary[#Headers])-ROWS(tbl_H_Assessment[ActionID])))</f>
        <v>Upgrade food storage and distribution for climate resilience</v>
      </c>
      <c r="E53" s="13" cm="1">
        <f t="array" ref="E53">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53" s="13" t="str" cm="1">
        <f t="array" ref="F53">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53" s="13" t="str" cm="1">
        <f t="array" ref="G53">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53" s="13" cm="1">
        <f t="array" ref="H53">IF(ROW()-ROW(tbl_H_EligibilitySummary[#Headers])&lt;=ROWS(tbl_H_Assessment[ActionID]),INDEX(tbl_H_Assessment[Exposure Eligibility],ROW()-ROW(tbl_H_EligibilitySummary[#Headers])),INDEX(tbl_H_AdditionalActions[Exposure Eligibility],ROW()-ROW(tbl_H_EligibilitySummary[#Headers])-ROWS(tbl_H_Assessment[ActionID])))</f>
        <v>0</v>
      </c>
      <c r="I53" s="13" t="str" cm="1">
        <f t="array" ref="I53">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53" s="13" t="str" cm="1">
        <f t="array" ref="J53">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53" s="13" cm="1">
        <f t="array" ref="K53">IF(ROW()-ROW(tbl_H_EligibilitySummary[#Headers])&lt;=ROWS(tbl_H_Assessment[ActionID]),INDEX(tbl_H_Assessment[ReviewStatus],ROW()-ROW(tbl_H_EligibilitySummary[#Headers])),INDEX(tbl_H_AdditionalActions[ReviewStatus],ROW()-ROW(tbl_H_EligibilitySummary[#Headers])-ROWS(tbl_H_Assessment[ActionID])))</f>
        <v>0</v>
      </c>
      <c r="L53" s="87"/>
      <c r="M53" s="87"/>
      <c r="N53" s="87"/>
      <c r="O53" s="87"/>
      <c r="P53" s="87"/>
      <c r="Q53" s="87"/>
      <c r="R53" s="87"/>
      <c r="S53" s="87"/>
      <c r="T53" s="87"/>
      <c r="U53" s="87"/>
      <c r="V53" s="87"/>
      <c r="AA53" s="186"/>
      <c r="AB53" s="186"/>
      <c r="AC53" s="186"/>
      <c r="AD53" s="186"/>
      <c r="AE53" s="186"/>
      <c r="AF53" s="186"/>
      <c r="AG53" s="186"/>
      <c r="AH53" s="186"/>
      <c r="AI53" s="186"/>
      <c r="AJ53" s="186"/>
    </row>
    <row r="54" spans="1:36" s="185" customFormat="1">
      <c r="B54" s="13" t="str" cm="1">
        <f t="array" ref="B54">IF(ROW()-ROW(tbl_H_EligibilitySummary[#Headers])&lt;=ROWS(tbl_H_Assessment[ActionID]),"Existing action","Additional action")</f>
        <v>Existing action</v>
      </c>
      <c r="C54" s="13" t="str" cm="1">
        <f t="array" ref="C54">IF(ROW()-ROW(tbl_H_EligibilitySummary[#Headers])&lt;=ROWS(tbl_H_Assessment[ActionID]),INDEX(tbl_H_Assessment[ActionID],ROW()-ROW(tbl_H_EligibilitySummary[#Headers])),INDEX(tbl_H_AdditionalActions[AdditionalActionID],ROW()-ROW(tbl_H_EligibilitySummary[#Headers])-ROWS(tbl_H_Assessment[ActionID])))</f>
        <v>ipcc_0098</v>
      </c>
      <c r="D54" s="13" t="str" cm="1">
        <f t="array" ref="D54">IF(ROW()-ROW(tbl_H_EligibilitySummary[#Headers])&lt;=ROWS(tbl_H_Assessment[ActionID]),INDEX(tbl_H_Assessment[ActionName],ROW()-ROW(tbl_H_EligibilitySummary[#Headers])),INDEX(tbl_H_AdditionalActions[ActionName],ROW()-ROW(tbl_H_EligibilitySummary[#Headers])-ROWS(tbl_H_Assessment[ActionID])))</f>
        <v>Increase resilience by improving access to food, improving livelihoods and promoting dietary shifts and food waste reduction</v>
      </c>
      <c r="E54" s="13" cm="1">
        <f t="array" ref="E54">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54" s="13" t="str" cm="1">
        <f t="array" ref="F54">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54" s="13" t="str" cm="1">
        <f t="array" ref="G54">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54" s="13" cm="1">
        <f t="array" ref="H54">IF(ROW()-ROW(tbl_H_EligibilitySummary[#Headers])&lt;=ROWS(tbl_H_Assessment[ActionID]),INDEX(tbl_H_Assessment[Exposure Eligibility],ROW()-ROW(tbl_H_EligibilitySummary[#Headers])),INDEX(tbl_H_AdditionalActions[Exposure Eligibility],ROW()-ROW(tbl_H_EligibilitySummary[#Headers])-ROWS(tbl_H_Assessment[ActionID])))</f>
        <v>0</v>
      </c>
      <c r="I54" s="13" t="str" cm="1">
        <f t="array" ref="I54">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54" s="13" t="str" cm="1">
        <f t="array" ref="J54">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54" s="13" cm="1">
        <f t="array" ref="K54">IF(ROW()-ROW(tbl_H_EligibilitySummary[#Headers])&lt;=ROWS(tbl_H_Assessment[ActionID]),INDEX(tbl_H_Assessment[ReviewStatus],ROW()-ROW(tbl_H_EligibilitySummary[#Headers])),INDEX(tbl_H_AdditionalActions[ReviewStatus],ROW()-ROW(tbl_H_EligibilitySummary[#Headers])-ROWS(tbl_H_Assessment[ActionID])))</f>
        <v>0</v>
      </c>
      <c r="L54" s="87"/>
      <c r="M54" s="87"/>
      <c r="N54" s="87"/>
      <c r="O54" s="87"/>
      <c r="P54" s="87"/>
      <c r="Q54" s="87"/>
      <c r="R54" s="87"/>
      <c r="S54" s="87"/>
      <c r="T54" s="87"/>
      <c r="U54" s="87"/>
      <c r="V54" s="87"/>
      <c r="AA54" s="186"/>
      <c r="AB54" s="186"/>
      <c r="AC54" s="186"/>
      <c r="AD54" s="186"/>
      <c r="AE54" s="186"/>
      <c r="AF54" s="186"/>
      <c r="AG54" s="186"/>
      <c r="AH54" s="186"/>
      <c r="AI54" s="186"/>
      <c r="AJ54" s="186"/>
    </row>
    <row r="55" spans="1:36" s="185" customFormat="1">
      <c r="B55" s="13" t="str" cm="1">
        <f t="array" ref="B55">IF(ROW()-ROW(tbl_H_EligibilitySummary[#Headers])&lt;=ROWS(tbl_H_Assessment[ActionID]),"Existing action","Additional action")</f>
        <v>Existing action</v>
      </c>
      <c r="C55" s="13" t="str" cm="1">
        <f t="array" ref="C55">IF(ROW()-ROW(tbl_H_EligibilitySummary[#Headers])&lt;=ROWS(tbl_H_Assessment[ActionID]),INDEX(tbl_H_Assessment[ActionID],ROW()-ROW(tbl_H_EligibilitySummary[#Headers])),INDEX(tbl_H_AdditionalActions[AdditionalActionID],ROW()-ROW(tbl_H_EligibilitySummary[#Headers])-ROWS(tbl_H_Assessment[ActionID])))</f>
        <v>ipcc_0099</v>
      </c>
      <c r="D55" s="13" t="str" cm="1">
        <f t="array" ref="D55">IF(ROW()-ROW(tbl_H_EligibilitySummary[#Headers])&lt;=ROWS(tbl_H_Assessment[ActionID]),INDEX(tbl_H_Assessment[ActionName],ROW()-ROW(tbl_H_EligibilitySummary[#Headers])),INDEX(tbl_H_AdditionalActions[ActionName],ROW()-ROW(tbl_H_EligibilitySummary[#Headers])-ROWS(tbl_H_Assessment[ActionID])))</f>
        <v>Increase Water Capture and Storage</v>
      </c>
      <c r="E55" s="13" cm="1">
        <f t="array" ref="E55">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55" s="13" t="str" cm="1">
        <f t="array" ref="F55">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55" s="13" t="str" cm="1">
        <f t="array" ref="G55">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55" s="13" cm="1">
        <f t="array" ref="H55">IF(ROW()-ROW(tbl_H_EligibilitySummary[#Headers])&lt;=ROWS(tbl_H_Assessment[ActionID]),INDEX(tbl_H_Assessment[Exposure Eligibility],ROW()-ROW(tbl_H_EligibilitySummary[#Headers])),INDEX(tbl_H_AdditionalActions[Exposure Eligibility],ROW()-ROW(tbl_H_EligibilitySummary[#Headers])-ROWS(tbl_H_Assessment[ActionID])))</f>
        <v>0</v>
      </c>
      <c r="I55" s="13" t="str" cm="1">
        <f t="array" ref="I55">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55" s="13" t="str" cm="1">
        <f t="array" ref="J55">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55" s="13" cm="1">
        <f t="array" ref="K55">IF(ROW()-ROW(tbl_H_EligibilitySummary[#Headers])&lt;=ROWS(tbl_H_Assessment[ActionID]),INDEX(tbl_H_Assessment[ReviewStatus],ROW()-ROW(tbl_H_EligibilitySummary[#Headers])),INDEX(tbl_H_AdditionalActions[ReviewStatus],ROW()-ROW(tbl_H_EligibilitySummary[#Headers])-ROWS(tbl_H_Assessment[ActionID])))</f>
        <v>0</v>
      </c>
      <c r="L55" s="87"/>
      <c r="M55" s="87"/>
      <c r="N55" s="87"/>
      <c r="O55" s="87"/>
      <c r="P55" s="87"/>
      <c r="Q55" s="87"/>
      <c r="R55" s="87"/>
      <c r="S55" s="87"/>
      <c r="T55" s="87"/>
      <c r="U55" s="87"/>
      <c r="V55" s="87"/>
      <c r="AA55" s="186"/>
      <c r="AB55" s="186"/>
      <c r="AC55" s="186"/>
      <c r="AD55" s="186"/>
      <c r="AE55" s="186"/>
      <c r="AF55" s="186"/>
      <c r="AG55" s="186"/>
      <c r="AH55" s="186"/>
      <c r="AI55" s="186"/>
      <c r="AJ55" s="186"/>
    </row>
    <row r="56" spans="1:36" s="185" customFormat="1">
      <c r="B56" s="13" t="str" cm="1">
        <f t="array" ref="B56">IF(ROW()-ROW(tbl_H_EligibilitySummary[#Headers])&lt;=ROWS(tbl_H_Assessment[ActionID]),"Existing action","Additional action")</f>
        <v>Existing action</v>
      </c>
      <c r="C56" s="13" t="str" cm="1">
        <f t="array" ref="C56">IF(ROW()-ROW(tbl_H_EligibilitySummary[#Headers])&lt;=ROWS(tbl_H_Assessment[ActionID]),INDEX(tbl_H_Assessment[ActionID],ROW()-ROW(tbl_H_EligibilitySummary[#Headers])),INDEX(tbl_H_AdditionalActions[AdditionalActionID],ROW()-ROW(tbl_H_EligibilitySummary[#Headers])-ROWS(tbl_H_Assessment[ActionID])))</f>
        <v>ipcc_0100</v>
      </c>
      <c r="D56" s="13" t="str" cm="1">
        <f t="array" ref="D56">IF(ROW()-ROW(tbl_H_EligibilitySummary[#Headers])&lt;=ROWS(tbl_H_Assessment[ActionID]),INDEX(tbl_H_Assessment[ActionName],ROW()-ROW(tbl_H_EligibilitySummary[#Headers])),INDEX(tbl_H_AdditionalActions[ActionName],ROW()-ROW(tbl_H_EligibilitySummary[#Headers])-ROWS(tbl_H_Assessment[ActionID])))</f>
        <v>Improve Efficient water use/demand</v>
      </c>
      <c r="E56" s="13" cm="1">
        <f t="array" ref="E56">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56" s="13" t="str" cm="1">
        <f t="array" ref="F56">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56" s="13" t="str" cm="1">
        <f t="array" ref="G56">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56" s="13" cm="1">
        <f t="array" ref="H56">IF(ROW()-ROW(tbl_H_EligibilitySummary[#Headers])&lt;=ROWS(tbl_H_Assessment[ActionID]),INDEX(tbl_H_Assessment[Exposure Eligibility],ROW()-ROW(tbl_H_EligibilitySummary[#Headers])),INDEX(tbl_H_AdditionalActions[Exposure Eligibility],ROW()-ROW(tbl_H_EligibilitySummary[#Headers])-ROWS(tbl_H_Assessment[ActionID])))</f>
        <v>0</v>
      </c>
      <c r="I56" s="13" t="str" cm="1">
        <f t="array" ref="I56">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56" s="13" t="str" cm="1">
        <f t="array" ref="J56">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56" s="13" cm="1">
        <f t="array" ref="K56">IF(ROW()-ROW(tbl_H_EligibilitySummary[#Headers])&lt;=ROWS(tbl_H_Assessment[ActionID]),INDEX(tbl_H_Assessment[ReviewStatus],ROW()-ROW(tbl_H_EligibilitySummary[#Headers])),INDEX(tbl_H_AdditionalActions[ReviewStatus],ROW()-ROW(tbl_H_EligibilitySummary[#Headers])-ROWS(tbl_H_Assessment[ActionID])))</f>
        <v>0</v>
      </c>
      <c r="L56" s="87"/>
      <c r="M56" s="87"/>
      <c r="N56" s="87"/>
      <c r="O56" s="87"/>
      <c r="P56" s="87"/>
      <c r="Q56" s="87"/>
      <c r="R56" s="87"/>
      <c r="S56" s="87"/>
      <c r="T56" s="87"/>
      <c r="U56" s="87"/>
      <c r="V56" s="87"/>
      <c r="AA56" s="186"/>
      <c r="AB56" s="186"/>
      <c r="AC56" s="186"/>
      <c r="AD56" s="186"/>
      <c r="AE56" s="186"/>
      <c r="AF56" s="186"/>
      <c r="AG56" s="186"/>
      <c r="AH56" s="186"/>
      <c r="AI56" s="186"/>
      <c r="AJ56" s="186"/>
    </row>
    <row r="57" spans="1:36" s="185" customFormat="1">
      <c r="B57" s="13" t="str" cm="1">
        <f t="array" ref="B57">IF(ROW()-ROW(tbl_H_EligibilitySummary[#Headers])&lt;=ROWS(tbl_H_Assessment[ActionID]),"Existing action","Additional action")</f>
        <v>Existing action</v>
      </c>
      <c r="C57" s="13" t="str" cm="1">
        <f t="array" ref="C57">IF(ROW()-ROW(tbl_H_EligibilitySummary[#Headers])&lt;=ROWS(tbl_H_Assessment[ActionID]),INDEX(tbl_H_Assessment[ActionID],ROW()-ROW(tbl_H_EligibilitySummary[#Headers])),INDEX(tbl_H_AdditionalActions[AdditionalActionID],ROW()-ROW(tbl_H_EligibilitySummary[#Headers])-ROWS(tbl_H_Assessment[ActionID])))</f>
        <v>ipcc_0101</v>
      </c>
      <c r="D57" s="13" t="str" cm="1">
        <f t="array" ref="D57">IF(ROW()-ROW(tbl_H_EligibilitySummary[#Headers])&lt;=ROWS(tbl_H_Assessment[ActionID]),INDEX(tbl_H_Assessment[ActionName],ROW()-ROW(tbl_H_EligibilitySummary[#Headers])),INDEX(tbl_H_AdditionalActions[ActionName],ROW()-ROW(tbl_H_EligibilitySummary[#Headers])-ROWS(tbl_H_Assessment[ActionID])))</f>
        <v>Improve urban water management</v>
      </c>
      <c r="E57" s="13" cm="1">
        <f t="array" ref="E57">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57" s="13" t="str" cm="1">
        <f t="array" ref="F57">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57" s="13" t="str" cm="1">
        <f t="array" ref="G57">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57" s="13" cm="1">
        <f t="array" ref="H57">IF(ROW()-ROW(tbl_H_EligibilitySummary[#Headers])&lt;=ROWS(tbl_H_Assessment[ActionID]),INDEX(tbl_H_Assessment[Exposure Eligibility],ROW()-ROW(tbl_H_EligibilitySummary[#Headers])),INDEX(tbl_H_AdditionalActions[Exposure Eligibility],ROW()-ROW(tbl_H_EligibilitySummary[#Headers])-ROWS(tbl_H_Assessment[ActionID])))</f>
        <v>0</v>
      </c>
      <c r="I57" s="13" t="str" cm="1">
        <f t="array" ref="I57">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57" s="13" t="str" cm="1">
        <f t="array" ref="J57">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57" s="13" cm="1">
        <f t="array" ref="K57">IF(ROW()-ROW(tbl_H_EligibilitySummary[#Headers])&lt;=ROWS(tbl_H_Assessment[ActionID]),INDEX(tbl_H_Assessment[ReviewStatus],ROW()-ROW(tbl_H_EligibilitySummary[#Headers])),INDEX(tbl_H_AdditionalActions[ReviewStatus],ROW()-ROW(tbl_H_EligibilitySummary[#Headers])-ROWS(tbl_H_Assessment[ActionID])))</f>
        <v>0</v>
      </c>
      <c r="L57" s="87"/>
      <c r="M57" s="87"/>
      <c r="N57" s="87"/>
      <c r="O57" s="87"/>
      <c r="P57" s="87"/>
      <c r="Q57" s="87"/>
      <c r="R57" s="87"/>
      <c r="S57" s="87"/>
      <c r="T57" s="87"/>
      <c r="U57" s="87"/>
      <c r="V57" s="87"/>
      <c r="AA57" s="186"/>
      <c r="AB57" s="186"/>
      <c r="AC57" s="186"/>
      <c r="AD57" s="186"/>
      <c r="AE57" s="186"/>
      <c r="AF57" s="186"/>
      <c r="AG57" s="186"/>
      <c r="AH57" s="186"/>
      <c r="AI57" s="186"/>
      <c r="AJ57" s="186"/>
    </row>
    <row r="58" spans="1:36" s="185" customFormat="1">
      <c r="B58" s="13" t="str" cm="1">
        <f t="array" ref="B58">IF(ROW()-ROW(tbl_H_EligibilitySummary[#Headers])&lt;=ROWS(tbl_H_Assessment[ActionID]),"Existing action","Additional action")</f>
        <v>Existing action</v>
      </c>
      <c r="C58" s="13" t="str" cm="1">
        <f t="array" ref="C58">IF(ROW()-ROW(tbl_H_EligibilitySummary[#Headers])&lt;=ROWS(tbl_H_Assessment[ActionID]),INDEX(tbl_H_Assessment[ActionID],ROW()-ROW(tbl_H_EligibilitySummary[#Headers])),INDEX(tbl_H_AdditionalActions[AdditionalActionID],ROW()-ROW(tbl_H_EligibilitySummary[#Headers])-ROWS(tbl_H_Assessment[ActionID])))</f>
        <v>ipcc_0102</v>
      </c>
      <c r="D58" s="13" t="str" cm="1">
        <f t="array" ref="D58">IF(ROW()-ROW(tbl_H_EligibilitySummary[#Headers])&lt;=ROWS(tbl_H_Assessment[ActionID]),INDEX(tbl_H_Assessment[ActionName],ROW()-ROW(tbl_H_EligibilitySummary[#Headers])),INDEX(tbl_H_AdditionalActions[ActionName],ROW()-ROW(tbl_H_EligibilitySummary[#Headers])-ROWS(tbl_H_Assessment[ActionID])))</f>
        <v>Facilitate seasonal and temporary mobility strategies</v>
      </c>
      <c r="E58" s="13" cm="1">
        <f t="array" ref="E58">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58" s="13" t="str" cm="1">
        <f t="array" ref="F58">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58" s="13" t="str" cm="1">
        <f t="array" ref="G58">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58" s="13" cm="1">
        <f t="array" ref="H58">IF(ROW()-ROW(tbl_H_EligibilitySummary[#Headers])&lt;=ROWS(tbl_H_Assessment[ActionID]),INDEX(tbl_H_Assessment[Exposure Eligibility],ROW()-ROW(tbl_H_EligibilitySummary[#Headers])),INDEX(tbl_H_AdditionalActions[Exposure Eligibility],ROW()-ROW(tbl_H_EligibilitySummary[#Headers])-ROWS(tbl_H_Assessment[ActionID])))</f>
        <v>0</v>
      </c>
      <c r="I58" s="13" t="str" cm="1">
        <f t="array" ref="I58">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58" s="13" t="str" cm="1">
        <f t="array" ref="J58">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58" s="13" cm="1">
        <f t="array" ref="K58">IF(ROW()-ROW(tbl_H_EligibilitySummary[#Headers])&lt;=ROWS(tbl_H_Assessment[ActionID]),INDEX(tbl_H_Assessment[ReviewStatus],ROW()-ROW(tbl_H_EligibilitySummary[#Headers])),INDEX(tbl_H_AdditionalActions[ReviewStatus],ROW()-ROW(tbl_H_EligibilitySummary[#Headers])-ROWS(tbl_H_Assessment[ActionID])))</f>
        <v>0</v>
      </c>
      <c r="L58" s="87"/>
      <c r="M58" s="87"/>
      <c r="N58" s="87"/>
      <c r="O58" s="87"/>
      <c r="P58" s="87"/>
      <c r="Q58" s="87"/>
      <c r="R58" s="87"/>
      <c r="S58" s="87"/>
      <c r="T58" s="87"/>
      <c r="U58" s="87"/>
      <c r="V58" s="87"/>
      <c r="AA58" s="186"/>
      <c r="AB58" s="186"/>
      <c r="AC58" s="186"/>
      <c r="AD58" s="186"/>
      <c r="AE58" s="186"/>
      <c r="AF58" s="186"/>
      <c r="AG58" s="186"/>
      <c r="AH58" s="186"/>
      <c r="AI58" s="186"/>
      <c r="AJ58" s="186"/>
    </row>
    <row r="59" spans="1:36" s="185" customFormat="1">
      <c r="B59" s="13" t="str" cm="1">
        <f t="array" ref="B59">IF(ROW()-ROW(tbl_H_EligibilitySummary[#Headers])&lt;=ROWS(tbl_H_Assessment[ActionID]),"Existing action","Additional action")</f>
        <v>Existing action</v>
      </c>
      <c r="C59" s="13" t="str" cm="1">
        <f t="array" ref="C59">IF(ROW()-ROW(tbl_H_EligibilitySummary[#Headers])&lt;=ROWS(tbl_H_Assessment[ActionID]),INDEX(tbl_H_Assessment[ActionID],ROW()-ROW(tbl_H_EligibilitySummary[#Headers])),INDEX(tbl_H_AdditionalActions[AdditionalActionID],ROW()-ROW(tbl_H_EligibilitySummary[#Headers])-ROWS(tbl_H_Assessment[ActionID])))</f>
        <v>ipcc_0103</v>
      </c>
      <c r="D59" s="13" t="str" cm="1">
        <f t="array" ref="D59">IF(ROW()-ROW(tbl_H_EligibilitySummary[#Headers])&lt;=ROWS(tbl_H_Assessment[ActionID]),INDEX(tbl_H_Assessment[ActionName],ROW()-ROW(tbl_H_EligibilitySummary[#Headers])),INDEX(tbl_H_AdditionalActions[ActionName],ROW()-ROW(tbl_H_EligibilitySummary[#Headers])-ROWS(tbl_H_Assessment[ActionID])))</f>
        <v>Strengthen cooperative climate governance</v>
      </c>
      <c r="E59" s="13" cm="1">
        <f t="array" ref="E59">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59" s="13" t="str" cm="1">
        <f t="array" ref="F59">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59" s="13" t="str" cm="1">
        <f t="array" ref="G59">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59" s="13" cm="1">
        <f t="array" ref="H59">IF(ROW()-ROW(tbl_H_EligibilitySummary[#Headers])&lt;=ROWS(tbl_H_Assessment[ActionID]),INDEX(tbl_H_Assessment[Exposure Eligibility],ROW()-ROW(tbl_H_EligibilitySummary[#Headers])),INDEX(tbl_H_AdditionalActions[Exposure Eligibility],ROW()-ROW(tbl_H_EligibilitySummary[#Headers])-ROWS(tbl_H_Assessment[ActionID])))</f>
        <v>0</v>
      </c>
      <c r="I59" s="13" t="str" cm="1">
        <f t="array" ref="I59">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59" s="13" t="str" cm="1">
        <f t="array" ref="J59">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59" s="13" cm="1">
        <f t="array" ref="K59">IF(ROW()-ROW(tbl_H_EligibilitySummary[#Headers])&lt;=ROWS(tbl_H_Assessment[ActionID]),INDEX(tbl_H_Assessment[ReviewStatus],ROW()-ROW(tbl_H_EligibilitySummary[#Headers])),INDEX(tbl_H_AdditionalActions[ReviewStatus],ROW()-ROW(tbl_H_EligibilitySummary[#Headers])-ROWS(tbl_H_Assessment[ActionID])))</f>
        <v>0</v>
      </c>
      <c r="L59" s="87"/>
      <c r="M59" s="87"/>
      <c r="N59" s="87"/>
      <c r="O59" s="87"/>
      <c r="P59" s="87"/>
      <c r="Q59" s="87"/>
      <c r="R59" s="87"/>
      <c r="S59" s="87"/>
      <c r="T59" s="87"/>
      <c r="U59" s="87"/>
      <c r="V59" s="87"/>
      <c r="AA59" s="186"/>
      <c r="AB59" s="186"/>
      <c r="AC59" s="186"/>
      <c r="AD59" s="186"/>
      <c r="AE59" s="186"/>
      <c r="AF59" s="186"/>
      <c r="AG59" s="186"/>
      <c r="AH59" s="186"/>
      <c r="AI59" s="186"/>
      <c r="AJ59" s="186"/>
    </row>
    <row r="60" spans="1:36" s="185" customFormat="1">
      <c r="B60" s="13" t="str" cm="1">
        <f t="array" ref="B60">IF(ROW()-ROW(tbl_H_EligibilitySummary[#Headers])&lt;=ROWS(tbl_H_Assessment[ActionID]),"Existing action","Additional action")</f>
        <v>Existing action</v>
      </c>
      <c r="C60" s="13" t="str" cm="1">
        <f t="array" ref="C60">IF(ROW()-ROW(tbl_H_EligibilitySummary[#Headers])&lt;=ROWS(tbl_H_Assessment[ActionID]),INDEX(tbl_H_Assessment[ActionID],ROW()-ROW(tbl_H_EligibilitySummary[#Headers])),INDEX(tbl_H_AdditionalActions[AdditionalActionID],ROW()-ROW(tbl_H_EligibilitySummary[#Headers])-ROWS(tbl_H_Assessment[ActionID])))</f>
        <v>ipcc_0104</v>
      </c>
      <c r="D60" s="13" t="str" cm="1">
        <f t="array" ref="D60">IF(ROW()-ROW(tbl_H_EligibilitySummary[#Headers])&lt;=ROWS(tbl_H_Assessment[ActionID]),INDEX(tbl_H_Assessment[ActionName],ROW()-ROW(tbl_H_EligibilitySummary[#Headers])),INDEX(tbl_H_AdditionalActions[ActionName],ROW()-ROW(tbl_H_EligibilitySummary[#Headers])-ROWS(tbl_H_Assessment[ActionID])))</f>
        <v>Plan and support permanent climate‑related migration</v>
      </c>
      <c r="E60" s="13" cm="1">
        <f t="array" ref="E60">IF(ROW()-ROW(tbl_H_EligibilitySummary[#Headers])&lt;=ROWS(tbl_H_Assessment[ActionID]),INDEX(tbl_H_Assessment[Vulnerability Eligibility],ROW()-ROW(tbl_H_EligibilitySummary[#Headers])),INDEX(tbl_H_AdditionalActions[Vulnerability Eligibility],ROW()-ROW(tbl_H_EligibilitySummary[#Headers])-ROWS(tbl_H_Assessment[ActionID])))</f>
        <v>0</v>
      </c>
      <c r="F60" s="13" t="str" cm="1">
        <f t="array" ref="F60">IF(ROW()-ROW(tbl_H_EligibilitySummary[#Headers])&lt;=ROWS(tbl_H_Assessment[ActionID]),IF(INDEX(tbl_H_Assessment[Vulnerability Evidence Count],ROW()-ROW(tbl_H_EligibilitySummary[#Headers]))=0,"",INDEX(tbl_H_Assessment[Vulnerability Evidence Count],ROW()-ROW(tbl_H_EligibilitySummary[#Headers]))),IF(INDEX(tbl_H_AdditionalActions[Vulnerability Evidence Count],ROW()-ROW(tbl_H_EligibilitySummary[#Headers])-ROWS(tbl_H_Assessment[ActionID]))=0,"",INDEX(tbl_H_AdditionalActions[Vulnerability Evidence Count],ROW()-ROW(tbl_H_EligibilitySummary[#Headers])-ROWS(tbl_H_Assessment[ActionID]))))</f>
        <v/>
      </c>
      <c r="G60" s="13" t="str" cm="1">
        <f t="array" ref="G60">IF(tbl_H_EligibilitySummary[[#This Row],[Vulnerability Eligibility]]="Eligible",IF(ROW()-ROW(tbl_H_EligibilitySummary[#Headers])&lt;=ROWS(tbl_H_Assessment[ActionID]),IF(INDEX(tbl_H_Assessment[Effectiveness on Vulnerability],ROW()-ROW(tbl_H_EligibilitySummary[#Headers]))="","",INDEX(tbl_H_Assessment[Effectiveness on Vulnerability],ROW()-ROW(tbl_H_EligibilitySummary[#Headers]))),IF(INDEX(tbl_H_AdditionalActions[Effectiveness on Vulnerability],ROW()-ROW(tbl_H_EligibilitySummary[#Headers])-ROWS(tbl_H_Assessment[ActionID]))="","",INDEX(tbl_H_AdditionalActions[Effectiveness on Vulnerability],ROW()-ROW(tbl_H_EligibilitySummary[#Headers])-ROWS(tbl_H_Assessment[ActionID])))),IF(tbl_H_EligibilitySummary[[#This Row],[Vulnerability Eligibility]]="Review required","Review required",IF(tbl_H_EligibilitySummary[[#This Row],[Vulnerability Eligibility]]="Not eligible","N/A","")))</f>
        <v/>
      </c>
      <c r="H60" s="13" cm="1">
        <f t="array" ref="H60">IF(ROW()-ROW(tbl_H_EligibilitySummary[#Headers])&lt;=ROWS(tbl_H_Assessment[ActionID]),INDEX(tbl_H_Assessment[Exposure Eligibility],ROW()-ROW(tbl_H_EligibilitySummary[#Headers])),INDEX(tbl_H_AdditionalActions[Exposure Eligibility],ROW()-ROW(tbl_H_EligibilitySummary[#Headers])-ROWS(tbl_H_Assessment[ActionID])))</f>
        <v>0</v>
      </c>
      <c r="I60" s="13" t="str" cm="1">
        <f t="array" ref="I60">IF(ROW()-ROW(tbl_H_EligibilitySummary[#Headers])&lt;=ROWS(tbl_H_Assessment[ActionID]),IF(INDEX(tbl_H_Assessment[Exposure Evidence Count],ROW()-ROW(tbl_H_EligibilitySummary[#Headers]))=0,"",INDEX(tbl_H_Assessment[Exposure Evidence Count],ROW()-ROW(tbl_H_EligibilitySummary[#Headers]))),IF(INDEX(tbl_H_AdditionalActions[Exposure Evidence Count],ROW()-ROW(tbl_H_EligibilitySummary[#Headers])-ROWS(tbl_H_Assessment[ActionID]))=0,"",INDEX(tbl_H_AdditionalActions[Exposure Evidence Count],ROW()-ROW(tbl_H_EligibilitySummary[#Headers])-ROWS(tbl_H_Assessment[ActionID]))))</f>
        <v/>
      </c>
      <c r="J60" s="13" t="str" cm="1">
        <f t="array" ref="J60">IF(tbl_H_EligibilitySummary[[#This Row],[Exposure Eligibility]]="Eligible",IF(ROW()-ROW(tbl_H_EligibilitySummary[#Headers])&lt;=ROWS(tbl_H_Assessment[ActionID]),IF(INDEX(tbl_H_Assessment[Effectiveness on Exposure],ROW()-ROW(tbl_H_EligibilitySummary[#Headers]))="","",INDEX(tbl_H_Assessment[Effectiveness on Exposure],ROW()-ROW(tbl_H_EligibilitySummary[#Headers]))),IF(INDEX(tbl_H_AdditionalActions[Effectiveness on Exposure],ROW()-ROW(tbl_H_EligibilitySummary[#Headers])-ROWS(tbl_H_Assessment[ActionID]))="","",INDEX(tbl_H_AdditionalActions[Effectiveness on Exposure],ROW()-ROW(tbl_H_EligibilitySummary[#Headers])-ROWS(tbl_H_Assessment[ActionID])))),IF(tbl_H_EligibilitySummary[[#This Row],[Exposure Eligibility]]="Review required","Review required",IF(tbl_H_EligibilitySummary[[#This Row],[Exposure Eligibility]]="Not eligible","N/A","")))</f>
        <v/>
      </c>
      <c r="K60" s="13" cm="1">
        <f t="array" ref="K60">IF(ROW()-ROW(tbl_H_EligibilitySummary[#Headers])&lt;=ROWS(tbl_H_Assessment[ActionID]),INDEX(tbl_H_Assessment[ReviewStatus],ROW()-ROW(tbl_H_EligibilitySummary[#Headers])),INDEX(tbl_H_AdditionalActions[ReviewStatus],ROW()-ROW(tbl_H_EligibilitySummary[#Headers])-ROWS(tbl_H_Assessment[ActionID])))</f>
        <v>0</v>
      </c>
      <c r="L60" s="87"/>
      <c r="M60" s="87"/>
      <c r="N60" s="87"/>
      <c r="O60" s="87"/>
      <c r="P60" s="87"/>
      <c r="Q60" s="87"/>
      <c r="R60" s="87"/>
      <c r="S60" s="87"/>
      <c r="T60" s="87"/>
      <c r="U60" s="87"/>
      <c r="V60" s="87"/>
      <c r="AA60" s="186"/>
      <c r="AB60" s="186"/>
      <c r="AC60" s="186"/>
      <c r="AD60" s="186"/>
      <c r="AE60" s="186"/>
      <c r="AF60" s="186"/>
      <c r="AG60" s="186"/>
      <c r="AH60" s="186"/>
      <c r="AI60" s="186"/>
      <c r="AJ60" s="186"/>
    </row>
    <row r="61" spans="1:36" s="185" customFormat="1">
      <c r="B61" s="13" t="str" cm="1">
        <f t="array" ref="B61">IF(ROW()-ROW(tbl_H_EligibilitySummary[#Headers])&lt;=ROWS(tbl_H_Assessment[ActionID]),"Existing action","Additional action")</f>
        <v>Additional action</v>
      </c>
      <c r="C61" s="13"/>
      <c r="D61" s="13"/>
      <c r="E61" s="13"/>
      <c r="F61" s="13"/>
      <c r="G61" s="13"/>
      <c r="H61" s="13"/>
      <c r="I61" s="13"/>
      <c r="J61" s="13"/>
      <c r="K61" s="13"/>
      <c r="L61" s="87"/>
      <c r="M61" s="87"/>
      <c r="N61" s="87"/>
      <c r="O61" s="87"/>
      <c r="P61" s="87"/>
      <c r="Q61" s="87"/>
      <c r="R61" s="87"/>
      <c r="S61" s="87"/>
      <c r="T61" s="87"/>
      <c r="AA61" s="186"/>
      <c r="AB61" s="186"/>
      <c r="AC61" s="186"/>
      <c r="AD61" s="186"/>
      <c r="AE61" s="186"/>
      <c r="AF61" s="186"/>
      <c r="AG61" s="186"/>
      <c r="AH61" s="186"/>
      <c r="AI61" s="186"/>
      <c r="AJ61" s="186"/>
    </row>
    <row r="62" spans="1:36" s="185" customFormat="1">
      <c r="B62" s="13" t="str" cm="1">
        <f t="array" ref="B62">IF(ROW()-ROW(tbl_H_EligibilitySummary[#Headers])&lt;=ROWS(tbl_H_Assessment[ActionID]),"Existing action","Additional action")</f>
        <v>Additional action</v>
      </c>
      <c r="C62" s="13"/>
      <c r="D62" s="13"/>
      <c r="E62" s="13"/>
      <c r="F62" s="13"/>
      <c r="G62" s="13"/>
      <c r="H62" s="13"/>
      <c r="I62" s="13"/>
      <c r="J62" s="13"/>
      <c r="K62" s="13"/>
      <c r="L62" s="87"/>
      <c r="M62" s="87"/>
      <c r="N62" s="87"/>
      <c r="O62" s="87"/>
      <c r="P62" s="87"/>
      <c r="Q62" s="87"/>
      <c r="R62" s="87"/>
      <c r="S62" s="87"/>
      <c r="T62" s="87"/>
      <c r="AA62" s="186"/>
      <c r="AB62" s="186"/>
      <c r="AC62" s="186"/>
      <c r="AD62" s="186"/>
      <c r="AE62" s="186"/>
      <c r="AF62" s="186"/>
      <c r="AG62" s="186"/>
      <c r="AH62" s="186"/>
      <c r="AI62" s="186"/>
      <c r="AJ62" s="186"/>
    </row>
    <row r="63" spans="1:36">
      <c r="A63" s="185"/>
      <c r="B63" s="13" t="str" cm="1">
        <f t="array" ref="B63">IF(ROW()-ROW(tbl_H_EligibilitySummary[#Headers])&lt;=ROWS(tbl_H_Assessment[ActionID]),"Existing action","Additional action")</f>
        <v>Additional action</v>
      </c>
      <c r="C63" s="13"/>
      <c r="D63" s="13"/>
      <c r="E63" s="13"/>
      <c r="F63" s="13"/>
      <c r="G63" s="13"/>
      <c r="H63" s="13"/>
      <c r="I63" s="13"/>
      <c r="J63" s="13"/>
      <c r="K63" s="13"/>
      <c r="L63" s="191" t="s">
        <v>1505</v>
      </c>
      <c r="M63" s="191"/>
      <c r="N63" s="191"/>
      <c r="O63" s="191"/>
      <c r="P63" s="191"/>
      <c r="Q63" s="191"/>
      <c r="R63" s="191"/>
      <c r="S63" s="191"/>
      <c r="T63" s="191"/>
    </row>
    <row r="64" spans="1:36">
      <c r="B64" s="13" t="str" cm="1">
        <f t="array" ref="B64">IF(ROW()-ROW(tbl_H_EligibilitySummary[#Headers])&lt;=ROWS(tbl_H_Assessment[ActionID]),"Existing action","Additional action")</f>
        <v>Additional action</v>
      </c>
      <c r="C64" s="13"/>
      <c r="D64" s="13"/>
      <c r="E64" s="13"/>
      <c r="F64" s="13"/>
      <c r="G64" s="13"/>
      <c r="H64" s="13"/>
      <c r="I64" s="13"/>
      <c r="J64" s="13"/>
      <c r="K64" s="13"/>
    </row>
    <row r="65" spans="1:20">
      <c r="B65" s="13" t="str" cm="1">
        <f t="array" ref="B65">IF(ROW()-ROW(tbl_H_EligibilitySummary[#Headers])&lt;=ROWS(tbl_H_Assessment[ActionID]),"Existing action","Additional action")</f>
        <v>Additional action</v>
      </c>
      <c r="C65" s="13"/>
      <c r="D65" s="13"/>
      <c r="E65" s="13"/>
      <c r="F65" s="13"/>
      <c r="G65" s="13"/>
      <c r="H65" s="13"/>
      <c r="I65" s="13"/>
      <c r="J65" s="13"/>
      <c r="K65" s="13"/>
    </row>
    <row r="66" spans="1:20">
      <c r="B66" s="13" t="str" cm="1">
        <f t="array" ref="B66">IF(ROW()-ROW(tbl_H_EligibilitySummary[#Headers])&lt;=ROWS(tbl_H_Assessment[ActionID]),"Existing action","Additional action")</f>
        <v>Additional action</v>
      </c>
      <c r="C66" s="13"/>
      <c r="D66" s="13"/>
      <c r="E66" s="13"/>
      <c r="F66" s="13"/>
      <c r="G66" s="13"/>
      <c r="H66" s="13"/>
      <c r="I66" s="13"/>
      <c r="J66" s="13"/>
      <c r="K66" s="13"/>
    </row>
    <row r="67" spans="1:20">
      <c r="B67" s="13" t="str" cm="1">
        <f t="array" ref="B67">IF(ROW()-ROW(tbl_H_EligibilitySummary[#Headers])&lt;=ROWS(tbl_H_Assessment[ActionID]),"Existing action","Additional action")</f>
        <v>Additional action</v>
      </c>
      <c r="C67" s="13"/>
      <c r="D67" s="13"/>
      <c r="E67" s="13"/>
      <c r="F67" s="13"/>
      <c r="G67" s="13"/>
      <c r="H67" s="13"/>
      <c r="I67" s="13"/>
      <c r="J67" s="13"/>
      <c r="K67" s="13"/>
    </row>
    <row r="68" spans="1:20">
      <c r="B68" s="13" t="str" cm="1">
        <f t="array" ref="B68">IF(ROW()-ROW(tbl_H_EligibilitySummary[#Headers])&lt;=ROWS(tbl_H_Assessment[ActionID]),"Existing action","Additional action")</f>
        <v>Additional action</v>
      </c>
      <c r="C68" s="13"/>
      <c r="D68" s="13"/>
      <c r="E68" s="13"/>
      <c r="F68" s="13"/>
      <c r="G68" s="13"/>
      <c r="H68" s="13"/>
      <c r="I68" s="13"/>
      <c r="J68" s="13"/>
      <c r="K68" s="13"/>
    </row>
    <row r="69" spans="1:20">
      <c r="B69" s="13" t="str" cm="1">
        <f t="array" ref="B69">IF(ROW()-ROW(tbl_H_EligibilitySummary[#Headers])&lt;=ROWS(tbl_H_Assessment[ActionID]),"Existing action","Additional action")</f>
        <v>Additional action</v>
      </c>
      <c r="C69" s="13"/>
      <c r="D69" s="13"/>
      <c r="E69" s="13"/>
      <c r="F69" s="13"/>
      <c r="G69" s="13"/>
      <c r="H69" s="13"/>
      <c r="I69" s="13"/>
      <c r="J69" s="13"/>
      <c r="K69" s="13"/>
    </row>
    <row r="70" spans="1:20">
      <c r="B70" s="13" t="str" cm="1">
        <f t="array" ref="B70">IF(ROW()-ROW(tbl_H_EligibilitySummary[#Headers])&lt;=ROWS(tbl_H_Assessment[ActionID]),"Existing action","Additional action")</f>
        <v>Additional action</v>
      </c>
      <c r="C70" s="13"/>
      <c r="D70" s="13"/>
      <c r="E70" s="13"/>
      <c r="F70" s="13"/>
      <c r="G70" s="13"/>
      <c r="H70" s="13"/>
      <c r="I70" s="13"/>
      <c r="J70" s="13"/>
      <c r="K70" s="13"/>
    </row>
    <row r="71" spans="1:20" ht="21">
      <c r="A71" s="185"/>
      <c r="B71" s="116" t="s">
        <v>2566</v>
      </c>
      <c r="C71" s="116"/>
      <c r="D71" s="116"/>
      <c r="E71" s="116"/>
      <c r="F71" s="116"/>
      <c r="G71" s="116"/>
      <c r="H71" s="116"/>
      <c r="I71" s="116"/>
      <c r="J71" s="116"/>
      <c r="K71" s="116"/>
      <c r="L71" s="116"/>
      <c r="M71" s="116"/>
      <c r="N71" s="116"/>
      <c r="O71" s="116"/>
      <c r="P71" s="116"/>
      <c r="Q71" s="116"/>
      <c r="R71" s="116"/>
      <c r="S71" s="116"/>
      <c r="T71" s="116"/>
    </row>
    <row r="72" spans="1:20">
      <c r="B72" s="93" t="s">
        <v>1613</v>
      </c>
      <c r="C72" s="80" t="s">
        <v>2581</v>
      </c>
    </row>
    <row r="73" spans="1:20">
      <c r="B73" s="192" t="s">
        <v>1542</v>
      </c>
      <c r="C73" s="83" t="s">
        <v>2291</v>
      </c>
    </row>
    <row r="75" spans="1:20" ht="15.6">
      <c r="A75" s="185"/>
      <c r="B75" s="119" t="s">
        <v>1532</v>
      </c>
      <c r="C75" s="120"/>
    </row>
    <row r="76" spans="1:20">
      <c r="A76" s="185"/>
      <c r="B76" s="193" t="s">
        <v>828</v>
      </c>
      <c r="C76" s="194" t="s">
        <v>10</v>
      </c>
    </row>
    <row r="77" spans="1:20">
      <c r="A77" s="185"/>
      <c r="B77" s="193" t="s">
        <v>1504</v>
      </c>
      <c r="C77" s="195" t="s">
        <v>33</v>
      </c>
    </row>
    <row r="78" spans="1:20">
      <c r="A78" s="185"/>
      <c r="B78" s="82" t="s">
        <v>1520</v>
      </c>
      <c r="C78" s="106" t="str" cm="1">
        <f t="array" ref="C78">_xlfn.TEXTJOIN(", ",TRUE,_xlfn.UNIQUE(_xlfn._xlws.FILTER(Table2[base_indicator_name],(Table2[sector_name]="Health")*(Table2[risk_component_name]="Vulnerability")*(Table2[base_indicator_level]=6))))</f>
        <v>No access to adequate sanitation, HDI-M, Municipal tourism, Recent immigration, Ipa, falciparum malaria, Basic care coverage, Access to diagnosis and treatment, Households without access to garbage collection, Incidence of American cutaneous leishmaniasis, Incidence of visceral leishmaniasis, Water supply, Presence of cistern, Incidence of arboviruses dengue, zika and chikungunya</v>
      </c>
    </row>
    <row r="80" spans="1:20" ht="15.6">
      <c r="A80" s="185"/>
      <c r="B80" s="117" t="s">
        <v>2289</v>
      </c>
      <c r="C80" s="118"/>
    </row>
    <row r="81" spans="1:36">
      <c r="A81" s="185"/>
      <c r="B81" s="193" t="s">
        <v>828</v>
      </c>
      <c r="C81" s="194" t="s">
        <v>10</v>
      </c>
    </row>
    <row r="82" spans="1:36">
      <c r="A82" s="185"/>
      <c r="B82" s="193" t="s">
        <v>1504</v>
      </c>
      <c r="C82" s="195" t="s">
        <v>71</v>
      </c>
    </row>
    <row r="83" spans="1:36">
      <c r="A83" s="185"/>
      <c r="B83" s="82" t="s">
        <v>2290</v>
      </c>
      <c r="C83" s="107" t="str" cm="1">
        <f t="array" ref="C83">_xlfn.TEXTJOIN(", ",TRUE,_xlfn.UNIQUE(_xlfn._xlws.FILTER(Table2[base_indicator_name],(Table2[sector_name]="Health")*(Table2[risk_component_name]="Exposure")*(Table2[base_indicator_level]=5))))</f>
        <v>Highway density, Settlements, Mining, Deforestation, Rural population, Bodies of water, Informal settlements, Natural coverage, Agricultural coverage, Population density</v>
      </c>
    </row>
    <row r="85" spans="1:36" s="185" customFormat="1" ht="21">
      <c r="B85" s="114" t="s">
        <v>2568</v>
      </c>
      <c r="C85" s="114"/>
      <c r="D85" s="114"/>
      <c r="E85" s="114"/>
      <c r="F85" s="114"/>
      <c r="G85" s="114"/>
      <c r="H85" s="114"/>
      <c r="I85" s="114"/>
      <c r="J85" s="114"/>
      <c r="K85" s="114"/>
      <c r="L85" s="114"/>
      <c r="M85" s="114"/>
      <c r="N85" s="114"/>
      <c r="O85" s="114"/>
      <c r="P85" s="114"/>
      <c r="Q85" s="114"/>
      <c r="R85" s="114"/>
      <c r="S85" s="114"/>
      <c r="T85" s="114"/>
      <c r="AA85" s="186"/>
      <c r="AB85" s="186"/>
      <c r="AC85" s="186"/>
      <c r="AD85" s="186"/>
      <c r="AE85" s="186"/>
      <c r="AF85" s="186"/>
      <c r="AG85" s="186"/>
      <c r="AH85" s="186"/>
      <c r="AI85" s="186"/>
      <c r="AJ85" s="186"/>
    </row>
    <row r="86" spans="1:36" s="185" customFormat="1">
      <c r="B86" s="89" t="s">
        <v>1576</v>
      </c>
      <c r="C86" s="80" t="s">
        <v>1562</v>
      </c>
      <c r="D86" s="80"/>
      <c r="E86" s="80"/>
      <c r="F86" s="80"/>
      <c r="G86" s="80"/>
      <c r="H86" s="80"/>
      <c r="I86" s="80"/>
      <c r="J86" s="80"/>
      <c r="K86" s="80"/>
      <c r="L86" s="80"/>
      <c r="M86" s="80"/>
      <c r="N86" s="80"/>
      <c r="O86" s="80"/>
      <c r="P86" s="80"/>
      <c r="Q86" s="80"/>
      <c r="R86" s="80"/>
      <c r="S86" s="80"/>
      <c r="T86" s="80"/>
      <c r="AA86" s="186"/>
      <c r="AB86" s="186"/>
      <c r="AC86" s="186"/>
      <c r="AD86" s="186"/>
      <c r="AE86" s="186"/>
      <c r="AF86" s="186"/>
      <c r="AG86" s="186"/>
      <c r="AH86" s="186"/>
      <c r="AI86" s="186"/>
      <c r="AJ86" s="186"/>
    </row>
    <row r="87" spans="1:36" s="185" customFormat="1">
      <c r="B87" s="89" t="s">
        <v>1577</v>
      </c>
      <c r="C87" s="80" t="s">
        <v>2582</v>
      </c>
      <c r="D87" s="80"/>
      <c r="AA87" s="186"/>
      <c r="AB87" s="186"/>
      <c r="AC87" s="186"/>
      <c r="AD87" s="186"/>
      <c r="AE87" s="186"/>
      <c r="AF87" s="186"/>
      <c r="AG87" s="186"/>
      <c r="AH87" s="186"/>
      <c r="AI87" s="186"/>
      <c r="AJ87" s="186"/>
    </row>
    <row r="88" spans="1:36" s="185" customFormat="1">
      <c r="B88" s="89" t="s">
        <v>1557</v>
      </c>
      <c r="C88" s="80" t="str">
        <f>"Sector:"&amp;CHAR(10)&amp;"Health"&amp;CHAR(10)&amp;CHAR(10)&amp;"Approved Vulnerability Indicators:"&amp;CHAR(10)&amp;C78&amp;CHAR(10)&amp;CHAR(10)&amp;"Approved Exposure Indicators:"&amp;CHAR(10)&amp;C83&amp;CHAR(10)&amp;CHAR(10)&amp;"Mandatory framework sources:"&amp;CHAR(10)&amp;"H_SRC_001 | Brazil | AdaptaBrasil MCTI: Índices e Indicadores | MCTI | 2023"&amp;CHAR(10)&amp;CHAR(10)&amp;"H_SRC_002 | International | IPCC AR6 WGII"</f>
        <v>Sector:
Health
Approved Vulnerability Indicators:
No access to adequate sanitation, HDI-M, Municipal tourism, Recent immigration, Ipa, falciparum malaria, Basic care coverage, Access to diagnosis and treatment, Households without access to garbage collection, Incidence of American cutaneous leishmaniasis, Incidence of visceral leishmaniasis, Water supply, Presence of cistern, Incidence of arboviruses dengue, zika and chikungunya
Approved Exposure Indicators:
Highway density, Settlements, Mining, Deforestation, Rural population, Bodies of water, Informal settlements, Natural coverage, Agricultural coverage, Population density
Mandatory framework sources:
H_SRC_001 | Brazil | AdaptaBrasil MCTI: Índices e Indicadores | MCTI | 2023
H_SRC_002 | International | IPCC AR6 WGII</v>
      </c>
      <c r="D88" s="91" t="s">
        <v>1588</v>
      </c>
    </row>
    <row r="89" spans="1:36" s="185" customFormat="1">
      <c r="B89" s="84" t="s">
        <v>1543</v>
      </c>
      <c r="C89" s="83" t="s">
        <v>2274</v>
      </c>
      <c r="D89" s="91" t="s">
        <v>1588</v>
      </c>
      <c r="E89" s="186"/>
    </row>
    <row r="90" spans="1:36" s="185" customFormat="1">
      <c r="B90" s="89" t="s">
        <v>1544</v>
      </c>
      <c r="C90" s="90" t="s">
        <v>1579</v>
      </c>
      <c r="D90" s="90"/>
    </row>
    <row r="91" spans="1:36">
      <c r="AA91" s="185"/>
      <c r="AB91" s="185"/>
      <c r="AC91" s="185"/>
      <c r="AD91" s="185"/>
      <c r="AE91" s="185"/>
      <c r="AF91" s="185"/>
      <c r="AG91" s="185"/>
      <c r="AH91" s="185"/>
      <c r="AI91" s="185"/>
      <c r="AJ91" s="185"/>
    </row>
    <row r="92" spans="1:36">
      <c r="B92" s="196" t="s">
        <v>1580</v>
      </c>
      <c r="C92" s="196"/>
      <c r="D92" s="196"/>
      <c r="E92" s="196"/>
      <c r="F92" s="196"/>
      <c r="G92" s="196"/>
      <c r="AA92" s="185"/>
      <c r="AB92" s="185"/>
      <c r="AC92" s="185"/>
      <c r="AD92" s="185"/>
      <c r="AE92" s="185"/>
      <c r="AF92" s="185"/>
      <c r="AG92" s="185"/>
      <c r="AH92" s="185"/>
      <c r="AI92" s="185"/>
      <c r="AJ92" s="185"/>
    </row>
    <row r="93" spans="1:36">
      <c r="A93" s="185"/>
      <c r="B93" s="104" t="s">
        <v>1506</v>
      </c>
      <c r="C93" s="104" t="s">
        <v>1507</v>
      </c>
      <c r="D93" s="104" t="s">
        <v>1508</v>
      </c>
      <c r="E93" s="104" t="s">
        <v>1509</v>
      </c>
      <c r="F93" s="104" t="s">
        <v>1510</v>
      </c>
      <c r="G93" s="104" t="s">
        <v>1511</v>
      </c>
      <c r="H93" s="105"/>
      <c r="I93" s="105"/>
      <c r="J93" s="105"/>
      <c r="K93" s="105"/>
      <c r="L93" s="105"/>
      <c r="M93" s="74"/>
      <c r="N93" s="74"/>
      <c r="O93" s="74"/>
      <c r="P93" s="74"/>
      <c r="Q93" s="74"/>
      <c r="R93" s="74"/>
      <c r="S93" s="74"/>
      <c r="T93" s="74"/>
      <c r="AA93" s="185"/>
      <c r="AB93" s="185"/>
      <c r="AC93" s="185"/>
      <c r="AD93" s="185"/>
      <c r="AE93" s="185"/>
      <c r="AF93" s="185"/>
      <c r="AG93" s="185"/>
      <c r="AH93" s="185"/>
      <c r="AI93" s="185"/>
      <c r="AJ93" s="185"/>
    </row>
    <row r="94" spans="1:36">
      <c r="B94" s="76" t="s">
        <v>2275</v>
      </c>
      <c r="C94" s="74" t="s">
        <v>1472</v>
      </c>
      <c r="D94" s="74" t="s">
        <v>2380</v>
      </c>
      <c r="E94" s="74" t="s">
        <v>2331</v>
      </c>
      <c r="F94" s="86">
        <v>2023</v>
      </c>
      <c r="G94" s="74" t="s">
        <v>2381</v>
      </c>
      <c r="H94" s="74"/>
      <c r="I94" s="74"/>
      <c r="J94" s="74"/>
      <c r="K94" s="74"/>
      <c r="L94" s="74"/>
      <c r="M94" s="74"/>
      <c r="N94" s="74"/>
      <c r="O94" s="74"/>
      <c r="P94" s="74"/>
      <c r="Q94" s="74"/>
      <c r="R94" s="74"/>
      <c r="S94" s="74"/>
      <c r="T94" s="74"/>
    </row>
    <row r="95" spans="1:36">
      <c r="B95" s="76" t="s">
        <v>2276</v>
      </c>
      <c r="C95" s="74" t="s">
        <v>1474</v>
      </c>
      <c r="D95" s="80" t="s">
        <v>2359</v>
      </c>
      <c r="E95" s="74" t="s">
        <v>1475</v>
      </c>
      <c r="F95" s="86">
        <v>2022</v>
      </c>
      <c r="G95" s="74" t="s">
        <v>2334</v>
      </c>
      <c r="H95" s="74"/>
      <c r="I95" s="74"/>
      <c r="J95" s="74"/>
      <c r="K95" s="74"/>
      <c r="L95" s="74"/>
      <c r="M95" s="74"/>
      <c r="N95" s="74"/>
      <c r="O95" s="74"/>
      <c r="P95" s="74"/>
      <c r="Q95" s="74"/>
      <c r="R95" s="74"/>
      <c r="S95" s="74"/>
      <c r="T95" s="74"/>
    </row>
    <row r="96" spans="1:36">
      <c r="B96" s="76" t="s">
        <v>2277</v>
      </c>
      <c r="C96" s="74" t="s">
        <v>1472</v>
      </c>
      <c r="D96" s="74" t="s">
        <v>2382</v>
      </c>
      <c r="E96" s="74" t="s">
        <v>2383</v>
      </c>
      <c r="F96" s="86">
        <v>2016</v>
      </c>
      <c r="G96" s="85" t="s">
        <v>2384</v>
      </c>
      <c r="H96" s="74"/>
      <c r="I96" s="74"/>
      <c r="J96" s="74"/>
      <c r="K96" s="74"/>
      <c r="L96" s="74"/>
      <c r="M96" s="74"/>
      <c r="N96" s="74"/>
      <c r="O96" s="74"/>
      <c r="P96" s="74"/>
      <c r="Q96" s="74"/>
      <c r="R96" s="74"/>
      <c r="S96" s="74"/>
      <c r="T96" s="74"/>
    </row>
    <row r="97" spans="2:36">
      <c r="B97" s="76" t="s">
        <v>2278</v>
      </c>
      <c r="C97" s="74" t="s">
        <v>1472</v>
      </c>
      <c r="D97" s="74" t="s">
        <v>2385</v>
      </c>
      <c r="E97" s="74" t="s">
        <v>2386</v>
      </c>
      <c r="F97" s="86">
        <v>2021</v>
      </c>
      <c r="G97" s="74" t="s">
        <v>2387</v>
      </c>
      <c r="H97" s="74"/>
      <c r="I97" s="74"/>
      <c r="J97" s="74"/>
      <c r="K97" s="74"/>
      <c r="L97" s="74"/>
      <c r="M97" s="74"/>
      <c r="N97" s="74"/>
      <c r="O97" s="74"/>
      <c r="P97" s="74"/>
      <c r="Q97" s="74"/>
      <c r="R97" s="74"/>
      <c r="S97" s="74"/>
      <c r="T97" s="74"/>
    </row>
    <row r="98" spans="2:36">
      <c r="B98" s="76" t="s">
        <v>2279</v>
      </c>
      <c r="C98" s="74" t="s">
        <v>1472</v>
      </c>
      <c r="D98" s="74" t="s">
        <v>2388</v>
      </c>
      <c r="E98" s="74" t="s">
        <v>2386</v>
      </c>
      <c r="F98" s="86">
        <v>2024</v>
      </c>
      <c r="G98" s="85" t="s">
        <v>2389</v>
      </c>
      <c r="H98" s="74"/>
      <c r="I98" s="74"/>
      <c r="J98" s="74"/>
      <c r="K98" s="74"/>
      <c r="L98" s="74"/>
      <c r="M98" s="74"/>
      <c r="N98" s="74"/>
      <c r="O98" s="74"/>
      <c r="P98" s="74"/>
      <c r="Q98" s="74"/>
      <c r="R98" s="74"/>
      <c r="S98" s="74"/>
      <c r="T98" s="74"/>
    </row>
    <row r="99" spans="2:36">
      <c r="B99" s="76" t="s">
        <v>2280</v>
      </c>
      <c r="C99" s="74" t="s">
        <v>1472</v>
      </c>
      <c r="D99" s="74" t="s">
        <v>2390</v>
      </c>
      <c r="E99" s="74" t="s">
        <v>2386</v>
      </c>
      <c r="F99" s="86">
        <v>2023</v>
      </c>
      <c r="G99" s="85" t="s">
        <v>2391</v>
      </c>
      <c r="H99" s="74"/>
      <c r="I99" s="74"/>
      <c r="J99" s="74"/>
      <c r="K99" s="74"/>
      <c r="L99" s="74"/>
      <c r="M99" s="74"/>
      <c r="N99" s="74"/>
      <c r="O99" s="74"/>
      <c r="P99" s="74"/>
      <c r="Q99" s="74"/>
      <c r="R99" s="74"/>
      <c r="S99" s="74"/>
      <c r="T99" s="74"/>
    </row>
    <row r="100" spans="2:36">
      <c r="B100" s="76" t="s">
        <v>2281</v>
      </c>
      <c r="C100" s="74" t="s">
        <v>1474</v>
      </c>
      <c r="D100" s="74" t="s">
        <v>2392</v>
      </c>
      <c r="E100" s="74" t="s">
        <v>2393</v>
      </c>
      <c r="F100" s="86">
        <v>2021</v>
      </c>
      <c r="G100" s="74" t="s">
        <v>2394</v>
      </c>
      <c r="H100" s="74"/>
      <c r="I100" s="74"/>
      <c r="J100" s="74"/>
      <c r="K100" s="74"/>
      <c r="L100" s="74"/>
      <c r="M100" s="74"/>
      <c r="N100" s="74"/>
      <c r="O100" s="74"/>
      <c r="P100" s="74"/>
      <c r="Q100" s="74"/>
      <c r="R100" s="74"/>
      <c r="S100" s="74"/>
      <c r="T100" s="74"/>
    </row>
    <row r="101" spans="2:36">
      <c r="B101" s="76" t="s">
        <v>2282</v>
      </c>
      <c r="C101" s="74" t="s">
        <v>1474</v>
      </c>
      <c r="D101" s="74" t="s">
        <v>2395</v>
      </c>
      <c r="E101" s="74" t="s">
        <v>2393</v>
      </c>
      <c r="F101" s="86">
        <v>2015</v>
      </c>
      <c r="G101" s="85" t="s">
        <v>2396</v>
      </c>
      <c r="H101" s="74"/>
      <c r="I101" s="74"/>
      <c r="J101" s="74"/>
      <c r="K101" s="74"/>
      <c r="L101" s="74"/>
      <c r="M101" s="74"/>
      <c r="N101" s="74"/>
      <c r="O101" s="74"/>
      <c r="P101" s="74"/>
      <c r="Q101" s="74"/>
      <c r="R101" s="74"/>
      <c r="S101" s="74"/>
      <c r="T101" s="74"/>
    </row>
    <row r="102" spans="2:36">
      <c r="B102" s="76" t="s">
        <v>2283</v>
      </c>
      <c r="C102" s="74" t="s">
        <v>1474</v>
      </c>
      <c r="D102" s="74" t="s">
        <v>2397</v>
      </c>
      <c r="E102" s="74" t="s">
        <v>2393</v>
      </c>
      <c r="F102" s="86">
        <v>2020</v>
      </c>
      <c r="G102" s="85" t="s">
        <v>2398</v>
      </c>
      <c r="H102" s="74"/>
      <c r="I102" s="74"/>
      <c r="J102" s="74"/>
      <c r="K102" s="74"/>
      <c r="L102" s="74"/>
      <c r="M102" s="74"/>
      <c r="N102" s="74"/>
      <c r="O102" s="74"/>
      <c r="P102" s="74"/>
      <c r="Q102" s="74"/>
      <c r="R102" s="74"/>
      <c r="S102" s="74"/>
      <c r="T102" s="74"/>
    </row>
    <row r="103" spans="2:36">
      <c r="B103" s="76" t="s">
        <v>2284</v>
      </c>
      <c r="C103" s="74" t="s">
        <v>1474</v>
      </c>
      <c r="D103" s="74" t="s">
        <v>2399</v>
      </c>
      <c r="E103" s="80" t="s">
        <v>2400</v>
      </c>
      <c r="F103" s="86">
        <v>2023</v>
      </c>
      <c r="G103" s="85" t="s">
        <v>2401</v>
      </c>
      <c r="H103" s="74"/>
      <c r="I103" s="74"/>
      <c r="J103" s="74"/>
      <c r="K103" s="74"/>
      <c r="L103" s="74"/>
      <c r="M103" s="74"/>
      <c r="N103" s="74"/>
      <c r="O103" s="74"/>
      <c r="P103" s="74"/>
      <c r="Q103" s="74"/>
      <c r="R103" s="74"/>
      <c r="S103" s="74"/>
      <c r="T103" s="74"/>
    </row>
    <row r="104" spans="2:36">
      <c r="B104" s="76" t="s">
        <v>2285</v>
      </c>
      <c r="C104" s="74"/>
      <c r="D104" s="80"/>
      <c r="E104" s="74"/>
      <c r="F104" s="86"/>
      <c r="G104" s="85"/>
      <c r="H104" s="74"/>
      <c r="I104" s="74"/>
      <c r="J104" s="74"/>
      <c r="K104" s="74"/>
      <c r="L104" s="74"/>
      <c r="M104" s="74"/>
      <c r="N104" s="74"/>
      <c r="O104" s="74"/>
      <c r="P104" s="74"/>
      <c r="Q104" s="74"/>
      <c r="R104" s="74"/>
      <c r="S104" s="74"/>
      <c r="T104" s="74"/>
    </row>
    <row r="105" spans="2:36">
      <c r="B105" s="76" t="s">
        <v>2286</v>
      </c>
      <c r="C105" s="74"/>
      <c r="D105" s="74"/>
      <c r="E105" s="74"/>
      <c r="F105" s="86"/>
      <c r="G105" s="85"/>
      <c r="H105" s="74"/>
      <c r="I105" s="74"/>
      <c r="J105" s="74"/>
      <c r="K105" s="74"/>
      <c r="L105" s="74"/>
      <c r="M105" s="74"/>
      <c r="N105" s="74"/>
      <c r="O105" s="74"/>
      <c r="P105" s="74"/>
      <c r="Q105" s="74"/>
      <c r="R105" s="74"/>
      <c r="S105" s="74"/>
      <c r="T105" s="74"/>
    </row>
    <row r="106" spans="2:36">
      <c r="B106" s="76"/>
      <c r="C106" s="74"/>
      <c r="D106" s="74"/>
      <c r="E106" s="74"/>
      <c r="F106" s="86"/>
      <c r="G106" s="74"/>
      <c r="H106" s="74"/>
      <c r="I106" s="74"/>
      <c r="J106" s="74"/>
      <c r="K106" s="74"/>
      <c r="L106" s="74"/>
      <c r="M106" s="74"/>
      <c r="N106" s="74"/>
      <c r="O106" s="74"/>
      <c r="P106" s="74"/>
      <c r="Q106" s="74"/>
      <c r="R106" s="74"/>
      <c r="S106" s="74"/>
      <c r="T106" s="74"/>
    </row>
    <row r="107" spans="2:36" s="185" customFormat="1" ht="17.399999999999999">
      <c r="B107" s="113" t="s">
        <v>2570</v>
      </c>
      <c r="C107" s="113"/>
      <c r="D107" s="113"/>
      <c r="E107" s="113"/>
      <c r="F107" s="113"/>
      <c r="G107" s="113"/>
      <c r="H107" s="113"/>
      <c r="I107" s="113"/>
      <c r="J107" s="113"/>
      <c r="K107" s="113"/>
      <c r="L107" s="113"/>
      <c r="M107" s="113"/>
      <c r="N107" s="113"/>
      <c r="O107" s="113"/>
      <c r="P107" s="113"/>
      <c r="Q107" s="113"/>
      <c r="R107" s="113"/>
      <c r="S107" s="113"/>
      <c r="T107" s="113"/>
      <c r="AA107" s="186"/>
      <c r="AB107" s="186"/>
      <c r="AC107" s="186"/>
      <c r="AD107" s="186"/>
      <c r="AE107" s="186"/>
      <c r="AF107" s="186"/>
      <c r="AG107" s="186"/>
      <c r="AH107" s="186"/>
      <c r="AI107" s="186"/>
      <c r="AJ107" s="186"/>
    </row>
    <row r="108" spans="2:36" s="185" customFormat="1">
      <c r="B108" s="89" t="s">
        <v>1558</v>
      </c>
      <c r="C108" s="96" t="s">
        <v>2583</v>
      </c>
      <c r="D108" s="87"/>
      <c r="E108" s="87"/>
      <c r="F108" s="87"/>
      <c r="G108" s="87"/>
      <c r="H108" s="87"/>
      <c r="I108" s="87"/>
      <c r="J108" s="87"/>
      <c r="K108" s="87"/>
      <c r="L108" s="87"/>
      <c r="M108" s="87"/>
      <c r="N108" s="87"/>
      <c r="O108" s="87"/>
      <c r="P108" s="87"/>
      <c r="Q108" s="87"/>
      <c r="R108" s="87"/>
      <c r="S108" s="87"/>
      <c r="T108" s="87"/>
      <c r="AA108" s="186"/>
      <c r="AB108" s="186"/>
      <c r="AC108" s="186"/>
      <c r="AD108" s="186"/>
      <c r="AE108" s="186"/>
      <c r="AF108" s="186"/>
      <c r="AG108" s="186"/>
      <c r="AH108" s="186"/>
      <c r="AI108" s="186"/>
      <c r="AJ108" s="186"/>
    </row>
    <row r="109" spans="2:36" s="185" customFormat="1">
      <c r="B109" s="89" t="s">
        <v>1560</v>
      </c>
      <c r="C109" s="96" t="str">
        <f>C78</f>
        <v>No access to adequate sanitation, HDI-M, Municipal tourism, Recent immigration, Ipa, falciparum malaria, Basic care coverage, Access to diagnosis and treatment, Households without access to garbage collection, Incidence of American cutaneous leishmaniasis, Incidence of visceral leishmaniasis, Water supply, Presence of cistern, Incidence of arboviruses dengue, zika and chikungunya</v>
      </c>
      <c r="D109" s="91" t="s">
        <v>1588</v>
      </c>
      <c r="E109" s="87"/>
      <c r="F109" s="87"/>
      <c r="G109" s="87"/>
      <c r="H109" s="87"/>
      <c r="I109" s="87"/>
      <c r="J109" s="87"/>
      <c r="K109" s="87"/>
      <c r="L109" s="87"/>
      <c r="M109" s="87"/>
      <c r="N109" s="87"/>
      <c r="O109" s="87"/>
      <c r="P109" s="87"/>
      <c r="Q109" s="87"/>
      <c r="R109" s="87"/>
      <c r="S109" s="87"/>
      <c r="T109" s="87"/>
      <c r="AA109" s="186"/>
      <c r="AB109" s="186"/>
      <c r="AC109" s="186"/>
      <c r="AD109" s="186"/>
      <c r="AE109" s="186"/>
      <c r="AF109" s="186"/>
      <c r="AG109" s="186"/>
      <c r="AH109" s="186"/>
      <c r="AI109" s="186"/>
      <c r="AJ109" s="186"/>
    </row>
    <row r="110" spans="2:36" s="185" customFormat="1">
      <c r="B110" s="89" t="s">
        <v>1561</v>
      </c>
      <c r="C110" s="96" t="str">
        <f>C83</f>
        <v>Highway density, Settlements, Mining, Deforestation, Rural population, Bodies of water, Informal settlements, Natural coverage, Agricultural coverage, Population density</v>
      </c>
      <c r="D110" s="91" t="s">
        <v>1588</v>
      </c>
      <c r="E110" s="87"/>
      <c r="F110" s="87"/>
      <c r="G110" s="87"/>
      <c r="H110" s="87"/>
      <c r="I110" s="87"/>
      <c r="J110" s="87"/>
      <c r="K110" s="87"/>
      <c r="L110" s="87"/>
      <c r="M110" s="87"/>
      <c r="N110" s="87"/>
      <c r="O110" s="87"/>
      <c r="P110" s="87"/>
      <c r="Q110" s="87"/>
      <c r="R110" s="87"/>
      <c r="S110" s="87"/>
      <c r="T110" s="87"/>
    </row>
    <row r="111" spans="2:36" s="185" customFormat="1">
      <c r="B111" s="89" t="s">
        <v>1632</v>
      </c>
      <c r="C111" s="96" t="s">
        <v>2287</v>
      </c>
      <c r="D111" s="91" t="s">
        <v>1634</v>
      </c>
      <c r="E111" s="87"/>
      <c r="F111" s="87"/>
      <c r="G111" s="87"/>
      <c r="H111" s="87"/>
      <c r="I111" s="87"/>
      <c r="J111" s="87"/>
      <c r="K111" s="87"/>
      <c r="L111" s="87"/>
      <c r="M111" s="87"/>
      <c r="N111" s="87"/>
      <c r="O111" s="87"/>
      <c r="P111" s="87"/>
      <c r="Q111" s="87"/>
      <c r="R111" s="87"/>
      <c r="S111" s="87"/>
      <c r="T111" s="87"/>
    </row>
    <row r="112" spans="2:36" s="185" customFormat="1">
      <c r="B112" s="89" t="s">
        <v>1564</v>
      </c>
      <c r="C112" s="96" t="s">
        <v>1567</v>
      </c>
      <c r="D112" s="91" t="s">
        <v>1634</v>
      </c>
      <c r="E112" s="87"/>
      <c r="F112" s="87"/>
      <c r="G112" s="87"/>
      <c r="H112" s="87"/>
      <c r="I112" s="87"/>
      <c r="J112" s="87"/>
      <c r="K112" s="87"/>
      <c r="L112" s="87"/>
      <c r="M112" s="87"/>
      <c r="N112" s="87"/>
      <c r="O112" s="87"/>
      <c r="P112" s="87"/>
      <c r="Q112" s="87"/>
      <c r="R112" s="87"/>
      <c r="S112" s="87"/>
      <c r="T112" s="87"/>
      <c r="U112" s="87"/>
    </row>
    <row r="113" spans="2:26" s="185" customFormat="1">
      <c r="B113" s="84" t="s">
        <v>1563</v>
      </c>
      <c r="C113" s="83" t="s">
        <v>2584</v>
      </c>
      <c r="D113" s="91" t="s">
        <v>1588</v>
      </c>
      <c r="E113" s="87"/>
      <c r="F113" s="87"/>
      <c r="G113" s="87"/>
      <c r="H113" s="87"/>
      <c r="I113" s="87"/>
      <c r="J113" s="87"/>
      <c r="K113" s="87"/>
      <c r="L113" s="87"/>
      <c r="M113" s="87"/>
      <c r="N113" s="87"/>
      <c r="O113" s="87"/>
      <c r="P113" s="87"/>
      <c r="Q113" s="87"/>
      <c r="R113" s="87"/>
      <c r="S113" s="87"/>
      <c r="T113" s="87"/>
      <c r="U113" s="87"/>
    </row>
    <row r="114" spans="2:26" s="185" customFormat="1">
      <c r="B114" s="89" t="s">
        <v>1565</v>
      </c>
      <c r="C114" s="97" t="s">
        <v>1559</v>
      </c>
      <c r="D114" s="98"/>
      <c r="E114" s="87"/>
      <c r="F114" s="87"/>
      <c r="G114" s="87"/>
      <c r="H114" s="87"/>
      <c r="I114" s="87"/>
      <c r="J114" s="87"/>
      <c r="K114" s="87"/>
      <c r="L114" s="87"/>
      <c r="M114" s="87"/>
      <c r="N114" s="87"/>
      <c r="O114" s="87"/>
      <c r="P114" s="87"/>
      <c r="Q114" s="87"/>
      <c r="R114" s="87"/>
      <c r="S114" s="87"/>
      <c r="T114" s="87"/>
      <c r="U114" s="87"/>
    </row>
    <row r="115" spans="2:26" s="185" customFormat="1">
      <c r="B115" s="89" t="s">
        <v>1566</v>
      </c>
      <c r="C115" s="96" t="s">
        <v>2288</v>
      </c>
      <c r="D115" s="87"/>
      <c r="E115" s="87"/>
      <c r="F115" s="87"/>
      <c r="G115" s="87"/>
      <c r="H115" s="87"/>
      <c r="I115" s="87"/>
      <c r="J115" s="87"/>
      <c r="K115" s="87"/>
      <c r="L115" s="87"/>
      <c r="M115" s="87"/>
      <c r="N115" s="87"/>
      <c r="O115" s="87"/>
      <c r="P115" s="87"/>
      <c r="Q115" s="87"/>
      <c r="R115" s="87"/>
      <c r="S115" s="87"/>
      <c r="T115" s="87"/>
    </row>
    <row r="116" spans="2:26" s="185" customFormat="1">
      <c r="D116" s="87"/>
      <c r="E116" s="87"/>
      <c r="F116" s="87"/>
      <c r="G116" s="87"/>
      <c r="H116" s="87"/>
      <c r="I116" s="87"/>
      <c r="J116" s="87"/>
      <c r="K116" s="87"/>
      <c r="L116" s="87"/>
      <c r="M116" s="87"/>
      <c r="N116" s="87"/>
      <c r="O116" s="87"/>
      <c r="P116" s="87"/>
      <c r="Q116" s="87"/>
      <c r="R116" s="87"/>
      <c r="S116" s="87"/>
      <c r="T116" s="87"/>
    </row>
    <row r="117" spans="2:26" s="185" customFormat="1" ht="17.399999999999999">
      <c r="B117" s="121" t="s">
        <v>1269</v>
      </c>
      <c r="C117" s="121"/>
      <c r="D117" s="121"/>
      <c r="E117" s="121"/>
      <c r="F117" s="121"/>
      <c r="G117" s="121"/>
      <c r="H117" s="121"/>
      <c r="I117" s="121"/>
      <c r="J117" s="121"/>
      <c r="K117" s="121"/>
      <c r="L117" s="121"/>
      <c r="M117" s="121"/>
      <c r="N117" s="121"/>
      <c r="O117" s="121"/>
      <c r="P117" s="121"/>
      <c r="Q117" s="121"/>
      <c r="R117" s="121"/>
      <c r="S117" s="121"/>
      <c r="T117" s="121"/>
    </row>
    <row r="118" spans="2:26" s="185" customFormat="1">
      <c r="B118" s="92" t="s">
        <v>310</v>
      </c>
      <c r="C118" s="92" t="s">
        <v>311</v>
      </c>
      <c r="D118" s="92" t="s">
        <v>1293</v>
      </c>
      <c r="E118" s="102" t="s">
        <v>1636</v>
      </c>
      <c r="F118" s="103" t="s">
        <v>1637</v>
      </c>
      <c r="G118" s="103" t="s">
        <v>1647</v>
      </c>
      <c r="H118" s="92" t="s">
        <v>1502</v>
      </c>
      <c r="I118" s="92" t="s">
        <v>1487</v>
      </c>
      <c r="J118" s="92" t="s">
        <v>1469</v>
      </c>
      <c r="K118" s="92" t="s">
        <v>1488</v>
      </c>
      <c r="L118" s="92" t="s">
        <v>1500</v>
      </c>
      <c r="M118" s="92" t="s">
        <v>1489</v>
      </c>
      <c r="N118" s="92" t="s">
        <v>1490</v>
      </c>
      <c r="O118" s="102" t="s">
        <v>1638</v>
      </c>
      <c r="P118" s="103" t="s">
        <v>1639</v>
      </c>
      <c r="Q118" s="103" t="s">
        <v>1648</v>
      </c>
      <c r="R118" s="92" t="s">
        <v>1503</v>
      </c>
      <c r="S118" s="92" t="s">
        <v>1491</v>
      </c>
      <c r="T118" s="92" t="s">
        <v>1470</v>
      </c>
      <c r="U118" s="92" t="s">
        <v>1492</v>
      </c>
      <c r="V118" s="92" t="s">
        <v>1501</v>
      </c>
      <c r="W118" s="92" t="s">
        <v>1493</v>
      </c>
      <c r="X118" s="92" t="s">
        <v>1494</v>
      </c>
      <c r="Y118" s="92" t="s">
        <v>1495</v>
      </c>
      <c r="Z118" s="92" t="s">
        <v>1496</v>
      </c>
    </row>
    <row r="119" spans="2:26" s="185" customFormat="1">
      <c r="B119" s="88" t="s">
        <v>320</v>
      </c>
      <c r="C119" s="80" t="s">
        <v>321</v>
      </c>
      <c r="D119" s="80" t="s">
        <v>322</v>
      </c>
      <c r="E119" s="100"/>
      <c r="F119" s="101"/>
      <c r="G119" s="101"/>
      <c r="H119" s="88"/>
      <c r="I119" s="80"/>
      <c r="J119" s="80"/>
      <c r="K119" s="80"/>
      <c r="L119" s="80"/>
      <c r="M119" s="80"/>
      <c r="N119" s="80"/>
      <c r="O119" s="100"/>
      <c r="P119" s="101"/>
      <c r="Q119" s="101"/>
      <c r="R119" s="88"/>
      <c r="S119" s="80"/>
      <c r="T119" s="80"/>
      <c r="U119" s="80"/>
      <c r="V119" s="80"/>
      <c r="W119" s="80"/>
      <c r="X119" s="80"/>
      <c r="Y119" s="88"/>
      <c r="Z119" s="80"/>
    </row>
    <row r="120" spans="2:26" s="185" customFormat="1">
      <c r="B120" s="88" t="s">
        <v>329</v>
      </c>
      <c r="C120" s="80" t="s">
        <v>330</v>
      </c>
      <c r="D120" s="80" t="s">
        <v>331</v>
      </c>
      <c r="E120" s="100"/>
      <c r="F120" s="101"/>
      <c r="G120" s="101"/>
      <c r="H120" s="88"/>
      <c r="I120" s="80"/>
      <c r="J120" s="80"/>
      <c r="K120" s="80"/>
      <c r="L120" s="80"/>
      <c r="M120" s="80"/>
      <c r="N120" s="80"/>
      <c r="O120" s="100"/>
      <c r="P120" s="101"/>
      <c r="Q120" s="101"/>
      <c r="R120" s="88"/>
      <c r="S120" s="80"/>
      <c r="T120" s="80"/>
      <c r="U120" s="80"/>
      <c r="V120" s="80"/>
      <c r="W120" s="80"/>
      <c r="X120" s="80"/>
      <c r="Y120" s="88"/>
      <c r="Z120" s="80"/>
    </row>
    <row r="121" spans="2:26" s="185" customFormat="1">
      <c r="B121" s="88" t="s">
        <v>335</v>
      </c>
      <c r="C121" s="80" t="s">
        <v>336</v>
      </c>
      <c r="D121" s="80" t="s">
        <v>337</v>
      </c>
      <c r="E121" s="100"/>
      <c r="F121" s="101"/>
      <c r="G121" s="101"/>
      <c r="H121" s="88"/>
      <c r="I121" s="80"/>
      <c r="J121" s="80"/>
      <c r="K121" s="80"/>
      <c r="L121" s="80"/>
      <c r="M121" s="80"/>
      <c r="N121" s="80"/>
      <c r="O121" s="100"/>
      <c r="P121" s="101"/>
      <c r="Q121" s="101"/>
      <c r="R121" s="88"/>
      <c r="S121" s="80"/>
      <c r="T121" s="80"/>
      <c r="U121" s="80"/>
      <c r="V121" s="80"/>
      <c r="W121" s="80"/>
      <c r="X121" s="80"/>
      <c r="Y121" s="88"/>
      <c r="Z121" s="80"/>
    </row>
    <row r="122" spans="2:26" s="185" customFormat="1">
      <c r="B122" s="88" t="s">
        <v>341</v>
      </c>
      <c r="C122" s="80" t="s">
        <v>342</v>
      </c>
      <c r="D122" s="80" t="s">
        <v>343</v>
      </c>
      <c r="E122" s="100"/>
      <c r="F122" s="101"/>
      <c r="G122" s="101"/>
      <c r="H122" s="88"/>
      <c r="I122" s="80"/>
      <c r="J122" s="80"/>
      <c r="K122" s="80"/>
      <c r="L122" s="80"/>
      <c r="M122" s="80"/>
      <c r="N122" s="80"/>
      <c r="O122" s="100"/>
      <c r="P122" s="101"/>
      <c r="Q122" s="101"/>
      <c r="R122" s="88"/>
      <c r="S122" s="80"/>
      <c r="T122" s="80"/>
      <c r="U122" s="80"/>
      <c r="V122" s="80"/>
      <c r="W122" s="80"/>
      <c r="X122" s="80"/>
      <c r="Y122" s="88"/>
      <c r="Z122" s="80"/>
    </row>
    <row r="123" spans="2:26" s="185" customFormat="1">
      <c r="B123" s="88" t="s">
        <v>346</v>
      </c>
      <c r="C123" s="80" t="s">
        <v>347</v>
      </c>
      <c r="D123" s="80" t="s">
        <v>348</v>
      </c>
      <c r="E123" s="100"/>
      <c r="F123" s="101"/>
      <c r="G123" s="101"/>
      <c r="H123" s="88"/>
      <c r="I123" s="80"/>
      <c r="J123" s="80"/>
      <c r="K123" s="80"/>
      <c r="L123" s="80"/>
      <c r="M123" s="80"/>
      <c r="N123" s="80"/>
      <c r="O123" s="100"/>
      <c r="P123" s="101"/>
      <c r="Q123" s="101"/>
      <c r="R123" s="88"/>
      <c r="S123" s="80"/>
      <c r="T123" s="80"/>
      <c r="U123" s="80"/>
      <c r="V123" s="80"/>
      <c r="W123" s="80"/>
      <c r="X123" s="80"/>
      <c r="Y123" s="88"/>
      <c r="Z123" s="80"/>
    </row>
    <row r="124" spans="2:26" s="185" customFormat="1">
      <c r="B124" s="88" t="s">
        <v>349</v>
      </c>
      <c r="C124" s="80" t="s">
        <v>350</v>
      </c>
      <c r="D124" s="80" t="s">
        <v>351</v>
      </c>
      <c r="E124" s="100"/>
      <c r="F124" s="101"/>
      <c r="G124" s="101"/>
      <c r="H124" s="88"/>
      <c r="I124" s="80"/>
      <c r="J124" s="80"/>
      <c r="K124" s="80"/>
      <c r="L124" s="80"/>
      <c r="M124" s="80"/>
      <c r="N124" s="80"/>
      <c r="O124" s="100"/>
      <c r="P124" s="101"/>
      <c r="Q124" s="101"/>
      <c r="R124" s="88"/>
      <c r="S124" s="80"/>
      <c r="T124" s="80"/>
      <c r="U124" s="80"/>
      <c r="V124" s="80"/>
      <c r="W124" s="80"/>
      <c r="X124" s="80"/>
      <c r="Y124" s="88"/>
      <c r="Z124" s="80"/>
    </row>
    <row r="125" spans="2:26" s="185" customFormat="1">
      <c r="B125" s="88" t="s">
        <v>355</v>
      </c>
      <c r="C125" s="80" t="s">
        <v>356</v>
      </c>
      <c r="D125" s="80" t="s">
        <v>357</v>
      </c>
      <c r="E125" s="100"/>
      <c r="F125" s="101"/>
      <c r="G125" s="101"/>
      <c r="H125" s="88"/>
      <c r="I125" s="80"/>
      <c r="J125" s="80"/>
      <c r="K125" s="80"/>
      <c r="L125" s="80"/>
      <c r="M125" s="80"/>
      <c r="N125" s="80"/>
      <c r="O125" s="100"/>
      <c r="P125" s="101"/>
      <c r="Q125" s="101"/>
      <c r="R125" s="88"/>
      <c r="S125" s="80"/>
      <c r="T125" s="80"/>
      <c r="U125" s="80"/>
      <c r="V125" s="80"/>
      <c r="W125" s="80"/>
      <c r="X125" s="80"/>
      <c r="Y125" s="88"/>
      <c r="Z125" s="80"/>
    </row>
    <row r="126" spans="2:26" s="185" customFormat="1">
      <c r="B126" s="88" t="s">
        <v>360</v>
      </c>
      <c r="C126" s="80" t="s">
        <v>361</v>
      </c>
      <c r="D126" s="80" t="s">
        <v>362</v>
      </c>
      <c r="E126" s="100"/>
      <c r="F126" s="101"/>
      <c r="G126" s="101"/>
      <c r="H126" s="88"/>
      <c r="I126" s="80"/>
      <c r="J126" s="80"/>
      <c r="K126" s="80"/>
      <c r="L126" s="80"/>
      <c r="M126" s="80"/>
      <c r="N126" s="80"/>
      <c r="O126" s="100"/>
      <c r="P126" s="101"/>
      <c r="Q126" s="101"/>
      <c r="R126" s="88"/>
      <c r="S126" s="80"/>
      <c r="T126" s="80"/>
      <c r="U126" s="80"/>
      <c r="V126" s="80"/>
      <c r="W126" s="80"/>
      <c r="X126" s="80"/>
      <c r="Y126" s="88"/>
      <c r="Z126" s="80"/>
    </row>
    <row r="127" spans="2:26" s="185" customFormat="1">
      <c r="B127" s="88" t="s">
        <v>364</v>
      </c>
      <c r="C127" s="80" t="s">
        <v>365</v>
      </c>
      <c r="D127" s="80" t="s">
        <v>366</v>
      </c>
      <c r="E127" s="100"/>
      <c r="F127" s="101"/>
      <c r="G127" s="101"/>
      <c r="H127" s="88"/>
      <c r="I127" s="80"/>
      <c r="J127" s="80"/>
      <c r="K127" s="80"/>
      <c r="L127" s="80"/>
      <c r="M127" s="80"/>
      <c r="N127" s="80"/>
      <c r="O127" s="100"/>
      <c r="P127" s="101"/>
      <c r="Q127" s="101"/>
      <c r="R127" s="88"/>
      <c r="S127" s="80"/>
      <c r="T127" s="80"/>
      <c r="U127" s="80"/>
      <c r="V127" s="80"/>
      <c r="W127" s="80"/>
      <c r="X127" s="80"/>
      <c r="Y127" s="88"/>
      <c r="Z127" s="80"/>
    </row>
    <row r="128" spans="2:26" s="185" customFormat="1">
      <c r="B128" s="88" t="s">
        <v>369</v>
      </c>
      <c r="C128" s="80" t="s">
        <v>370</v>
      </c>
      <c r="D128" s="80" t="s">
        <v>371</v>
      </c>
      <c r="E128" s="100"/>
      <c r="F128" s="101"/>
      <c r="G128" s="101"/>
      <c r="H128" s="88"/>
      <c r="I128" s="80"/>
      <c r="J128" s="80"/>
      <c r="K128" s="80"/>
      <c r="L128" s="80"/>
      <c r="M128" s="80"/>
      <c r="N128" s="80"/>
      <c r="O128" s="100"/>
      <c r="P128" s="101"/>
      <c r="Q128" s="101"/>
      <c r="R128" s="88"/>
      <c r="S128" s="80"/>
      <c r="T128" s="80"/>
      <c r="U128" s="80"/>
      <c r="V128" s="80"/>
      <c r="W128" s="80"/>
      <c r="X128" s="80"/>
      <c r="Y128" s="88"/>
      <c r="Z128" s="80"/>
    </row>
    <row r="129" spans="2:26" s="185" customFormat="1">
      <c r="B129" s="88" t="s">
        <v>375</v>
      </c>
      <c r="C129" s="80" t="s">
        <v>376</v>
      </c>
      <c r="D129" s="80" t="s">
        <v>377</v>
      </c>
      <c r="E129" s="100"/>
      <c r="F129" s="101"/>
      <c r="G129" s="101"/>
      <c r="H129" s="88"/>
      <c r="I129" s="80"/>
      <c r="J129" s="80"/>
      <c r="K129" s="80"/>
      <c r="L129" s="80"/>
      <c r="M129" s="80"/>
      <c r="N129" s="80"/>
      <c r="O129" s="100"/>
      <c r="P129" s="101"/>
      <c r="Q129" s="101"/>
      <c r="R129" s="88"/>
      <c r="S129" s="80"/>
      <c r="T129" s="80"/>
      <c r="U129" s="80"/>
      <c r="V129" s="80"/>
      <c r="W129" s="80"/>
      <c r="X129" s="80"/>
      <c r="Y129" s="88"/>
      <c r="Z129" s="80"/>
    </row>
    <row r="130" spans="2:26" s="185" customFormat="1">
      <c r="B130" s="88" t="s">
        <v>379</v>
      </c>
      <c r="C130" s="80" t="s">
        <v>380</v>
      </c>
      <c r="D130" s="80" t="s">
        <v>381</v>
      </c>
      <c r="E130" s="100"/>
      <c r="F130" s="101"/>
      <c r="G130" s="101"/>
      <c r="H130" s="88"/>
      <c r="I130" s="80"/>
      <c r="J130" s="80"/>
      <c r="K130" s="80"/>
      <c r="L130" s="80"/>
      <c r="M130" s="80"/>
      <c r="N130" s="80"/>
      <c r="O130" s="100"/>
      <c r="P130" s="101"/>
      <c r="Q130" s="101"/>
      <c r="R130" s="88"/>
      <c r="S130" s="80"/>
      <c r="T130" s="80"/>
      <c r="U130" s="80"/>
      <c r="V130" s="80"/>
      <c r="W130" s="80"/>
      <c r="X130" s="80"/>
      <c r="Y130" s="88"/>
      <c r="Z130" s="80"/>
    </row>
    <row r="131" spans="2:26" s="185" customFormat="1">
      <c r="B131" s="88" t="s">
        <v>384</v>
      </c>
      <c r="C131" s="80" t="s">
        <v>385</v>
      </c>
      <c r="D131" s="80" t="s">
        <v>386</v>
      </c>
      <c r="E131" s="100"/>
      <c r="F131" s="101"/>
      <c r="G131" s="101"/>
      <c r="H131" s="88"/>
      <c r="I131" s="80"/>
      <c r="J131" s="80"/>
      <c r="K131" s="80"/>
      <c r="L131" s="80"/>
      <c r="M131" s="80"/>
      <c r="N131" s="80"/>
      <c r="O131" s="100"/>
      <c r="P131" s="101"/>
      <c r="Q131" s="101"/>
      <c r="R131" s="88"/>
      <c r="S131" s="80"/>
      <c r="T131" s="80"/>
      <c r="U131" s="80"/>
      <c r="V131" s="80"/>
      <c r="W131" s="80"/>
      <c r="X131" s="80"/>
      <c r="Y131" s="88"/>
      <c r="Z131" s="80"/>
    </row>
    <row r="132" spans="2:26" s="185" customFormat="1">
      <c r="B132" s="88" t="s">
        <v>388</v>
      </c>
      <c r="C132" s="80" t="s">
        <v>389</v>
      </c>
      <c r="D132" s="80" t="s">
        <v>390</v>
      </c>
      <c r="E132" s="100"/>
      <c r="F132" s="101"/>
      <c r="G132" s="101"/>
      <c r="H132" s="88"/>
      <c r="I132" s="80"/>
      <c r="J132" s="80"/>
      <c r="K132" s="80"/>
      <c r="L132" s="80"/>
      <c r="M132" s="80"/>
      <c r="N132" s="80"/>
      <c r="O132" s="100"/>
      <c r="P132" s="101"/>
      <c r="Q132" s="101"/>
      <c r="R132" s="88"/>
      <c r="S132" s="80"/>
      <c r="T132" s="80"/>
      <c r="U132" s="80"/>
      <c r="V132" s="80"/>
      <c r="W132" s="80"/>
      <c r="X132" s="80"/>
      <c r="Y132" s="88"/>
      <c r="Z132" s="80"/>
    </row>
    <row r="133" spans="2:26" s="185" customFormat="1">
      <c r="B133" s="88" t="s">
        <v>393</v>
      </c>
      <c r="C133" s="80" t="s">
        <v>394</v>
      </c>
      <c r="D133" s="80" t="s">
        <v>395</v>
      </c>
      <c r="E133" s="100"/>
      <c r="F133" s="101"/>
      <c r="G133" s="101"/>
      <c r="H133" s="88"/>
      <c r="I133" s="80"/>
      <c r="J133" s="80"/>
      <c r="K133" s="80"/>
      <c r="L133" s="80"/>
      <c r="M133" s="80"/>
      <c r="N133" s="80"/>
      <c r="O133" s="100"/>
      <c r="P133" s="101"/>
      <c r="Q133" s="101"/>
      <c r="R133" s="88"/>
      <c r="S133" s="80"/>
      <c r="T133" s="80"/>
      <c r="U133" s="80"/>
      <c r="V133" s="80"/>
      <c r="W133" s="80"/>
      <c r="X133" s="80"/>
      <c r="Y133" s="88"/>
      <c r="Z133" s="80"/>
    </row>
    <row r="134" spans="2:26" s="185" customFormat="1">
      <c r="B134" s="88" t="s">
        <v>398</v>
      </c>
      <c r="C134" s="80" t="s">
        <v>399</v>
      </c>
      <c r="D134" s="80" t="s">
        <v>400</v>
      </c>
      <c r="E134" s="100"/>
      <c r="F134" s="101"/>
      <c r="G134" s="101"/>
      <c r="H134" s="88"/>
      <c r="I134" s="80"/>
      <c r="J134" s="80"/>
      <c r="K134" s="80"/>
      <c r="L134" s="80"/>
      <c r="M134" s="80"/>
      <c r="N134" s="80"/>
      <c r="O134" s="100"/>
      <c r="P134" s="101"/>
      <c r="Q134" s="101"/>
      <c r="R134" s="88"/>
      <c r="S134" s="80"/>
      <c r="T134" s="80"/>
      <c r="U134" s="80"/>
      <c r="V134" s="80"/>
      <c r="W134" s="80"/>
      <c r="X134" s="80"/>
      <c r="Y134" s="88"/>
      <c r="Z134" s="80"/>
    </row>
    <row r="135" spans="2:26" s="185" customFormat="1">
      <c r="B135" s="88" t="s">
        <v>404</v>
      </c>
      <c r="C135" s="80" t="s">
        <v>405</v>
      </c>
      <c r="D135" s="80" t="s">
        <v>406</v>
      </c>
      <c r="E135" s="100"/>
      <c r="F135" s="101"/>
      <c r="G135" s="101"/>
      <c r="H135" s="88"/>
      <c r="I135" s="80"/>
      <c r="J135" s="80"/>
      <c r="K135" s="80"/>
      <c r="L135" s="80"/>
      <c r="M135" s="80"/>
      <c r="N135" s="80"/>
      <c r="O135" s="100"/>
      <c r="P135" s="101"/>
      <c r="Q135" s="101"/>
      <c r="R135" s="88"/>
      <c r="S135" s="80"/>
      <c r="T135" s="80"/>
      <c r="U135" s="80"/>
      <c r="V135" s="80"/>
      <c r="W135" s="80"/>
      <c r="X135" s="80"/>
      <c r="Y135" s="88"/>
      <c r="Z135" s="80"/>
    </row>
    <row r="136" spans="2:26" s="185" customFormat="1">
      <c r="B136" s="88" t="s">
        <v>408</v>
      </c>
      <c r="C136" s="80" t="s">
        <v>409</v>
      </c>
      <c r="D136" s="80" t="s">
        <v>410</v>
      </c>
      <c r="E136" s="100"/>
      <c r="F136" s="101"/>
      <c r="G136" s="101"/>
      <c r="H136" s="88"/>
      <c r="I136" s="80"/>
      <c r="J136" s="80"/>
      <c r="K136" s="80"/>
      <c r="L136" s="80"/>
      <c r="M136" s="80"/>
      <c r="N136" s="80"/>
      <c r="O136" s="100"/>
      <c r="P136" s="101"/>
      <c r="Q136" s="101"/>
      <c r="R136" s="88"/>
      <c r="S136" s="80"/>
      <c r="T136" s="80"/>
      <c r="U136" s="80"/>
      <c r="V136" s="80"/>
      <c r="W136" s="80"/>
      <c r="X136" s="80"/>
      <c r="Y136" s="88"/>
      <c r="Z136" s="80"/>
    </row>
    <row r="137" spans="2:26" s="185" customFormat="1">
      <c r="B137" s="88" t="s">
        <v>412</v>
      </c>
      <c r="C137" s="80" t="s">
        <v>413</v>
      </c>
      <c r="D137" s="80" t="s">
        <v>414</v>
      </c>
      <c r="E137" s="100"/>
      <c r="F137" s="101"/>
      <c r="G137" s="101"/>
      <c r="H137" s="88"/>
      <c r="I137" s="80"/>
      <c r="J137" s="80"/>
      <c r="K137" s="80"/>
      <c r="L137" s="80"/>
      <c r="M137" s="80"/>
      <c r="N137" s="80"/>
      <c r="O137" s="100"/>
      <c r="P137" s="101"/>
      <c r="Q137" s="101"/>
      <c r="R137" s="88"/>
      <c r="S137" s="80"/>
      <c r="T137" s="80"/>
      <c r="U137" s="80"/>
      <c r="V137" s="80"/>
      <c r="W137" s="80"/>
      <c r="X137" s="80"/>
      <c r="Y137" s="88"/>
      <c r="Z137" s="80"/>
    </row>
    <row r="138" spans="2:26" s="185" customFormat="1">
      <c r="B138" s="88" t="s">
        <v>417</v>
      </c>
      <c r="C138" s="80" t="s">
        <v>418</v>
      </c>
      <c r="D138" s="80" t="s">
        <v>419</v>
      </c>
      <c r="E138" s="100"/>
      <c r="F138" s="101"/>
      <c r="G138" s="101"/>
      <c r="H138" s="88"/>
      <c r="I138" s="80"/>
      <c r="J138" s="80"/>
      <c r="K138" s="80"/>
      <c r="L138" s="80"/>
      <c r="M138" s="80"/>
      <c r="N138" s="80"/>
      <c r="O138" s="100"/>
      <c r="P138" s="101"/>
      <c r="Q138" s="101"/>
      <c r="R138" s="88"/>
      <c r="S138" s="80"/>
      <c r="T138" s="80"/>
      <c r="U138" s="80"/>
      <c r="V138" s="80"/>
      <c r="W138" s="80"/>
      <c r="X138" s="80"/>
      <c r="Y138" s="88"/>
      <c r="Z138" s="80"/>
    </row>
    <row r="139" spans="2:26" s="185" customFormat="1">
      <c r="B139" s="88" t="s">
        <v>423</v>
      </c>
      <c r="C139" s="80" t="s">
        <v>424</v>
      </c>
      <c r="D139" s="80" t="s">
        <v>425</v>
      </c>
      <c r="E139" s="100"/>
      <c r="F139" s="101"/>
      <c r="G139" s="101"/>
      <c r="H139" s="88"/>
      <c r="I139" s="80"/>
      <c r="J139" s="80"/>
      <c r="K139" s="80"/>
      <c r="L139" s="80"/>
      <c r="M139" s="80"/>
      <c r="N139" s="80"/>
      <c r="O139" s="100"/>
      <c r="P139" s="101"/>
      <c r="Q139" s="101"/>
      <c r="R139" s="88"/>
      <c r="S139" s="80"/>
      <c r="T139" s="80"/>
      <c r="U139" s="80"/>
      <c r="V139" s="80"/>
      <c r="W139" s="80"/>
      <c r="X139" s="80"/>
      <c r="Y139" s="88"/>
      <c r="Z139" s="80"/>
    </row>
    <row r="140" spans="2:26" s="185" customFormat="1">
      <c r="B140" s="88" t="s">
        <v>427</v>
      </c>
      <c r="C140" s="80" t="s">
        <v>428</v>
      </c>
      <c r="D140" s="80" t="s">
        <v>429</v>
      </c>
      <c r="E140" s="100"/>
      <c r="F140" s="101"/>
      <c r="G140" s="101"/>
      <c r="H140" s="88"/>
      <c r="I140" s="80"/>
      <c r="J140" s="80"/>
      <c r="K140" s="80"/>
      <c r="L140" s="80"/>
      <c r="M140" s="80"/>
      <c r="N140" s="80"/>
      <c r="O140" s="100"/>
      <c r="P140" s="101"/>
      <c r="Q140" s="101"/>
      <c r="R140" s="88"/>
      <c r="S140" s="80"/>
      <c r="T140" s="80"/>
      <c r="U140" s="80"/>
      <c r="V140" s="80"/>
      <c r="W140" s="80"/>
      <c r="X140" s="80"/>
      <c r="Y140" s="88"/>
      <c r="Z140" s="80"/>
    </row>
    <row r="141" spans="2:26" s="185" customFormat="1">
      <c r="B141" s="88" t="s">
        <v>432</v>
      </c>
      <c r="C141" s="80" t="s">
        <v>433</v>
      </c>
      <c r="D141" s="80" t="s">
        <v>434</v>
      </c>
      <c r="E141" s="100"/>
      <c r="F141" s="101"/>
      <c r="G141" s="101"/>
      <c r="H141" s="88"/>
      <c r="I141" s="80"/>
      <c r="J141" s="80"/>
      <c r="K141" s="80"/>
      <c r="L141" s="80"/>
      <c r="M141" s="80"/>
      <c r="N141" s="80"/>
      <c r="O141" s="100"/>
      <c r="P141" s="101"/>
      <c r="Q141" s="101"/>
      <c r="R141" s="88"/>
      <c r="S141" s="80"/>
      <c r="T141" s="80"/>
      <c r="U141" s="80"/>
      <c r="V141" s="80"/>
      <c r="W141" s="80"/>
      <c r="X141" s="80"/>
      <c r="Y141" s="88"/>
      <c r="Z141" s="80"/>
    </row>
    <row r="142" spans="2:26" s="185" customFormat="1">
      <c r="B142" s="88" t="s">
        <v>436</v>
      </c>
      <c r="C142" s="80" t="s">
        <v>437</v>
      </c>
      <c r="D142" s="80" t="s">
        <v>438</v>
      </c>
      <c r="E142" s="100"/>
      <c r="F142" s="101"/>
      <c r="G142" s="101"/>
      <c r="H142" s="88"/>
      <c r="I142" s="80"/>
      <c r="J142" s="80"/>
      <c r="K142" s="80"/>
      <c r="L142" s="80"/>
      <c r="M142" s="80"/>
      <c r="N142" s="80"/>
      <c r="O142" s="100"/>
      <c r="P142" s="101"/>
      <c r="Q142" s="101"/>
      <c r="R142" s="88"/>
      <c r="S142" s="80"/>
      <c r="T142" s="80"/>
      <c r="U142" s="80"/>
      <c r="V142" s="80"/>
      <c r="W142" s="80"/>
      <c r="X142" s="80"/>
      <c r="Y142" s="88"/>
      <c r="Z142" s="80"/>
    </row>
    <row r="143" spans="2:26" s="185" customFormat="1">
      <c r="B143" s="88" t="s">
        <v>440</v>
      </c>
      <c r="C143" s="80" t="s">
        <v>441</v>
      </c>
      <c r="D143" s="80" t="s">
        <v>442</v>
      </c>
      <c r="E143" s="100"/>
      <c r="F143" s="101"/>
      <c r="G143" s="101"/>
      <c r="H143" s="88"/>
      <c r="I143" s="80"/>
      <c r="J143" s="80"/>
      <c r="K143" s="80"/>
      <c r="L143" s="80"/>
      <c r="M143" s="80"/>
      <c r="N143" s="80"/>
      <c r="O143" s="100"/>
      <c r="P143" s="101"/>
      <c r="Q143" s="101"/>
      <c r="R143" s="88"/>
      <c r="S143" s="80"/>
      <c r="T143" s="80"/>
      <c r="U143" s="80"/>
      <c r="V143" s="80"/>
      <c r="W143" s="80"/>
      <c r="X143" s="80"/>
      <c r="Y143" s="88"/>
      <c r="Z143" s="80"/>
    </row>
    <row r="144" spans="2:26" s="185" customFormat="1">
      <c r="B144" s="88" t="s">
        <v>444</v>
      </c>
      <c r="C144" s="80" t="s">
        <v>445</v>
      </c>
      <c r="D144" s="80" t="s">
        <v>446</v>
      </c>
      <c r="E144" s="100"/>
      <c r="F144" s="101"/>
      <c r="G144" s="101"/>
      <c r="H144" s="88"/>
      <c r="I144" s="80"/>
      <c r="J144" s="80"/>
      <c r="K144" s="80"/>
      <c r="L144" s="80"/>
      <c r="M144" s="80"/>
      <c r="N144" s="80"/>
      <c r="O144" s="100"/>
      <c r="P144" s="101"/>
      <c r="Q144" s="101"/>
      <c r="R144" s="88"/>
      <c r="S144" s="80"/>
      <c r="T144" s="80"/>
      <c r="U144" s="80"/>
      <c r="V144" s="80"/>
      <c r="W144" s="80"/>
      <c r="X144" s="80"/>
      <c r="Y144" s="88"/>
      <c r="Z144" s="80"/>
    </row>
    <row r="145" spans="2:26" s="185" customFormat="1">
      <c r="B145" s="88" t="s">
        <v>449</v>
      </c>
      <c r="C145" s="80" t="s">
        <v>450</v>
      </c>
      <c r="D145" s="80" t="s">
        <v>451</v>
      </c>
      <c r="E145" s="100"/>
      <c r="F145" s="101"/>
      <c r="G145" s="101"/>
      <c r="H145" s="88"/>
      <c r="I145" s="80"/>
      <c r="J145" s="80"/>
      <c r="K145" s="80"/>
      <c r="L145" s="80"/>
      <c r="M145" s="80"/>
      <c r="N145" s="80"/>
      <c r="O145" s="100"/>
      <c r="P145" s="101"/>
      <c r="Q145" s="101"/>
      <c r="R145" s="88"/>
      <c r="S145" s="80"/>
      <c r="T145" s="80"/>
      <c r="U145" s="80"/>
      <c r="V145" s="80"/>
      <c r="W145" s="80"/>
      <c r="X145" s="80"/>
      <c r="Y145" s="88"/>
      <c r="Z145" s="80"/>
    </row>
    <row r="146" spans="2:26" s="185" customFormat="1">
      <c r="B146" s="88" t="s">
        <v>453</v>
      </c>
      <c r="C146" s="80" t="s">
        <v>454</v>
      </c>
      <c r="D146" s="80" t="s">
        <v>455</v>
      </c>
      <c r="E146" s="100"/>
      <c r="F146" s="101"/>
      <c r="G146" s="101"/>
      <c r="H146" s="88"/>
      <c r="I146" s="80"/>
      <c r="J146" s="80"/>
      <c r="K146" s="80"/>
      <c r="L146" s="80"/>
      <c r="M146" s="80"/>
      <c r="N146" s="80"/>
      <c r="O146" s="100"/>
      <c r="P146" s="101"/>
      <c r="Q146" s="101"/>
      <c r="R146" s="88"/>
      <c r="S146" s="80"/>
      <c r="T146" s="80"/>
      <c r="U146" s="80"/>
      <c r="V146" s="80"/>
      <c r="W146" s="80"/>
      <c r="X146" s="80"/>
      <c r="Y146" s="88"/>
      <c r="Z146" s="80"/>
    </row>
    <row r="147" spans="2:26" s="185" customFormat="1">
      <c r="B147" s="88" t="s">
        <v>457</v>
      </c>
      <c r="C147" s="80" t="s">
        <v>458</v>
      </c>
      <c r="D147" s="80" t="s">
        <v>459</v>
      </c>
      <c r="E147" s="100"/>
      <c r="F147" s="101"/>
      <c r="G147" s="101"/>
      <c r="H147" s="88"/>
      <c r="I147" s="80"/>
      <c r="J147" s="80"/>
      <c r="K147" s="80"/>
      <c r="L147" s="80"/>
      <c r="M147" s="80"/>
      <c r="N147" s="80"/>
      <c r="O147" s="100"/>
      <c r="P147" s="101"/>
      <c r="Q147" s="101"/>
      <c r="R147" s="88"/>
      <c r="S147" s="80"/>
      <c r="T147" s="80"/>
      <c r="U147" s="80"/>
      <c r="V147" s="80"/>
      <c r="W147" s="80"/>
      <c r="X147" s="80"/>
      <c r="Y147" s="88"/>
      <c r="Z147" s="80"/>
    </row>
    <row r="148" spans="2:26" s="185" customFormat="1">
      <c r="B148" s="88" t="s">
        <v>461</v>
      </c>
      <c r="C148" s="80" t="s">
        <v>462</v>
      </c>
      <c r="D148" s="80" t="s">
        <v>463</v>
      </c>
      <c r="E148" s="100"/>
      <c r="F148" s="101"/>
      <c r="G148" s="101"/>
      <c r="H148" s="88"/>
      <c r="I148" s="80"/>
      <c r="J148" s="80"/>
      <c r="K148" s="80"/>
      <c r="L148" s="80"/>
      <c r="M148" s="80"/>
      <c r="N148" s="80"/>
      <c r="O148" s="100"/>
      <c r="P148" s="101"/>
      <c r="Q148" s="101"/>
      <c r="R148" s="88"/>
      <c r="S148" s="80"/>
      <c r="T148" s="80"/>
      <c r="U148" s="80"/>
      <c r="V148" s="80"/>
      <c r="W148" s="80"/>
      <c r="X148" s="80"/>
      <c r="Y148" s="88"/>
      <c r="Z148" s="80"/>
    </row>
    <row r="149" spans="2:26" s="185" customFormat="1">
      <c r="B149" s="88" t="s">
        <v>466</v>
      </c>
      <c r="C149" s="80" t="s">
        <v>467</v>
      </c>
      <c r="D149" s="80" t="s">
        <v>468</v>
      </c>
      <c r="E149" s="100"/>
      <c r="F149" s="101"/>
      <c r="G149" s="101"/>
      <c r="H149" s="88"/>
      <c r="I149" s="80"/>
      <c r="J149" s="80"/>
      <c r="K149" s="80"/>
      <c r="L149" s="80"/>
      <c r="M149" s="80"/>
      <c r="N149" s="80"/>
      <c r="O149" s="100"/>
      <c r="P149" s="101"/>
      <c r="Q149" s="101"/>
      <c r="R149" s="88"/>
      <c r="S149" s="80"/>
      <c r="T149" s="80"/>
      <c r="U149" s="80"/>
      <c r="V149" s="80"/>
      <c r="W149" s="80"/>
      <c r="X149" s="80"/>
      <c r="Y149" s="88"/>
      <c r="Z149" s="80"/>
    </row>
    <row r="150" spans="2:26" s="185" customFormat="1">
      <c r="B150" s="88" t="s">
        <v>471</v>
      </c>
      <c r="C150" s="80" t="s">
        <v>472</v>
      </c>
      <c r="D150" s="80" t="s">
        <v>473</v>
      </c>
      <c r="E150" s="100"/>
      <c r="F150" s="101"/>
      <c r="G150" s="101"/>
      <c r="H150" s="88"/>
      <c r="I150" s="80"/>
      <c r="J150" s="80"/>
      <c r="K150" s="80"/>
      <c r="L150" s="80"/>
      <c r="M150" s="80"/>
      <c r="N150" s="80"/>
      <c r="O150" s="100"/>
      <c r="P150" s="101"/>
      <c r="Q150" s="101"/>
      <c r="R150" s="88"/>
      <c r="S150" s="80"/>
      <c r="T150" s="80"/>
      <c r="U150" s="80"/>
      <c r="V150" s="80"/>
      <c r="W150" s="80"/>
      <c r="X150" s="80"/>
      <c r="Y150" s="88"/>
      <c r="Z150" s="80"/>
    </row>
    <row r="151" spans="2:26" s="185" customFormat="1">
      <c r="B151" s="88" t="s">
        <v>475</v>
      </c>
      <c r="C151" s="80" t="s">
        <v>476</v>
      </c>
      <c r="D151" s="80" t="s">
        <v>477</v>
      </c>
      <c r="E151" s="100"/>
      <c r="F151" s="101"/>
      <c r="G151" s="101"/>
      <c r="H151" s="88"/>
      <c r="I151" s="80"/>
      <c r="J151" s="80"/>
      <c r="K151" s="80"/>
      <c r="L151" s="80"/>
      <c r="M151" s="80"/>
      <c r="N151" s="80"/>
      <c r="O151" s="100"/>
      <c r="P151" s="101"/>
      <c r="Q151" s="101"/>
      <c r="R151" s="88"/>
      <c r="S151" s="80"/>
      <c r="T151" s="80"/>
      <c r="U151" s="80"/>
      <c r="V151" s="80"/>
      <c r="W151" s="80"/>
      <c r="X151" s="80"/>
      <c r="Y151" s="88"/>
      <c r="Z151" s="80"/>
    </row>
    <row r="152" spans="2:26" s="185" customFormat="1">
      <c r="B152" s="88" t="s">
        <v>480</v>
      </c>
      <c r="C152" s="80" t="s">
        <v>481</v>
      </c>
      <c r="D152" s="80" t="s">
        <v>482</v>
      </c>
      <c r="E152" s="100"/>
      <c r="F152" s="101"/>
      <c r="G152" s="101"/>
      <c r="H152" s="88"/>
      <c r="I152" s="80"/>
      <c r="J152" s="80"/>
      <c r="K152" s="80"/>
      <c r="L152" s="80"/>
      <c r="M152" s="80"/>
      <c r="N152" s="80"/>
      <c r="O152" s="100"/>
      <c r="P152" s="101"/>
      <c r="Q152" s="101"/>
      <c r="R152" s="88"/>
      <c r="S152" s="80"/>
      <c r="T152" s="80"/>
      <c r="U152" s="80"/>
      <c r="V152" s="80"/>
      <c r="W152" s="80"/>
      <c r="X152" s="80"/>
      <c r="Y152" s="88"/>
      <c r="Z152" s="80"/>
    </row>
    <row r="153" spans="2:26" s="185" customFormat="1">
      <c r="B153" s="88" t="s">
        <v>485</v>
      </c>
      <c r="C153" s="80" t="s">
        <v>486</v>
      </c>
      <c r="D153" s="80" t="s">
        <v>487</v>
      </c>
      <c r="E153" s="100"/>
      <c r="F153" s="101"/>
      <c r="G153" s="101"/>
      <c r="H153" s="88"/>
      <c r="I153" s="80"/>
      <c r="J153" s="80"/>
      <c r="K153" s="80"/>
      <c r="L153" s="80"/>
      <c r="M153" s="80"/>
      <c r="N153" s="80"/>
      <c r="O153" s="100"/>
      <c r="P153" s="101"/>
      <c r="Q153" s="101"/>
      <c r="R153" s="88"/>
      <c r="S153" s="80"/>
      <c r="T153" s="80"/>
      <c r="U153" s="80"/>
      <c r="V153" s="80"/>
      <c r="W153" s="80"/>
      <c r="X153" s="80"/>
      <c r="Y153" s="88"/>
      <c r="Z153" s="80"/>
    </row>
    <row r="154" spans="2:26" s="185" customFormat="1">
      <c r="B154" s="88" t="s">
        <v>490</v>
      </c>
      <c r="C154" s="80" t="s">
        <v>491</v>
      </c>
      <c r="D154" s="80" t="s">
        <v>492</v>
      </c>
      <c r="E154" s="100"/>
      <c r="F154" s="101"/>
      <c r="G154" s="101"/>
      <c r="H154" s="88"/>
      <c r="I154" s="80"/>
      <c r="J154" s="80"/>
      <c r="K154" s="80"/>
      <c r="L154" s="80"/>
      <c r="M154" s="80"/>
      <c r="N154" s="80"/>
      <c r="O154" s="100"/>
      <c r="P154" s="101"/>
      <c r="Q154" s="101"/>
      <c r="R154" s="88"/>
      <c r="S154" s="80"/>
      <c r="T154" s="80"/>
      <c r="U154" s="80"/>
      <c r="V154" s="80"/>
      <c r="W154" s="80"/>
      <c r="X154" s="80"/>
      <c r="Y154" s="88"/>
      <c r="Z154" s="80"/>
    </row>
    <row r="155" spans="2:26" s="185" customFormat="1">
      <c r="B155" s="88" t="s">
        <v>495</v>
      </c>
      <c r="C155" s="80" t="s">
        <v>496</v>
      </c>
      <c r="D155" s="80" t="s">
        <v>497</v>
      </c>
      <c r="E155" s="100"/>
      <c r="F155" s="101"/>
      <c r="G155" s="101"/>
      <c r="H155" s="88"/>
      <c r="I155" s="80"/>
      <c r="J155" s="80"/>
      <c r="K155" s="80"/>
      <c r="L155" s="80"/>
      <c r="M155" s="80"/>
      <c r="N155" s="80"/>
      <c r="O155" s="100"/>
      <c r="P155" s="101"/>
      <c r="Q155" s="101"/>
      <c r="R155" s="88"/>
      <c r="S155" s="80"/>
      <c r="T155" s="80"/>
      <c r="U155" s="80"/>
      <c r="V155" s="80"/>
      <c r="W155" s="80"/>
      <c r="X155" s="80"/>
      <c r="Y155" s="88"/>
      <c r="Z155" s="80"/>
    </row>
    <row r="156" spans="2:26" s="185" customFormat="1">
      <c r="B156" s="88" t="s">
        <v>500</v>
      </c>
      <c r="C156" s="80" t="s">
        <v>501</v>
      </c>
      <c r="D156" s="80" t="s">
        <v>502</v>
      </c>
      <c r="E156" s="100"/>
      <c r="F156" s="101"/>
      <c r="G156" s="101"/>
      <c r="H156" s="88"/>
      <c r="I156" s="80"/>
      <c r="J156" s="80"/>
      <c r="K156" s="80"/>
      <c r="L156" s="80"/>
      <c r="M156" s="80"/>
      <c r="N156" s="80"/>
      <c r="O156" s="100"/>
      <c r="P156" s="101"/>
      <c r="Q156" s="101"/>
      <c r="R156" s="88"/>
      <c r="S156" s="80"/>
      <c r="T156" s="80"/>
      <c r="U156" s="80"/>
      <c r="V156" s="80"/>
      <c r="W156" s="80"/>
      <c r="X156" s="80"/>
      <c r="Y156" s="88"/>
      <c r="Z156" s="80"/>
    </row>
    <row r="157" spans="2:26" s="185" customFormat="1">
      <c r="B157" s="88" t="s">
        <v>505</v>
      </c>
      <c r="C157" s="80" t="s">
        <v>506</v>
      </c>
      <c r="D157" s="80" t="s">
        <v>507</v>
      </c>
      <c r="E157" s="100"/>
      <c r="F157" s="101"/>
      <c r="G157" s="101"/>
      <c r="H157" s="88"/>
      <c r="I157" s="80"/>
      <c r="J157" s="80"/>
      <c r="K157" s="80"/>
      <c r="L157" s="80"/>
      <c r="M157" s="80"/>
      <c r="N157" s="80"/>
      <c r="O157" s="100"/>
      <c r="P157" s="101"/>
      <c r="Q157" s="101"/>
      <c r="R157" s="88"/>
      <c r="S157" s="80"/>
      <c r="T157" s="80"/>
      <c r="U157" s="80"/>
      <c r="V157" s="80"/>
      <c r="W157" s="80"/>
      <c r="X157" s="80"/>
      <c r="Y157" s="88"/>
      <c r="Z157" s="80"/>
    </row>
    <row r="158" spans="2:26" s="185" customFormat="1">
      <c r="B158" s="88" t="s">
        <v>509</v>
      </c>
      <c r="C158" s="80" t="s">
        <v>510</v>
      </c>
      <c r="D158" s="80" t="s">
        <v>511</v>
      </c>
      <c r="E158" s="100"/>
      <c r="F158" s="101"/>
      <c r="G158" s="101"/>
      <c r="H158" s="88"/>
      <c r="I158" s="80"/>
      <c r="J158" s="80"/>
      <c r="K158" s="80"/>
      <c r="L158" s="80"/>
      <c r="M158" s="80"/>
      <c r="N158" s="80"/>
      <c r="O158" s="100"/>
      <c r="P158" s="101"/>
      <c r="Q158" s="101"/>
      <c r="R158" s="88"/>
      <c r="S158" s="80"/>
      <c r="T158" s="80"/>
      <c r="U158" s="80"/>
      <c r="V158" s="80"/>
      <c r="W158" s="80"/>
      <c r="X158" s="80"/>
      <c r="Y158" s="88"/>
      <c r="Z158" s="80"/>
    </row>
    <row r="159" spans="2:26" s="185" customFormat="1">
      <c r="B159" s="88" t="s">
        <v>513</v>
      </c>
      <c r="C159" s="80" t="s">
        <v>514</v>
      </c>
      <c r="D159" s="80" t="s">
        <v>515</v>
      </c>
      <c r="E159" s="100"/>
      <c r="F159" s="101"/>
      <c r="G159" s="101"/>
      <c r="H159" s="88"/>
      <c r="I159" s="80"/>
      <c r="J159" s="80"/>
      <c r="K159" s="80"/>
      <c r="L159" s="80"/>
      <c r="M159" s="80"/>
      <c r="N159" s="80"/>
      <c r="O159" s="100"/>
      <c r="P159" s="101"/>
      <c r="Q159" s="101"/>
      <c r="R159" s="88"/>
      <c r="S159" s="80"/>
      <c r="T159" s="80"/>
      <c r="U159" s="80"/>
      <c r="V159" s="80"/>
      <c r="W159" s="80"/>
      <c r="X159" s="80"/>
      <c r="Y159" s="88"/>
      <c r="Z159" s="80"/>
    </row>
    <row r="160" spans="2:26" s="185" customFormat="1">
      <c r="B160" s="88" t="s">
        <v>517</v>
      </c>
      <c r="C160" s="80" t="s">
        <v>518</v>
      </c>
      <c r="D160" s="80" t="s">
        <v>519</v>
      </c>
      <c r="E160" s="100"/>
      <c r="F160" s="101"/>
      <c r="G160" s="101"/>
      <c r="H160" s="88"/>
      <c r="I160" s="80"/>
      <c r="J160" s="80"/>
      <c r="K160" s="80"/>
      <c r="L160" s="80"/>
      <c r="M160" s="80"/>
      <c r="N160" s="80"/>
      <c r="O160" s="100"/>
      <c r="P160" s="101"/>
      <c r="Q160" s="101"/>
      <c r="R160" s="88"/>
      <c r="S160" s="80"/>
      <c r="T160" s="80"/>
      <c r="U160" s="80"/>
      <c r="V160" s="80"/>
      <c r="W160" s="80"/>
      <c r="X160" s="80"/>
      <c r="Y160" s="88"/>
      <c r="Z160" s="80"/>
    </row>
    <row r="161" spans="2:36" s="185" customFormat="1">
      <c r="B161" s="88" t="s">
        <v>522</v>
      </c>
      <c r="C161" s="80" t="s">
        <v>523</v>
      </c>
      <c r="D161" s="80" t="s">
        <v>524</v>
      </c>
      <c r="E161" s="100"/>
      <c r="F161" s="101"/>
      <c r="G161" s="101"/>
      <c r="H161" s="88"/>
      <c r="I161" s="80"/>
      <c r="J161" s="80"/>
      <c r="K161" s="80"/>
      <c r="L161" s="80"/>
      <c r="M161" s="80"/>
      <c r="N161" s="80"/>
      <c r="O161" s="100"/>
      <c r="P161" s="101"/>
      <c r="Q161" s="101"/>
      <c r="R161" s="88"/>
      <c r="S161" s="80"/>
      <c r="T161" s="80"/>
      <c r="U161" s="80"/>
      <c r="V161" s="80"/>
      <c r="W161" s="80"/>
      <c r="X161" s="80"/>
      <c r="Y161" s="88"/>
      <c r="Z161" s="80"/>
    </row>
    <row r="162" spans="2:36" s="185" customFormat="1">
      <c r="B162" s="88" t="s">
        <v>527</v>
      </c>
      <c r="C162" s="80" t="s">
        <v>528</v>
      </c>
      <c r="D162" s="80" t="s">
        <v>529</v>
      </c>
      <c r="E162" s="100"/>
      <c r="F162" s="101"/>
      <c r="G162" s="101"/>
      <c r="H162" s="88"/>
      <c r="I162" s="80"/>
      <c r="J162" s="80"/>
      <c r="K162" s="80"/>
      <c r="L162" s="80"/>
      <c r="M162" s="80"/>
      <c r="N162" s="80"/>
      <c r="O162" s="100"/>
      <c r="P162" s="101"/>
      <c r="Q162" s="101"/>
      <c r="R162" s="88"/>
      <c r="S162" s="80"/>
      <c r="T162" s="80"/>
      <c r="U162" s="80"/>
      <c r="V162" s="80"/>
      <c r="W162" s="80"/>
      <c r="X162" s="80"/>
      <c r="Y162" s="88"/>
      <c r="Z162" s="80"/>
    </row>
    <row r="163" spans="2:36" s="185" customFormat="1">
      <c r="B163" s="88" t="s">
        <v>531</v>
      </c>
      <c r="C163" s="80" t="s">
        <v>532</v>
      </c>
      <c r="D163" s="80" t="s">
        <v>533</v>
      </c>
      <c r="E163" s="100"/>
      <c r="F163" s="101"/>
      <c r="G163" s="101"/>
      <c r="H163" s="88"/>
      <c r="I163" s="80"/>
      <c r="J163" s="80"/>
      <c r="K163" s="80"/>
      <c r="L163" s="80"/>
      <c r="M163" s="80"/>
      <c r="N163" s="80"/>
      <c r="O163" s="100"/>
      <c r="P163" s="101"/>
      <c r="Q163" s="101"/>
      <c r="R163" s="88"/>
      <c r="S163" s="80"/>
      <c r="T163" s="80"/>
      <c r="U163" s="80"/>
      <c r="V163" s="80"/>
      <c r="W163" s="80"/>
      <c r="X163" s="80"/>
      <c r="Y163" s="88"/>
      <c r="Z163" s="80"/>
    </row>
    <row r="164" spans="2:36" s="185" customFormat="1">
      <c r="B164" s="88" t="s">
        <v>535</v>
      </c>
      <c r="C164" s="80" t="s">
        <v>536</v>
      </c>
      <c r="D164" s="80" t="s">
        <v>537</v>
      </c>
      <c r="E164" s="100"/>
      <c r="F164" s="101"/>
      <c r="G164" s="101"/>
      <c r="H164" s="88"/>
      <c r="I164" s="80"/>
      <c r="J164" s="80"/>
      <c r="K164" s="80"/>
      <c r="L164" s="80"/>
      <c r="M164" s="80"/>
      <c r="N164" s="80"/>
      <c r="O164" s="100"/>
      <c r="P164" s="101"/>
      <c r="Q164" s="101"/>
      <c r="R164" s="88"/>
      <c r="S164" s="80"/>
      <c r="T164" s="80"/>
      <c r="U164" s="80"/>
      <c r="V164" s="80"/>
      <c r="W164" s="80"/>
      <c r="X164" s="80"/>
      <c r="Y164" s="88"/>
      <c r="Z164" s="80"/>
    </row>
    <row r="165" spans="2:36" s="185" customFormat="1">
      <c r="B165" s="88" t="s">
        <v>539</v>
      </c>
      <c r="C165" s="80" t="s">
        <v>540</v>
      </c>
      <c r="D165" s="80" t="s">
        <v>541</v>
      </c>
      <c r="E165" s="100"/>
      <c r="F165" s="101"/>
      <c r="G165" s="101"/>
      <c r="H165" s="88"/>
      <c r="I165" s="80"/>
      <c r="J165" s="80"/>
      <c r="K165" s="80"/>
      <c r="L165" s="80"/>
      <c r="M165" s="80"/>
      <c r="N165" s="80"/>
      <c r="O165" s="100"/>
      <c r="P165" s="101"/>
      <c r="Q165" s="101"/>
      <c r="R165" s="88"/>
      <c r="S165" s="80"/>
      <c r="T165" s="80"/>
      <c r="U165" s="80"/>
      <c r="V165" s="80"/>
      <c r="W165" s="80"/>
      <c r="X165" s="80"/>
      <c r="Y165" s="88"/>
      <c r="Z165" s="80"/>
    </row>
    <row r="166" spans="2:36" s="185" customFormat="1">
      <c r="B166" s="88" t="s">
        <v>543</v>
      </c>
      <c r="C166" s="80" t="s">
        <v>544</v>
      </c>
      <c r="D166" s="80" t="s">
        <v>545</v>
      </c>
      <c r="E166" s="100"/>
      <c r="F166" s="101"/>
      <c r="G166" s="101"/>
      <c r="H166" s="88"/>
      <c r="I166" s="80"/>
      <c r="J166" s="80"/>
      <c r="K166" s="80"/>
      <c r="L166" s="80"/>
      <c r="M166" s="80"/>
      <c r="N166" s="80"/>
      <c r="O166" s="100"/>
      <c r="P166" s="101"/>
      <c r="Q166" s="101"/>
      <c r="R166" s="88"/>
      <c r="S166" s="80"/>
      <c r="T166" s="80"/>
      <c r="U166" s="80"/>
      <c r="V166" s="80"/>
      <c r="W166" s="80"/>
      <c r="X166" s="80"/>
      <c r="Y166" s="88"/>
      <c r="Z166" s="80"/>
    </row>
    <row r="167" spans="2:36" s="185" customFormat="1">
      <c r="B167" s="88" t="s">
        <v>547</v>
      </c>
      <c r="C167" s="80" t="s">
        <v>548</v>
      </c>
      <c r="D167" s="80" t="s">
        <v>549</v>
      </c>
      <c r="E167" s="100"/>
      <c r="F167" s="101"/>
      <c r="G167" s="101"/>
      <c r="H167" s="88"/>
      <c r="I167" s="80"/>
      <c r="J167" s="80"/>
      <c r="K167" s="80"/>
      <c r="L167" s="80"/>
      <c r="M167" s="80"/>
      <c r="N167" s="80"/>
      <c r="O167" s="100"/>
      <c r="P167" s="101"/>
      <c r="Q167" s="101"/>
      <c r="R167" s="88"/>
      <c r="S167" s="80"/>
      <c r="T167" s="80"/>
      <c r="U167" s="80"/>
      <c r="V167" s="80"/>
      <c r="W167" s="80"/>
      <c r="X167" s="80"/>
      <c r="Y167" s="88"/>
      <c r="Z167" s="80"/>
    </row>
    <row r="168" spans="2:36" s="185" customFormat="1">
      <c r="B168" s="88" t="s">
        <v>552</v>
      </c>
      <c r="C168" s="80" t="s">
        <v>553</v>
      </c>
      <c r="D168" s="80" t="s">
        <v>554</v>
      </c>
      <c r="E168" s="100"/>
      <c r="F168" s="101"/>
      <c r="G168" s="101"/>
      <c r="H168" s="88"/>
      <c r="I168" s="80"/>
      <c r="J168" s="80"/>
      <c r="K168" s="80"/>
      <c r="L168" s="80"/>
      <c r="M168" s="80"/>
      <c r="N168" s="80"/>
      <c r="O168" s="100"/>
      <c r="P168" s="101"/>
      <c r="Q168" s="101"/>
      <c r="R168" s="88"/>
      <c r="S168" s="80"/>
      <c r="T168" s="80"/>
      <c r="U168" s="80"/>
      <c r="V168" s="80"/>
      <c r="W168" s="80"/>
      <c r="X168" s="80"/>
      <c r="Y168" s="88"/>
      <c r="Z168" s="80"/>
    </row>
    <row r="169" spans="2:36" s="185" customFormat="1">
      <c r="B169" s="88" t="s">
        <v>556</v>
      </c>
      <c r="C169" s="80" t="s">
        <v>557</v>
      </c>
      <c r="D169" s="80" t="s">
        <v>558</v>
      </c>
      <c r="E169" s="100"/>
      <c r="F169" s="101"/>
      <c r="G169" s="101"/>
      <c r="H169" s="88"/>
      <c r="I169" s="80"/>
      <c r="J169" s="80"/>
      <c r="K169" s="80"/>
      <c r="L169" s="80"/>
      <c r="M169" s="80"/>
      <c r="N169" s="80"/>
      <c r="O169" s="100"/>
      <c r="P169" s="101"/>
      <c r="Q169" s="101"/>
      <c r="R169" s="88"/>
      <c r="S169" s="80"/>
      <c r="T169" s="80"/>
      <c r="U169" s="80"/>
      <c r="V169" s="80"/>
      <c r="W169" s="80"/>
      <c r="X169" s="80"/>
      <c r="Y169" s="88"/>
      <c r="Z169" s="80"/>
    </row>
    <row r="170" spans="2:36" s="185" customFormat="1">
      <c r="B170" s="88" t="s">
        <v>561</v>
      </c>
      <c r="C170" s="80" t="s">
        <v>562</v>
      </c>
      <c r="D170" s="80" t="s">
        <v>563</v>
      </c>
      <c r="E170" s="100"/>
      <c r="F170" s="101"/>
      <c r="G170" s="101"/>
      <c r="H170" s="88"/>
      <c r="I170" s="80"/>
      <c r="J170" s="80"/>
      <c r="K170" s="80"/>
      <c r="L170" s="80"/>
      <c r="M170" s="80"/>
      <c r="N170" s="80"/>
      <c r="O170" s="100"/>
      <c r="P170" s="101"/>
      <c r="Q170" s="101"/>
      <c r="R170" s="88"/>
      <c r="S170" s="80"/>
      <c r="T170" s="80"/>
      <c r="U170" s="80"/>
      <c r="V170" s="80"/>
      <c r="W170" s="80"/>
      <c r="X170" s="80"/>
      <c r="Y170" s="88"/>
      <c r="Z170" s="80"/>
    </row>
    <row r="171" spans="2:36" s="185" customFormat="1">
      <c r="B171" s="88" t="s">
        <v>564</v>
      </c>
      <c r="C171" s="80" t="s">
        <v>565</v>
      </c>
      <c r="D171" s="80" t="s">
        <v>566</v>
      </c>
      <c r="E171" s="100"/>
      <c r="F171" s="101"/>
      <c r="G171" s="101"/>
      <c r="H171" s="88"/>
      <c r="I171" s="80"/>
      <c r="J171" s="80"/>
      <c r="K171" s="80"/>
      <c r="L171" s="80"/>
      <c r="M171" s="80"/>
      <c r="N171" s="80"/>
      <c r="O171" s="100"/>
      <c r="P171" s="101"/>
      <c r="Q171" s="101"/>
      <c r="R171" s="88"/>
      <c r="S171" s="80"/>
      <c r="T171" s="80"/>
      <c r="U171" s="80"/>
      <c r="V171" s="80"/>
      <c r="W171" s="80"/>
      <c r="X171" s="80"/>
      <c r="Y171" s="88"/>
      <c r="Z171" s="80"/>
    </row>
    <row r="172" spans="2:36" s="185" customFormat="1"/>
    <row r="173" spans="2:36" s="185" customFormat="1"/>
    <row r="174" spans="2:36" s="75" customFormat="1" ht="17.399999999999999">
      <c r="B174" s="113" t="s">
        <v>2593</v>
      </c>
      <c r="C174" s="113"/>
      <c r="D174" s="113"/>
      <c r="E174" s="113"/>
      <c r="F174" s="113"/>
      <c r="G174" s="113"/>
      <c r="H174" s="113"/>
      <c r="I174" s="113"/>
      <c r="J174" s="113"/>
      <c r="K174" s="113"/>
      <c r="L174" s="113"/>
      <c r="M174" s="113"/>
      <c r="N174" s="113"/>
      <c r="O174" s="113"/>
      <c r="P174" s="113"/>
      <c r="Q174" s="113"/>
      <c r="R174" s="113"/>
      <c r="S174" s="113"/>
      <c r="T174" s="113"/>
      <c r="AA174" s="185"/>
      <c r="AB174" s="185"/>
      <c r="AC174" s="185"/>
      <c r="AD174" s="185"/>
      <c r="AE174" s="185"/>
      <c r="AF174" s="185"/>
      <c r="AG174" s="185"/>
      <c r="AH174" s="185"/>
      <c r="AI174" s="185"/>
      <c r="AJ174" s="185"/>
    </row>
    <row r="175" spans="2:36" s="75" customFormat="1">
      <c r="B175" s="95" t="s">
        <v>312</v>
      </c>
      <c r="C175" s="99" t="s">
        <v>2594</v>
      </c>
      <c r="D175" s="99"/>
      <c r="E175" s="99"/>
      <c r="F175" s="99"/>
      <c r="G175" s="99"/>
      <c r="H175" s="99"/>
      <c r="I175" s="99"/>
      <c r="J175" s="99"/>
      <c r="K175" s="99"/>
      <c r="L175" s="99"/>
      <c r="M175" s="99"/>
      <c r="N175" s="99"/>
      <c r="O175" s="99"/>
      <c r="P175" s="99"/>
      <c r="Q175" s="99"/>
      <c r="R175" s="99"/>
      <c r="S175" s="99"/>
      <c r="T175" s="99"/>
      <c r="AA175" s="185"/>
      <c r="AB175" s="185"/>
      <c r="AC175" s="185"/>
      <c r="AD175" s="185"/>
      <c r="AE175" s="185"/>
      <c r="AF175" s="185"/>
      <c r="AG175" s="185"/>
      <c r="AH175" s="185"/>
      <c r="AI175" s="185"/>
      <c r="AJ175" s="185"/>
    </row>
    <row r="176" spans="2:36" s="75" customFormat="1">
      <c r="D176" s="99"/>
      <c r="E176" s="99"/>
      <c r="F176" s="99"/>
      <c r="G176" s="99"/>
      <c r="H176" s="99"/>
      <c r="I176" s="99"/>
      <c r="J176" s="99"/>
      <c r="K176" s="99"/>
      <c r="L176" s="99"/>
      <c r="M176" s="99"/>
      <c r="N176" s="99"/>
      <c r="O176" s="99"/>
      <c r="P176" s="99"/>
      <c r="Q176" s="99"/>
      <c r="R176" s="99"/>
      <c r="S176" s="99"/>
      <c r="T176" s="99"/>
      <c r="AA176" s="185"/>
      <c r="AB176" s="185"/>
      <c r="AC176" s="185"/>
      <c r="AD176" s="185"/>
      <c r="AE176" s="185"/>
      <c r="AF176" s="185"/>
      <c r="AG176" s="185"/>
      <c r="AH176" s="185"/>
      <c r="AI176" s="185"/>
      <c r="AJ176" s="185"/>
    </row>
    <row r="177" spans="2:36" s="75" customFormat="1" ht="17.399999999999999">
      <c r="B177" s="113" t="s">
        <v>1635</v>
      </c>
      <c r="C177" s="113"/>
      <c r="D177" s="113"/>
      <c r="E177" s="113"/>
      <c r="F177" s="113"/>
      <c r="G177" s="113"/>
      <c r="H177" s="113"/>
      <c r="I177" s="113"/>
      <c r="J177" s="113"/>
      <c r="K177" s="113"/>
      <c r="L177" s="113"/>
      <c r="M177" s="113"/>
      <c r="N177" s="113"/>
      <c r="O177" s="113"/>
      <c r="P177" s="113"/>
      <c r="Q177" s="113"/>
      <c r="R177" s="113"/>
      <c r="S177" s="113"/>
      <c r="T177" s="113"/>
    </row>
    <row r="178" spans="2:36" s="75" customFormat="1">
      <c r="B178" s="92" t="s">
        <v>1614</v>
      </c>
      <c r="C178" s="92" t="s">
        <v>311</v>
      </c>
      <c r="D178" s="92" t="s">
        <v>1293</v>
      </c>
      <c r="E178" s="102" t="s">
        <v>1636</v>
      </c>
      <c r="F178" s="103" t="s">
        <v>1637</v>
      </c>
      <c r="G178" s="103" t="s">
        <v>1647</v>
      </c>
      <c r="H178" s="92" t="s">
        <v>1502</v>
      </c>
      <c r="I178" s="92" t="s">
        <v>1487</v>
      </c>
      <c r="J178" s="92" t="s">
        <v>1469</v>
      </c>
      <c r="K178" s="92" t="s">
        <v>1488</v>
      </c>
      <c r="L178" s="92" t="s">
        <v>1500</v>
      </c>
      <c r="M178" s="92" t="s">
        <v>1489</v>
      </c>
      <c r="N178" s="92" t="s">
        <v>1490</v>
      </c>
      <c r="O178" s="102" t="s">
        <v>1638</v>
      </c>
      <c r="P178" s="103" t="s">
        <v>1639</v>
      </c>
      <c r="Q178" s="103" t="s">
        <v>1648</v>
      </c>
      <c r="R178" s="92" t="s">
        <v>1503</v>
      </c>
      <c r="S178" s="92" t="s">
        <v>1491</v>
      </c>
      <c r="T178" s="92" t="s">
        <v>1470</v>
      </c>
      <c r="U178" s="92" t="s">
        <v>1492</v>
      </c>
      <c r="V178" s="92" t="s">
        <v>1501</v>
      </c>
      <c r="W178" s="92" t="s">
        <v>1493</v>
      </c>
      <c r="X178" s="92" t="s">
        <v>1494</v>
      </c>
      <c r="Y178" s="92" t="s">
        <v>1495</v>
      </c>
      <c r="Z178" s="92" t="s">
        <v>1496</v>
      </c>
    </row>
    <row r="179" spans="2:36" s="75" customFormat="1">
      <c r="B179" s="88"/>
      <c r="C179" s="80"/>
      <c r="D179" s="80"/>
      <c r="E179" s="100"/>
      <c r="F179" s="101"/>
      <c r="G179" s="101"/>
      <c r="H179" s="88"/>
      <c r="I179" s="80"/>
      <c r="J179" s="80"/>
      <c r="K179" s="80"/>
      <c r="L179" s="80"/>
      <c r="M179" s="80"/>
      <c r="N179" s="80"/>
      <c r="O179" s="100"/>
      <c r="P179" s="101"/>
      <c r="Q179" s="101"/>
      <c r="R179" s="88"/>
      <c r="S179" s="80"/>
      <c r="T179" s="80"/>
      <c r="U179" s="80"/>
      <c r="V179" s="80"/>
      <c r="W179" s="80"/>
      <c r="X179" s="80"/>
      <c r="Y179" s="88"/>
      <c r="Z179" s="80"/>
    </row>
    <row r="180" spans="2:36">
      <c r="B180" s="88"/>
      <c r="C180" s="80"/>
      <c r="D180" s="80"/>
      <c r="E180" s="100"/>
      <c r="F180" s="101"/>
      <c r="G180" s="101"/>
      <c r="H180" s="88"/>
      <c r="I180" s="80"/>
      <c r="J180" s="80"/>
      <c r="K180" s="80"/>
      <c r="L180" s="80"/>
      <c r="M180" s="80"/>
      <c r="N180" s="80"/>
      <c r="O180" s="100"/>
      <c r="P180" s="101"/>
      <c r="Q180" s="101"/>
      <c r="R180" s="88"/>
      <c r="S180" s="80"/>
      <c r="T180" s="80"/>
      <c r="U180" s="80"/>
      <c r="V180" s="80"/>
      <c r="W180" s="80"/>
      <c r="X180" s="80"/>
      <c r="Y180" s="88"/>
      <c r="Z180" s="80"/>
      <c r="AA180" s="75"/>
      <c r="AB180" s="75"/>
      <c r="AC180" s="75"/>
      <c r="AD180" s="75"/>
      <c r="AE180" s="75"/>
      <c r="AF180" s="75"/>
      <c r="AG180" s="75"/>
      <c r="AH180" s="75"/>
      <c r="AI180" s="75"/>
      <c r="AJ180" s="75"/>
    </row>
    <row r="181" spans="2:36">
      <c r="B181" s="88"/>
      <c r="C181" s="80"/>
      <c r="D181" s="80"/>
      <c r="E181" s="100"/>
      <c r="F181" s="101"/>
      <c r="G181" s="101"/>
      <c r="H181" s="88"/>
      <c r="I181" s="80"/>
      <c r="J181" s="80"/>
      <c r="K181" s="80"/>
      <c r="L181" s="80"/>
      <c r="M181" s="80"/>
      <c r="N181" s="80"/>
      <c r="O181" s="100"/>
      <c r="P181" s="101"/>
      <c r="Q181" s="101"/>
      <c r="R181" s="88"/>
      <c r="S181" s="80"/>
      <c r="T181" s="80"/>
      <c r="U181" s="80"/>
      <c r="V181" s="80"/>
      <c r="W181" s="80"/>
      <c r="X181" s="80"/>
      <c r="Y181" s="88"/>
      <c r="Z181" s="80"/>
      <c r="AA181" s="75"/>
      <c r="AB181" s="75"/>
      <c r="AC181" s="75"/>
      <c r="AD181" s="75"/>
      <c r="AE181" s="75"/>
      <c r="AF181" s="75"/>
      <c r="AG181" s="75"/>
      <c r="AH181" s="75"/>
      <c r="AI181" s="75"/>
      <c r="AJ181" s="75"/>
    </row>
    <row r="182" spans="2:36">
      <c r="B182" s="88"/>
      <c r="C182" s="80"/>
      <c r="D182" s="80"/>
      <c r="E182" s="100"/>
      <c r="F182" s="101"/>
      <c r="G182" s="101"/>
      <c r="H182" s="88"/>
      <c r="I182" s="80"/>
      <c r="J182" s="80"/>
      <c r="K182" s="80"/>
      <c r="L182" s="80"/>
      <c r="M182" s="80"/>
      <c r="N182" s="80"/>
      <c r="O182" s="100"/>
      <c r="P182" s="101"/>
      <c r="Q182" s="101"/>
      <c r="R182" s="88"/>
      <c r="S182" s="80"/>
      <c r="T182" s="80"/>
      <c r="U182" s="80"/>
      <c r="V182" s="80"/>
      <c r="W182" s="80"/>
      <c r="X182" s="80"/>
      <c r="Y182" s="88"/>
      <c r="Z182" s="80"/>
      <c r="AA182" s="75"/>
      <c r="AB182" s="75"/>
      <c r="AC182" s="75"/>
      <c r="AD182" s="75"/>
      <c r="AE182" s="75"/>
      <c r="AF182" s="75"/>
      <c r="AG182" s="75"/>
      <c r="AH182" s="75"/>
      <c r="AI182" s="75"/>
      <c r="AJ182" s="75"/>
    </row>
    <row r="183" spans="2:36">
      <c r="B183" s="88"/>
      <c r="C183" s="80"/>
      <c r="D183" s="80"/>
      <c r="E183" s="100"/>
      <c r="F183" s="101"/>
      <c r="G183" s="101"/>
      <c r="H183" s="88"/>
      <c r="I183" s="80"/>
      <c r="J183" s="80"/>
      <c r="K183" s="80"/>
      <c r="L183" s="80"/>
      <c r="M183" s="80"/>
      <c r="N183" s="80"/>
      <c r="O183" s="100"/>
      <c r="P183" s="101"/>
      <c r="Q183" s="101"/>
      <c r="R183" s="88"/>
      <c r="S183" s="80"/>
      <c r="T183" s="80"/>
      <c r="U183" s="80"/>
      <c r="V183" s="80"/>
      <c r="W183" s="80"/>
      <c r="X183" s="80"/>
      <c r="Y183" s="88"/>
      <c r="Z183" s="80"/>
    </row>
    <row r="184" spans="2:36">
      <c r="B184" s="88"/>
      <c r="C184" s="80"/>
      <c r="D184" s="80"/>
      <c r="E184" s="100"/>
      <c r="F184" s="101"/>
      <c r="G184" s="101"/>
      <c r="H184" s="88"/>
      <c r="I184" s="80"/>
      <c r="J184" s="80"/>
      <c r="K184" s="80"/>
      <c r="L184" s="80"/>
      <c r="M184" s="80"/>
      <c r="N184" s="80"/>
      <c r="O184" s="100"/>
      <c r="P184" s="101"/>
      <c r="Q184" s="101"/>
      <c r="R184" s="88"/>
      <c r="S184" s="80"/>
      <c r="T184" s="80"/>
      <c r="U184" s="80"/>
      <c r="V184" s="80"/>
      <c r="W184" s="80"/>
      <c r="X184" s="80"/>
      <c r="Y184" s="88"/>
      <c r="Z184" s="80"/>
    </row>
    <row r="185" spans="2:36">
      <c r="B185" s="88"/>
      <c r="C185" s="80"/>
      <c r="D185" s="80"/>
      <c r="E185" s="100"/>
      <c r="F185" s="101"/>
      <c r="G185" s="101"/>
      <c r="H185" s="88"/>
      <c r="I185" s="80"/>
      <c r="J185" s="80"/>
      <c r="K185" s="80"/>
      <c r="L185" s="80"/>
      <c r="M185" s="80"/>
      <c r="N185" s="80"/>
      <c r="O185" s="100"/>
      <c r="P185" s="101"/>
      <c r="Q185" s="101"/>
      <c r="R185" s="88"/>
      <c r="S185" s="80"/>
      <c r="T185" s="80"/>
      <c r="U185" s="80"/>
      <c r="V185" s="80"/>
      <c r="W185" s="80"/>
      <c r="X185" s="80"/>
      <c r="Y185" s="88"/>
      <c r="Z185" s="80"/>
    </row>
    <row r="186" spans="2:36">
      <c r="B186" s="88"/>
      <c r="C186" s="80"/>
      <c r="D186" s="80"/>
      <c r="E186" s="100"/>
      <c r="F186" s="101"/>
      <c r="G186" s="101"/>
      <c r="H186" s="88"/>
      <c r="I186" s="80"/>
      <c r="J186" s="80"/>
      <c r="K186" s="80"/>
      <c r="L186" s="80"/>
      <c r="M186" s="80"/>
      <c r="N186" s="80"/>
      <c r="O186" s="100"/>
      <c r="P186" s="101"/>
      <c r="Q186" s="101"/>
      <c r="R186" s="88"/>
      <c r="S186" s="80"/>
      <c r="T186" s="80"/>
      <c r="U186" s="80"/>
      <c r="V186" s="80"/>
      <c r="W186" s="80"/>
      <c r="X186" s="80"/>
      <c r="Y186" s="88"/>
      <c r="Z186" s="80"/>
    </row>
    <row r="187" spans="2:36">
      <c r="B187" s="88"/>
      <c r="C187" s="80"/>
      <c r="D187" s="80"/>
      <c r="E187" s="100"/>
      <c r="F187" s="101"/>
      <c r="G187" s="101"/>
      <c r="H187" s="88"/>
      <c r="I187" s="80"/>
      <c r="J187" s="80"/>
      <c r="K187" s="80"/>
      <c r="L187" s="80"/>
      <c r="M187" s="80"/>
      <c r="N187" s="80"/>
      <c r="O187" s="100"/>
      <c r="P187" s="101"/>
      <c r="Q187" s="101"/>
      <c r="R187" s="88"/>
      <c r="S187" s="80"/>
      <c r="T187" s="80"/>
      <c r="U187" s="80"/>
      <c r="V187" s="80"/>
      <c r="W187" s="80"/>
      <c r="X187" s="80"/>
      <c r="Y187" s="88"/>
      <c r="Z187" s="80"/>
    </row>
    <row r="188" spans="2:36">
      <c r="B188" s="88"/>
      <c r="C188" s="80"/>
      <c r="D188" s="80"/>
      <c r="E188" s="100"/>
      <c r="F188" s="101"/>
      <c r="G188" s="101"/>
      <c r="H188" s="88"/>
      <c r="I188" s="80"/>
      <c r="J188" s="80"/>
      <c r="K188" s="80"/>
      <c r="L188" s="80"/>
      <c r="M188" s="80"/>
      <c r="N188" s="80"/>
      <c r="O188" s="100"/>
      <c r="P188" s="101"/>
      <c r="Q188" s="101"/>
      <c r="R188" s="88"/>
      <c r="S188" s="80"/>
      <c r="T188" s="80"/>
      <c r="U188" s="80"/>
      <c r="V188" s="80"/>
      <c r="W188" s="80"/>
      <c r="X188" s="80"/>
      <c r="Y188" s="88"/>
      <c r="Z188" s="80"/>
    </row>
  </sheetData>
  <mergeCells count="11">
    <mergeCell ref="B85:T85"/>
    <mergeCell ref="B107:T107"/>
    <mergeCell ref="B117:T117"/>
    <mergeCell ref="B174:T174"/>
    <mergeCell ref="B177:T177"/>
    <mergeCell ref="B80:C80"/>
    <mergeCell ref="B2:T2"/>
    <mergeCell ref="B3:T3"/>
    <mergeCell ref="L63:T63"/>
    <mergeCell ref="B71:T71"/>
    <mergeCell ref="B75:C75"/>
  </mergeCells>
  <conditionalFormatting sqref="B119:Z171 B179:Z188">
    <cfRule type="expression" dxfId="445" priority="1">
      <formula>B119=""</formula>
    </cfRule>
  </conditionalFormatting>
  <dataValidations count="8">
    <dataValidation type="list" allowBlank="1" showInputMessage="1" showErrorMessage="1" sqref="O119:O171 E119:E171 O179:O188 E179:E188" xr:uid="{D28DBCFA-6BA8-4938-A149-AD6A1A4AF0A5}">
      <formula1>"Eligible,Review required,Not eligible"</formula1>
    </dataValidation>
    <dataValidation type="list" allowBlank="1" showInputMessage="1" showErrorMessage="1" sqref="C94:C106" xr:uid="{ED533E35-B202-43C5-AD57-423CAD3499CF}">
      <formula1>WR_SourceScope</formula1>
    </dataValidation>
    <dataValidation type="list" allowBlank="1" showInputMessage="1" showErrorMessage="1" sqref="Y119:Y171" xr:uid="{9B9314C5-5C1A-4EE0-A7DA-9528CF11FBDB}">
      <formula1>WR_ReviewStatus</formula1>
    </dataValidation>
    <dataValidation type="list" allowBlank="1" showInputMessage="1" showErrorMessage="1" sqref="R119:R171 H119:H171" xr:uid="{2E3E2C9E-87D9-4CB7-8282-4033F9989814}">
      <formula1>WR_EffectivenessLevel</formula1>
    </dataValidation>
    <dataValidation type="list" allowBlank="1" showInputMessage="1" showErrorMessage="1" sqref="C77" xr:uid="{BEC4C7EE-3832-4055-9422-D0E7C9507E41}">
      <formula1>WR_VulnerabilityComponents</formula1>
    </dataValidation>
    <dataValidation type="list" allowBlank="1" showInputMessage="1" showErrorMessage="1" sqref="C76" xr:uid="{E7ED676D-2BA5-4936-9132-108E67F972AA}">
      <formula1>WR_VulnerabilitySectors</formula1>
    </dataValidation>
    <dataValidation type="list" allowBlank="1" showInputMessage="1" showErrorMessage="1" sqref="C82" xr:uid="{8D42292E-59FB-4008-9289-A27E604B29E9}">
      <formula1>WR_ExposureComponents</formula1>
    </dataValidation>
    <dataValidation type="list" allowBlank="1" showInputMessage="1" showErrorMessage="1" sqref="C81" xr:uid="{B9411E21-0527-427C-B17C-76ACB8C430EC}">
      <formula1>WR_ExposureSectors</formula1>
    </dataValidation>
  </dataValidations>
  <pageMargins left="0.7" right="0.7" top="0.75" bottom="0.75" header="0.3" footer="0.3"/>
  <tableParts count="4">
    <tablePart r:id="rId1"/>
    <tablePart r:id="rId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2B43A-9EE0-4F16-872B-F9B95086961A}">
  <dimension ref="A2:AJ188"/>
  <sheetViews>
    <sheetView showGridLines="0" topLeftCell="A63" zoomScale="55" zoomScaleNormal="55" workbookViewId="0">
      <selection activeCell="A63" sqref="A1:XFD1048576"/>
    </sheetView>
  </sheetViews>
  <sheetFormatPr baseColWidth="10" defaultRowHeight="15"/>
  <cols>
    <col min="1" max="1" width="6.09765625" style="186" customWidth="1"/>
    <col min="2" max="2" width="32" style="186" customWidth="1"/>
    <col min="3" max="3" width="51.296875" style="186" customWidth="1"/>
    <col min="4" max="4" width="66.796875" style="186" customWidth="1"/>
    <col min="5" max="5" width="28" style="186" customWidth="1"/>
    <col min="6" max="6" width="58" style="186" customWidth="1"/>
    <col min="7" max="7" width="41" style="186" customWidth="1"/>
    <col min="8" max="8" width="51" style="186" customWidth="1"/>
    <col min="9" max="9" width="33" style="186" customWidth="1"/>
    <col min="10" max="10" width="30" style="186" customWidth="1"/>
    <col min="11" max="11" width="30.796875" style="186" customWidth="1"/>
    <col min="12" max="12" width="17.5" style="186" customWidth="1"/>
    <col min="13" max="13" width="22.5" style="186" customWidth="1"/>
    <col min="14" max="14" width="30" style="186" customWidth="1"/>
    <col min="15" max="15" width="19.19921875" style="186" customWidth="1"/>
    <col min="16" max="16" width="24.19921875" style="186" customWidth="1"/>
    <col min="17" max="17" width="14.19921875" style="186" customWidth="1"/>
    <col min="18" max="18" width="30.796875" style="186" customWidth="1"/>
    <col min="19" max="19" width="20" style="186" customWidth="1"/>
    <col min="20" max="20" width="27.5" style="186" customWidth="1"/>
    <col min="21" max="21" width="15.59765625" style="186" bestFit="1" customWidth="1"/>
    <col min="22" max="24" width="11.19921875" style="186"/>
    <col min="25" max="25" width="17.69921875" style="186" bestFit="1" customWidth="1"/>
    <col min="26" max="16384" width="11.19921875" style="186"/>
  </cols>
  <sheetData>
    <row r="2" spans="1:36" ht="24">
      <c r="A2" s="185"/>
      <c r="B2" s="115" t="s">
        <v>2251</v>
      </c>
      <c r="C2" s="115"/>
      <c r="D2" s="115"/>
      <c r="E2" s="115"/>
      <c r="F2" s="115"/>
      <c r="G2" s="115"/>
      <c r="H2" s="115"/>
      <c r="I2" s="115"/>
      <c r="J2" s="115"/>
      <c r="K2" s="115"/>
      <c r="L2" s="115"/>
      <c r="M2" s="115"/>
      <c r="N2" s="115"/>
      <c r="O2" s="115"/>
      <c r="P2" s="115"/>
      <c r="Q2" s="115"/>
      <c r="R2" s="115"/>
      <c r="S2" s="115"/>
      <c r="T2" s="115"/>
    </row>
    <row r="3" spans="1:36">
      <c r="A3" s="185"/>
      <c r="B3" s="187" t="s">
        <v>2564</v>
      </c>
      <c r="C3" s="187"/>
      <c r="D3" s="187"/>
      <c r="E3" s="187"/>
      <c r="F3" s="187"/>
      <c r="G3" s="187"/>
      <c r="H3" s="187"/>
      <c r="I3" s="187"/>
      <c r="J3" s="187"/>
      <c r="K3" s="187"/>
      <c r="L3" s="187"/>
      <c r="M3" s="187"/>
      <c r="N3" s="187"/>
      <c r="O3" s="187"/>
      <c r="P3" s="187"/>
      <c r="Q3" s="187"/>
      <c r="R3" s="187"/>
      <c r="S3" s="187"/>
      <c r="T3" s="187"/>
    </row>
    <row r="4" spans="1:36">
      <c r="A4" s="185"/>
      <c r="B4" s="188" t="s">
        <v>2565</v>
      </c>
      <c r="C4" s="189"/>
      <c r="D4" s="189"/>
      <c r="E4" s="189"/>
      <c r="F4" s="189"/>
      <c r="G4" s="189"/>
      <c r="H4" s="189"/>
      <c r="I4" s="189"/>
      <c r="J4" s="189"/>
      <c r="K4" s="189"/>
      <c r="L4" s="189"/>
      <c r="M4" s="189"/>
      <c r="N4" s="189"/>
      <c r="O4" s="189"/>
      <c r="P4" s="189"/>
      <c r="Q4" s="189"/>
      <c r="R4" s="189"/>
      <c r="S4" s="189"/>
      <c r="T4" s="189"/>
    </row>
    <row r="5" spans="1:36">
      <c r="A5" s="185"/>
    </row>
    <row r="6" spans="1:36" s="185" customFormat="1" ht="17.399999999999999">
      <c r="B6" s="190" t="s">
        <v>2252</v>
      </c>
      <c r="C6" s="190"/>
      <c r="D6" s="190"/>
      <c r="E6" s="190"/>
      <c r="F6" s="190"/>
      <c r="G6" s="190"/>
      <c r="H6" s="190"/>
      <c r="I6" s="190"/>
      <c r="J6" s="87"/>
      <c r="K6" s="87"/>
      <c r="L6" s="87"/>
      <c r="M6" s="87"/>
      <c r="N6" s="87"/>
      <c r="O6" s="87"/>
      <c r="P6" s="87"/>
      <c r="Q6" s="87"/>
      <c r="R6" s="87"/>
      <c r="S6" s="87"/>
      <c r="T6" s="87"/>
    </row>
    <row r="7" spans="1:36" s="185" customFormat="1">
      <c r="B7" s="186" t="s">
        <v>1641</v>
      </c>
      <c r="C7" s="186" t="s">
        <v>1642</v>
      </c>
      <c r="D7" s="186" t="s">
        <v>1643</v>
      </c>
      <c r="E7" s="186" t="s">
        <v>1636</v>
      </c>
      <c r="F7" s="186" t="s">
        <v>1647</v>
      </c>
      <c r="G7" s="186" t="s">
        <v>1644</v>
      </c>
      <c r="H7" s="186" t="s">
        <v>1638</v>
      </c>
      <c r="I7" s="186" t="s">
        <v>1648</v>
      </c>
      <c r="J7" s="186" t="s">
        <v>1645</v>
      </c>
      <c r="K7" s="186" t="s">
        <v>1495</v>
      </c>
      <c r="L7" s="87"/>
      <c r="M7" s="87"/>
      <c r="N7" s="87"/>
      <c r="O7" s="87"/>
      <c r="P7" s="87"/>
      <c r="Q7" s="87"/>
      <c r="R7" s="87"/>
      <c r="S7" s="87"/>
      <c r="T7" s="87"/>
      <c r="U7" s="87"/>
      <c r="V7" s="87"/>
      <c r="AA7" s="186"/>
      <c r="AB7" s="186"/>
      <c r="AC7" s="186"/>
      <c r="AD7" s="186"/>
      <c r="AE7" s="186"/>
      <c r="AF7" s="186"/>
      <c r="AG7" s="186"/>
      <c r="AH7" s="186"/>
      <c r="AI7" s="186"/>
      <c r="AJ7" s="186"/>
    </row>
    <row r="8" spans="1:36" s="185" customFormat="1">
      <c r="B8" s="13" t="str" cm="1">
        <f t="array" ref="B8">IF(ROW()-ROW(tbl_ES_EligibilitySummary[#Headers])&lt;=ROWS(tbl_ES_Assessment[ActionID]),"Existing action","Additional action")</f>
        <v>Existing action</v>
      </c>
      <c r="C8" s="13" t="str" cm="1">
        <f t="array" ref="C8">IF(ROW()-ROW(tbl_ES_EligibilitySummary[#Headers])&lt;=ROWS(tbl_ES_Assessment[ActionID]),INDEX(tbl_ES_Assessment[ActionID],ROW()-ROW(tbl_ES_EligibilitySummary[#Headers])),INDEX(tbl_ES_AdditionalActions[AdditionalActionID],ROW()-ROW(tbl_ES_EligibilitySummary[#Headers])-ROWS(tbl_ES_Assessment[ActionID])))</f>
        <v>c40_0046</v>
      </c>
      <c r="D8" s="13" t="str" cm="1">
        <f t="array" ref="D8">IF(ROW()-ROW(tbl_ES_EligibilitySummary[#Headers])&lt;=ROWS(tbl_ES_Assessment[ActionID]),INDEX(tbl_ES_Assessment[ActionName],ROW()-ROW(tbl_ES_EligibilitySummary[#Headers])),INDEX(tbl_ES_AdditionalActions[ActionName],ROW()-ROW(tbl_ES_EligibilitySummary[#Headers])-ROWS(tbl_ES_Assessment[ActionID])))</f>
        <v>Strengthen coastal protection infrastructure</v>
      </c>
      <c r="E8" s="13" cm="1">
        <f t="array" ref="E8">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8" s="13" t="str" cm="1">
        <f t="array" ref="F8">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8" s="13" t="str" cm="1">
        <f t="array" ref="G8">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8" s="13" cm="1">
        <f t="array" ref="H8">IF(ROW()-ROW(tbl_ES_EligibilitySummary[#Headers])&lt;=ROWS(tbl_ES_Assessment[ActionID]),INDEX(tbl_ES_Assessment[Exposure Eligibility],ROW()-ROW(tbl_ES_EligibilitySummary[#Headers])),INDEX(tbl_ES_AdditionalActions[Exposure Eligibility],ROW()-ROW(tbl_ES_EligibilitySummary[#Headers])-ROWS(tbl_ES_Assessment[ActionID])))</f>
        <v>0</v>
      </c>
      <c r="I8" s="13" t="str" cm="1">
        <f t="array" ref="I8">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8" s="13" t="str" cm="1">
        <f t="array" ref="J8">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8" s="13" cm="1">
        <f t="array" ref="K8">IF(ROW()-ROW(tbl_ES_EligibilitySummary[#Headers])&lt;=ROWS(tbl_ES_Assessment[ActionID]),INDEX(tbl_ES_Assessment[ReviewStatus],ROW()-ROW(tbl_ES_EligibilitySummary[#Headers])),INDEX(tbl_ES_AdditionalActions[ReviewStatus],ROW()-ROW(tbl_ES_EligibilitySummary[#Headers])-ROWS(tbl_ES_Assessment[ActionID])))</f>
        <v>0</v>
      </c>
      <c r="L8" s="87"/>
      <c r="M8" s="87"/>
      <c r="N8" s="87"/>
      <c r="O8" s="87"/>
      <c r="P8" s="87"/>
      <c r="Q8" s="87"/>
      <c r="R8" s="87"/>
      <c r="S8" s="87"/>
      <c r="T8" s="87"/>
      <c r="U8" s="87"/>
      <c r="V8" s="87"/>
      <c r="AA8" s="186"/>
      <c r="AB8" s="186"/>
      <c r="AC8" s="186"/>
      <c r="AD8" s="186"/>
      <c r="AE8" s="186"/>
      <c r="AF8" s="186"/>
      <c r="AG8" s="186"/>
      <c r="AH8" s="186"/>
      <c r="AI8" s="186"/>
      <c r="AJ8" s="186"/>
    </row>
    <row r="9" spans="1:36" s="185" customFormat="1">
      <c r="B9" s="13" t="str" cm="1">
        <f t="array" ref="B9">IF(ROW()-ROW(tbl_ES_EligibilitySummary[#Headers])&lt;=ROWS(tbl_ES_Assessment[ActionID]),"Existing action","Additional action")</f>
        <v>Existing action</v>
      </c>
      <c r="C9" s="13" t="str" cm="1">
        <f t="array" ref="C9">IF(ROW()-ROW(tbl_ES_EligibilitySummary[#Headers])&lt;=ROWS(tbl_ES_Assessment[ActionID]),INDEX(tbl_ES_Assessment[ActionID],ROW()-ROW(tbl_ES_EligibilitySummary[#Headers])),INDEX(tbl_ES_AdditionalActions[AdditionalActionID],ROW()-ROW(tbl_ES_EligibilitySummary[#Headers])-ROWS(tbl_ES_Assessment[ActionID])))</f>
        <v>c40_0048</v>
      </c>
      <c r="D9" s="13" t="str" cm="1">
        <f t="array" ref="D9">IF(ROW()-ROW(tbl_ES_EligibilitySummary[#Headers])&lt;=ROWS(tbl_ES_Assessment[ActionID]),INDEX(tbl_ES_Assessment[ActionName],ROW()-ROW(tbl_ES_EligibilitySummary[#Headers])),INDEX(tbl_ES_AdditionalActions[ActionName],ROW()-ROW(tbl_ES_EligibilitySummary[#Headers])-ROWS(tbl_ES_Assessment[ActionID])))</f>
        <v>Upgrade urban drainage systems</v>
      </c>
      <c r="E9" s="13" cm="1">
        <f t="array" ref="E9">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9" s="13" t="str" cm="1">
        <f t="array" ref="F9">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9" s="13" t="str" cm="1">
        <f t="array" ref="G9">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9" s="13" cm="1">
        <f t="array" ref="H9">IF(ROW()-ROW(tbl_ES_EligibilitySummary[#Headers])&lt;=ROWS(tbl_ES_Assessment[ActionID]),INDEX(tbl_ES_Assessment[Exposure Eligibility],ROW()-ROW(tbl_ES_EligibilitySummary[#Headers])),INDEX(tbl_ES_AdditionalActions[Exposure Eligibility],ROW()-ROW(tbl_ES_EligibilitySummary[#Headers])-ROWS(tbl_ES_Assessment[ActionID])))</f>
        <v>0</v>
      </c>
      <c r="I9" s="13" t="str" cm="1">
        <f t="array" ref="I9">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9" s="13" t="str" cm="1">
        <f t="array" ref="J9">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9" s="13" cm="1">
        <f t="array" ref="K9">IF(ROW()-ROW(tbl_ES_EligibilitySummary[#Headers])&lt;=ROWS(tbl_ES_Assessment[ActionID]),INDEX(tbl_ES_Assessment[ReviewStatus],ROW()-ROW(tbl_ES_EligibilitySummary[#Headers])),INDEX(tbl_ES_AdditionalActions[ReviewStatus],ROW()-ROW(tbl_ES_EligibilitySummary[#Headers])-ROWS(tbl_ES_Assessment[ActionID])))</f>
        <v>0</v>
      </c>
      <c r="L9" s="87"/>
      <c r="M9" s="87"/>
      <c r="N9" s="87"/>
      <c r="O9" s="87"/>
      <c r="P9" s="87"/>
      <c r="Q9" s="87"/>
      <c r="R9" s="87"/>
      <c r="S9" s="87"/>
      <c r="T9" s="87"/>
      <c r="U9" s="87"/>
      <c r="V9" s="87"/>
      <c r="AA9" s="186"/>
      <c r="AB9" s="186"/>
      <c r="AC9" s="186"/>
      <c r="AD9" s="186"/>
      <c r="AE9" s="186"/>
      <c r="AF9" s="186"/>
      <c r="AG9" s="186"/>
      <c r="AH9" s="186"/>
      <c r="AI9" s="186"/>
      <c r="AJ9" s="186"/>
    </row>
    <row r="10" spans="1:36" s="185" customFormat="1">
      <c r="B10" s="13" t="str" cm="1">
        <f t="array" ref="B10">IF(ROW()-ROW(tbl_ES_EligibilitySummary[#Headers])&lt;=ROWS(tbl_ES_Assessment[ActionID]),"Existing action","Additional action")</f>
        <v>Existing action</v>
      </c>
      <c r="C10" s="13" t="str" cm="1">
        <f t="array" ref="C10">IF(ROW()-ROW(tbl_ES_EligibilitySummary[#Headers])&lt;=ROWS(tbl_ES_Assessment[ActionID]),INDEX(tbl_ES_Assessment[ActionID],ROW()-ROW(tbl_ES_EligibilitySummary[#Headers])),INDEX(tbl_ES_AdditionalActions[AdditionalActionID],ROW()-ROW(tbl_ES_EligibilitySummary[#Headers])-ROWS(tbl_ES_Assessment[ActionID])))</f>
        <v>c40_0049</v>
      </c>
      <c r="D10" s="13" t="str" cm="1">
        <f t="array" ref="D10">IF(ROW()-ROW(tbl_ES_EligibilitySummary[#Headers])&lt;=ROWS(tbl_ES_Assessment[ActionID]),INDEX(tbl_ES_Assessment[ActionName],ROW()-ROW(tbl_ES_EligibilitySummary[#Headers])),INDEX(tbl_ES_AdditionalActions[ActionName],ROW()-ROW(tbl_ES_EligibilitySummary[#Headers])-ROWS(tbl_ES_Assessment[ActionID])))</f>
        <v>Build and maintain shelters for critical climate hazards</v>
      </c>
      <c r="E10" s="13" cm="1">
        <f t="array" ref="E10">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10" s="13" t="str" cm="1">
        <f t="array" ref="F10">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10" s="13" t="str" cm="1">
        <f t="array" ref="G10">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10" s="13" cm="1">
        <f t="array" ref="H10">IF(ROW()-ROW(tbl_ES_EligibilitySummary[#Headers])&lt;=ROWS(tbl_ES_Assessment[ActionID]),INDEX(tbl_ES_Assessment[Exposure Eligibility],ROW()-ROW(tbl_ES_EligibilitySummary[#Headers])),INDEX(tbl_ES_AdditionalActions[Exposure Eligibility],ROW()-ROW(tbl_ES_EligibilitySummary[#Headers])-ROWS(tbl_ES_Assessment[ActionID])))</f>
        <v>0</v>
      </c>
      <c r="I10" s="13" t="str" cm="1">
        <f t="array" ref="I10">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10" s="13" t="str" cm="1">
        <f t="array" ref="J10">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10" s="13" cm="1">
        <f t="array" ref="K10">IF(ROW()-ROW(tbl_ES_EligibilitySummary[#Headers])&lt;=ROWS(tbl_ES_Assessment[ActionID]),INDEX(tbl_ES_Assessment[ReviewStatus],ROW()-ROW(tbl_ES_EligibilitySummary[#Headers])),INDEX(tbl_ES_AdditionalActions[ReviewStatus],ROW()-ROW(tbl_ES_EligibilitySummary[#Headers])-ROWS(tbl_ES_Assessment[ActionID])))</f>
        <v>0</v>
      </c>
      <c r="L10" s="87"/>
      <c r="M10" s="87"/>
      <c r="N10" s="87"/>
      <c r="O10" s="87"/>
      <c r="P10" s="87"/>
      <c r="Q10" s="87"/>
      <c r="R10" s="87"/>
      <c r="S10" s="87"/>
      <c r="T10" s="87"/>
      <c r="U10" s="87"/>
      <c r="V10" s="87"/>
      <c r="AA10" s="186"/>
      <c r="AB10" s="186"/>
      <c r="AC10" s="186"/>
      <c r="AD10" s="186"/>
      <c r="AE10" s="186"/>
      <c r="AF10" s="186"/>
      <c r="AG10" s="186"/>
      <c r="AH10" s="186"/>
      <c r="AI10" s="186"/>
      <c r="AJ10" s="186"/>
    </row>
    <row r="11" spans="1:36" s="185" customFormat="1">
      <c r="B11" s="13" t="str" cm="1">
        <f t="array" ref="B11">IF(ROW()-ROW(tbl_ES_EligibilitySummary[#Headers])&lt;=ROWS(tbl_ES_Assessment[ActionID]),"Existing action","Additional action")</f>
        <v>Existing action</v>
      </c>
      <c r="C11" s="13" t="str" cm="1">
        <f t="array" ref="C11">IF(ROW()-ROW(tbl_ES_EligibilitySummary[#Headers])&lt;=ROWS(tbl_ES_Assessment[ActionID]),INDEX(tbl_ES_Assessment[ActionID],ROW()-ROW(tbl_ES_EligibilitySummary[#Headers])),INDEX(tbl_ES_AdditionalActions[AdditionalActionID],ROW()-ROW(tbl_ES_EligibilitySummary[#Headers])-ROWS(tbl_ES_Assessment[ActionID])))</f>
        <v>c40_0051</v>
      </c>
      <c r="D11" s="13" t="str" cm="1">
        <f t="array" ref="D11">IF(ROW()-ROW(tbl_ES_EligibilitySummary[#Headers])&lt;=ROWS(tbl_ES_Assessment[ActionID]),INDEX(tbl_ES_Assessment[ActionName],ROW()-ROW(tbl_ES_EligibilitySummary[#Headers])),INDEX(tbl_ES_AdditionalActions[ActionName],ROW()-ROW(tbl_ES_EligibilitySummary[#Headers])-ROWS(tbl_ES_Assessment[ActionID])))</f>
        <v>Provide public shading in heat hotspots</v>
      </c>
      <c r="E11" s="13" cm="1">
        <f t="array" ref="E11">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11" s="13" t="str" cm="1">
        <f t="array" ref="F11">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11" s="13" t="str" cm="1">
        <f t="array" ref="G11">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11" s="13" cm="1">
        <f t="array" ref="H11">IF(ROW()-ROW(tbl_ES_EligibilitySummary[#Headers])&lt;=ROWS(tbl_ES_Assessment[ActionID]),INDEX(tbl_ES_Assessment[Exposure Eligibility],ROW()-ROW(tbl_ES_EligibilitySummary[#Headers])),INDEX(tbl_ES_AdditionalActions[Exposure Eligibility],ROW()-ROW(tbl_ES_EligibilitySummary[#Headers])-ROWS(tbl_ES_Assessment[ActionID])))</f>
        <v>0</v>
      </c>
      <c r="I11" s="13" t="str" cm="1">
        <f t="array" ref="I11">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11" s="13" t="str" cm="1">
        <f t="array" ref="J11">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11" s="13" cm="1">
        <f t="array" ref="K11">IF(ROW()-ROW(tbl_ES_EligibilitySummary[#Headers])&lt;=ROWS(tbl_ES_Assessment[ActionID]),INDEX(tbl_ES_Assessment[ReviewStatus],ROW()-ROW(tbl_ES_EligibilitySummary[#Headers])),INDEX(tbl_ES_AdditionalActions[ReviewStatus],ROW()-ROW(tbl_ES_EligibilitySummary[#Headers])-ROWS(tbl_ES_Assessment[ActionID])))</f>
        <v>0</v>
      </c>
      <c r="L11" s="87"/>
      <c r="M11" s="87"/>
      <c r="N11" s="87"/>
      <c r="O11" s="87"/>
      <c r="P11" s="87"/>
      <c r="Q11" s="87"/>
      <c r="R11" s="87"/>
      <c r="S11" s="87"/>
      <c r="T11" s="87"/>
      <c r="U11" s="87"/>
      <c r="V11" s="87"/>
      <c r="AA11" s="186"/>
      <c r="AB11" s="186"/>
      <c r="AC11" s="186"/>
      <c r="AD11" s="186"/>
      <c r="AE11" s="186"/>
      <c r="AF11" s="186"/>
      <c r="AG11" s="186"/>
      <c r="AH11" s="186"/>
      <c r="AI11" s="186"/>
      <c r="AJ11" s="186"/>
    </row>
    <row r="12" spans="1:36" s="185" customFormat="1">
      <c r="B12" s="13" t="str" cm="1">
        <f t="array" ref="B12">IF(ROW()-ROW(tbl_ES_EligibilitySummary[#Headers])&lt;=ROWS(tbl_ES_Assessment[ActionID]),"Existing action","Additional action")</f>
        <v>Existing action</v>
      </c>
      <c r="C12" s="13" t="str" cm="1">
        <f t="array" ref="C12">IF(ROW()-ROW(tbl_ES_EligibilitySummary[#Headers])&lt;=ROWS(tbl_ES_Assessment[ActionID]),INDEX(tbl_ES_Assessment[ActionID],ROW()-ROW(tbl_ES_EligibilitySummary[#Headers])),INDEX(tbl_ES_AdditionalActions[AdditionalActionID],ROW()-ROW(tbl_ES_EligibilitySummary[#Headers])-ROWS(tbl_ES_Assessment[ActionID])))</f>
        <v>c40_0052</v>
      </c>
      <c r="D12" s="13" t="str" cm="1">
        <f t="array" ref="D12">IF(ROW()-ROW(tbl_ES_EligibilitySummary[#Headers])&lt;=ROWS(tbl_ES_Assessment[ActionID]),INDEX(tbl_ES_Assessment[ActionName],ROW()-ROW(tbl_ES_EligibilitySummary[#Headers])),INDEX(tbl_ES_AdditionalActions[ActionName],ROW()-ROW(tbl_ES_EligibilitySummary[#Headers])-ROWS(tbl_ES_Assessment[ActionID])))</f>
        <v>Deploy cool pavements and cool roofs on heat‑exposed streets and buildings</v>
      </c>
      <c r="E12" s="13" cm="1">
        <f t="array" ref="E12">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12" s="13" t="str" cm="1">
        <f t="array" ref="F12">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12" s="13" t="str" cm="1">
        <f t="array" ref="G12">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12" s="13" cm="1">
        <f t="array" ref="H12">IF(ROW()-ROW(tbl_ES_EligibilitySummary[#Headers])&lt;=ROWS(tbl_ES_Assessment[ActionID]),INDEX(tbl_ES_Assessment[Exposure Eligibility],ROW()-ROW(tbl_ES_EligibilitySummary[#Headers])),INDEX(tbl_ES_AdditionalActions[Exposure Eligibility],ROW()-ROW(tbl_ES_EligibilitySummary[#Headers])-ROWS(tbl_ES_Assessment[ActionID])))</f>
        <v>0</v>
      </c>
      <c r="I12" s="13" t="str" cm="1">
        <f t="array" ref="I12">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12" s="13" t="str" cm="1">
        <f t="array" ref="J12">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12" s="13" cm="1">
        <f t="array" ref="K12">IF(ROW()-ROW(tbl_ES_EligibilitySummary[#Headers])&lt;=ROWS(tbl_ES_Assessment[ActionID]),INDEX(tbl_ES_Assessment[ReviewStatus],ROW()-ROW(tbl_ES_EligibilitySummary[#Headers])),INDEX(tbl_ES_AdditionalActions[ReviewStatus],ROW()-ROW(tbl_ES_EligibilitySummary[#Headers])-ROWS(tbl_ES_Assessment[ActionID])))</f>
        <v>0</v>
      </c>
      <c r="L12" s="87"/>
      <c r="M12" s="87"/>
      <c r="N12" s="87"/>
      <c r="O12" s="87"/>
      <c r="P12" s="87"/>
      <c r="Q12" s="87"/>
      <c r="R12" s="87"/>
      <c r="S12" s="87"/>
      <c r="T12" s="87"/>
      <c r="U12" s="87"/>
      <c r="V12" s="87"/>
      <c r="AA12" s="186"/>
      <c r="AB12" s="186"/>
      <c r="AC12" s="186"/>
      <c r="AD12" s="186"/>
      <c r="AE12" s="186"/>
      <c r="AF12" s="186"/>
      <c r="AG12" s="186"/>
      <c r="AH12" s="186"/>
      <c r="AI12" s="186"/>
      <c r="AJ12" s="186"/>
    </row>
    <row r="13" spans="1:36" s="185" customFormat="1">
      <c r="B13" s="13" t="str" cm="1">
        <f t="array" ref="B13">IF(ROW()-ROW(tbl_ES_EligibilitySummary[#Headers])&lt;=ROWS(tbl_ES_Assessment[ActionID]),"Existing action","Additional action")</f>
        <v>Existing action</v>
      </c>
      <c r="C13" s="13" t="str" cm="1">
        <f t="array" ref="C13">IF(ROW()-ROW(tbl_ES_EligibilitySummary[#Headers])&lt;=ROWS(tbl_ES_Assessment[ActionID]),INDEX(tbl_ES_Assessment[ActionID],ROW()-ROW(tbl_ES_EligibilitySummary[#Headers])),INDEX(tbl_ES_AdditionalActions[AdditionalActionID],ROW()-ROW(tbl_ES_EligibilitySummary[#Headers])-ROWS(tbl_ES_Assessment[ActionID])))</f>
        <v>c40_0053</v>
      </c>
      <c r="D13" s="13" t="str" cm="1">
        <f t="array" ref="D13">IF(ROW()-ROW(tbl_ES_EligibilitySummary[#Headers])&lt;=ROWS(tbl_ES_Assessment[ActionID]),INDEX(tbl_ES_Assessment[ActionName],ROW()-ROW(tbl_ES_EligibilitySummary[#Headers])),INDEX(tbl_ES_AdditionalActions[ActionName],ROW()-ROW(tbl_ES_EligibilitySummary[#Headers])-ROWS(tbl_ES_Assessment[ActionID])))</f>
        <v>Promote water-saving technologies and practices</v>
      </c>
      <c r="E13" s="13" cm="1">
        <f t="array" ref="E13">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13" s="13" t="str" cm="1">
        <f t="array" ref="F13">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13" s="13" t="str" cm="1">
        <f t="array" ref="G13">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13" s="13" cm="1">
        <f t="array" ref="H13">IF(ROW()-ROW(tbl_ES_EligibilitySummary[#Headers])&lt;=ROWS(tbl_ES_Assessment[ActionID]),INDEX(tbl_ES_Assessment[Exposure Eligibility],ROW()-ROW(tbl_ES_EligibilitySummary[#Headers])),INDEX(tbl_ES_AdditionalActions[Exposure Eligibility],ROW()-ROW(tbl_ES_EligibilitySummary[#Headers])-ROWS(tbl_ES_Assessment[ActionID])))</f>
        <v>0</v>
      </c>
      <c r="I13" s="13" t="str" cm="1">
        <f t="array" ref="I13">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13" s="13" t="str" cm="1">
        <f t="array" ref="J13">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13" s="13" cm="1">
        <f t="array" ref="K13">IF(ROW()-ROW(tbl_ES_EligibilitySummary[#Headers])&lt;=ROWS(tbl_ES_Assessment[ActionID]),INDEX(tbl_ES_Assessment[ReviewStatus],ROW()-ROW(tbl_ES_EligibilitySummary[#Headers])),INDEX(tbl_ES_AdditionalActions[ReviewStatus],ROW()-ROW(tbl_ES_EligibilitySummary[#Headers])-ROWS(tbl_ES_Assessment[ActionID])))</f>
        <v>0</v>
      </c>
      <c r="L13" s="87"/>
      <c r="M13" s="87"/>
      <c r="N13" s="87"/>
      <c r="O13" s="87"/>
      <c r="P13" s="87"/>
      <c r="Q13" s="87"/>
      <c r="R13" s="87"/>
      <c r="S13" s="87"/>
      <c r="T13" s="87"/>
      <c r="U13" s="87"/>
      <c r="V13" s="87"/>
      <c r="AA13" s="186"/>
      <c r="AB13" s="186"/>
      <c r="AC13" s="186"/>
      <c r="AD13" s="186"/>
      <c r="AE13" s="186"/>
      <c r="AF13" s="186"/>
      <c r="AG13" s="186"/>
      <c r="AH13" s="186"/>
      <c r="AI13" s="186"/>
      <c r="AJ13" s="186"/>
    </row>
    <row r="14" spans="1:36" s="185" customFormat="1">
      <c r="B14" s="13" t="str" cm="1">
        <f t="array" ref="B14">IF(ROW()-ROW(tbl_ES_EligibilitySummary[#Headers])&lt;=ROWS(tbl_ES_Assessment[ActionID]),"Existing action","Additional action")</f>
        <v>Existing action</v>
      </c>
      <c r="C14" s="13" t="str" cm="1">
        <f t="array" ref="C14">IF(ROW()-ROW(tbl_ES_EligibilitySummary[#Headers])&lt;=ROWS(tbl_ES_Assessment[ActionID]),INDEX(tbl_ES_Assessment[ActionID],ROW()-ROW(tbl_ES_EligibilitySummary[#Headers])),INDEX(tbl_ES_AdditionalActions[AdditionalActionID],ROW()-ROW(tbl_ES_EligibilitySummary[#Headers])-ROWS(tbl_ES_Assessment[ActionID])))</f>
        <v>c40_0056</v>
      </c>
      <c r="D14" s="13" t="str" cm="1">
        <f t="array" ref="D14">IF(ROW()-ROW(tbl_ES_EligibilitySummary[#Headers])&lt;=ROWS(tbl_ES_Assessment[ActionID]),INDEX(tbl_ES_Assessment[ActionName],ROW()-ROW(tbl_ES_EligibilitySummary[#Headers])),INDEX(tbl_ES_AdditionalActions[ActionName],ROW()-ROW(tbl_ES_EligibilitySummary[#Headers])-ROWS(tbl_ES_Assessment[ActionID])))</f>
        <v>Improve Watershed Protection and Management</v>
      </c>
      <c r="E14" s="13" cm="1">
        <f t="array" ref="E14">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14" s="13" t="str" cm="1">
        <f t="array" ref="F14">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14" s="13" t="str" cm="1">
        <f t="array" ref="G14">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14" s="13" cm="1">
        <f t="array" ref="H14">IF(ROW()-ROW(tbl_ES_EligibilitySummary[#Headers])&lt;=ROWS(tbl_ES_Assessment[ActionID]),INDEX(tbl_ES_Assessment[Exposure Eligibility],ROW()-ROW(tbl_ES_EligibilitySummary[#Headers])),INDEX(tbl_ES_AdditionalActions[Exposure Eligibility],ROW()-ROW(tbl_ES_EligibilitySummary[#Headers])-ROWS(tbl_ES_Assessment[ActionID])))</f>
        <v>0</v>
      </c>
      <c r="I14" s="13" t="str" cm="1">
        <f t="array" ref="I14">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14" s="13" t="str" cm="1">
        <f t="array" ref="J14">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14" s="13" cm="1">
        <f t="array" ref="K14">IF(ROW()-ROW(tbl_ES_EligibilitySummary[#Headers])&lt;=ROWS(tbl_ES_Assessment[ActionID]),INDEX(tbl_ES_Assessment[ReviewStatus],ROW()-ROW(tbl_ES_EligibilitySummary[#Headers])),INDEX(tbl_ES_AdditionalActions[ReviewStatus],ROW()-ROW(tbl_ES_EligibilitySummary[#Headers])-ROWS(tbl_ES_Assessment[ActionID])))</f>
        <v>0</v>
      </c>
      <c r="L14" s="87"/>
      <c r="M14" s="87"/>
      <c r="N14" s="87"/>
      <c r="O14" s="87"/>
      <c r="P14" s="87"/>
      <c r="Q14" s="87"/>
      <c r="R14" s="87"/>
      <c r="S14" s="87"/>
      <c r="T14" s="87"/>
      <c r="U14" s="87"/>
      <c r="V14" s="87"/>
      <c r="AA14" s="186"/>
      <c r="AB14" s="186"/>
      <c r="AC14" s="186"/>
      <c r="AD14" s="186"/>
      <c r="AE14" s="186"/>
      <c r="AF14" s="186"/>
      <c r="AG14" s="186"/>
      <c r="AH14" s="186"/>
      <c r="AI14" s="186"/>
      <c r="AJ14" s="186"/>
    </row>
    <row r="15" spans="1:36" s="185" customFormat="1">
      <c r="B15" s="13" t="str" cm="1">
        <f t="array" ref="B15">IF(ROW()-ROW(tbl_ES_EligibilitySummary[#Headers])&lt;=ROWS(tbl_ES_Assessment[ActionID]),"Existing action","Additional action")</f>
        <v>Existing action</v>
      </c>
      <c r="C15" s="13" t="str" cm="1">
        <f t="array" ref="C15">IF(ROW()-ROW(tbl_ES_EligibilitySummary[#Headers])&lt;=ROWS(tbl_ES_Assessment[ActionID]),INDEX(tbl_ES_Assessment[ActionID],ROW()-ROW(tbl_ES_EligibilitySummary[#Headers])),INDEX(tbl_ES_AdditionalActions[AdditionalActionID],ROW()-ROW(tbl_ES_EligibilitySummary[#Headers])-ROWS(tbl_ES_Assessment[ActionID])))</f>
        <v>c40_0062</v>
      </c>
      <c r="D15" s="13" t="str" cm="1">
        <f t="array" ref="D15">IF(ROW()-ROW(tbl_ES_EligibilitySummary[#Headers])&lt;=ROWS(tbl_ES_Assessment[ActionID]),INDEX(tbl_ES_Assessment[ActionName],ROW()-ROW(tbl_ES_EligibilitySummary[#Headers])),INDEX(tbl_ES_AdditionalActions[ActionName],ROW()-ROW(tbl_ES_EligibilitySummary[#Headers])-ROWS(tbl_ES_Assessment[ActionID])))</f>
        <v>Reform water tariffs to support efficiency and equity</v>
      </c>
      <c r="E15" s="13" cm="1">
        <f t="array" ref="E15">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15" s="13" t="str" cm="1">
        <f t="array" ref="F15">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15" s="13" t="str" cm="1">
        <f t="array" ref="G15">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15" s="13" cm="1">
        <f t="array" ref="H15">IF(ROW()-ROW(tbl_ES_EligibilitySummary[#Headers])&lt;=ROWS(tbl_ES_Assessment[ActionID]),INDEX(tbl_ES_Assessment[Exposure Eligibility],ROW()-ROW(tbl_ES_EligibilitySummary[#Headers])),INDEX(tbl_ES_AdditionalActions[Exposure Eligibility],ROW()-ROW(tbl_ES_EligibilitySummary[#Headers])-ROWS(tbl_ES_Assessment[ActionID])))</f>
        <v>0</v>
      </c>
      <c r="I15" s="13" t="str" cm="1">
        <f t="array" ref="I15">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15" s="13" t="str" cm="1">
        <f t="array" ref="J15">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15" s="13" cm="1">
        <f t="array" ref="K15">IF(ROW()-ROW(tbl_ES_EligibilitySummary[#Headers])&lt;=ROWS(tbl_ES_Assessment[ActionID]),INDEX(tbl_ES_Assessment[ReviewStatus],ROW()-ROW(tbl_ES_EligibilitySummary[#Headers])),INDEX(tbl_ES_AdditionalActions[ReviewStatus],ROW()-ROW(tbl_ES_EligibilitySummary[#Headers])-ROWS(tbl_ES_Assessment[ActionID])))</f>
        <v>0</v>
      </c>
      <c r="L15" s="87"/>
      <c r="M15" s="87"/>
      <c r="N15" s="87"/>
      <c r="O15" s="87"/>
      <c r="P15" s="87"/>
      <c r="Q15" s="87"/>
      <c r="R15" s="87"/>
      <c r="S15" s="87"/>
      <c r="T15" s="87"/>
      <c r="U15" s="87"/>
      <c r="V15" s="87"/>
      <c r="AA15" s="186"/>
      <c r="AB15" s="186"/>
      <c r="AC15" s="186"/>
      <c r="AD15" s="186"/>
      <c r="AE15" s="186"/>
      <c r="AF15" s="186"/>
      <c r="AG15" s="186"/>
      <c r="AH15" s="186"/>
      <c r="AI15" s="186"/>
      <c r="AJ15" s="186"/>
    </row>
    <row r="16" spans="1:36" s="185" customFormat="1">
      <c r="B16" s="13" t="str" cm="1">
        <f t="array" ref="B16">IF(ROW()-ROW(tbl_ES_EligibilitySummary[#Headers])&lt;=ROWS(tbl_ES_Assessment[ActionID]),"Existing action","Additional action")</f>
        <v>Existing action</v>
      </c>
      <c r="C16" s="13" t="str" cm="1">
        <f t="array" ref="C16">IF(ROW()-ROW(tbl_ES_EligibilitySummary[#Headers])&lt;=ROWS(tbl_ES_Assessment[ActionID]),INDEX(tbl_ES_Assessment[ActionID],ROW()-ROW(tbl_ES_EligibilitySummary[#Headers])),INDEX(tbl_ES_AdditionalActions[AdditionalActionID],ROW()-ROW(tbl_ES_EligibilitySummary[#Headers])-ROWS(tbl_ES_Assessment[ActionID])))</f>
        <v>icare_0144</v>
      </c>
      <c r="D16" s="13" t="str" cm="1">
        <f t="array" ref="D16">IF(ROW()-ROW(tbl_ES_EligibilitySummary[#Headers])&lt;=ROWS(tbl_ES_Assessment[ActionID]),INDEX(tbl_ES_Assessment[ActionName],ROW()-ROW(tbl_ES_EligibilitySummary[#Headers])),INDEX(tbl_ES_AdditionalActions[ActionName],ROW()-ROW(tbl_ES_EligibilitySummary[#Headers])-ROWS(tbl_ES_Assessment[ActionID])))</f>
        <v>Establish a financial support program for extreme weather events</v>
      </c>
      <c r="E16" s="13" cm="1">
        <f t="array" ref="E16">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16" s="13" t="str" cm="1">
        <f t="array" ref="F16">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16" s="13" t="str" cm="1">
        <f t="array" ref="G16">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16" s="13" cm="1">
        <f t="array" ref="H16">IF(ROW()-ROW(tbl_ES_EligibilitySummary[#Headers])&lt;=ROWS(tbl_ES_Assessment[ActionID]),INDEX(tbl_ES_Assessment[Exposure Eligibility],ROW()-ROW(tbl_ES_EligibilitySummary[#Headers])),INDEX(tbl_ES_AdditionalActions[Exposure Eligibility],ROW()-ROW(tbl_ES_EligibilitySummary[#Headers])-ROWS(tbl_ES_Assessment[ActionID])))</f>
        <v>0</v>
      </c>
      <c r="I16" s="13" t="str" cm="1">
        <f t="array" ref="I16">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16" s="13" t="str" cm="1">
        <f t="array" ref="J16">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16" s="13" cm="1">
        <f t="array" ref="K16">IF(ROW()-ROW(tbl_ES_EligibilitySummary[#Headers])&lt;=ROWS(tbl_ES_Assessment[ActionID]),INDEX(tbl_ES_Assessment[ReviewStatus],ROW()-ROW(tbl_ES_EligibilitySummary[#Headers])),INDEX(tbl_ES_AdditionalActions[ReviewStatus],ROW()-ROW(tbl_ES_EligibilitySummary[#Headers])-ROWS(tbl_ES_Assessment[ActionID])))</f>
        <v>0</v>
      </c>
      <c r="L16" s="87"/>
      <c r="M16" s="87"/>
      <c r="N16" s="87"/>
      <c r="O16" s="87"/>
      <c r="P16" s="87"/>
      <c r="Q16" s="87"/>
      <c r="R16" s="87"/>
      <c r="S16" s="87"/>
      <c r="T16" s="87"/>
      <c r="U16" s="87"/>
      <c r="V16" s="87"/>
      <c r="AA16" s="186"/>
      <c r="AB16" s="186"/>
      <c r="AC16" s="186"/>
      <c r="AD16" s="186"/>
      <c r="AE16" s="186"/>
      <c r="AF16" s="186"/>
      <c r="AG16" s="186"/>
      <c r="AH16" s="186"/>
      <c r="AI16" s="186"/>
      <c r="AJ16" s="186"/>
    </row>
    <row r="17" spans="2:36" s="185" customFormat="1">
      <c r="B17" s="13" t="str" cm="1">
        <f t="array" ref="B17">IF(ROW()-ROW(tbl_ES_EligibilitySummary[#Headers])&lt;=ROWS(tbl_ES_Assessment[ActionID]),"Existing action","Additional action")</f>
        <v>Existing action</v>
      </c>
      <c r="C17" s="13" t="str" cm="1">
        <f t="array" ref="C17">IF(ROW()-ROW(tbl_ES_EligibilitySummary[#Headers])&lt;=ROWS(tbl_ES_Assessment[ActionID]),INDEX(tbl_ES_Assessment[ActionID],ROW()-ROW(tbl_ES_EligibilitySummary[#Headers])),INDEX(tbl_ES_AdditionalActions[AdditionalActionID],ROW()-ROW(tbl_ES_EligibilitySummary[#Headers])-ROWS(tbl_ES_Assessment[ActionID])))</f>
        <v>icare_0145</v>
      </c>
      <c r="D17" s="13" t="str" cm="1">
        <f t="array" ref="D17">IF(ROW()-ROW(tbl_ES_EligibilitySummary[#Headers])&lt;=ROWS(tbl_ES_Assessment[ActionID]),INDEX(tbl_ES_Assessment[ActionName],ROW()-ROW(tbl_ES_EligibilitySummary[#Headers])),INDEX(tbl_ES_AdditionalActions[ActionName],ROW()-ROW(tbl_ES_EligibilitySummary[#Headers])-ROWS(tbl_ES_Assessment[ActionID])))</f>
        <v>Strengthen the healthcare system to respond effectively to extreme events</v>
      </c>
      <c r="E17" s="13" cm="1">
        <f t="array" ref="E17">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17" s="13" t="str" cm="1">
        <f t="array" ref="F17">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17" s="13" t="str" cm="1">
        <f t="array" ref="G17">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17" s="13" cm="1">
        <f t="array" ref="H17">IF(ROW()-ROW(tbl_ES_EligibilitySummary[#Headers])&lt;=ROWS(tbl_ES_Assessment[ActionID]),INDEX(tbl_ES_Assessment[Exposure Eligibility],ROW()-ROW(tbl_ES_EligibilitySummary[#Headers])),INDEX(tbl_ES_AdditionalActions[Exposure Eligibility],ROW()-ROW(tbl_ES_EligibilitySummary[#Headers])-ROWS(tbl_ES_Assessment[ActionID])))</f>
        <v>0</v>
      </c>
      <c r="I17" s="13" t="str" cm="1">
        <f t="array" ref="I17">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17" s="13" t="str" cm="1">
        <f t="array" ref="J17">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17" s="13" cm="1">
        <f t="array" ref="K17">IF(ROW()-ROW(tbl_ES_EligibilitySummary[#Headers])&lt;=ROWS(tbl_ES_Assessment[ActionID]),INDEX(tbl_ES_Assessment[ReviewStatus],ROW()-ROW(tbl_ES_EligibilitySummary[#Headers])),INDEX(tbl_ES_AdditionalActions[ReviewStatus],ROW()-ROW(tbl_ES_EligibilitySummary[#Headers])-ROWS(tbl_ES_Assessment[ActionID])))</f>
        <v>0</v>
      </c>
      <c r="L17" s="87"/>
      <c r="M17" s="87"/>
      <c r="N17" s="87"/>
      <c r="O17" s="87"/>
      <c r="P17" s="87"/>
      <c r="Q17" s="87"/>
      <c r="R17" s="87"/>
      <c r="S17" s="87"/>
      <c r="T17" s="87"/>
      <c r="U17" s="87"/>
      <c r="V17" s="87"/>
      <c r="AA17" s="186"/>
      <c r="AB17" s="186"/>
      <c r="AC17" s="186"/>
      <c r="AD17" s="186"/>
      <c r="AE17" s="186"/>
      <c r="AF17" s="186"/>
      <c r="AG17" s="186"/>
      <c r="AH17" s="186"/>
      <c r="AI17" s="186"/>
      <c r="AJ17" s="186"/>
    </row>
    <row r="18" spans="2:36" s="185" customFormat="1">
      <c r="B18" s="13" t="str" cm="1">
        <f t="array" ref="B18">IF(ROW()-ROW(tbl_ES_EligibilitySummary[#Headers])&lt;=ROWS(tbl_ES_Assessment[ActionID]),"Existing action","Additional action")</f>
        <v>Existing action</v>
      </c>
      <c r="C18" s="13" t="str" cm="1">
        <f t="array" ref="C18">IF(ROW()-ROW(tbl_ES_EligibilitySummary[#Headers])&lt;=ROWS(tbl_ES_Assessment[ActionID]),INDEX(tbl_ES_Assessment[ActionID],ROW()-ROW(tbl_ES_EligibilitySummary[#Headers])),INDEX(tbl_ES_AdditionalActions[AdditionalActionID],ROW()-ROW(tbl_ES_EligibilitySummary[#Headers])-ROWS(tbl_ES_Assessment[ActionID])))</f>
        <v>icare_0154</v>
      </c>
      <c r="D18" s="13" t="str" cm="1">
        <f t="array" ref="D18">IF(ROW()-ROW(tbl_ES_EligibilitySummary[#Headers])&lt;=ROWS(tbl_ES_Assessment[ActionID]),INDEX(tbl_ES_Assessment[ActionName],ROW()-ROW(tbl_ES_EligibilitySummary[#Headers])),INDEX(tbl_ES_AdditionalActions[ActionName],ROW()-ROW(tbl_ES_EligibilitySummary[#Headers])-ROWS(tbl_ES_Assessment[ActionID])))</f>
        <v>Clean and unclog drainage channels and install eco-barriers</v>
      </c>
      <c r="E18" s="13" cm="1">
        <f t="array" ref="E18">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18" s="13" t="str" cm="1">
        <f t="array" ref="F18">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18" s="13" t="str" cm="1">
        <f t="array" ref="G18">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18" s="13" cm="1">
        <f t="array" ref="H18">IF(ROW()-ROW(tbl_ES_EligibilitySummary[#Headers])&lt;=ROWS(tbl_ES_Assessment[ActionID]),INDEX(tbl_ES_Assessment[Exposure Eligibility],ROW()-ROW(tbl_ES_EligibilitySummary[#Headers])),INDEX(tbl_ES_AdditionalActions[Exposure Eligibility],ROW()-ROW(tbl_ES_EligibilitySummary[#Headers])-ROWS(tbl_ES_Assessment[ActionID])))</f>
        <v>0</v>
      </c>
      <c r="I18" s="13" t="str" cm="1">
        <f t="array" ref="I18">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18" s="13" t="str" cm="1">
        <f t="array" ref="J18">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18" s="13" cm="1">
        <f t="array" ref="K18">IF(ROW()-ROW(tbl_ES_EligibilitySummary[#Headers])&lt;=ROWS(tbl_ES_Assessment[ActionID]),INDEX(tbl_ES_Assessment[ReviewStatus],ROW()-ROW(tbl_ES_EligibilitySummary[#Headers])),INDEX(tbl_ES_AdditionalActions[ReviewStatus],ROW()-ROW(tbl_ES_EligibilitySummary[#Headers])-ROWS(tbl_ES_Assessment[ActionID])))</f>
        <v>0</v>
      </c>
      <c r="L18" s="87"/>
      <c r="M18" s="87"/>
      <c r="N18" s="87"/>
      <c r="O18" s="87"/>
      <c r="P18" s="87"/>
      <c r="Q18" s="87"/>
      <c r="R18" s="87"/>
      <c r="S18" s="87"/>
      <c r="T18" s="87"/>
      <c r="U18" s="87"/>
      <c r="V18" s="87"/>
      <c r="AA18" s="186"/>
      <c r="AB18" s="186"/>
      <c r="AC18" s="186"/>
      <c r="AD18" s="186"/>
      <c r="AE18" s="186"/>
      <c r="AF18" s="186"/>
      <c r="AG18" s="186"/>
      <c r="AH18" s="186"/>
      <c r="AI18" s="186"/>
      <c r="AJ18" s="186"/>
    </row>
    <row r="19" spans="2:36" s="185" customFormat="1">
      <c r="B19" s="13" t="str" cm="1">
        <f t="array" ref="B19">IF(ROW()-ROW(tbl_ES_EligibilitySummary[#Headers])&lt;=ROWS(tbl_ES_Assessment[ActionID]),"Existing action","Additional action")</f>
        <v>Existing action</v>
      </c>
      <c r="C19" s="13" t="str" cm="1">
        <f t="array" ref="C19">IF(ROW()-ROW(tbl_ES_EligibilitySummary[#Headers])&lt;=ROWS(tbl_ES_Assessment[ActionID]),INDEX(tbl_ES_Assessment[ActionID],ROW()-ROW(tbl_ES_EligibilitySummary[#Headers])),INDEX(tbl_ES_AdditionalActions[AdditionalActionID],ROW()-ROW(tbl_ES_EligibilitySummary[#Headers])-ROWS(tbl_ES_Assessment[ActionID])))</f>
        <v>icare_0156</v>
      </c>
      <c r="D19" s="13" t="str" cm="1">
        <f t="array" ref="D19">IF(ROW()-ROW(tbl_ES_EligibilitySummary[#Headers])&lt;=ROWS(tbl_ES_Assessment[ActionID]),INDEX(tbl_ES_Assessment[ActionName],ROW()-ROW(tbl_ES_EligibilitySummary[#Headers])),INDEX(tbl_ES_AdditionalActions[ActionName],ROW()-ROW(tbl_ES_EligibilitySummary[#Headers])-ROWS(tbl_ES_Assessment[ActionID])))</f>
        <v>Improve Implementation of urban gardens</v>
      </c>
      <c r="E19" s="13" cm="1">
        <f t="array" ref="E19">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19" s="13" t="str" cm="1">
        <f t="array" ref="F19">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19" s="13" t="str" cm="1">
        <f t="array" ref="G19">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19" s="13" cm="1">
        <f t="array" ref="H19">IF(ROW()-ROW(tbl_ES_EligibilitySummary[#Headers])&lt;=ROWS(tbl_ES_Assessment[ActionID]),INDEX(tbl_ES_Assessment[Exposure Eligibility],ROW()-ROW(tbl_ES_EligibilitySummary[#Headers])),INDEX(tbl_ES_AdditionalActions[Exposure Eligibility],ROW()-ROW(tbl_ES_EligibilitySummary[#Headers])-ROWS(tbl_ES_Assessment[ActionID])))</f>
        <v>0</v>
      </c>
      <c r="I19" s="13" t="str" cm="1">
        <f t="array" ref="I19">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19" s="13" t="str" cm="1">
        <f t="array" ref="J19">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19" s="13" cm="1">
        <f t="array" ref="K19">IF(ROW()-ROW(tbl_ES_EligibilitySummary[#Headers])&lt;=ROWS(tbl_ES_Assessment[ActionID]),INDEX(tbl_ES_Assessment[ReviewStatus],ROW()-ROW(tbl_ES_EligibilitySummary[#Headers])),INDEX(tbl_ES_AdditionalActions[ReviewStatus],ROW()-ROW(tbl_ES_EligibilitySummary[#Headers])-ROWS(tbl_ES_Assessment[ActionID])))</f>
        <v>0</v>
      </c>
      <c r="L19" s="87"/>
      <c r="M19" s="87"/>
      <c r="N19" s="87"/>
      <c r="O19" s="87"/>
      <c r="P19" s="87"/>
      <c r="Q19" s="87"/>
      <c r="R19" s="87"/>
      <c r="S19" s="87"/>
      <c r="T19" s="87"/>
      <c r="U19" s="87"/>
      <c r="V19" s="87"/>
      <c r="AA19" s="186"/>
      <c r="AB19" s="186"/>
      <c r="AC19" s="186"/>
      <c r="AD19" s="186"/>
      <c r="AE19" s="186"/>
      <c r="AF19" s="186"/>
      <c r="AG19" s="186"/>
      <c r="AH19" s="186"/>
      <c r="AI19" s="186"/>
      <c r="AJ19" s="186"/>
    </row>
    <row r="20" spans="2:36" s="185" customFormat="1">
      <c r="B20" s="13" t="str" cm="1">
        <f t="array" ref="B20">IF(ROW()-ROW(tbl_ES_EligibilitySummary[#Headers])&lt;=ROWS(tbl_ES_Assessment[ActionID]),"Existing action","Additional action")</f>
        <v>Existing action</v>
      </c>
      <c r="C20" s="13" t="str" cm="1">
        <f t="array" ref="C20">IF(ROW()-ROW(tbl_ES_EligibilitySummary[#Headers])&lt;=ROWS(tbl_ES_Assessment[ActionID]),INDEX(tbl_ES_Assessment[ActionID],ROW()-ROW(tbl_ES_EligibilitySummary[#Headers])),INDEX(tbl_ES_AdditionalActions[AdditionalActionID],ROW()-ROW(tbl_ES_EligibilitySummary[#Headers])-ROWS(tbl_ES_Assessment[ActionID])))</f>
        <v>icare_0160</v>
      </c>
      <c r="D20" s="13" t="str" cm="1">
        <f t="array" ref="D20">IF(ROW()-ROW(tbl_ES_EligibilitySummary[#Headers])&lt;=ROWS(tbl_ES_Assessment[ActionID]),INDEX(tbl_ES_Assessment[ActionName],ROW()-ROW(tbl_ES_EligibilitySummary[#Headers])),INDEX(tbl_ES_AdditionalActions[ActionName],ROW()-ROW(tbl_ES_EligibilitySummary[#Headers])-ROWS(tbl_ES_Assessment[ActionID])))</f>
        <v>Establish mechanisms for intersectoral coordination and public participation in climate policy</v>
      </c>
      <c r="E20" s="13" cm="1">
        <f t="array" ref="E20">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20" s="13" t="str" cm="1">
        <f t="array" ref="F20">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20" s="13" t="str" cm="1">
        <f t="array" ref="G20">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20" s="13" cm="1">
        <f t="array" ref="H20">IF(ROW()-ROW(tbl_ES_EligibilitySummary[#Headers])&lt;=ROWS(tbl_ES_Assessment[ActionID]),INDEX(tbl_ES_Assessment[Exposure Eligibility],ROW()-ROW(tbl_ES_EligibilitySummary[#Headers])),INDEX(tbl_ES_AdditionalActions[Exposure Eligibility],ROW()-ROW(tbl_ES_EligibilitySummary[#Headers])-ROWS(tbl_ES_Assessment[ActionID])))</f>
        <v>0</v>
      </c>
      <c r="I20" s="13" t="str" cm="1">
        <f t="array" ref="I20">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20" s="13" t="str" cm="1">
        <f t="array" ref="J20">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20" s="13" cm="1">
        <f t="array" ref="K20">IF(ROW()-ROW(tbl_ES_EligibilitySummary[#Headers])&lt;=ROWS(tbl_ES_Assessment[ActionID]),INDEX(tbl_ES_Assessment[ReviewStatus],ROW()-ROW(tbl_ES_EligibilitySummary[#Headers])),INDEX(tbl_ES_AdditionalActions[ReviewStatus],ROW()-ROW(tbl_ES_EligibilitySummary[#Headers])-ROWS(tbl_ES_Assessment[ActionID])))</f>
        <v>0</v>
      </c>
      <c r="L20" s="87"/>
      <c r="M20" s="87"/>
      <c r="N20" s="87"/>
      <c r="O20" s="87"/>
      <c r="P20" s="87"/>
      <c r="Q20" s="87"/>
      <c r="R20" s="87"/>
      <c r="S20" s="87"/>
      <c r="T20" s="87"/>
      <c r="U20" s="87"/>
      <c r="V20" s="87"/>
      <c r="AA20" s="186"/>
      <c r="AB20" s="186"/>
      <c r="AC20" s="186"/>
      <c r="AD20" s="186"/>
      <c r="AE20" s="186"/>
      <c r="AF20" s="186"/>
      <c r="AG20" s="186"/>
      <c r="AH20" s="186"/>
      <c r="AI20" s="186"/>
      <c r="AJ20" s="186"/>
    </row>
    <row r="21" spans="2:36" s="185" customFormat="1">
      <c r="B21" s="13" t="str" cm="1">
        <f t="array" ref="B21">IF(ROW()-ROW(tbl_ES_EligibilitySummary[#Headers])&lt;=ROWS(tbl_ES_Assessment[ActionID]),"Existing action","Additional action")</f>
        <v>Existing action</v>
      </c>
      <c r="C21" s="13" t="str" cm="1">
        <f t="array" ref="C21">IF(ROW()-ROW(tbl_ES_EligibilitySummary[#Headers])&lt;=ROWS(tbl_ES_Assessment[ActionID]),INDEX(tbl_ES_Assessment[ActionID],ROW()-ROW(tbl_ES_EligibilitySummary[#Headers])),INDEX(tbl_ES_AdditionalActions[AdditionalActionID],ROW()-ROW(tbl_ES_EligibilitySummary[#Headers])-ROWS(tbl_ES_Assessment[ActionID])))</f>
        <v>icare_0162</v>
      </c>
      <c r="D21" s="13" t="str" cm="1">
        <f t="array" ref="D21">IF(ROW()-ROW(tbl_ES_EligibilitySummary[#Headers])&lt;=ROWS(tbl_ES_Assessment[ActionID]),INDEX(tbl_ES_Assessment[ActionName],ROW()-ROW(tbl_ES_EligibilitySummary[#Headers])),INDEX(tbl_ES_AdditionalActions[ActionName],ROW()-ROW(tbl_ES_EligibilitySummary[#Headers])-ROWS(tbl_ES_Assessment[ActionID])))</f>
        <v>Strengthen programs for control and conservation of protected areas</v>
      </c>
      <c r="E21" s="13" cm="1">
        <f t="array" ref="E21">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21" s="13" t="str" cm="1">
        <f t="array" ref="F21">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21" s="13" t="str" cm="1">
        <f t="array" ref="G21">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21" s="13" cm="1">
        <f t="array" ref="H21">IF(ROW()-ROW(tbl_ES_EligibilitySummary[#Headers])&lt;=ROWS(tbl_ES_Assessment[ActionID]),INDEX(tbl_ES_Assessment[Exposure Eligibility],ROW()-ROW(tbl_ES_EligibilitySummary[#Headers])),INDEX(tbl_ES_AdditionalActions[Exposure Eligibility],ROW()-ROW(tbl_ES_EligibilitySummary[#Headers])-ROWS(tbl_ES_Assessment[ActionID])))</f>
        <v>0</v>
      </c>
      <c r="I21" s="13" t="str" cm="1">
        <f t="array" ref="I21">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21" s="13" t="str" cm="1">
        <f t="array" ref="J21">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21" s="13" cm="1">
        <f t="array" ref="K21">IF(ROW()-ROW(tbl_ES_EligibilitySummary[#Headers])&lt;=ROWS(tbl_ES_Assessment[ActionID]),INDEX(tbl_ES_Assessment[ReviewStatus],ROW()-ROW(tbl_ES_EligibilitySummary[#Headers])),INDEX(tbl_ES_AdditionalActions[ReviewStatus],ROW()-ROW(tbl_ES_EligibilitySummary[#Headers])-ROWS(tbl_ES_Assessment[ActionID])))</f>
        <v>0</v>
      </c>
      <c r="L21" s="87"/>
      <c r="M21" s="87"/>
      <c r="N21" s="87"/>
      <c r="O21" s="87"/>
      <c r="P21" s="87"/>
      <c r="Q21" s="87"/>
      <c r="R21" s="87"/>
      <c r="S21" s="87"/>
      <c r="T21" s="87"/>
      <c r="U21" s="87"/>
      <c r="V21" s="87"/>
      <c r="AA21" s="186"/>
      <c r="AB21" s="186"/>
      <c r="AC21" s="186"/>
      <c r="AD21" s="186"/>
      <c r="AE21" s="186"/>
      <c r="AF21" s="186"/>
      <c r="AG21" s="186"/>
      <c r="AH21" s="186"/>
      <c r="AI21" s="186"/>
      <c r="AJ21" s="186"/>
    </row>
    <row r="22" spans="2:36" s="185" customFormat="1">
      <c r="B22" s="13" t="str" cm="1">
        <f t="array" ref="B22">IF(ROW()-ROW(tbl_ES_EligibilitySummary[#Headers])&lt;=ROWS(tbl_ES_Assessment[ActionID]),"Existing action","Additional action")</f>
        <v>Existing action</v>
      </c>
      <c r="C22" s="13" t="str" cm="1">
        <f t="array" ref="C22">IF(ROW()-ROW(tbl_ES_EligibilitySummary[#Headers])&lt;=ROWS(tbl_ES_Assessment[ActionID]),INDEX(tbl_ES_Assessment[ActionID],ROW()-ROW(tbl_ES_EligibilitySummary[#Headers])),INDEX(tbl_ES_AdditionalActions[AdditionalActionID],ROW()-ROW(tbl_ES_EligibilitySummary[#Headers])-ROWS(tbl_ES_Assessment[ActionID])))</f>
        <v>icare_0163</v>
      </c>
      <c r="D22" s="13" t="str" cm="1">
        <f t="array" ref="D22">IF(ROW()-ROW(tbl_ES_EligibilitySummary[#Headers])&lt;=ROWS(tbl_ES_Assessment[ActionID]),INDEX(tbl_ES_Assessment[ActionName],ROW()-ROW(tbl_ES_EligibilitySummary[#Headers])),INDEX(tbl_ES_AdditionalActions[ActionName],ROW()-ROW(tbl_ES_EligibilitySummary[#Headers])-ROWS(tbl_ES_Assessment[ActionID])))</f>
        <v>Establish a first‑response firefighting brigade</v>
      </c>
      <c r="E22" s="13" cm="1">
        <f t="array" ref="E22">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22" s="13" t="str" cm="1">
        <f t="array" ref="F22">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22" s="13" t="str" cm="1">
        <f t="array" ref="G22">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22" s="13" cm="1">
        <f t="array" ref="H22">IF(ROW()-ROW(tbl_ES_EligibilitySummary[#Headers])&lt;=ROWS(tbl_ES_Assessment[ActionID]),INDEX(tbl_ES_Assessment[Exposure Eligibility],ROW()-ROW(tbl_ES_EligibilitySummary[#Headers])),INDEX(tbl_ES_AdditionalActions[Exposure Eligibility],ROW()-ROW(tbl_ES_EligibilitySummary[#Headers])-ROWS(tbl_ES_Assessment[ActionID])))</f>
        <v>0</v>
      </c>
      <c r="I22" s="13" t="str" cm="1">
        <f t="array" ref="I22">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22" s="13" t="str" cm="1">
        <f t="array" ref="J22">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22" s="13" cm="1">
        <f t="array" ref="K22">IF(ROW()-ROW(tbl_ES_EligibilitySummary[#Headers])&lt;=ROWS(tbl_ES_Assessment[ActionID]),INDEX(tbl_ES_Assessment[ReviewStatus],ROW()-ROW(tbl_ES_EligibilitySummary[#Headers])),INDEX(tbl_ES_AdditionalActions[ReviewStatus],ROW()-ROW(tbl_ES_EligibilitySummary[#Headers])-ROWS(tbl_ES_Assessment[ActionID])))</f>
        <v>0</v>
      </c>
      <c r="L22" s="87"/>
      <c r="M22" s="87"/>
      <c r="N22" s="87"/>
      <c r="O22" s="87"/>
      <c r="P22" s="87"/>
      <c r="Q22" s="87"/>
      <c r="R22" s="87"/>
      <c r="S22" s="87"/>
      <c r="T22" s="87"/>
      <c r="U22" s="87"/>
      <c r="V22" s="87"/>
      <c r="AA22" s="186"/>
      <c r="AB22" s="186"/>
      <c r="AC22" s="186"/>
      <c r="AD22" s="186"/>
      <c r="AE22" s="186"/>
      <c r="AF22" s="186"/>
      <c r="AG22" s="186"/>
      <c r="AH22" s="186"/>
      <c r="AI22" s="186"/>
      <c r="AJ22" s="186"/>
    </row>
    <row r="23" spans="2:36" s="185" customFormat="1">
      <c r="B23" s="13" t="str" cm="1">
        <f t="array" ref="B23">IF(ROW()-ROW(tbl_ES_EligibilitySummary[#Headers])&lt;=ROWS(tbl_ES_Assessment[ActionID]),"Existing action","Additional action")</f>
        <v>Existing action</v>
      </c>
      <c r="C23" s="13" t="str" cm="1">
        <f t="array" ref="C23">IF(ROW()-ROW(tbl_ES_EligibilitySummary[#Headers])&lt;=ROWS(tbl_ES_Assessment[ActionID]),INDEX(tbl_ES_Assessment[ActionID],ROW()-ROW(tbl_ES_EligibilitySummary[#Headers])),INDEX(tbl_ES_AdditionalActions[AdditionalActionID],ROW()-ROW(tbl_ES_EligibilitySummary[#Headers])-ROWS(tbl_ES_Assessment[ActionID])))</f>
        <v>icare_0164</v>
      </c>
      <c r="D23" s="13" t="str" cm="1">
        <f t="array" ref="D23">IF(ROW()-ROW(tbl_ES_EligibilitySummary[#Headers])&lt;=ROWS(tbl_ES_Assessment[ActionID]),INDEX(tbl_ES_Assessment[ActionName],ROW()-ROW(tbl_ES_EligibilitySummary[#Headers])),INDEX(tbl_ES_AdditionalActions[ActionName],ROW()-ROW(tbl_ES_EligibilitySummary[#Headers])-ROWS(tbl_ES_Assessment[ActionID])))</f>
        <v>Improve Hydrological Monitoring System with Telemetry Stations</v>
      </c>
      <c r="E23" s="13" cm="1">
        <f t="array" ref="E23">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23" s="13" t="str" cm="1">
        <f t="array" ref="F23">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23" s="13" t="str" cm="1">
        <f t="array" ref="G23">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23" s="13" cm="1">
        <f t="array" ref="H23">IF(ROW()-ROW(tbl_ES_EligibilitySummary[#Headers])&lt;=ROWS(tbl_ES_Assessment[ActionID]),INDEX(tbl_ES_Assessment[Exposure Eligibility],ROW()-ROW(tbl_ES_EligibilitySummary[#Headers])),INDEX(tbl_ES_AdditionalActions[Exposure Eligibility],ROW()-ROW(tbl_ES_EligibilitySummary[#Headers])-ROWS(tbl_ES_Assessment[ActionID])))</f>
        <v>0</v>
      </c>
      <c r="I23" s="13" t="str" cm="1">
        <f t="array" ref="I23">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23" s="13" t="str" cm="1">
        <f t="array" ref="J23">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23" s="13" cm="1">
        <f t="array" ref="K23">IF(ROW()-ROW(tbl_ES_EligibilitySummary[#Headers])&lt;=ROWS(tbl_ES_Assessment[ActionID]),INDEX(tbl_ES_Assessment[ReviewStatus],ROW()-ROW(tbl_ES_EligibilitySummary[#Headers])),INDEX(tbl_ES_AdditionalActions[ReviewStatus],ROW()-ROW(tbl_ES_EligibilitySummary[#Headers])-ROWS(tbl_ES_Assessment[ActionID])))</f>
        <v>0</v>
      </c>
      <c r="L23" s="87"/>
      <c r="M23" s="87"/>
      <c r="N23" s="87"/>
      <c r="O23" s="87"/>
      <c r="P23" s="87"/>
      <c r="Q23" s="87"/>
      <c r="R23" s="87"/>
      <c r="S23" s="87"/>
      <c r="T23" s="87"/>
      <c r="U23" s="87"/>
      <c r="V23" s="87"/>
      <c r="AA23" s="186"/>
      <c r="AB23" s="186"/>
      <c r="AC23" s="186"/>
      <c r="AD23" s="186"/>
      <c r="AE23" s="186"/>
      <c r="AF23" s="186"/>
      <c r="AG23" s="186"/>
      <c r="AH23" s="186"/>
      <c r="AI23" s="186"/>
      <c r="AJ23" s="186"/>
    </row>
    <row r="24" spans="2:36" s="185" customFormat="1">
      <c r="B24" s="13" t="str" cm="1">
        <f t="array" ref="B24">IF(ROW()-ROW(tbl_ES_EligibilitySummary[#Headers])&lt;=ROWS(tbl_ES_Assessment[ActionID]),"Existing action","Additional action")</f>
        <v>Existing action</v>
      </c>
      <c r="C24" s="13" t="str" cm="1">
        <f t="array" ref="C24">IF(ROW()-ROW(tbl_ES_EligibilitySummary[#Headers])&lt;=ROWS(tbl_ES_Assessment[ActionID]),INDEX(tbl_ES_Assessment[ActionID],ROW()-ROW(tbl_ES_EligibilitySummary[#Headers])),INDEX(tbl_ES_AdditionalActions[AdditionalActionID],ROW()-ROW(tbl_ES_EligibilitySummary[#Headers])-ROWS(tbl_ES_Assessment[ActionID])))</f>
        <v>icare_0165</v>
      </c>
      <c r="D24" s="13" t="str" cm="1">
        <f t="array" ref="D24">IF(ROW()-ROW(tbl_ES_EligibilitySummary[#Headers])&lt;=ROWS(tbl_ES_Assessment[ActionID]),INDEX(tbl_ES_Assessment[ActionName],ROW()-ROW(tbl_ES_EligibilitySummary[#Headers])),INDEX(tbl_ES_AdditionalActions[ActionName],ROW()-ROW(tbl_ES_EligibilitySummary[#Headers])-ROWS(tbl_ES_Assessment[ActionID])))</f>
        <v>Develop an Environmental Education Plan</v>
      </c>
      <c r="E24" s="13" cm="1">
        <f t="array" ref="E24">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24" s="13" t="str" cm="1">
        <f t="array" ref="F24">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24" s="13" t="str" cm="1">
        <f t="array" ref="G24">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24" s="13" cm="1">
        <f t="array" ref="H24">IF(ROW()-ROW(tbl_ES_EligibilitySummary[#Headers])&lt;=ROWS(tbl_ES_Assessment[ActionID]),INDEX(tbl_ES_Assessment[Exposure Eligibility],ROW()-ROW(tbl_ES_EligibilitySummary[#Headers])),INDEX(tbl_ES_AdditionalActions[Exposure Eligibility],ROW()-ROW(tbl_ES_EligibilitySummary[#Headers])-ROWS(tbl_ES_Assessment[ActionID])))</f>
        <v>0</v>
      </c>
      <c r="I24" s="13" t="str" cm="1">
        <f t="array" ref="I24">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24" s="13" t="str" cm="1">
        <f t="array" ref="J24">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24" s="13" cm="1">
        <f t="array" ref="K24">IF(ROW()-ROW(tbl_ES_EligibilitySummary[#Headers])&lt;=ROWS(tbl_ES_Assessment[ActionID]),INDEX(tbl_ES_Assessment[ReviewStatus],ROW()-ROW(tbl_ES_EligibilitySummary[#Headers])),INDEX(tbl_ES_AdditionalActions[ReviewStatus],ROW()-ROW(tbl_ES_EligibilitySummary[#Headers])-ROWS(tbl_ES_Assessment[ActionID])))</f>
        <v>0</v>
      </c>
      <c r="L24" s="87"/>
      <c r="M24" s="87"/>
      <c r="N24" s="87"/>
      <c r="O24" s="87"/>
      <c r="P24" s="87"/>
      <c r="Q24" s="87"/>
      <c r="R24" s="87"/>
      <c r="S24" s="87"/>
      <c r="T24" s="87"/>
      <c r="U24" s="87"/>
      <c r="V24" s="87"/>
      <c r="AA24" s="186"/>
      <c r="AB24" s="186"/>
      <c r="AC24" s="186"/>
      <c r="AD24" s="186"/>
      <c r="AE24" s="186"/>
      <c r="AF24" s="186"/>
      <c r="AG24" s="186"/>
      <c r="AH24" s="186"/>
      <c r="AI24" s="186"/>
      <c r="AJ24" s="186"/>
    </row>
    <row r="25" spans="2:36" s="185" customFormat="1">
      <c r="B25" s="13" t="str" cm="1">
        <f t="array" ref="B25">IF(ROW()-ROW(tbl_ES_EligibilitySummary[#Headers])&lt;=ROWS(tbl_ES_Assessment[ActionID]),"Existing action","Additional action")</f>
        <v>Existing action</v>
      </c>
      <c r="C25" s="13" t="str" cm="1">
        <f t="array" ref="C25">IF(ROW()-ROW(tbl_ES_EligibilitySummary[#Headers])&lt;=ROWS(tbl_ES_Assessment[ActionID]),INDEX(tbl_ES_Assessment[ActionID],ROW()-ROW(tbl_ES_EligibilitySummary[#Headers])),INDEX(tbl_ES_AdditionalActions[AdditionalActionID],ROW()-ROW(tbl_ES_EligibilitySummary[#Headers])-ROWS(tbl_ES_Assessment[ActionID])))</f>
        <v>icare_0169</v>
      </c>
      <c r="D25" s="13" t="str" cm="1">
        <f t="array" ref="D25">IF(ROW()-ROW(tbl_ES_EligibilitySummary[#Headers])&lt;=ROWS(tbl_ES_Assessment[ActionID]),INDEX(tbl_ES_Assessment[ActionName],ROW()-ROW(tbl_ES_EligibilitySummary[#Headers])),INDEX(tbl_ES_AdditionalActions[ActionName],ROW()-ROW(tbl_ES_EligibilitySummary[#Headers])-ROWS(tbl_ES_Assessment[ActionID])))</f>
        <v>Establish a Plan for Preparation and Emergency Response Measures in the event of extreme weather events</v>
      </c>
      <c r="E25" s="13" cm="1">
        <f t="array" ref="E25">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25" s="13" t="str" cm="1">
        <f t="array" ref="F25">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25" s="13" t="str" cm="1">
        <f t="array" ref="G25">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25" s="13" cm="1">
        <f t="array" ref="H25">IF(ROW()-ROW(tbl_ES_EligibilitySummary[#Headers])&lt;=ROWS(tbl_ES_Assessment[ActionID]),INDEX(tbl_ES_Assessment[Exposure Eligibility],ROW()-ROW(tbl_ES_EligibilitySummary[#Headers])),INDEX(tbl_ES_AdditionalActions[Exposure Eligibility],ROW()-ROW(tbl_ES_EligibilitySummary[#Headers])-ROWS(tbl_ES_Assessment[ActionID])))</f>
        <v>0</v>
      </c>
      <c r="I25" s="13" t="str" cm="1">
        <f t="array" ref="I25">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25" s="13" t="str" cm="1">
        <f t="array" ref="J25">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25" s="13" cm="1">
        <f t="array" ref="K25">IF(ROW()-ROW(tbl_ES_EligibilitySummary[#Headers])&lt;=ROWS(tbl_ES_Assessment[ActionID]),INDEX(tbl_ES_Assessment[ReviewStatus],ROW()-ROW(tbl_ES_EligibilitySummary[#Headers])),INDEX(tbl_ES_AdditionalActions[ReviewStatus],ROW()-ROW(tbl_ES_EligibilitySummary[#Headers])-ROWS(tbl_ES_Assessment[ActionID])))</f>
        <v>0</v>
      </c>
      <c r="L25" s="87"/>
      <c r="M25" s="87"/>
      <c r="N25" s="87"/>
      <c r="O25" s="87"/>
      <c r="P25" s="87"/>
      <c r="Q25" s="87"/>
      <c r="R25" s="87"/>
      <c r="S25" s="87"/>
      <c r="T25" s="87"/>
      <c r="U25" s="87"/>
      <c r="V25" s="87"/>
      <c r="AA25" s="186"/>
      <c r="AB25" s="186"/>
      <c r="AC25" s="186"/>
      <c r="AD25" s="186"/>
      <c r="AE25" s="186"/>
      <c r="AF25" s="186"/>
      <c r="AG25" s="186"/>
      <c r="AH25" s="186"/>
      <c r="AI25" s="186"/>
      <c r="AJ25" s="186"/>
    </row>
    <row r="26" spans="2:36" s="185" customFormat="1">
      <c r="B26" s="13" t="str" cm="1">
        <f t="array" ref="B26">IF(ROW()-ROW(tbl_ES_EligibilitySummary[#Headers])&lt;=ROWS(tbl_ES_Assessment[ActionID]),"Existing action","Additional action")</f>
        <v>Existing action</v>
      </c>
      <c r="C26" s="13" t="str" cm="1">
        <f t="array" ref="C26">IF(ROW()-ROW(tbl_ES_EligibilitySummary[#Headers])&lt;=ROWS(tbl_ES_Assessment[ActionID]),INDEX(tbl_ES_Assessment[ActionID],ROW()-ROW(tbl_ES_EligibilitySummary[#Headers])),INDEX(tbl_ES_AdditionalActions[AdditionalActionID],ROW()-ROW(tbl_ES_EligibilitySummary[#Headers])-ROWS(tbl_ES_Assessment[ActionID])))</f>
        <v>icare_0170</v>
      </c>
      <c r="D26" s="13" t="str" cm="1">
        <f t="array" ref="D26">IF(ROW()-ROW(tbl_ES_EligibilitySummary[#Headers])&lt;=ROWS(tbl_ES_Assessment[ActionID]),INDEX(tbl_ES_Assessment[ActionName],ROW()-ROW(tbl_ES_EligibilitySummary[#Headers])),INDEX(tbl_ES_AdditionalActions[ActionName],ROW()-ROW(tbl_ES_EligibilitySummary[#Headers])-ROWS(tbl_ES_Assessment[ActionID])))</f>
        <v>Build safe housing and implement urban rehabilitation projects for populations living in high-risk areas</v>
      </c>
      <c r="E26" s="13" cm="1">
        <f t="array" ref="E26">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26" s="13" t="str" cm="1">
        <f t="array" ref="F26">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26" s="13" t="str" cm="1">
        <f t="array" ref="G26">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26" s="13" cm="1">
        <f t="array" ref="H26">IF(ROW()-ROW(tbl_ES_EligibilitySummary[#Headers])&lt;=ROWS(tbl_ES_Assessment[ActionID]),INDEX(tbl_ES_Assessment[Exposure Eligibility],ROW()-ROW(tbl_ES_EligibilitySummary[#Headers])),INDEX(tbl_ES_AdditionalActions[Exposure Eligibility],ROW()-ROW(tbl_ES_EligibilitySummary[#Headers])-ROWS(tbl_ES_Assessment[ActionID])))</f>
        <v>0</v>
      </c>
      <c r="I26" s="13" t="str" cm="1">
        <f t="array" ref="I26">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26" s="13" t="str" cm="1">
        <f t="array" ref="J26">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26" s="13" cm="1">
        <f t="array" ref="K26">IF(ROW()-ROW(tbl_ES_EligibilitySummary[#Headers])&lt;=ROWS(tbl_ES_Assessment[ActionID]),INDEX(tbl_ES_Assessment[ReviewStatus],ROW()-ROW(tbl_ES_EligibilitySummary[#Headers])),INDEX(tbl_ES_AdditionalActions[ReviewStatus],ROW()-ROW(tbl_ES_EligibilitySummary[#Headers])-ROWS(tbl_ES_Assessment[ActionID])))</f>
        <v>0</v>
      </c>
      <c r="L26" s="87"/>
      <c r="M26" s="87"/>
      <c r="N26" s="87"/>
      <c r="O26" s="87"/>
      <c r="P26" s="87"/>
      <c r="Q26" s="87"/>
      <c r="R26" s="87"/>
      <c r="S26" s="87"/>
      <c r="T26" s="87"/>
      <c r="U26" s="87"/>
      <c r="V26" s="87"/>
      <c r="AA26" s="186"/>
      <c r="AB26" s="186"/>
      <c r="AC26" s="186"/>
      <c r="AD26" s="186"/>
      <c r="AE26" s="186"/>
      <c r="AF26" s="186"/>
      <c r="AG26" s="186"/>
      <c r="AH26" s="186"/>
      <c r="AI26" s="186"/>
      <c r="AJ26" s="186"/>
    </row>
    <row r="27" spans="2:36" s="185" customFormat="1">
      <c r="B27" s="13" t="str" cm="1">
        <f t="array" ref="B27">IF(ROW()-ROW(tbl_ES_EligibilitySummary[#Headers])&lt;=ROWS(tbl_ES_Assessment[ActionID]),"Existing action","Additional action")</f>
        <v>Existing action</v>
      </c>
      <c r="C27" s="13" t="str" cm="1">
        <f t="array" ref="C27">IF(ROW()-ROW(tbl_ES_EligibilitySummary[#Headers])&lt;=ROWS(tbl_ES_Assessment[ActionID]),INDEX(tbl_ES_Assessment[ActionID],ROW()-ROW(tbl_ES_EligibilitySummary[#Headers])),INDEX(tbl_ES_AdditionalActions[AdditionalActionID],ROW()-ROW(tbl_ES_EligibilitySummary[#Headers])-ROWS(tbl_ES_Assessment[ActionID])))</f>
        <v>icare_0171</v>
      </c>
      <c r="D27" s="13" t="str" cm="1">
        <f t="array" ref="D27">IF(ROW()-ROW(tbl_ES_EligibilitySummary[#Headers])&lt;=ROWS(tbl_ES_Assessment[ActionID]),INDEX(tbl_ES_Assessment[ActionName],ROW()-ROW(tbl_ES_EligibilitySummary[#Headers])),INDEX(tbl_ES_AdditionalActions[ActionName],ROW()-ROW(tbl_ES_EligibilitySummary[#Headers])-ROWS(tbl_ES_Assessment[ActionID])))</f>
        <v>Improve the hydrometeorological forecasting, monitoring, and alert system for climate risks</v>
      </c>
      <c r="E27" s="13" cm="1">
        <f t="array" ref="E27">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27" s="13" t="str" cm="1">
        <f t="array" ref="F27">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27" s="13" t="str" cm="1">
        <f t="array" ref="G27">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27" s="13" cm="1">
        <f t="array" ref="H27">IF(ROW()-ROW(tbl_ES_EligibilitySummary[#Headers])&lt;=ROWS(tbl_ES_Assessment[ActionID]),INDEX(tbl_ES_Assessment[Exposure Eligibility],ROW()-ROW(tbl_ES_EligibilitySummary[#Headers])),INDEX(tbl_ES_AdditionalActions[Exposure Eligibility],ROW()-ROW(tbl_ES_EligibilitySummary[#Headers])-ROWS(tbl_ES_Assessment[ActionID])))</f>
        <v>0</v>
      </c>
      <c r="I27" s="13" t="str" cm="1">
        <f t="array" ref="I27">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27" s="13" t="str" cm="1">
        <f t="array" ref="J27">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27" s="13" cm="1">
        <f t="array" ref="K27">IF(ROW()-ROW(tbl_ES_EligibilitySummary[#Headers])&lt;=ROWS(tbl_ES_Assessment[ActionID]),INDEX(tbl_ES_Assessment[ReviewStatus],ROW()-ROW(tbl_ES_EligibilitySummary[#Headers])),INDEX(tbl_ES_AdditionalActions[ReviewStatus],ROW()-ROW(tbl_ES_EligibilitySummary[#Headers])-ROWS(tbl_ES_Assessment[ActionID])))</f>
        <v>0</v>
      </c>
      <c r="L27" s="87"/>
      <c r="M27" s="87"/>
      <c r="N27" s="87"/>
      <c r="O27" s="87"/>
      <c r="P27" s="87"/>
      <c r="Q27" s="87"/>
      <c r="R27" s="87"/>
      <c r="S27" s="87"/>
      <c r="T27" s="87"/>
      <c r="U27" s="87"/>
      <c r="V27" s="87"/>
      <c r="AA27" s="186"/>
      <c r="AB27" s="186"/>
      <c r="AC27" s="186"/>
      <c r="AD27" s="186"/>
      <c r="AE27" s="186"/>
      <c r="AF27" s="186"/>
      <c r="AG27" s="186"/>
      <c r="AH27" s="186"/>
      <c r="AI27" s="186"/>
      <c r="AJ27" s="186"/>
    </row>
    <row r="28" spans="2:36" s="185" customFormat="1">
      <c r="B28" s="13" t="str" cm="1">
        <f t="array" ref="B28">IF(ROW()-ROW(tbl_ES_EligibilitySummary[#Headers])&lt;=ROWS(tbl_ES_Assessment[ActionID]),"Existing action","Additional action")</f>
        <v>Existing action</v>
      </c>
      <c r="C28" s="13" t="str" cm="1">
        <f t="array" ref="C28">IF(ROW()-ROW(tbl_ES_EligibilitySummary[#Headers])&lt;=ROWS(tbl_ES_Assessment[ActionID]),INDEX(tbl_ES_Assessment[ActionID],ROW()-ROW(tbl_ES_EligibilitySummary[#Headers])),INDEX(tbl_ES_AdditionalActions[AdditionalActionID],ROW()-ROW(tbl_ES_EligibilitySummary[#Headers])-ROWS(tbl_ES_Assessment[ActionID])))</f>
        <v>icare_0172</v>
      </c>
      <c r="D28" s="13" t="str" cm="1">
        <f t="array" ref="D28">IF(ROW()-ROW(tbl_ES_EligibilitySummary[#Headers])&lt;=ROWS(tbl_ES_Assessment[ActionID]),INDEX(tbl_ES_Assessment[ActionName],ROW()-ROW(tbl_ES_EligibilitySummary[#Headers])),INDEX(tbl_ES_AdditionalActions[ActionName],ROW()-ROW(tbl_ES_EligibilitySummary[#Headers])-ROWS(tbl_ES_Assessment[ActionID])))</f>
        <v>Develop and implement the Municipal Risk Reduction Plan (PMRR) and identify population groups vulnerable to climate risks.</v>
      </c>
      <c r="E28" s="13" cm="1">
        <f t="array" ref="E28">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28" s="13" t="str" cm="1">
        <f t="array" ref="F28">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28" s="13" t="str" cm="1">
        <f t="array" ref="G28">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28" s="13" cm="1">
        <f t="array" ref="H28">IF(ROW()-ROW(tbl_ES_EligibilitySummary[#Headers])&lt;=ROWS(tbl_ES_Assessment[ActionID]),INDEX(tbl_ES_Assessment[Exposure Eligibility],ROW()-ROW(tbl_ES_EligibilitySummary[#Headers])),INDEX(tbl_ES_AdditionalActions[Exposure Eligibility],ROW()-ROW(tbl_ES_EligibilitySummary[#Headers])-ROWS(tbl_ES_Assessment[ActionID])))</f>
        <v>0</v>
      </c>
      <c r="I28" s="13" t="str" cm="1">
        <f t="array" ref="I28">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28" s="13" t="str" cm="1">
        <f t="array" ref="J28">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28" s="13" cm="1">
        <f t="array" ref="K28">IF(ROW()-ROW(tbl_ES_EligibilitySummary[#Headers])&lt;=ROWS(tbl_ES_Assessment[ActionID]),INDEX(tbl_ES_Assessment[ReviewStatus],ROW()-ROW(tbl_ES_EligibilitySummary[#Headers])),INDEX(tbl_ES_AdditionalActions[ReviewStatus],ROW()-ROW(tbl_ES_EligibilitySummary[#Headers])-ROWS(tbl_ES_Assessment[ActionID])))</f>
        <v>0</v>
      </c>
      <c r="L28" s="87"/>
      <c r="M28" s="87"/>
      <c r="N28" s="87"/>
      <c r="O28" s="87"/>
      <c r="P28" s="87"/>
      <c r="Q28" s="87"/>
      <c r="R28" s="87"/>
      <c r="S28" s="87"/>
      <c r="T28" s="87"/>
      <c r="U28" s="87"/>
      <c r="V28" s="87"/>
      <c r="AA28" s="186"/>
      <c r="AB28" s="186"/>
      <c r="AC28" s="186"/>
      <c r="AD28" s="186"/>
      <c r="AE28" s="186"/>
      <c r="AF28" s="186"/>
      <c r="AG28" s="186"/>
      <c r="AH28" s="186"/>
      <c r="AI28" s="186"/>
      <c r="AJ28" s="186"/>
    </row>
    <row r="29" spans="2:36" s="185" customFormat="1">
      <c r="B29" s="13" t="str" cm="1">
        <f t="array" ref="B29">IF(ROW()-ROW(tbl_ES_EligibilitySummary[#Headers])&lt;=ROWS(tbl_ES_Assessment[ActionID]),"Existing action","Additional action")</f>
        <v>Existing action</v>
      </c>
      <c r="C29" s="13" t="str" cm="1">
        <f t="array" ref="C29">IF(ROW()-ROW(tbl_ES_EligibilitySummary[#Headers])&lt;=ROWS(tbl_ES_Assessment[ActionID]),INDEX(tbl_ES_Assessment[ActionID],ROW()-ROW(tbl_ES_EligibilitySummary[#Headers])),INDEX(tbl_ES_AdditionalActions[AdditionalActionID],ROW()-ROW(tbl_ES_EligibilitySummary[#Headers])-ROWS(tbl_ES_Assessment[ActionID])))</f>
        <v>icare_0173</v>
      </c>
      <c r="D29" s="13" t="str" cm="1">
        <f t="array" ref="D29">IF(ROW()-ROW(tbl_ES_EligibilitySummary[#Headers])&lt;=ROWS(tbl_ES_Assessment[ActionID]),INDEX(tbl_ES_Assessment[ActionName],ROW()-ROW(tbl_ES_EligibilitySummary[#Headers])),INDEX(tbl_ES_AdditionalActions[ActionName],ROW()-ROW(tbl_ES_EligibilitySummary[#Headers])-ROWS(tbl_ES_Assessment[ActionID])))</f>
        <v>Preventive maintenance of drainage systems</v>
      </c>
      <c r="E29" s="13" cm="1">
        <f t="array" ref="E29">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29" s="13" t="str" cm="1">
        <f t="array" ref="F29">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29" s="13" t="str" cm="1">
        <f t="array" ref="G29">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29" s="13" cm="1">
        <f t="array" ref="H29">IF(ROW()-ROW(tbl_ES_EligibilitySummary[#Headers])&lt;=ROWS(tbl_ES_Assessment[ActionID]),INDEX(tbl_ES_Assessment[Exposure Eligibility],ROW()-ROW(tbl_ES_EligibilitySummary[#Headers])),INDEX(tbl_ES_AdditionalActions[Exposure Eligibility],ROW()-ROW(tbl_ES_EligibilitySummary[#Headers])-ROWS(tbl_ES_Assessment[ActionID])))</f>
        <v>0</v>
      </c>
      <c r="I29" s="13" t="str" cm="1">
        <f t="array" ref="I29">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29" s="13" t="str" cm="1">
        <f t="array" ref="J29">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29" s="13" cm="1">
        <f t="array" ref="K29">IF(ROW()-ROW(tbl_ES_EligibilitySummary[#Headers])&lt;=ROWS(tbl_ES_Assessment[ActionID]),INDEX(tbl_ES_Assessment[ReviewStatus],ROW()-ROW(tbl_ES_EligibilitySummary[#Headers])),INDEX(tbl_ES_AdditionalActions[ReviewStatus],ROW()-ROW(tbl_ES_EligibilitySummary[#Headers])-ROWS(tbl_ES_Assessment[ActionID])))</f>
        <v>0</v>
      </c>
      <c r="L29" s="87"/>
      <c r="M29" s="87"/>
      <c r="N29" s="87"/>
      <c r="O29" s="87"/>
      <c r="P29" s="87"/>
      <c r="Q29" s="87"/>
      <c r="R29" s="87"/>
      <c r="S29" s="87"/>
      <c r="T29" s="87"/>
      <c r="U29" s="87"/>
      <c r="V29" s="87"/>
      <c r="AA29" s="186"/>
      <c r="AB29" s="186"/>
      <c r="AC29" s="186"/>
      <c r="AD29" s="186"/>
      <c r="AE29" s="186"/>
      <c r="AF29" s="186"/>
      <c r="AG29" s="186"/>
      <c r="AH29" s="186"/>
      <c r="AI29" s="186"/>
      <c r="AJ29" s="186"/>
    </row>
    <row r="30" spans="2:36" s="185" customFormat="1">
      <c r="B30" s="13" t="str" cm="1">
        <f t="array" ref="B30">IF(ROW()-ROW(tbl_ES_EligibilitySummary[#Headers])&lt;=ROWS(tbl_ES_Assessment[ActionID]),"Existing action","Additional action")</f>
        <v>Existing action</v>
      </c>
      <c r="C30" s="13" t="str" cm="1">
        <f t="array" ref="C30">IF(ROW()-ROW(tbl_ES_EligibilitySummary[#Headers])&lt;=ROWS(tbl_ES_Assessment[ActionID]),INDEX(tbl_ES_Assessment[ActionID],ROW()-ROW(tbl_ES_EligibilitySummary[#Headers])),INDEX(tbl_ES_AdditionalActions[AdditionalActionID],ROW()-ROW(tbl_ES_EligibilitySummary[#Headers])-ROWS(tbl_ES_Assessment[ActionID])))</f>
        <v>icare_0176</v>
      </c>
      <c r="D30" s="13" t="str" cm="1">
        <f t="array" ref="D30">IF(ROW()-ROW(tbl_ES_EligibilitySummary[#Headers])&lt;=ROWS(tbl_ES_Assessment[ActionID]),INDEX(tbl_ES_Assessment[ActionName],ROW()-ROW(tbl_ES_EligibilitySummary[#Headers])),INDEX(tbl_ES_AdditionalActions[ActionName],ROW()-ROW(tbl_ES_EligibilitySummary[#Headers])-ROWS(tbl_ES_Assessment[ActionID])))</f>
        <v>Develop a Climate Action Plan</v>
      </c>
      <c r="E30" s="13" cm="1">
        <f t="array" ref="E30">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30" s="13" t="str" cm="1">
        <f t="array" ref="F30">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30" s="13" t="str" cm="1">
        <f t="array" ref="G30">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30" s="13" cm="1">
        <f t="array" ref="H30">IF(ROW()-ROW(tbl_ES_EligibilitySummary[#Headers])&lt;=ROWS(tbl_ES_Assessment[ActionID]),INDEX(tbl_ES_Assessment[Exposure Eligibility],ROW()-ROW(tbl_ES_EligibilitySummary[#Headers])),INDEX(tbl_ES_AdditionalActions[Exposure Eligibility],ROW()-ROW(tbl_ES_EligibilitySummary[#Headers])-ROWS(tbl_ES_Assessment[ActionID])))</f>
        <v>0</v>
      </c>
      <c r="I30" s="13" t="str" cm="1">
        <f t="array" ref="I30">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30" s="13" t="str" cm="1">
        <f t="array" ref="J30">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30" s="13" cm="1">
        <f t="array" ref="K30">IF(ROW()-ROW(tbl_ES_EligibilitySummary[#Headers])&lt;=ROWS(tbl_ES_Assessment[ActionID]),INDEX(tbl_ES_Assessment[ReviewStatus],ROW()-ROW(tbl_ES_EligibilitySummary[#Headers])),INDEX(tbl_ES_AdditionalActions[ReviewStatus],ROW()-ROW(tbl_ES_EligibilitySummary[#Headers])-ROWS(tbl_ES_Assessment[ActionID])))</f>
        <v>0</v>
      </c>
      <c r="L30" s="87"/>
      <c r="M30" s="87"/>
      <c r="N30" s="87"/>
      <c r="O30" s="87"/>
      <c r="P30" s="87"/>
      <c r="Q30" s="87"/>
      <c r="R30" s="87"/>
      <c r="S30" s="87"/>
      <c r="T30" s="87"/>
      <c r="U30" s="87"/>
      <c r="V30" s="87"/>
      <c r="AA30" s="186"/>
      <c r="AB30" s="186"/>
      <c r="AC30" s="186"/>
      <c r="AD30" s="186"/>
      <c r="AE30" s="186"/>
      <c r="AF30" s="186"/>
      <c r="AG30" s="186"/>
      <c r="AH30" s="186"/>
      <c r="AI30" s="186"/>
      <c r="AJ30" s="186"/>
    </row>
    <row r="31" spans="2:36" s="185" customFormat="1">
      <c r="B31" s="13" t="str" cm="1">
        <f t="array" ref="B31">IF(ROW()-ROW(tbl_ES_EligibilitySummary[#Headers])&lt;=ROWS(tbl_ES_Assessment[ActionID]),"Existing action","Additional action")</f>
        <v>Existing action</v>
      </c>
      <c r="C31" s="13" t="str" cm="1">
        <f t="array" ref="C31">IF(ROW()-ROW(tbl_ES_EligibilitySummary[#Headers])&lt;=ROWS(tbl_ES_Assessment[ActionID]),INDEX(tbl_ES_Assessment[ActionID],ROW()-ROW(tbl_ES_EligibilitySummary[#Headers])),INDEX(tbl_ES_AdditionalActions[AdditionalActionID],ROW()-ROW(tbl_ES_EligibilitySummary[#Headers])-ROWS(tbl_ES_Assessment[ActionID])))</f>
        <v>icare_0178</v>
      </c>
      <c r="D31" s="13" t="str" cm="1">
        <f t="array" ref="D31">IF(ROW()-ROW(tbl_ES_EligibilitySummary[#Headers])&lt;=ROWS(tbl_ES_Assessment[ActionID]),INDEX(tbl_ES_Assessment[ActionName],ROW()-ROW(tbl_ES_EligibilitySummary[#Headers])),INDEX(tbl_ES_AdditionalActions[ActionName],ROW()-ROW(tbl_ES_EligibilitySummary[#Headers])-ROWS(tbl_ES_Assessment[ActionID])))</f>
        <v>Redirect urban development through climate‑risk spatial planning</v>
      </c>
      <c r="E31" s="13" cm="1">
        <f t="array" ref="E31">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31" s="13" t="str" cm="1">
        <f t="array" ref="F31">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31" s="13" t="str" cm="1">
        <f t="array" ref="G31">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31" s="13" cm="1">
        <f t="array" ref="H31">IF(ROW()-ROW(tbl_ES_EligibilitySummary[#Headers])&lt;=ROWS(tbl_ES_Assessment[ActionID]),INDEX(tbl_ES_Assessment[Exposure Eligibility],ROW()-ROW(tbl_ES_EligibilitySummary[#Headers])),INDEX(tbl_ES_AdditionalActions[Exposure Eligibility],ROW()-ROW(tbl_ES_EligibilitySummary[#Headers])-ROWS(tbl_ES_Assessment[ActionID])))</f>
        <v>0</v>
      </c>
      <c r="I31" s="13" t="str" cm="1">
        <f t="array" ref="I31">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31" s="13" t="str" cm="1">
        <f t="array" ref="J31">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31" s="13" cm="1">
        <f t="array" ref="K31">IF(ROW()-ROW(tbl_ES_EligibilitySummary[#Headers])&lt;=ROWS(tbl_ES_Assessment[ActionID]),INDEX(tbl_ES_Assessment[ReviewStatus],ROW()-ROW(tbl_ES_EligibilitySummary[#Headers])),INDEX(tbl_ES_AdditionalActions[ReviewStatus],ROW()-ROW(tbl_ES_EligibilitySummary[#Headers])-ROWS(tbl_ES_Assessment[ActionID])))</f>
        <v>0</v>
      </c>
      <c r="L31" s="87"/>
      <c r="M31" s="87"/>
      <c r="N31" s="87"/>
      <c r="O31" s="87"/>
      <c r="P31" s="87"/>
      <c r="Q31" s="87"/>
      <c r="R31" s="87"/>
      <c r="S31" s="87"/>
      <c r="T31" s="87"/>
      <c r="U31" s="87"/>
      <c r="V31" s="87"/>
      <c r="AA31" s="186"/>
      <c r="AB31" s="186"/>
      <c r="AC31" s="186"/>
      <c r="AD31" s="186"/>
      <c r="AE31" s="186"/>
      <c r="AF31" s="186"/>
      <c r="AG31" s="186"/>
      <c r="AH31" s="186"/>
      <c r="AI31" s="186"/>
      <c r="AJ31" s="186"/>
    </row>
    <row r="32" spans="2:36" s="185" customFormat="1">
      <c r="B32" s="13" t="str" cm="1">
        <f t="array" ref="B32">IF(ROW()-ROW(tbl_ES_EligibilitySummary[#Headers])&lt;=ROWS(tbl_ES_Assessment[ActionID]),"Existing action","Additional action")</f>
        <v>Existing action</v>
      </c>
      <c r="C32" s="13" t="str" cm="1">
        <f t="array" ref="C32">IF(ROW()-ROW(tbl_ES_EligibilitySummary[#Headers])&lt;=ROWS(tbl_ES_Assessment[ActionID]),INDEX(tbl_ES_Assessment[ActionID],ROW()-ROW(tbl_ES_EligibilitySummary[#Headers])),INDEX(tbl_ES_AdditionalActions[AdditionalActionID],ROW()-ROW(tbl_ES_EligibilitySummary[#Headers])-ROWS(tbl_ES_Assessment[ActionID])))</f>
        <v>icare_0180</v>
      </c>
      <c r="D32" s="13" t="str" cm="1">
        <f t="array" ref="D32">IF(ROW()-ROW(tbl_ES_EligibilitySummary[#Headers])&lt;=ROWS(tbl_ES_Assessment[ActionID]),INDEX(tbl_ES_Assessment[ActionName],ROW()-ROW(tbl_ES_EligibilitySummary[#Headers])),INDEX(tbl_ES_AdditionalActions[ActionName],ROW()-ROW(tbl_ES_EligibilitySummary[#Headers])-ROWS(tbl_ES_Assessment[ActionID])))</f>
        <v>Expand urban green-blue networks and corridors</v>
      </c>
      <c r="E32" s="13" cm="1">
        <f t="array" ref="E32">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32" s="13" t="str" cm="1">
        <f t="array" ref="F32">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32" s="13" t="str" cm="1">
        <f t="array" ref="G32">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32" s="13" cm="1">
        <f t="array" ref="H32">IF(ROW()-ROW(tbl_ES_EligibilitySummary[#Headers])&lt;=ROWS(tbl_ES_Assessment[ActionID]),INDEX(tbl_ES_Assessment[Exposure Eligibility],ROW()-ROW(tbl_ES_EligibilitySummary[#Headers])),INDEX(tbl_ES_AdditionalActions[Exposure Eligibility],ROW()-ROW(tbl_ES_EligibilitySummary[#Headers])-ROWS(tbl_ES_Assessment[ActionID])))</f>
        <v>0</v>
      </c>
      <c r="I32" s="13" t="str" cm="1">
        <f t="array" ref="I32">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32" s="13" t="str" cm="1">
        <f t="array" ref="J32">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32" s="13" cm="1">
        <f t="array" ref="K32">IF(ROW()-ROW(tbl_ES_EligibilitySummary[#Headers])&lt;=ROWS(tbl_ES_Assessment[ActionID]),INDEX(tbl_ES_Assessment[ReviewStatus],ROW()-ROW(tbl_ES_EligibilitySummary[#Headers])),INDEX(tbl_ES_AdditionalActions[ReviewStatus],ROW()-ROW(tbl_ES_EligibilitySummary[#Headers])-ROWS(tbl_ES_Assessment[ActionID])))</f>
        <v>0</v>
      </c>
      <c r="L32" s="87"/>
      <c r="M32" s="87"/>
      <c r="N32" s="87"/>
      <c r="O32" s="87"/>
      <c r="P32" s="87"/>
      <c r="Q32" s="87"/>
      <c r="R32" s="87"/>
      <c r="S32" s="87"/>
      <c r="T32" s="87"/>
      <c r="U32" s="87"/>
      <c r="V32" s="87"/>
      <c r="AA32" s="186"/>
      <c r="AB32" s="186"/>
      <c r="AC32" s="186"/>
      <c r="AD32" s="186"/>
      <c r="AE32" s="186"/>
      <c r="AF32" s="186"/>
      <c r="AG32" s="186"/>
      <c r="AH32" s="186"/>
      <c r="AI32" s="186"/>
      <c r="AJ32" s="186"/>
    </row>
    <row r="33" spans="2:36" s="185" customFormat="1">
      <c r="B33" s="13" t="str" cm="1">
        <f t="array" ref="B33">IF(ROW()-ROW(tbl_ES_EligibilitySummary[#Headers])&lt;=ROWS(tbl_ES_Assessment[ActionID]),"Existing action","Additional action")</f>
        <v>Existing action</v>
      </c>
      <c r="C33" s="13" t="str" cm="1">
        <f t="array" ref="C33">IF(ROW()-ROW(tbl_ES_EligibilitySummary[#Headers])&lt;=ROWS(tbl_ES_Assessment[ActionID]),INDEX(tbl_ES_Assessment[ActionID],ROW()-ROW(tbl_ES_EligibilitySummary[#Headers])),INDEX(tbl_ES_AdditionalActions[AdditionalActionID],ROW()-ROW(tbl_ES_EligibilitySummary[#Headers])-ROWS(tbl_ES_Assessment[ActionID])))</f>
        <v>icare_0181</v>
      </c>
      <c r="D33" s="13" t="str" cm="1">
        <f t="array" ref="D33">IF(ROW()-ROW(tbl_ES_EligibilitySummary[#Headers])&lt;=ROWS(tbl_ES_Assessment[ActionID]),INDEX(tbl_ES_Assessment[ActionName],ROW()-ROW(tbl_ES_EligibilitySummary[#Headers])),INDEX(tbl_ES_AdditionalActions[ActionName],ROW()-ROW(tbl_ES_EligibilitySummary[#Headers])-ROWS(tbl_ES_Assessment[ActionID])))</f>
        <v>Restore in Vulnerable Areas</v>
      </c>
      <c r="E33" s="13" cm="1">
        <f t="array" ref="E33">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33" s="13" t="str" cm="1">
        <f t="array" ref="F33">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33" s="13" t="str" cm="1">
        <f t="array" ref="G33">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33" s="13" cm="1">
        <f t="array" ref="H33">IF(ROW()-ROW(tbl_ES_EligibilitySummary[#Headers])&lt;=ROWS(tbl_ES_Assessment[ActionID]),INDEX(tbl_ES_Assessment[Exposure Eligibility],ROW()-ROW(tbl_ES_EligibilitySummary[#Headers])),INDEX(tbl_ES_AdditionalActions[Exposure Eligibility],ROW()-ROW(tbl_ES_EligibilitySummary[#Headers])-ROWS(tbl_ES_Assessment[ActionID])))</f>
        <v>0</v>
      </c>
      <c r="I33" s="13" t="str" cm="1">
        <f t="array" ref="I33">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33" s="13" t="str" cm="1">
        <f t="array" ref="J33">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33" s="13" cm="1">
        <f t="array" ref="K33">IF(ROW()-ROW(tbl_ES_EligibilitySummary[#Headers])&lt;=ROWS(tbl_ES_Assessment[ActionID]),INDEX(tbl_ES_Assessment[ReviewStatus],ROW()-ROW(tbl_ES_EligibilitySummary[#Headers])),INDEX(tbl_ES_AdditionalActions[ReviewStatus],ROW()-ROW(tbl_ES_EligibilitySummary[#Headers])-ROWS(tbl_ES_Assessment[ActionID])))</f>
        <v>0</v>
      </c>
      <c r="L33" s="87"/>
      <c r="M33" s="87"/>
      <c r="N33" s="87"/>
      <c r="O33" s="87"/>
      <c r="P33" s="87"/>
      <c r="Q33" s="87"/>
      <c r="R33" s="87"/>
      <c r="S33" s="87"/>
      <c r="T33" s="87"/>
      <c r="U33" s="87"/>
      <c r="V33" s="87"/>
      <c r="AA33" s="186"/>
      <c r="AB33" s="186"/>
      <c r="AC33" s="186"/>
      <c r="AD33" s="186"/>
      <c r="AE33" s="186"/>
      <c r="AF33" s="186"/>
      <c r="AG33" s="186"/>
      <c r="AH33" s="186"/>
      <c r="AI33" s="186"/>
      <c r="AJ33" s="186"/>
    </row>
    <row r="34" spans="2:36" s="185" customFormat="1">
      <c r="B34" s="13" t="str" cm="1">
        <f t="array" ref="B34">IF(ROW()-ROW(tbl_ES_EligibilitySummary[#Headers])&lt;=ROWS(tbl_ES_Assessment[ActionID]),"Existing action","Additional action")</f>
        <v>Existing action</v>
      </c>
      <c r="C34" s="13" t="str" cm="1">
        <f t="array" ref="C34">IF(ROW()-ROW(tbl_ES_EligibilitySummary[#Headers])&lt;=ROWS(tbl_ES_Assessment[ActionID]),INDEX(tbl_ES_Assessment[ActionID],ROW()-ROW(tbl_ES_EligibilitySummary[#Headers])),INDEX(tbl_ES_AdditionalActions[AdditionalActionID],ROW()-ROW(tbl_ES_EligibilitySummary[#Headers])-ROWS(tbl_ES_Assessment[ActionID])))</f>
        <v>icare_0182</v>
      </c>
      <c r="D34" s="13" t="str" cm="1">
        <f t="array" ref="D34">IF(ROW()-ROW(tbl_ES_EligibilitySummary[#Headers])&lt;=ROWS(tbl_ES_Assessment[ActionID]),INDEX(tbl_ES_Assessment[ActionName],ROW()-ROW(tbl_ES_EligibilitySummary[#Headers])),INDEX(tbl_ES_AdditionalActions[ActionName],ROW()-ROW(tbl_ES_EligibilitySummary[#Headers])-ROWS(tbl_ES_Assessment[ActionID])))</f>
        <v>Develop an Urban Afforestation Plan</v>
      </c>
      <c r="E34" s="13" cm="1">
        <f t="array" ref="E34">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34" s="13" t="str" cm="1">
        <f t="array" ref="F34">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34" s="13" t="str" cm="1">
        <f t="array" ref="G34">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34" s="13" cm="1">
        <f t="array" ref="H34">IF(ROW()-ROW(tbl_ES_EligibilitySummary[#Headers])&lt;=ROWS(tbl_ES_Assessment[ActionID]),INDEX(tbl_ES_Assessment[Exposure Eligibility],ROW()-ROW(tbl_ES_EligibilitySummary[#Headers])),INDEX(tbl_ES_AdditionalActions[Exposure Eligibility],ROW()-ROW(tbl_ES_EligibilitySummary[#Headers])-ROWS(tbl_ES_Assessment[ActionID])))</f>
        <v>0</v>
      </c>
      <c r="I34" s="13" t="str" cm="1">
        <f t="array" ref="I34">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34" s="13" t="str" cm="1">
        <f t="array" ref="J34">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34" s="13" cm="1">
        <f t="array" ref="K34">IF(ROW()-ROW(tbl_ES_EligibilitySummary[#Headers])&lt;=ROWS(tbl_ES_Assessment[ActionID]),INDEX(tbl_ES_Assessment[ReviewStatus],ROW()-ROW(tbl_ES_EligibilitySummary[#Headers])),INDEX(tbl_ES_AdditionalActions[ReviewStatus],ROW()-ROW(tbl_ES_EligibilitySummary[#Headers])-ROWS(tbl_ES_Assessment[ActionID])))</f>
        <v>0</v>
      </c>
      <c r="L34" s="87"/>
      <c r="M34" s="87"/>
      <c r="N34" s="87"/>
      <c r="O34" s="87"/>
      <c r="P34" s="87"/>
      <c r="Q34" s="87"/>
      <c r="R34" s="87"/>
      <c r="S34" s="87"/>
      <c r="T34" s="87"/>
      <c r="U34" s="87"/>
      <c r="V34" s="87"/>
      <c r="AA34" s="186"/>
      <c r="AB34" s="186"/>
      <c r="AC34" s="186"/>
      <c r="AD34" s="186"/>
      <c r="AE34" s="186"/>
      <c r="AF34" s="186"/>
      <c r="AG34" s="186"/>
      <c r="AH34" s="186"/>
      <c r="AI34" s="186"/>
      <c r="AJ34" s="186"/>
    </row>
    <row r="35" spans="2:36" s="185" customFormat="1">
      <c r="B35" s="13" t="str" cm="1">
        <f t="array" ref="B35">IF(ROW()-ROW(tbl_ES_EligibilitySummary[#Headers])&lt;=ROWS(tbl_ES_Assessment[ActionID]),"Existing action","Additional action")</f>
        <v>Existing action</v>
      </c>
      <c r="C35" s="13" t="str" cm="1">
        <f t="array" ref="C35">IF(ROW()-ROW(tbl_ES_EligibilitySummary[#Headers])&lt;=ROWS(tbl_ES_Assessment[ActionID]),INDEX(tbl_ES_Assessment[ActionID],ROW()-ROW(tbl_ES_EligibilitySummary[#Headers])),INDEX(tbl_ES_AdditionalActions[AdditionalActionID],ROW()-ROW(tbl_ES_EligibilitySummary[#Headers])-ROWS(tbl_ES_Assessment[ActionID])))</f>
        <v>icare_0183</v>
      </c>
      <c r="D35" s="13" t="str" cm="1">
        <f t="array" ref="D35">IF(ROW()-ROW(tbl_ES_EligibilitySummary[#Headers])&lt;=ROWS(tbl_ES_Assessment[ActionID]),INDEX(tbl_ES_Assessment[ActionName],ROW()-ROW(tbl_ES_EligibilitySummary[#Headers])),INDEX(tbl_ES_AdditionalActions[ActionName],ROW()-ROW(tbl_ES_EligibilitySummary[#Headers])-ROWS(tbl_ES_Assessment[ActionID])))</f>
        <v>Implement Multi-hazard Early Warning Systems (MH-EWS)</v>
      </c>
      <c r="E35" s="13" cm="1">
        <f t="array" ref="E35">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35" s="13" t="str" cm="1">
        <f t="array" ref="F35">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35" s="13" t="str" cm="1">
        <f t="array" ref="G35">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35" s="13" cm="1">
        <f t="array" ref="H35">IF(ROW()-ROW(tbl_ES_EligibilitySummary[#Headers])&lt;=ROWS(tbl_ES_Assessment[ActionID]),INDEX(tbl_ES_Assessment[Exposure Eligibility],ROW()-ROW(tbl_ES_EligibilitySummary[#Headers])),INDEX(tbl_ES_AdditionalActions[Exposure Eligibility],ROW()-ROW(tbl_ES_EligibilitySummary[#Headers])-ROWS(tbl_ES_Assessment[ActionID])))</f>
        <v>0</v>
      </c>
      <c r="I35" s="13" t="str" cm="1">
        <f t="array" ref="I35">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35" s="13" t="str" cm="1">
        <f t="array" ref="J35">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35" s="13" cm="1">
        <f t="array" ref="K35">IF(ROW()-ROW(tbl_ES_EligibilitySummary[#Headers])&lt;=ROWS(tbl_ES_Assessment[ActionID]),INDEX(tbl_ES_Assessment[ReviewStatus],ROW()-ROW(tbl_ES_EligibilitySummary[#Headers])),INDEX(tbl_ES_AdditionalActions[ReviewStatus],ROW()-ROW(tbl_ES_EligibilitySummary[#Headers])-ROWS(tbl_ES_Assessment[ActionID])))</f>
        <v>0</v>
      </c>
      <c r="L35" s="87"/>
      <c r="M35" s="87"/>
      <c r="N35" s="87"/>
      <c r="O35" s="87"/>
      <c r="P35" s="87"/>
      <c r="Q35" s="87"/>
      <c r="R35" s="87"/>
      <c r="S35" s="87"/>
      <c r="T35" s="87"/>
      <c r="U35" s="87"/>
      <c r="V35" s="87"/>
      <c r="AA35" s="186"/>
      <c r="AB35" s="186"/>
      <c r="AC35" s="186"/>
      <c r="AD35" s="186"/>
      <c r="AE35" s="186"/>
      <c r="AF35" s="186"/>
      <c r="AG35" s="186"/>
      <c r="AH35" s="186"/>
      <c r="AI35" s="186"/>
      <c r="AJ35" s="186"/>
    </row>
    <row r="36" spans="2:36" s="185" customFormat="1">
      <c r="B36" s="13" t="str" cm="1">
        <f t="array" ref="B36">IF(ROW()-ROW(tbl_ES_EligibilitySummary[#Headers])&lt;=ROWS(tbl_ES_Assessment[ActionID]),"Existing action","Additional action")</f>
        <v>Existing action</v>
      </c>
      <c r="C36" s="13" t="str" cm="1">
        <f t="array" ref="C36">IF(ROW()-ROW(tbl_ES_EligibilitySummary[#Headers])&lt;=ROWS(tbl_ES_Assessment[ActionID]),INDEX(tbl_ES_Assessment[ActionID],ROW()-ROW(tbl_ES_EligibilitySummary[#Headers])),INDEX(tbl_ES_AdditionalActions[AdditionalActionID],ROW()-ROW(tbl_ES_EligibilitySummary[#Headers])-ROWS(tbl_ES_Assessment[ActionID])))</f>
        <v>icare_0184</v>
      </c>
      <c r="D36" s="13" t="str" cm="1">
        <f t="array" ref="D36">IF(ROW()-ROW(tbl_ES_EligibilitySummary[#Headers])&lt;=ROWS(tbl_ES_Assessment[ActionID]),INDEX(tbl_ES_Assessment[ActionName],ROW()-ROW(tbl_ES_EligibilitySummary[#Headers])),INDEX(tbl_ES_AdditionalActions[ActionName],ROW()-ROW(tbl_ES_EligibilitySummary[#Headers])-ROWS(tbl_ES_Assessment[ActionID])))</f>
        <v>Upgrade Slope stabilization and drainage</v>
      </c>
      <c r="E36" s="13" cm="1">
        <f t="array" ref="E36">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36" s="13" t="str" cm="1">
        <f t="array" ref="F36">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36" s="13" t="str" cm="1">
        <f t="array" ref="G36">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36" s="13" cm="1">
        <f t="array" ref="H36">IF(ROW()-ROW(tbl_ES_EligibilitySummary[#Headers])&lt;=ROWS(tbl_ES_Assessment[ActionID]),INDEX(tbl_ES_Assessment[Exposure Eligibility],ROW()-ROW(tbl_ES_EligibilitySummary[#Headers])),INDEX(tbl_ES_AdditionalActions[Exposure Eligibility],ROW()-ROW(tbl_ES_EligibilitySummary[#Headers])-ROWS(tbl_ES_Assessment[ActionID])))</f>
        <v>0</v>
      </c>
      <c r="I36" s="13" t="str" cm="1">
        <f t="array" ref="I36">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36" s="13" t="str" cm="1">
        <f t="array" ref="J36">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36" s="13" cm="1">
        <f t="array" ref="K36">IF(ROW()-ROW(tbl_ES_EligibilitySummary[#Headers])&lt;=ROWS(tbl_ES_Assessment[ActionID]),INDEX(tbl_ES_Assessment[ReviewStatus],ROW()-ROW(tbl_ES_EligibilitySummary[#Headers])),INDEX(tbl_ES_AdditionalActions[ReviewStatus],ROW()-ROW(tbl_ES_EligibilitySummary[#Headers])-ROWS(tbl_ES_Assessment[ActionID])))</f>
        <v>0</v>
      </c>
      <c r="L36" s="87"/>
      <c r="M36" s="87"/>
      <c r="N36" s="87"/>
      <c r="O36" s="87"/>
      <c r="P36" s="87"/>
      <c r="Q36" s="87"/>
      <c r="R36" s="87"/>
      <c r="S36" s="87"/>
      <c r="T36" s="87"/>
      <c r="U36" s="87"/>
      <c r="V36" s="87"/>
      <c r="AA36" s="186"/>
      <c r="AB36" s="186"/>
      <c r="AC36" s="186"/>
      <c r="AD36" s="186"/>
      <c r="AE36" s="186"/>
      <c r="AF36" s="186"/>
      <c r="AG36" s="186"/>
      <c r="AH36" s="186"/>
      <c r="AI36" s="186"/>
      <c r="AJ36" s="186"/>
    </row>
    <row r="37" spans="2:36" s="185" customFormat="1">
      <c r="B37" s="13" t="str" cm="1">
        <f t="array" ref="B37">IF(ROW()-ROW(tbl_ES_EligibilitySummary[#Headers])&lt;=ROWS(tbl_ES_Assessment[ActionID]),"Existing action","Additional action")</f>
        <v>Existing action</v>
      </c>
      <c r="C37" s="13" t="str" cm="1">
        <f t="array" ref="C37">IF(ROW()-ROW(tbl_ES_EligibilitySummary[#Headers])&lt;=ROWS(tbl_ES_Assessment[ActionID]),INDEX(tbl_ES_Assessment[ActionID],ROW()-ROW(tbl_ES_EligibilitySummary[#Headers])),INDEX(tbl_ES_AdditionalActions[AdditionalActionID],ROW()-ROW(tbl_ES_EligibilitySummary[#Headers])-ROWS(tbl_ES_Assessment[ActionID])))</f>
        <v>icare_0185</v>
      </c>
      <c r="D37" s="13" t="str" cm="1">
        <f t="array" ref="D37">IF(ROW()-ROW(tbl_ES_EligibilitySummary[#Headers])&lt;=ROWS(tbl_ES_Assessment[ActionID]),INDEX(tbl_ES_Assessment[ActionName],ROW()-ROW(tbl_ES_EligibilitySummary[#Headers])),INDEX(tbl_ES_AdditionalActions[ActionName],ROW()-ROW(tbl_ES_EligibilitySummary[#Headers])-ROWS(tbl_ES_Assessment[ActionID])))</f>
        <v>Improve Creation of An Epidemiological Intelligence Center</v>
      </c>
      <c r="E37" s="13" cm="1">
        <f t="array" ref="E37">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37" s="13" t="str" cm="1">
        <f t="array" ref="F37">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37" s="13" t="str" cm="1">
        <f t="array" ref="G37">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37" s="13" cm="1">
        <f t="array" ref="H37">IF(ROW()-ROW(tbl_ES_EligibilitySummary[#Headers])&lt;=ROWS(tbl_ES_Assessment[ActionID]),INDEX(tbl_ES_Assessment[Exposure Eligibility],ROW()-ROW(tbl_ES_EligibilitySummary[#Headers])),INDEX(tbl_ES_AdditionalActions[Exposure Eligibility],ROW()-ROW(tbl_ES_EligibilitySummary[#Headers])-ROWS(tbl_ES_Assessment[ActionID])))</f>
        <v>0</v>
      </c>
      <c r="I37" s="13" t="str" cm="1">
        <f t="array" ref="I37">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37" s="13" t="str" cm="1">
        <f t="array" ref="J37">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37" s="13" cm="1">
        <f t="array" ref="K37">IF(ROW()-ROW(tbl_ES_EligibilitySummary[#Headers])&lt;=ROWS(tbl_ES_Assessment[ActionID]),INDEX(tbl_ES_Assessment[ReviewStatus],ROW()-ROW(tbl_ES_EligibilitySummary[#Headers])),INDEX(tbl_ES_AdditionalActions[ReviewStatus],ROW()-ROW(tbl_ES_EligibilitySummary[#Headers])-ROWS(tbl_ES_Assessment[ActionID])))</f>
        <v>0</v>
      </c>
      <c r="L37" s="87"/>
      <c r="M37" s="87"/>
      <c r="N37" s="87"/>
      <c r="O37" s="87"/>
      <c r="P37" s="87"/>
      <c r="Q37" s="87"/>
      <c r="R37" s="87"/>
      <c r="S37" s="87"/>
      <c r="T37" s="87"/>
      <c r="U37" s="87"/>
      <c r="V37" s="87"/>
      <c r="AA37" s="186"/>
      <c r="AB37" s="186"/>
      <c r="AC37" s="186"/>
      <c r="AD37" s="186"/>
      <c r="AE37" s="186"/>
      <c r="AF37" s="186"/>
      <c r="AG37" s="186"/>
      <c r="AH37" s="186"/>
      <c r="AI37" s="186"/>
      <c r="AJ37" s="186"/>
    </row>
    <row r="38" spans="2:36" s="185" customFormat="1">
      <c r="B38" s="13" t="str" cm="1">
        <f t="array" ref="B38">IF(ROW()-ROW(tbl_ES_EligibilitySummary[#Headers])&lt;=ROWS(tbl_ES_Assessment[ActionID]),"Existing action","Additional action")</f>
        <v>Existing action</v>
      </c>
      <c r="C38" s="13" t="str" cm="1">
        <f t="array" ref="C38">IF(ROW()-ROW(tbl_ES_EligibilitySummary[#Headers])&lt;=ROWS(tbl_ES_Assessment[ActionID]),INDEX(tbl_ES_Assessment[ActionID],ROW()-ROW(tbl_ES_EligibilitySummary[#Headers])),INDEX(tbl_ES_AdditionalActions[AdditionalActionID],ROW()-ROW(tbl_ES_EligibilitySummary[#Headers])-ROWS(tbl_ES_Assessment[ActionID])))</f>
        <v>icare_0186</v>
      </c>
      <c r="D38" s="13" t="str" cm="1">
        <f t="array" ref="D38">IF(ROW()-ROW(tbl_ES_EligibilitySummary[#Headers])&lt;=ROWS(tbl_ES_Assessment[ActionID]),INDEX(tbl_ES_Assessment[ActionName],ROW()-ROW(tbl_ES_EligibilitySummary[#Headers])),INDEX(tbl_ES_AdditionalActions[ActionName],ROW()-ROW(tbl_ES_EligibilitySummary[#Headers])-ROWS(tbl_ES_Assessment[ActionID])))</f>
        <v>Implement integrated coastal zone management</v>
      </c>
      <c r="E38" s="13" cm="1">
        <f t="array" ref="E38">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38" s="13" t="str" cm="1">
        <f t="array" ref="F38">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38" s="13" t="str" cm="1">
        <f t="array" ref="G38">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38" s="13" cm="1">
        <f t="array" ref="H38">IF(ROW()-ROW(tbl_ES_EligibilitySummary[#Headers])&lt;=ROWS(tbl_ES_Assessment[ActionID]),INDEX(tbl_ES_Assessment[Exposure Eligibility],ROW()-ROW(tbl_ES_EligibilitySummary[#Headers])),INDEX(tbl_ES_AdditionalActions[Exposure Eligibility],ROW()-ROW(tbl_ES_EligibilitySummary[#Headers])-ROWS(tbl_ES_Assessment[ActionID])))</f>
        <v>0</v>
      </c>
      <c r="I38" s="13" t="str" cm="1">
        <f t="array" ref="I38">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38" s="13" t="str" cm="1">
        <f t="array" ref="J38">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38" s="13" cm="1">
        <f t="array" ref="K38">IF(ROW()-ROW(tbl_ES_EligibilitySummary[#Headers])&lt;=ROWS(tbl_ES_Assessment[ActionID]),INDEX(tbl_ES_Assessment[ReviewStatus],ROW()-ROW(tbl_ES_EligibilitySummary[#Headers])),INDEX(tbl_ES_AdditionalActions[ReviewStatus],ROW()-ROW(tbl_ES_EligibilitySummary[#Headers])-ROWS(tbl_ES_Assessment[ActionID])))</f>
        <v>0</v>
      </c>
      <c r="L38" s="87"/>
      <c r="M38" s="87"/>
      <c r="N38" s="87"/>
      <c r="O38" s="87"/>
      <c r="P38" s="87"/>
      <c r="Q38" s="87"/>
      <c r="R38" s="87"/>
      <c r="S38" s="87"/>
      <c r="T38" s="87"/>
      <c r="U38" s="87"/>
      <c r="V38" s="87"/>
      <c r="AA38" s="186"/>
      <c r="AB38" s="186"/>
      <c r="AC38" s="186"/>
      <c r="AD38" s="186"/>
      <c r="AE38" s="186"/>
      <c r="AF38" s="186"/>
      <c r="AG38" s="186"/>
      <c r="AH38" s="186"/>
      <c r="AI38" s="186"/>
      <c r="AJ38" s="186"/>
    </row>
    <row r="39" spans="2:36" s="185" customFormat="1">
      <c r="B39" s="13" t="str" cm="1">
        <f t="array" ref="B39">IF(ROW()-ROW(tbl_ES_EligibilitySummary[#Headers])&lt;=ROWS(tbl_ES_Assessment[ActionID]),"Existing action","Additional action")</f>
        <v>Existing action</v>
      </c>
      <c r="C39" s="13" t="str" cm="1">
        <f t="array" ref="C39">IF(ROW()-ROW(tbl_ES_EligibilitySummary[#Headers])&lt;=ROWS(tbl_ES_Assessment[ActionID]),INDEX(tbl_ES_Assessment[ActionID],ROW()-ROW(tbl_ES_EligibilitySummary[#Headers])),INDEX(tbl_ES_AdditionalActions[AdditionalActionID],ROW()-ROW(tbl_ES_EligibilitySummary[#Headers])-ROWS(tbl_ES_Assessment[ActionID])))</f>
        <v>icare_0188</v>
      </c>
      <c r="D39" s="13" t="str" cm="1">
        <f t="array" ref="D39">IF(ROW()-ROW(tbl_ES_EligibilitySummary[#Headers])&lt;=ROWS(tbl_ES_Assessment[ActionID]),INDEX(tbl_ES_Assessment[ActionName],ROW()-ROW(tbl_ES_EligibilitySummary[#Headers])),INDEX(tbl_ES_AdditionalActions[ActionName],ROW()-ROW(tbl_ES_EligibilitySummary[#Headers])-ROWS(tbl_ES_Assessment[ActionID])))</f>
        <v>Create an Environmental Health Surveillance Program related to Populations Exposed to Air Pollution, Noise Pollution, Water Pollution, and Soil Pollution.</v>
      </c>
      <c r="E39" s="13" cm="1">
        <f t="array" ref="E39">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39" s="13" t="str" cm="1">
        <f t="array" ref="F39">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39" s="13" t="str" cm="1">
        <f t="array" ref="G39">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39" s="13" cm="1">
        <f t="array" ref="H39">IF(ROW()-ROW(tbl_ES_EligibilitySummary[#Headers])&lt;=ROWS(tbl_ES_Assessment[ActionID]),INDEX(tbl_ES_Assessment[Exposure Eligibility],ROW()-ROW(tbl_ES_EligibilitySummary[#Headers])),INDEX(tbl_ES_AdditionalActions[Exposure Eligibility],ROW()-ROW(tbl_ES_EligibilitySummary[#Headers])-ROWS(tbl_ES_Assessment[ActionID])))</f>
        <v>0</v>
      </c>
      <c r="I39" s="13" t="str" cm="1">
        <f t="array" ref="I39">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39" s="13" t="str" cm="1">
        <f t="array" ref="J39">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39" s="13" cm="1">
        <f t="array" ref="K39">IF(ROW()-ROW(tbl_ES_EligibilitySummary[#Headers])&lt;=ROWS(tbl_ES_Assessment[ActionID]),INDEX(tbl_ES_Assessment[ReviewStatus],ROW()-ROW(tbl_ES_EligibilitySummary[#Headers])),INDEX(tbl_ES_AdditionalActions[ReviewStatus],ROW()-ROW(tbl_ES_EligibilitySummary[#Headers])-ROWS(tbl_ES_Assessment[ActionID])))</f>
        <v>0</v>
      </c>
      <c r="L39" s="87"/>
      <c r="M39" s="87"/>
      <c r="N39" s="87"/>
      <c r="O39" s="87"/>
      <c r="P39" s="87"/>
      <c r="Q39" s="87"/>
      <c r="R39" s="87"/>
      <c r="S39" s="87"/>
      <c r="T39" s="87"/>
      <c r="U39" s="87"/>
      <c r="V39" s="87"/>
      <c r="AA39" s="186"/>
      <c r="AB39" s="186"/>
      <c r="AC39" s="186"/>
      <c r="AD39" s="186"/>
      <c r="AE39" s="186"/>
      <c r="AF39" s="186"/>
      <c r="AG39" s="186"/>
      <c r="AH39" s="186"/>
      <c r="AI39" s="186"/>
      <c r="AJ39" s="186"/>
    </row>
    <row r="40" spans="2:36" s="185" customFormat="1">
      <c r="B40" s="13" t="str" cm="1">
        <f t="array" ref="B40">IF(ROW()-ROW(tbl_ES_EligibilitySummary[#Headers])&lt;=ROWS(tbl_ES_Assessment[ActionID]),"Existing action","Additional action")</f>
        <v>Existing action</v>
      </c>
      <c r="C40" s="13" t="str" cm="1">
        <f t="array" ref="C40">IF(ROW()-ROW(tbl_ES_EligibilitySummary[#Headers])&lt;=ROWS(tbl_ES_Assessment[ActionID]),INDEX(tbl_ES_Assessment[ActionID],ROW()-ROW(tbl_ES_EligibilitySummary[#Headers])),INDEX(tbl_ES_AdditionalActions[AdditionalActionID],ROW()-ROW(tbl_ES_EligibilitySummary[#Headers])-ROWS(tbl_ES_Assessment[ActionID])))</f>
        <v>ipcc_0078</v>
      </c>
      <c r="D40" s="13" t="str" cm="1">
        <f t="array" ref="D40">IF(ROW()-ROW(tbl_ES_EligibilitySummary[#Headers])&lt;=ROWS(tbl_ES_Assessment[ActionID]),INDEX(tbl_ES_Assessment[ActionName],ROW()-ROW(tbl_ES_EligibilitySummary[#Headers])),INDEX(tbl_ES_AdditionalActions[ActionName],ROW()-ROW(tbl_ES_EligibilitySummary[#Headers])-ROWS(tbl_ES_Assessment[ActionID])))</f>
        <v>Implement green roofs and walls</v>
      </c>
      <c r="E40" s="13" cm="1">
        <f t="array" ref="E40">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40" s="13" t="str" cm="1">
        <f t="array" ref="F40">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40" s="13" t="str" cm="1">
        <f t="array" ref="G40">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40" s="13" cm="1">
        <f t="array" ref="H40">IF(ROW()-ROW(tbl_ES_EligibilitySummary[#Headers])&lt;=ROWS(tbl_ES_Assessment[ActionID]),INDEX(tbl_ES_Assessment[Exposure Eligibility],ROW()-ROW(tbl_ES_EligibilitySummary[#Headers])),INDEX(tbl_ES_AdditionalActions[Exposure Eligibility],ROW()-ROW(tbl_ES_EligibilitySummary[#Headers])-ROWS(tbl_ES_Assessment[ActionID])))</f>
        <v>0</v>
      </c>
      <c r="I40" s="13" t="str" cm="1">
        <f t="array" ref="I40">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40" s="13" t="str" cm="1">
        <f t="array" ref="J40">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40" s="13" cm="1">
        <f t="array" ref="K40">IF(ROW()-ROW(tbl_ES_EligibilitySummary[#Headers])&lt;=ROWS(tbl_ES_Assessment[ActionID]),INDEX(tbl_ES_Assessment[ReviewStatus],ROW()-ROW(tbl_ES_EligibilitySummary[#Headers])),INDEX(tbl_ES_AdditionalActions[ReviewStatus],ROW()-ROW(tbl_ES_EligibilitySummary[#Headers])-ROWS(tbl_ES_Assessment[ActionID])))</f>
        <v>0</v>
      </c>
      <c r="L40" s="87"/>
      <c r="M40" s="87"/>
      <c r="N40" s="87"/>
      <c r="O40" s="87"/>
      <c r="P40" s="87"/>
      <c r="Q40" s="87"/>
      <c r="R40" s="87"/>
      <c r="S40" s="87"/>
      <c r="T40" s="87"/>
      <c r="U40" s="87"/>
      <c r="V40" s="87"/>
      <c r="AA40" s="186"/>
      <c r="AB40" s="186"/>
      <c r="AC40" s="186"/>
      <c r="AD40" s="186"/>
      <c r="AE40" s="186"/>
      <c r="AF40" s="186"/>
      <c r="AG40" s="186"/>
      <c r="AH40" s="186"/>
      <c r="AI40" s="186"/>
      <c r="AJ40" s="186"/>
    </row>
    <row r="41" spans="2:36" s="185" customFormat="1">
      <c r="B41" s="13" t="str" cm="1">
        <f t="array" ref="B41">IF(ROW()-ROW(tbl_ES_EligibilitySummary[#Headers])&lt;=ROWS(tbl_ES_Assessment[ActionID]),"Existing action","Additional action")</f>
        <v>Existing action</v>
      </c>
      <c r="C41" s="13" t="str" cm="1">
        <f t="array" ref="C41">IF(ROW()-ROW(tbl_ES_EligibilitySummary[#Headers])&lt;=ROWS(tbl_ES_Assessment[ActionID]),INDEX(tbl_ES_Assessment[ActionID],ROW()-ROW(tbl_ES_EligibilitySummary[#Headers])),INDEX(tbl_ES_AdditionalActions[AdditionalActionID],ROW()-ROW(tbl_ES_EligibilitySummary[#Headers])-ROWS(tbl_ES_Assessment[ActionID])))</f>
        <v>ipcc_0083</v>
      </c>
      <c r="D41" s="13" t="str" cm="1">
        <f t="array" ref="D41">IF(ROW()-ROW(tbl_ES_EligibilitySummary[#Headers])&lt;=ROWS(tbl_ES_Assessment[ActionID]),INDEX(tbl_ES_Assessment[ActionName],ROW()-ROW(tbl_ES_EligibilitySummary[#Headers])),INDEX(tbl_ES_AdditionalActions[ActionName],ROW()-ROW(tbl_ES_EligibilitySummary[#Headers])-ROWS(tbl_ES_Assessment[ActionID])))</f>
        <v>Plan strategic coastal retreat for vulnerable communities</v>
      </c>
      <c r="E41" s="13" cm="1">
        <f t="array" ref="E41">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41" s="13" t="str" cm="1">
        <f t="array" ref="F41">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41" s="13" t="str" cm="1">
        <f t="array" ref="G41">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41" s="13" cm="1">
        <f t="array" ref="H41">IF(ROW()-ROW(tbl_ES_EligibilitySummary[#Headers])&lt;=ROWS(tbl_ES_Assessment[ActionID]),INDEX(tbl_ES_Assessment[Exposure Eligibility],ROW()-ROW(tbl_ES_EligibilitySummary[#Headers])),INDEX(tbl_ES_AdditionalActions[Exposure Eligibility],ROW()-ROW(tbl_ES_EligibilitySummary[#Headers])-ROWS(tbl_ES_Assessment[ActionID])))</f>
        <v>0</v>
      </c>
      <c r="I41" s="13" t="str" cm="1">
        <f t="array" ref="I41">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41" s="13" t="str" cm="1">
        <f t="array" ref="J41">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41" s="13" cm="1">
        <f t="array" ref="K41">IF(ROW()-ROW(tbl_ES_EligibilitySummary[#Headers])&lt;=ROWS(tbl_ES_Assessment[ActionID]),INDEX(tbl_ES_Assessment[ReviewStatus],ROW()-ROW(tbl_ES_EligibilitySummary[#Headers])),INDEX(tbl_ES_AdditionalActions[ReviewStatus],ROW()-ROW(tbl_ES_EligibilitySummary[#Headers])-ROWS(tbl_ES_Assessment[ActionID])))</f>
        <v>0</v>
      </c>
      <c r="L41" s="87"/>
      <c r="M41" s="87"/>
      <c r="N41" s="87"/>
      <c r="O41" s="87"/>
      <c r="P41" s="87"/>
      <c r="Q41" s="87"/>
      <c r="R41" s="87"/>
      <c r="S41" s="87"/>
      <c r="T41" s="87"/>
      <c r="U41" s="87"/>
      <c r="V41" s="87"/>
      <c r="AA41" s="186"/>
      <c r="AB41" s="186"/>
      <c r="AC41" s="186"/>
      <c r="AD41" s="186"/>
      <c r="AE41" s="186"/>
      <c r="AF41" s="186"/>
      <c r="AG41" s="186"/>
      <c r="AH41" s="186"/>
      <c r="AI41" s="186"/>
      <c r="AJ41" s="186"/>
    </row>
    <row r="42" spans="2:36" s="185" customFormat="1">
      <c r="B42" s="13" t="str" cm="1">
        <f t="array" ref="B42">IF(ROW()-ROW(tbl_ES_EligibilitySummary[#Headers])&lt;=ROWS(tbl_ES_Assessment[ActionID]),"Existing action","Additional action")</f>
        <v>Existing action</v>
      </c>
      <c r="C42" s="13" t="str" cm="1">
        <f t="array" ref="C42">IF(ROW()-ROW(tbl_ES_EligibilitySummary[#Headers])&lt;=ROWS(tbl_ES_Assessment[ActionID]),INDEX(tbl_ES_Assessment[ActionID],ROW()-ROW(tbl_ES_EligibilitySummary[#Headers])),INDEX(tbl_ES_AdditionalActions[AdditionalActionID],ROW()-ROW(tbl_ES_EligibilitySummary[#Headers])-ROWS(tbl_ES_Assessment[ActionID])))</f>
        <v>ipcc_0084</v>
      </c>
      <c r="D42" s="13" t="str" cm="1">
        <f t="array" ref="D42">IF(ROW()-ROW(tbl_ES_EligibilitySummary[#Headers])&lt;=ROWS(tbl_ES_Assessment[ActionID]),INDEX(tbl_ES_Assessment[ActionName],ROW()-ROW(tbl_ES_EligibilitySummary[#Headers])),INDEX(tbl_ES_AdditionalActions[ActionName],ROW()-ROW(tbl_ES_EligibilitySummary[#Headers])-ROWS(tbl_ES_Assessment[ActionID])))</f>
        <v>Restore/create natural areas</v>
      </c>
      <c r="E42" s="13" cm="1">
        <f t="array" ref="E42">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42" s="13" t="str" cm="1">
        <f t="array" ref="F42">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42" s="13" t="str" cm="1">
        <f t="array" ref="G42">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42" s="13" cm="1">
        <f t="array" ref="H42">IF(ROW()-ROW(tbl_ES_EligibilitySummary[#Headers])&lt;=ROWS(tbl_ES_Assessment[ActionID]),INDEX(tbl_ES_Assessment[Exposure Eligibility],ROW()-ROW(tbl_ES_EligibilitySummary[#Headers])),INDEX(tbl_ES_AdditionalActions[Exposure Eligibility],ROW()-ROW(tbl_ES_EligibilitySummary[#Headers])-ROWS(tbl_ES_Assessment[ActionID])))</f>
        <v>0</v>
      </c>
      <c r="I42" s="13" t="str" cm="1">
        <f t="array" ref="I42">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42" s="13" t="str" cm="1">
        <f t="array" ref="J42">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42" s="13" cm="1">
        <f t="array" ref="K42">IF(ROW()-ROW(tbl_ES_EligibilitySummary[#Headers])&lt;=ROWS(tbl_ES_Assessment[ActionID]),INDEX(tbl_ES_Assessment[ReviewStatus],ROW()-ROW(tbl_ES_EligibilitySummary[#Headers])),INDEX(tbl_ES_AdditionalActions[ReviewStatus],ROW()-ROW(tbl_ES_EligibilitySummary[#Headers])-ROWS(tbl_ES_Assessment[ActionID])))</f>
        <v>0</v>
      </c>
      <c r="L42" s="87"/>
      <c r="M42" s="87"/>
      <c r="N42" s="87"/>
      <c r="O42" s="87"/>
      <c r="P42" s="87"/>
      <c r="Q42" s="87"/>
      <c r="R42" s="87"/>
      <c r="S42" s="87"/>
      <c r="T42" s="87"/>
      <c r="U42" s="87"/>
      <c r="V42" s="87"/>
      <c r="AA42" s="186"/>
      <c r="AB42" s="186"/>
      <c r="AC42" s="186"/>
      <c r="AD42" s="186"/>
      <c r="AE42" s="186"/>
      <c r="AF42" s="186"/>
      <c r="AG42" s="186"/>
      <c r="AH42" s="186"/>
      <c r="AI42" s="186"/>
      <c r="AJ42" s="186"/>
    </row>
    <row r="43" spans="2:36" s="185" customFormat="1">
      <c r="B43" s="13" t="str" cm="1">
        <f t="array" ref="B43">IF(ROW()-ROW(tbl_ES_EligibilitySummary[#Headers])&lt;=ROWS(tbl_ES_Assessment[ActionID]),"Existing action","Additional action")</f>
        <v>Existing action</v>
      </c>
      <c r="C43" s="13" t="str" cm="1">
        <f t="array" ref="C43">IF(ROW()-ROW(tbl_ES_EligibilitySummary[#Headers])&lt;=ROWS(tbl_ES_Assessment[ActionID]),INDEX(tbl_ES_Assessment[ActionID],ROW()-ROW(tbl_ES_EligibilitySummary[#Headers])),INDEX(tbl_ES_AdditionalActions[AdditionalActionID],ROW()-ROW(tbl_ES_EligibilitySummary[#Headers])-ROWS(tbl_ES_Assessment[ActionID])))</f>
        <v>ipcc_0085</v>
      </c>
      <c r="D43" s="13" t="str" cm="1">
        <f t="array" ref="D43">IF(ROW()-ROW(tbl_ES_EligibilitySummary[#Headers])&lt;=ROWS(tbl_ES_Assessment[ActionID]),INDEX(tbl_ES_Assessment[ActionName],ROW()-ROW(tbl_ES_EligibilitySummary[#Headers])),INDEX(tbl_ES_AdditionalActions[ActionName],ROW()-ROW(tbl_ES_EligibilitySummary[#Headers])-ROWS(tbl_ES_Assessment[ActionID])))</f>
        <v>Reduce pressures on ecosystems to build resilience</v>
      </c>
      <c r="E43" s="13" cm="1">
        <f t="array" ref="E43">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43" s="13" t="str" cm="1">
        <f t="array" ref="F43">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43" s="13" t="str" cm="1">
        <f t="array" ref="G43">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43" s="13" cm="1">
        <f t="array" ref="H43">IF(ROW()-ROW(tbl_ES_EligibilitySummary[#Headers])&lt;=ROWS(tbl_ES_Assessment[ActionID]),INDEX(tbl_ES_Assessment[Exposure Eligibility],ROW()-ROW(tbl_ES_EligibilitySummary[#Headers])),INDEX(tbl_ES_AdditionalActions[Exposure Eligibility],ROW()-ROW(tbl_ES_EligibilitySummary[#Headers])-ROWS(tbl_ES_Assessment[ActionID])))</f>
        <v>0</v>
      </c>
      <c r="I43" s="13" t="str" cm="1">
        <f t="array" ref="I43">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43" s="13" t="str" cm="1">
        <f t="array" ref="J43">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43" s="13" cm="1">
        <f t="array" ref="K43">IF(ROW()-ROW(tbl_ES_EligibilitySummary[#Headers])&lt;=ROWS(tbl_ES_Assessment[ActionID]),INDEX(tbl_ES_Assessment[ReviewStatus],ROW()-ROW(tbl_ES_EligibilitySummary[#Headers])),INDEX(tbl_ES_AdditionalActions[ReviewStatus],ROW()-ROW(tbl_ES_EligibilitySummary[#Headers])-ROWS(tbl_ES_Assessment[ActionID])))</f>
        <v>0</v>
      </c>
      <c r="L43" s="87"/>
      <c r="M43" s="87"/>
      <c r="N43" s="87"/>
      <c r="O43" s="87"/>
      <c r="P43" s="87"/>
      <c r="Q43" s="87"/>
      <c r="R43" s="87"/>
      <c r="S43" s="87"/>
      <c r="T43" s="87"/>
      <c r="U43" s="87"/>
      <c r="V43" s="87"/>
      <c r="AA43" s="186"/>
      <c r="AB43" s="186"/>
      <c r="AC43" s="186"/>
      <c r="AD43" s="186"/>
      <c r="AE43" s="186"/>
      <c r="AF43" s="186"/>
      <c r="AG43" s="186"/>
      <c r="AH43" s="186"/>
      <c r="AI43" s="186"/>
      <c r="AJ43" s="186"/>
    </row>
    <row r="44" spans="2:36" s="185" customFormat="1">
      <c r="B44" s="13" t="str" cm="1">
        <f t="array" ref="B44">IF(ROW()-ROW(tbl_ES_EligibilitySummary[#Headers])&lt;=ROWS(tbl_ES_Assessment[ActionID]),"Existing action","Additional action")</f>
        <v>Existing action</v>
      </c>
      <c r="C44" s="13" t="str" cm="1">
        <f t="array" ref="C44">IF(ROW()-ROW(tbl_ES_EligibilitySummary[#Headers])&lt;=ROWS(tbl_ES_Assessment[ActionID]),INDEX(tbl_ES_Assessment[ActionID],ROW()-ROW(tbl_ES_EligibilitySummary[#Headers])),INDEX(tbl_ES_AdditionalActions[AdditionalActionID],ROW()-ROW(tbl_ES_EligibilitySummary[#Headers])-ROWS(tbl_ES_Assessment[ActionID])))</f>
        <v>ipcc_0086</v>
      </c>
      <c r="D44" s="13" t="str" cm="1">
        <f t="array" ref="D44">IF(ROW()-ROW(tbl_ES_EligibilitySummary[#Headers])&lt;=ROWS(tbl_ES_Assessment[ActionID]),INDEX(tbl_ES_Assessment[ActionName],ROW()-ROW(tbl_ES_EligibilitySummary[#Headers])),INDEX(tbl_ES_AdditionalActions[ActionName],ROW()-ROW(tbl_ES_EligibilitySummary[#Headers])-ROWS(tbl_ES_Assessment[ActionID])))</f>
        <v>Implement ecosystem‑based adaptation measures</v>
      </c>
      <c r="E44" s="13" cm="1">
        <f t="array" ref="E44">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44" s="13" t="str" cm="1">
        <f t="array" ref="F44">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44" s="13" t="str" cm="1">
        <f t="array" ref="G44">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44" s="13" cm="1">
        <f t="array" ref="H44">IF(ROW()-ROW(tbl_ES_EligibilitySummary[#Headers])&lt;=ROWS(tbl_ES_Assessment[ActionID]),INDEX(tbl_ES_Assessment[Exposure Eligibility],ROW()-ROW(tbl_ES_EligibilitySummary[#Headers])),INDEX(tbl_ES_AdditionalActions[Exposure Eligibility],ROW()-ROW(tbl_ES_EligibilitySummary[#Headers])-ROWS(tbl_ES_Assessment[ActionID])))</f>
        <v>0</v>
      </c>
      <c r="I44" s="13" t="str" cm="1">
        <f t="array" ref="I44">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44" s="13" t="str" cm="1">
        <f t="array" ref="J44">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44" s="13" cm="1">
        <f t="array" ref="K44">IF(ROW()-ROW(tbl_ES_EligibilitySummary[#Headers])&lt;=ROWS(tbl_ES_Assessment[ActionID]),INDEX(tbl_ES_Assessment[ReviewStatus],ROW()-ROW(tbl_ES_EligibilitySummary[#Headers])),INDEX(tbl_ES_AdditionalActions[ReviewStatus],ROW()-ROW(tbl_ES_EligibilitySummary[#Headers])-ROWS(tbl_ES_Assessment[ActionID])))</f>
        <v>0</v>
      </c>
      <c r="L44" s="87"/>
      <c r="M44" s="87"/>
      <c r="N44" s="87"/>
      <c r="O44" s="87"/>
      <c r="P44" s="87"/>
      <c r="Q44" s="87"/>
      <c r="R44" s="87"/>
      <c r="S44" s="87"/>
      <c r="T44" s="87"/>
      <c r="U44" s="87"/>
      <c r="V44" s="87"/>
      <c r="AA44" s="186"/>
      <c r="AB44" s="186"/>
      <c r="AC44" s="186"/>
      <c r="AD44" s="186"/>
      <c r="AE44" s="186"/>
      <c r="AF44" s="186"/>
      <c r="AG44" s="186"/>
      <c r="AH44" s="186"/>
      <c r="AI44" s="186"/>
      <c r="AJ44" s="186"/>
    </row>
    <row r="45" spans="2:36" s="185" customFormat="1">
      <c r="B45" s="13" t="str" cm="1">
        <f t="array" ref="B45">IF(ROW()-ROW(tbl_ES_EligibilitySummary[#Headers])&lt;=ROWS(tbl_ES_Assessment[ActionID]),"Existing action","Additional action")</f>
        <v>Existing action</v>
      </c>
      <c r="C45" s="13" t="str" cm="1">
        <f t="array" ref="C45">IF(ROW()-ROW(tbl_ES_EligibilitySummary[#Headers])&lt;=ROWS(tbl_ES_Assessment[ActionID]),INDEX(tbl_ES_Assessment[ActionID],ROW()-ROW(tbl_ES_EligibilitySummary[#Headers])),INDEX(tbl_ES_AdditionalActions[AdditionalActionID],ROW()-ROW(tbl_ES_EligibilitySummary[#Headers])-ROWS(tbl_ES_Assessment[ActionID])))</f>
        <v>ipcc_0087</v>
      </c>
      <c r="D45" s="13" t="str" cm="1">
        <f t="array" ref="D45">IF(ROW()-ROW(tbl_ES_EligibilitySummary[#Headers])&lt;=ROWS(tbl_ES_Assessment[ActionID]),INDEX(tbl_ES_Assessment[ActionName],ROW()-ROW(tbl_ES_EligibilitySummary[#Headers])),INDEX(tbl_ES_AdditionalActions[ActionName],ROW()-ROW(tbl_ES_EligibilitySummary[#Headers])-ROWS(tbl_ES_Assessment[ActionID])))</f>
        <v>Improve Infrastructure retrofitting</v>
      </c>
      <c r="E45" s="13" cm="1">
        <f t="array" ref="E45">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45" s="13" t="str" cm="1">
        <f t="array" ref="F45">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45" s="13" t="str" cm="1">
        <f t="array" ref="G45">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45" s="13" cm="1">
        <f t="array" ref="H45">IF(ROW()-ROW(tbl_ES_EligibilitySummary[#Headers])&lt;=ROWS(tbl_ES_Assessment[ActionID]),INDEX(tbl_ES_Assessment[Exposure Eligibility],ROW()-ROW(tbl_ES_EligibilitySummary[#Headers])),INDEX(tbl_ES_AdditionalActions[Exposure Eligibility],ROW()-ROW(tbl_ES_EligibilitySummary[#Headers])-ROWS(tbl_ES_Assessment[ActionID])))</f>
        <v>0</v>
      </c>
      <c r="I45" s="13" t="str" cm="1">
        <f t="array" ref="I45">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45" s="13" t="str" cm="1">
        <f t="array" ref="J45">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45" s="13" cm="1">
        <f t="array" ref="K45">IF(ROW()-ROW(tbl_ES_EligibilitySummary[#Headers])&lt;=ROWS(tbl_ES_Assessment[ActionID]),INDEX(tbl_ES_Assessment[ReviewStatus],ROW()-ROW(tbl_ES_EligibilitySummary[#Headers])),INDEX(tbl_ES_AdditionalActions[ReviewStatus],ROW()-ROW(tbl_ES_EligibilitySummary[#Headers])-ROWS(tbl_ES_Assessment[ActionID])))</f>
        <v>0</v>
      </c>
      <c r="L45" s="87"/>
      <c r="M45" s="87"/>
      <c r="N45" s="87"/>
      <c r="O45" s="87"/>
      <c r="P45" s="87"/>
      <c r="Q45" s="87"/>
      <c r="R45" s="87"/>
      <c r="S45" s="87"/>
      <c r="T45" s="87"/>
      <c r="U45" s="87"/>
      <c r="V45" s="87"/>
      <c r="AA45" s="186"/>
      <c r="AB45" s="186"/>
      <c r="AC45" s="186"/>
      <c r="AD45" s="186"/>
      <c r="AE45" s="186"/>
      <c r="AF45" s="186"/>
      <c r="AG45" s="186"/>
      <c r="AH45" s="186"/>
      <c r="AI45" s="186"/>
      <c r="AJ45" s="186"/>
    </row>
    <row r="46" spans="2:36" s="185" customFormat="1">
      <c r="B46" s="13" t="str" cm="1">
        <f t="array" ref="B46">IF(ROW()-ROW(tbl_ES_EligibilitySummary[#Headers])&lt;=ROWS(tbl_ES_Assessment[ActionID]),"Existing action","Additional action")</f>
        <v>Existing action</v>
      </c>
      <c r="C46" s="13" t="str" cm="1">
        <f t="array" ref="C46">IF(ROW()-ROW(tbl_ES_EligibilitySummary[#Headers])&lt;=ROWS(tbl_ES_Assessment[ActionID]),INDEX(tbl_ES_Assessment[ActionID],ROW()-ROW(tbl_ES_EligibilitySummary[#Headers])),INDEX(tbl_ES_AdditionalActions[AdditionalActionID],ROW()-ROW(tbl_ES_EligibilitySummary[#Headers])-ROWS(tbl_ES_Assessment[ActionID])))</f>
        <v>ipcc_0088</v>
      </c>
      <c r="D46" s="13" t="str" cm="1">
        <f t="array" ref="D46">IF(ROW()-ROW(tbl_ES_EligibilitySummary[#Headers])&lt;=ROWS(tbl_ES_Assessment[ActionID]),INDEX(tbl_ES_Assessment[ActionName],ROW()-ROW(tbl_ES_EligibilitySummary[#Headers])),INDEX(tbl_ES_AdditionalActions[ActionName],ROW()-ROW(tbl_ES_EligibilitySummary[#Headers])-ROWS(tbl_ES_Assessment[ActionID])))</f>
        <v>Update and enforce climate‑resilient building codes</v>
      </c>
      <c r="E46" s="13" cm="1">
        <f t="array" ref="E46">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46" s="13" t="str" cm="1">
        <f t="array" ref="F46">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46" s="13" t="str" cm="1">
        <f t="array" ref="G46">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46" s="13" cm="1">
        <f t="array" ref="H46">IF(ROW()-ROW(tbl_ES_EligibilitySummary[#Headers])&lt;=ROWS(tbl_ES_Assessment[ActionID]),INDEX(tbl_ES_Assessment[Exposure Eligibility],ROW()-ROW(tbl_ES_EligibilitySummary[#Headers])),INDEX(tbl_ES_AdditionalActions[Exposure Eligibility],ROW()-ROW(tbl_ES_EligibilitySummary[#Headers])-ROWS(tbl_ES_Assessment[ActionID])))</f>
        <v>0</v>
      </c>
      <c r="I46" s="13" t="str" cm="1">
        <f t="array" ref="I46">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46" s="13" t="str" cm="1">
        <f t="array" ref="J46">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46" s="13" cm="1">
        <f t="array" ref="K46">IF(ROW()-ROW(tbl_ES_EligibilitySummary[#Headers])&lt;=ROWS(tbl_ES_Assessment[ActionID]),INDEX(tbl_ES_Assessment[ReviewStatus],ROW()-ROW(tbl_ES_EligibilitySummary[#Headers])),INDEX(tbl_ES_AdditionalActions[ReviewStatus],ROW()-ROW(tbl_ES_EligibilitySummary[#Headers])-ROWS(tbl_ES_Assessment[ActionID])))</f>
        <v>0</v>
      </c>
      <c r="L46" s="87"/>
      <c r="M46" s="87"/>
      <c r="N46" s="87"/>
      <c r="O46" s="87"/>
      <c r="P46" s="87"/>
      <c r="Q46" s="87"/>
      <c r="R46" s="87"/>
      <c r="S46" s="87"/>
      <c r="T46" s="87"/>
      <c r="U46" s="87"/>
      <c r="V46" s="87"/>
      <c r="AA46" s="186"/>
      <c r="AB46" s="186"/>
      <c r="AC46" s="186"/>
      <c r="AD46" s="186"/>
      <c r="AE46" s="186"/>
      <c r="AF46" s="186"/>
      <c r="AG46" s="186"/>
      <c r="AH46" s="186"/>
      <c r="AI46" s="186"/>
      <c r="AJ46" s="186"/>
    </row>
    <row r="47" spans="2:36" s="185" customFormat="1">
      <c r="B47" s="13" t="str" cm="1">
        <f t="array" ref="B47">IF(ROW()-ROW(tbl_ES_EligibilitySummary[#Headers])&lt;=ROWS(tbl_ES_Assessment[ActionID]),"Existing action","Additional action")</f>
        <v>Existing action</v>
      </c>
      <c r="C47" s="13" t="str" cm="1">
        <f t="array" ref="C47">IF(ROW()-ROW(tbl_ES_EligibilitySummary[#Headers])&lt;=ROWS(tbl_ES_Assessment[ActionID]),INDEX(tbl_ES_Assessment[ActionID],ROW()-ROW(tbl_ES_EligibilitySummary[#Headers])),INDEX(tbl_ES_AdditionalActions[AdditionalActionID],ROW()-ROW(tbl_ES_EligibilitySummary[#Headers])-ROWS(tbl_ES_Assessment[ActionID])))</f>
        <v>ipcc_0089</v>
      </c>
      <c r="D47" s="13" t="str" cm="1">
        <f t="array" ref="D47">IF(ROW()-ROW(tbl_ES_EligibilitySummary[#Headers])&lt;=ROWS(tbl_ES_Assessment[ActionID]),INDEX(tbl_ES_Assessment[ActionName],ROW()-ROW(tbl_ES_EligibilitySummary[#Headers])),INDEX(tbl_ES_AdditionalActions[ActionName],ROW()-ROW(tbl_ES_EligibilitySummary[#Headers])-ROWS(tbl_ES_Assessment[ActionID])))</f>
        <v>Spatially redirect development</v>
      </c>
      <c r="E47" s="13" cm="1">
        <f t="array" ref="E47">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47" s="13" t="str" cm="1">
        <f t="array" ref="F47">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47" s="13" t="str" cm="1">
        <f t="array" ref="G47">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47" s="13" cm="1">
        <f t="array" ref="H47">IF(ROW()-ROW(tbl_ES_EligibilitySummary[#Headers])&lt;=ROWS(tbl_ES_Assessment[ActionID]),INDEX(tbl_ES_Assessment[Exposure Eligibility],ROW()-ROW(tbl_ES_EligibilitySummary[#Headers])),INDEX(tbl_ES_AdditionalActions[Exposure Eligibility],ROW()-ROW(tbl_ES_EligibilitySummary[#Headers])-ROWS(tbl_ES_Assessment[ActionID])))</f>
        <v>0</v>
      </c>
      <c r="I47" s="13" t="str" cm="1">
        <f t="array" ref="I47">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47" s="13" t="str" cm="1">
        <f t="array" ref="J47">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47" s="13" cm="1">
        <f t="array" ref="K47">IF(ROW()-ROW(tbl_ES_EligibilitySummary[#Headers])&lt;=ROWS(tbl_ES_Assessment[ActionID]),INDEX(tbl_ES_Assessment[ReviewStatus],ROW()-ROW(tbl_ES_EligibilitySummary[#Headers])),INDEX(tbl_ES_AdditionalActions[ReviewStatus],ROW()-ROW(tbl_ES_EligibilitySummary[#Headers])-ROWS(tbl_ES_Assessment[ActionID])))</f>
        <v>0</v>
      </c>
      <c r="L47" s="87"/>
      <c r="M47" s="87"/>
      <c r="N47" s="87"/>
      <c r="O47" s="87"/>
      <c r="P47" s="87"/>
      <c r="Q47" s="87"/>
      <c r="R47" s="87"/>
      <c r="S47" s="87"/>
      <c r="T47" s="87"/>
      <c r="U47" s="87"/>
      <c r="V47" s="87"/>
      <c r="AA47" s="186"/>
      <c r="AB47" s="186"/>
      <c r="AC47" s="186"/>
      <c r="AD47" s="186"/>
      <c r="AE47" s="186"/>
      <c r="AF47" s="186"/>
      <c r="AG47" s="186"/>
      <c r="AH47" s="186"/>
      <c r="AI47" s="186"/>
      <c r="AJ47" s="186"/>
    </row>
    <row r="48" spans="2:36" s="185" customFormat="1">
      <c r="B48" s="13" t="str" cm="1">
        <f t="array" ref="B48">IF(ROW()-ROW(tbl_ES_EligibilitySummary[#Headers])&lt;=ROWS(tbl_ES_Assessment[ActionID]),"Existing action","Additional action")</f>
        <v>Existing action</v>
      </c>
      <c r="C48" s="13" t="str" cm="1">
        <f t="array" ref="C48">IF(ROW()-ROW(tbl_ES_EligibilitySummary[#Headers])&lt;=ROWS(tbl_ES_Assessment[ActionID]),INDEX(tbl_ES_Assessment[ActionID],ROW()-ROW(tbl_ES_EligibilitySummary[#Headers])),INDEX(tbl_ES_AdditionalActions[AdditionalActionID],ROW()-ROW(tbl_ES_EligibilitySummary[#Headers])-ROWS(tbl_ES_Assessment[ActionID])))</f>
        <v>ipcc_0090</v>
      </c>
      <c r="D48" s="13" t="str" cm="1">
        <f t="array" ref="D48">IF(ROW()-ROW(tbl_ES_EligibilitySummary[#Headers])&lt;=ROWS(tbl_ES_Assessment[ActionID]),INDEX(tbl_ES_Assessment[ActionName],ROW()-ROW(tbl_ES_EligibilitySummary[#Headers])),INDEX(tbl_ES_AdditionalActions[ActionName],ROW()-ROW(tbl_ES_EligibilitySummary[#Headers])-ROWS(tbl_ES_Assessment[ActionID])))</f>
        <v>Expand climate risk insurance coverage</v>
      </c>
      <c r="E48" s="13" cm="1">
        <f t="array" ref="E48">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48" s="13" t="str" cm="1">
        <f t="array" ref="F48">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48" s="13" t="str" cm="1">
        <f t="array" ref="G48">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48" s="13" cm="1">
        <f t="array" ref="H48">IF(ROW()-ROW(tbl_ES_EligibilitySummary[#Headers])&lt;=ROWS(tbl_ES_Assessment[ActionID]),INDEX(tbl_ES_Assessment[Exposure Eligibility],ROW()-ROW(tbl_ES_EligibilitySummary[#Headers])),INDEX(tbl_ES_AdditionalActions[Exposure Eligibility],ROW()-ROW(tbl_ES_EligibilitySummary[#Headers])-ROWS(tbl_ES_Assessment[ActionID])))</f>
        <v>0</v>
      </c>
      <c r="I48" s="13" t="str" cm="1">
        <f t="array" ref="I48">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48" s="13" t="str" cm="1">
        <f t="array" ref="J48">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48" s="13" cm="1">
        <f t="array" ref="K48">IF(ROW()-ROW(tbl_ES_EligibilitySummary[#Headers])&lt;=ROWS(tbl_ES_Assessment[ActionID]),INDEX(tbl_ES_Assessment[ReviewStatus],ROW()-ROW(tbl_ES_EligibilitySummary[#Headers])),INDEX(tbl_ES_AdditionalActions[ReviewStatus],ROW()-ROW(tbl_ES_EligibilitySummary[#Headers])-ROWS(tbl_ES_Assessment[ActionID])))</f>
        <v>0</v>
      </c>
      <c r="L48" s="87"/>
      <c r="M48" s="87"/>
      <c r="N48" s="87"/>
      <c r="O48" s="87"/>
      <c r="P48" s="87"/>
      <c r="Q48" s="87"/>
      <c r="R48" s="87"/>
      <c r="S48" s="87"/>
      <c r="T48" s="87"/>
      <c r="U48" s="87"/>
      <c r="V48" s="87"/>
      <c r="AA48" s="186"/>
      <c r="AB48" s="186"/>
      <c r="AC48" s="186"/>
      <c r="AD48" s="186"/>
      <c r="AE48" s="186"/>
      <c r="AF48" s="186"/>
      <c r="AG48" s="186"/>
      <c r="AH48" s="186"/>
      <c r="AI48" s="186"/>
      <c r="AJ48" s="186"/>
    </row>
    <row r="49" spans="1:36" s="185" customFormat="1">
      <c r="B49" s="13" t="str" cm="1">
        <f t="array" ref="B49">IF(ROW()-ROW(tbl_ES_EligibilitySummary[#Headers])&lt;=ROWS(tbl_ES_Assessment[ActionID]),"Existing action","Additional action")</f>
        <v>Existing action</v>
      </c>
      <c r="C49" s="13" t="str" cm="1">
        <f t="array" ref="C49">IF(ROW()-ROW(tbl_ES_EligibilitySummary[#Headers])&lt;=ROWS(tbl_ES_Assessment[ActionID]),INDEX(tbl_ES_Assessment[ActionID],ROW()-ROW(tbl_ES_EligibilitySummary[#Headers])),INDEX(tbl_ES_AdditionalActions[AdditionalActionID],ROW()-ROW(tbl_ES_EligibilitySummary[#Headers])-ROWS(tbl_ES_Assessment[ActionID])))</f>
        <v>ipcc_0091</v>
      </c>
      <c r="D49" s="13" t="str" cm="1">
        <f t="array" ref="D49">IF(ROW()-ROW(tbl_ES_EligibilitySummary[#Headers])&lt;=ROWS(tbl_ES_Assessment[ActionID]),INDEX(tbl_ES_Assessment[ActionName],ROW()-ROW(tbl_ES_EligibilitySummary[#Headers])),INDEX(tbl_ES_AdditionalActions[ActionName],ROW()-ROW(tbl_ES_EligibilitySummary[#Headers])-ROWS(tbl_ES_Assessment[ActionID])))</f>
        <v>Support livelihood diversification for climate resilience</v>
      </c>
      <c r="E49" s="13" cm="1">
        <f t="array" ref="E49">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49" s="13" t="str" cm="1">
        <f t="array" ref="F49">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49" s="13" t="str" cm="1">
        <f t="array" ref="G49">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49" s="13" cm="1">
        <f t="array" ref="H49">IF(ROW()-ROW(tbl_ES_EligibilitySummary[#Headers])&lt;=ROWS(tbl_ES_Assessment[ActionID]),INDEX(tbl_ES_Assessment[Exposure Eligibility],ROW()-ROW(tbl_ES_EligibilitySummary[#Headers])),INDEX(tbl_ES_AdditionalActions[Exposure Eligibility],ROW()-ROW(tbl_ES_EligibilitySummary[#Headers])-ROWS(tbl_ES_Assessment[ActionID])))</f>
        <v>0</v>
      </c>
      <c r="I49" s="13" t="str" cm="1">
        <f t="array" ref="I49">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49" s="13" t="str" cm="1">
        <f t="array" ref="J49">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49" s="13" cm="1">
        <f t="array" ref="K49">IF(ROW()-ROW(tbl_ES_EligibilitySummary[#Headers])&lt;=ROWS(tbl_ES_Assessment[ActionID]),INDEX(tbl_ES_Assessment[ReviewStatus],ROW()-ROW(tbl_ES_EligibilitySummary[#Headers])),INDEX(tbl_ES_AdditionalActions[ReviewStatus],ROW()-ROW(tbl_ES_EligibilitySummary[#Headers])-ROWS(tbl_ES_Assessment[ActionID])))</f>
        <v>0</v>
      </c>
      <c r="L49" s="87"/>
      <c r="M49" s="87"/>
      <c r="N49" s="87"/>
      <c r="O49" s="87"/>
      <c r="P49" s="87"/>
      <c r="Q49" s="87"/>
      <c r="R49" s="87"/>
      <c r="S49" s="87"/>
      <c r="T49" s="87"/>
      <c r="U49" s="87"/>
      <c r="V49" s="87"/>
      <c r="AA49" s="186"/>
      <c r="AB49" s="186"/>
      <c r="AC49" s="186"/>
      <c r="AD49" s="186"/>
      <c r="AE49" s="186"/>
      <c r="AF49" s="186"/>
      <c r="AG49" s="186"/>
      <c r="AH49" s="186"/>
      <c r="AI49" s="186"/>
      <c r="AJ49" s="186"/>
    </row>
    <row r="50" spans="1:36" s="185" customFormat="1">
      <c r="B50" s="13" t="str" cm="1">
        <f t="array" ref="B50">IF(ROW()-ROW(tbl_ES_EligibilitySummary[#Headers])&lt;=ROWS(tbl_ES_Assessment[ActionID]),"Existing action","Additional action")</f>
        <v>Existing action</v>
      </c>
      <c r="C50" s="13" t="str" cm="1">
        <f t="array" ref="C50">IF(ROW()-ROW(tbl_ES_EligibilitySummary[#Headers])&lt;=ROWS(tbl_ES_Assessment[ActionID]),INDEX(tbl_ES_Assessment[ActionID],ROW()-ROW(tbl_ES_EligibilitySummary[#Headers])),INDEX(tbl_ES_AdditionalActions[AdditionalActionID],ROW()-ROW(tbl_ES_EligibilitySummary[#Headers])-ROWS(tbl_ES_Assessment[ActionID])))</f>
        <v>ipcc_0092</v>
      </c>
      <c r="D50" s="13" t="str" cm="1">
        <f t="array" ref="D50">IF(ROW()-ROW(tbl_ES_EligibilitySummary[#Headers])&lt;=ROWS(tbl_ES_Assessment[ActionID]),INDEX(tbl_ES_Assessment[ActionName],ROW()-ROW(tbl_ES_EligibilitySummary[#Headers])),INDEX(tbl_ES_AdditionalActions[ActionName],ROW()-ROW(tbl_ES_EligibilitySummary[#Headers])-ROWS(tbl_ES_Assessment[ActionID])))</f>
        <v>Expand climate‑responsive social safety nets</v>
      </c>
      <c r="E50" s="13" cm="1">
        <f t="array" ref="E50">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50" s="13" t="str" cm="1">
        <f t="array" ref="F50">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50" s="13" t="str" cm="1">
        <f t="array" ref="G50">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50" s="13" cm="1">
        <f t="array" ref="H50">IF(ROW()-ROW(tbl_ES_EligibilitySummary[#Headers])&lt;=ROWS(tbl_ES_Assessment[ActionID]),INDEX(tbl_ES_Assessment[Exposure Eligibility],ROW()-ROW(tbl_ES_EligibilitySummary[#Headers])),INDEX(tbl_ES_AdditionalActions[Exposure Eligibility],ROW()-ROW(tbl_ES_EligibilitySummary[#Headers])-ROWS(tbl_ES_Assessment[ActionID])))</f>
        <v>0</v>
      </c>
      <c r="I50" s="13" t="str" cm="1">
        <f t="array" ref="I50">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50" s="13" t="str" cm="1">
        <f t="array" ref="J50">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50" s="13" cm="1">
        <f t="array" ref="K50">IF(ROW()-ROW(tbl_ES_EligibilitySummary[#Headers])&lt;=ROWS(tbl_ES_Assessment[ActionID]),INDEX(tbl_ES_Assessment[ReviewStatus],ROW()-ROW(tbl_ES_EligibilitySummary[#Headers])),INDEX(tbl_ES_AdditionalActions[ReviewStatus],ROW()-ROW(tbl_ES_EligibilitySummary[#Headers])-ROWS(tbl_ES_Assessment[ActionID])))</f>
        <v>0</v>
      </c>
      <c r="L50" s="87"/>
      <c r="M50" s="87"/>
      <c r="N50" s="87"/>
      <c r="O50" s="87"/>
      <c r="P50" s="87"/>
      <c r="Q50" s="87"/>
      <c r="R50" s="87"/>
      <c r="S50" s="87"/>
      <c r="T50" s="87"/>
      <c r="U50" s="87"/>
      <c r="V50" s="87"/>
      <c r="AA50" s="186"/>
      <c r="AB50" s="186"/>
      <c r="AC50" s="186"/>
      <c r="AD50" s="186"/>
      <c r="AE50" s="186"/>
      <c r="AF50" s="186"/>
      <c r="AG50" s="186"/>
      <c r="AH50" s="186"/>
      <c r="AI50" s="186"/>
      <c r="AJ50" s="186"/>
    </row>
    <row r="51" spans="1:36" s="185" customFormat="1">
      <c r="B51" s="13" t="str" cm="1">
        <f t="array" ref="B51">IF(ROW()-ROW(tbl_ES_EligibilitySummary[#Headers])&lt;=ROWS(tbl_ES_Assessment[ActionID]),"Existing action","Additional action")</f>
        <v>Existing action</v>
      </c>
      <c r="C51" s="13" t="str" cm="1">
        <f t="array" ref="C51">IF(ROW()-ROW(tbl_ES_EligibilitySummary[#Headers])&lt;=ROWS(tbl_ES_Assessment[ActionID]),INDEX(tbl_ES_Assessment[ActionID],ROW()-ROW(tbl_ES_EligibilitySummary[#Headers])),INDEX(tbl_ES_AdditionalActions[AdditionalActionID],ROW()-ROW(tbl_ES_EligibilitySummary[#Headers])-ROWS(tbl_ES_Assessment[ActionID])))</f>
        <v>ipcc_0094</v>
      </c>
      <c r="D51" s="13" t="str" cm="1">
        <f t="array" ref="D51">IF(ROW()-ROW(tbl_ES_EligibilitySummary[#Headers])&lt;=ROWS(tbl_ES_Assessment[ActionID]),INDEX(tbl_ES_Assessment[ActionName],ROW()-ROW(tbl_ES_EligibilitySummary[#Headers])),INDEX(tbl_ES_AdditionalActions[ActionName],ROW()-ROW(tbl_ES_EligibilitySummary[#Headers])-ROWS(tbl_ES_Assessment[ActionID])))</f>
        <v>Strengthen climate‑resilient health services</v>
      </c>
      <c r="E51" s="13" cm="1">
        <f t="array" ref="E51">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51" s="13" t="str" cm="1">
        <f t="array" ref="F51">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51" s="13" t="str" cm="1">
        <f t="array" ref="G51">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51" s="13" cm="1">
        <f t="array" ref="H51">IF(ROW()-ROW(tbl_ES_EligibilitySummary[#Headers])&lt;=ROWS(tbl_ES_Assessment[ActionID]),INDEX(tbl_ES_Assessment[Exposure Eligibility],ROW()-ROW(tbl_ES_EligibilitySummary[#Headers])),INDEX(tbl_ES_AdditionalActions[Exposure Eligibility],ROW()-ROW(tbl_ES_EligibilitySummary[#Headers])-ROWS(tbl_ES_Assessment[ActionID])))</f>
        <v>0</v>
      </c>
      <c r="I51" s="13" t="str" cm="1">
        <f t="array" ref="I51">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51" s="13" t="str" cm="1">
        <f t="array" ref="J51">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51" s="13" cm="1">
        <f t="array" ref="K51">IF(ROW()-ROW(tbl_ES_EligibilitySummary[#Headers])&lt;=ROWS(tbl_ES_Assessment[ActionID]),INDEX(tbl_ES_Assessment[ReviewStatus],ROW()-ROW(tbl_ES_EligibilitySummary[#Headers])),INDEX(tbl_ES_AdditionalActions[ReviewStatus],ROW()-ROW(tbl_ES_EligibilitySummary[#Headers])-ROWS(tbl_ES_Assessment[ActionID])))</f>
        <v>0</v>
      </c>
      <c r="L51" s="87"/>
      <c r="M51" s="87"/>
      <c r="N51" s="87"/>
      <c r="O51" s="87"/>
      <c r="P51" s="87"/>
      <c r="Q51" s="87"/>
      <c r="R51" s="87"/>
      <c r="S51" s="87"/>
      <c r="T51" s="87"/>
      <c r="U51" s="87"/>
      <c r="V51" s="87"/>
      <c r="AA51" s="186"/>
      <c r="AB51" s="186"/>
      <c r="AC51" s="186"/>
      <c r="AD51" s="186"/>
      <c r="AE51" s="186"/>
      <c r="AF51" s="186"/>
      <c r="AG51" s="186"/>
      <c r="AH51" s="186"/>
      <c r="AI51" s="186"/>
      <c r="AJ51" s="186"/>
    </row>
    <row r="52" spans="1:36" s="185" customFormat="1">
      <c r="B52" s="13" t="str" cm="1">
        <f t="array" ref="B52">IF(ROW()-ROW(tbl_ES_EligibilitySummary[#Headers])&lt;=ROWS(tbl_ES_Assessment[ActionID]),"Existing action","Additional action")</f>
        <v>Existing action</v>
      </c>
      <c r="C52" s="13" t="str" cm="1">
        <f t="array" ref="C52">IF(ROW()-ROW(tbl_ES_EligibilitySummary[#Headers])&lt;=ROWS(tbl_ES_Assessment[ActionID]),INDEX(tbl_ES_Assessment[ActionID],ROW()-ROW(tbl_ES_EligibilitySummary[#Headers])),INDEX(tbl_ES_AdditionalActions[AdditionalActionID],ROW()-ROW(tbl_ES_EligibilitySummary[#Headers])-ROWS(tbl_ES_Assessment[ActionID])))</f>
        <v>ipcc_0096</v>
      </c>
      <c r="D52" s="13" t="str" cm="1">
        <f t="array" ref="D52">IF(ROW()-ROW(tbl_ES_EligibilitySummary[#Headers])&lt;=ROWS(tbl_ES_Assessment[ActionID]),INDEX(tbl_ES_Assessment[ActionName],ROW()-ROW(tbl_ES_EligibilitySummary[#Headers])),INDEX(tbl_ES_AdditionalActions[ActionName],ROW()-ROW(tbl_ES_EligibilitySummary[#Headers])-ROWS(tbl_ES_Assessment[ActionID])))</f>
        <v>Strengthen climate resilience in farming and fisheries</v>
      </c>
      <c r="E52" s="13" cm="1">
        <f t="array" ref="E52">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52" s="13" t="str" cm="1">
        <f t="array" ref="F52">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52" s="13" t="str" cm="1">
        <f t="array" ref="G52">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52" s="13" cm="1">
        <f t="array" ref="H52">IF(ROW()-ROW(tbl_ES_EligibilitySummary[#Headers])&lt;=ROWS(tbl_ES_Assessment[ActionID]),INDEX(tbl_ES_Assessment[Exposure Eligibility],ROW()-ROW(tbl_ES_EligibilitySummary[#Headers])),INDEX(tbl_ES_AdditionalActions[Exposure Eligibility],ROW()-ROW(tbl_ES_EligibilitySummary[#Headers])-ROWS(tbl_ES_Assessment[ActionID])))</f>
        <v>0</v>
      </c>
      <c r="I52" s="13" t="str" cm="1">
        <f t="array" ref="I52">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52" s="13" t="str" cm="1">
        <f t="array" ref="J52">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52" s="13" cm="1">
        <f t="array" ref="K52">IF(ROW()-ROW(tbl_ES_EligibilitySummary[#Headers])&lt;=ROWS(tbl_ES_Assessment[ActionID]),INDEX(tbl_ES_Assessment[ReviewStatus],ROW()-ROW(tbl_ES_EligibilitySummary[#Headers])),INDEX(tbl_ES_AdditionalActions[ReviewStatus],ROW()-ROW(tbl_ES_EligibilitySummary[#Headers])-ROWS(tbl_ES_Assessment[ActionID])))</f>
        <v>0</v>
      </c>
      <c r="L52" s="87"/>
      <c r="M52" s="87"/>
      <c r="N52" s="87"/>
      <c r="O52" s="87"/>
      <c r="P52" s="87"/>
      <c r="Q52" s="87"/>
      <c r="R52" s="87"/>
      <c r="S52" s="87"/>
      <c r="T52" s="87"/>
      <c r="U52" s="87"/>
      <c r="V52" s="87"/>
      <c r="AA52" s="186"/>
      <c r="AB52" s="186"/>
      <c r="AC52" s="186"/>
      <c r="AD52" s="186"/>
      <c r="AE52" s="186"/>
      <c r="AF52" s="186"/>
      <c r="AG52" s="186"/>
      <c r="AH52" s="186"/>
      <c r="AI52" s="186"/>
      <c r="AJ52" s="186"/>
    </row>
    <row r="53" spans="1:36" s="185" customFormat="1">
      <c r="B53" s="13" t="str" cm="1">
        <f t="array" ref="B53">IF(ROW()-ROW(tbl_ES_EligibilitySummary[#Headers])&lt;=ROWS(tbl_ES_Assessment[ActionID]),"Existing action","Additional action")</f>
        <v>Existing action</v>
      </c>
      <c r="C53" s="13" t="str" cm="1">
        <f t="array" ref="C53">IF(ROW()-ROW(tbl_ES_EligibilitySummary[#Headers])&lt;=ROWS(tbl_ES_Assessment[ActionID]),INDEX(tbl_ES_Assessment[ActionID],ROW()-ROW(tbl_ES_EligibilitySummary[#Headers])),INDEX(tbl_ES_AdditionalActions[AdditionalActionID],ROW()-ROW(tbl_ES_EligibilitySummary[#Headers])-ROWS(tbl_ES_Assessment[ActionID])))</f>
        <v>ipcc_0097</v>
      </c>
      <c r="D53" s="13" t="str" cm="1">
        <f t="array" ref="D53">IF(ROW()-ROW(tbl_ES_EligibilitySummary[#Headers])&lt;=ROWS(tbl_ES_Assessment[ActionID]),INDEX(tbl_ES_Assessment[ActionName],ROW()-ROW(tbl_ES_EligibilitySummary[#Headers])),INDEX(tbl_ES_AdditionalActions[ActionName],ROW()-ROW(tbl_ES_EligibilitySummary[#Headers])-ROWS(tbl_ES_Assessment[ActionID])))</f>
        <v>Upgrade food storage and distribution for climate resilience</v>
      </c>
      <c r="E53" s="13" cm="1">
        <f t="array" ref="E53">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53" s="13" t="str" cm="1">
        <f t="array" ref="F53">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53" s="13" t="str" cm="1">
        <f t="array" ref="G53">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53" s="13" cm="1">
        <f t="array" ref="H53">IF(ROW()-ROW(tbl_ES_EligibilitySummary[#Headers])&lt;=ROWS(tbl_ES_Assessment[ActionID]),INDEX(tbl_ES_Assessment[Exposure Eligibility],ROW()-ROW(tbl_ES_EligibilitySummary[#Headers])),INDEX(tbl_ES_AdditionalActions[Exposure Eligibility],ROW()-ROW(tbl_ES_EligibilitySummary[#Headers])-ROWS(tbl_ES_Assessment[ActionID])))</f>
        <v>0</v>
      </c>
      <c r="I53" s="13" t="str" cm="1">
        <f t="array" ref="I53">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53" s="13" t="str" cm="1">
        <f t="array" ref="J53">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53" s="13" cm="1">
        <f t="array" ref="K53">IF(ROW()-ROW(tbl_ES_EligibilitySummary[#Headers])&lt;=ROWS(tbl_ES_Assessment[ActionID]),INDEX(tbl_ES_Assessment[ReviewStatus],ROW()-ROW(tbl_ES_EligibilitySummary[#Headers])),INDEX(tbl_ES_AdditionalActions[ReviewStatus],ROW()-ROW(tbl_ES_EligibilitySummary[#Headers])-ROWS(tbl_ES_Assessment[ActionID])))</f>
        <v>0</v>
      </c>
      <c r="L53" s="87"/>
      <c r="M53" s="87"/>
      <c r="N53" s="87"/>
      <c r="O53" s="87"/>
      <c r="P53" s="87"/>
      <c r="Q53" s="87"/>
      <c r="R53" s="87"/>
      <c r="S53" s="87"/>
      <c r="T53" s="87"/>
      <c r="U53" s="87"/>
      <c r="V53" s="87"/>
      <c r="AA53" s="186"/>
      <c r="AB53" s="186"/>
      <c r="AC53" s="186"/>
      <c r="AD53" s="186"/>
      <c r="AE53" s="186"/>
      <c r="AF53" s="186"/>
      <c r="AG53" s="186"/>
      <c r="AH53" s="186"/>
      <c r="AI53" s="186"/>
      <c r="AJ53" s="186"/>
    </row>
    <row r="54" spans="1:36" s="185" customFormat="1">
      <c r="B54" s="13" t="str" cm="1">
        <f t="array" ref="B54">IF(ROW()-ROW(tbl_ES_EligibilitySummary[#Headers])&lt;=ROWS(tbl_ES_Assessment[ActionID]),"Existing action","Additional action")</f>
        <v>Existing action</v>
      </c>
      <c r="C54" s="13" t="str" cm="1">
        <f t="array" ref="C54">IF(ROW()-ROW(tbl_ES_EligibilitySummary[#Headers])&lt;=ROWS(tbl_ES_Assessment[ActionID]),INDEX(tbl_ES_Assessment[ActionID],ROW()-ROW(tbl_ES_EligibilitySummary[#Headers])),INDEX(tbl_ES_AdditionalActions[AdditionalActionID],ROW()-ROW(tbl_ES_EligibilitySummary[#Headers])-ROWS(tbl_ES_Assessment[ActionID])))</f>
        <v>ipcc_0098</v>
      </c>
      <c r="D54" s="13" t="str" cm="1">
        <f t="array" ref="D54">IF(ROW()-ROW(tbl_ES_EligibilitySummary[#Headers])&lt;=ROWS(tbl_ES_Assessment[ActionID]),INDEX(tbl_ES_Assessment[ActionName],ROW()-ROW(tbl_ES_EligibilitySummary[#Headers])),INDEX(tbl_ES_AdditionalActions[ActionName],ROW()-ROW(tbl_ES_EligibilitySummary[#Headers])-ROWS(tbl_ES_Assessment[ActionID])))</f>
        <v>Increase resilience by improving access to food, improving livelihoods and promoting dietary shifts and food waste reduction</v>
      </c>
      <c r="E54" s="13" cm="1">
        <f t="array" ref="E54">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54" s="13" t="str" cm="1">
        <f t="array" ref="F54">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54" s="13" t="str" cm="1">
        <f t="array" ref="G54">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54" s="13" cm="1">
        <f t="array" ref="H54">IF(ROW()-ROW(tbl_ES_EligibilitySummary[#Headers])&lt;=ROWS(tbl_ES_Assessment[ActionID]),INDEX(tbl_ES_Assessment[Exposure Eligibility],ROW()-ROW(tbl_ES_EligibilitySummary[#Headers])),INDEX(tbl_ES_AdditionalActions[Exposure Eligibility],ROW()-ROW(tbl_ES_EligibilitySummary[#Headers])-ROWS(tbl_ES_Assessment[ActionID])))</f>
        <v>0</v>
      </c>
      <c r="I54" s="13" t="str" cm="1">
        <f t="array" ref="I54">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54" s="13" t="str" cm="1">
        <f t="array" ref="J54">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54" s="13" cm="1">
        <f t="array" ref="K54">IF(ROW()-ROW(tbl_ES_EligibilitySummary[#Headers])&lt;=ROWS(tbl_ES_Assessment[ActionID]),INDEX(tbl_ES_Assessment[ReviewStatus],ROW()-ROW(tbl_ES_EligibilitySummary[#Headers])),INDEX(tbl_ES_AdditionalActions[ReviewStatus],ROW()-ROW(tbl_ES_EligibilitySummary[#Headers])-ROWS(tbl_ES_Assessment[ActionID])))</f>
        <v>0</v>
      </c>
      <c r="L54" s="87"/>
      <c r="M54" s="87"/>
      <c r="N54" s="87"/>
      <c r="O54" s="87"/>
      <c r="P54" s="87"/>
      <c r="Q54" s="87"/>
      <c r="R54" s="87"/>
      <c r="S54" s="87"/>
      <c r="T54" s="87"/>
      <c r="U54" s="87"/>
      <c r="V54" s="87"/>
      <c r="AA54" s="186"/>
      <c r="AB54" s="186"/>
      <c r="AC54" s="186"/>
      <c r="AD54" s="186"/>
      <c r="AE54" s="186"/>
      <c r="AF54" s="186"/>
      <c r="AG54" s="186"/>
      <c r="AH54" s="186"/>
      <c r="AI54" s="186"/>
      <c r="AJ54" s="186"/>
    </row>
    <row r="55" spans="1:36" s="185" customFormat="1">
      <c r="B55" s="13" t="str" cm="1">
        <f t="array" ref="B55">IF(ROW()-ROW(tbl_ES_EligibilitySummary[#Headers])&lt;=ROWS(tbl_ES_Assessment[ActionID]),"Existing action","Additional action")</f>
        <v>Existing action</v>
      </c>
      <c r="C55" s="13" t="str" cm="1">
        <f t="array" ref="C55">IF(ROW()-ROW(tbl_ES_EligibilitySummary[#Headers])&lt;=ROWS(tbl_ES_Assessment[ActionID]),INDEX(tbl_ES_Assessment[ActionID],ROW()-ROW(tbl_ES_EligibilitySummary[#Headers])),INDEX(tbl_ES_AdditionalActions[AdditionalActionID],ROW()-ROW(tbl_ES_EligibilitySummary[#Headers])-ROWS(tbl_ES_Assessment[ActionID])))</f>
        <v>ipcc_0099</v>
      </c>
      <c r="D55" s="13" t="str" cm="1">
        <f t="array" ref="D55">IF(ROW()-ROW(tbl_ES_EligibilitySummary[#Headers])&lt;=ROWS(tbl_ES_Assessment[ActionID]),INDEX(tbl_ES_Assessment[ActionName],ROW()-ROW(tbl_ES_EligibilitySummary[#Headers])),INDEX(tbl_ES_AdditionalActions[ActionName],ROW()-ROW(tbl_ES_EligibilitySummary[#Headers])-ROWS(tbl_ES_Assessment[ActionID])))</f>
        <v>Increase Water Capture and Storage</v>
      </c>
      <c r="E55" s="13" cm="1">
        <f t="array" ref="E55">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55" s="13" t="str" cm="1">
        <f t="array" ref="F55">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55" s="13" t="str" cm="1">
        <f t="array" ref="G55">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55" s="13" cm="1">
        <f t="array" ref="H55">IF(ROW()-ROW(tbl_ES_EligibilitySummary[#Headers])&lt;=ROWS(tbl_ES_Assessment[ActionID]),INDEX(tbl_ES_Assessment[Exposure Eligibility],ROW()-ROW(tbl_ES_EligibilitySummary[#Headers])),INDEX(tbl_ES_AdditionalActions[Exposure Eligibility],ROW()-ROW(tbl_ES_EligibilitySummary[#Headers])-ROWS(tbl_ES_Assessment[ActionID])))</f>
        <v>0</v>
      </c>
      <c r="I55" s="13" t="str" cm="1">
        <f t="array" ref="I55">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55" s="13" t="str" cm="1">
        <f t="array" ref="J55">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55" s="13" cm="1">
        <f t="array" ref="K55">IF(ROW()-ROW(tbl_ES_EligibilitySummary[#Headers])&lt;=ROWS(tbl_ES_Assessment[ActionID]),INDEX(tbl_ES_Assessment[ReviewStatus],ROW()-ROW(tbl_ES_EligibilitySummary[#Headers])),INDEX(tbl_ES_AdditionalActions[ReviewStatus],ROW()-ROW(tbl_ES_EligibilitySummary[#Headers])-ROWS(tbl_ES_Assessment[ActionID])))</f>
        <v>0</v>
      </c>
      <c r="L55" s="87"/>
      <c r="M55" s="87"/>
      <c r="N55" s="87"/>
      <c r="O55" s="87"/>
      <c r="P55" s="87"/>
      <c r="Q55" s="87"/>
      <c r="R55" s="87"/>
      <c r="S55" s="87"/>
      <c r="T55" s="87"/>
      <c r="U55" s="87"/>
      <c r="V55" s="87"/>
      <c r="AA55" s="186"/>
      <c r="AB55" s="186"/>
      <c r="AC55" s="186"/>
      <c r="AD55" s="186"/>
      <c r="AE55" s="186"/>
      <c r="AF55" s="186"/>
      <c r="AG55" s="186"/>
      <c r="AH55" s="186"/>
      <c r="AI55" s="186"/>
      <c r="AJ55" s="186"/>
    </row>
    <row r="56" spans="1:36" s="185" customFormat="1">
      <c r="B56" s="13" t="str" cm="1">
        <f t="array" ref="B56">IF(ROW()-ROW(tbl_ES_EligibilitySummary[#Headers])&lt;=ROWS(tbl_ES_Assessment[ActionID]),"Existing action","Additional action")</f>
        <v>Existing action</v>
      </c>
      <c r="C56" s="13" t="str" cm="1">
        <f t="array" ref="C56">IF(ROW()-ROW(tbl_ES_EligibilitySummary[#Headers])&lt;=ROWS(tbl_ES_Assessment[ActionID]),INDEX(tbl_ES_Assessment[ActionID],ROW()-ROW(tbl_ES_EligibilitySummary[#Headers])),INDEX(tbl_ES_AdditionalActions[AdditionalActionID],ROW()-ROW(tbl_ES_EligibilitySummary[#Headers])-ROWS(tbl_ES_Assessment[ActionID])))</f>
        <v>ipcc_0100</v>
      </c>
      <c r="D56" s="13" t="str" cm="1">
        <f t="array" ref="D56">IF(ROW()-ROW(tbl_ES_EligibilitySummary[#Headers])&lt;=ROWS(tbl_ES_Assessment[ActionID]),INDEX(tbl_ES_Assessment[ActionName],ROW()-ROW(tbl_ES_EligibilitySummary[#Headers])),INDEX(tbl_ES_AdditionalActions[ActionName],ROW()-ROW(tbl_ES_EligibilitySummary[#Headers])-ROWS(tbl_ES_Assessment[ActionID])))</f>
        <v>Improve Efficient water use/demand</v>
      </c>
      <c r="E56" s="13" cm="1">
        <f t="array" ref="E56">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56" s="13" t="str" cm="1">
        <f t="array" ref="F56">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56" s="13" t="str" cm="1">
        <f t="array" ref="G56">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56" s="13" cm="1">
        <f t="array" ref="H56">IF(ROW()-ROW(tbl_ES_EligibilitySummary[#Headers])&lt;=ROWS(tbl_ES_Assessment[ActionID]),INDEX(tbl_ES_Assessment[Exposure Eligibility],ROW()-ROW(tbl_ES_EligibilitySummary[#Headers])),INDEX(tbl_ES_AdditionalActions[Exposure Eligibility],ROW()-ROW(tbl_ES_EligibilitySummary[#Headers])-ROWS(tbl_ES_Assessment[ActionID])))</f>
        <v>0</v>
      </c>
      <c r="I56" s="13" t="str" cm="1">
        <f t="array" ref="I56">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56" s="13" t="str" cm="1">
        <f t="array" ref="J56">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56" s="13" cm="1">
        <f t="array" ref="K56">IF(ROW()-ROW(tbl_ES_EligibilitySummary[#Headers])&lt;=ROWS(tbl_ES_Assessment[ActionID]),INDEX(tbl_ES_Assessment[ReviewStatus],ROW()-ROW(tbl_ES_EligibilitySummary[#Headers])),INDEX(tbl_ES_AdditionalActions[ReviewStatus],ROW()-ROW(tbl_ES_EligibilitySummary[#Headers])-ROWS(tbl_ES_Assessment[ActionID])))</f>
        <v>0</v>
      </c>
      <c r="L56" s="87"/>
      <c r="M56" s="87"/>
      <c r="N56" s="87"/>
      <c r="O56" s="87"/>
      <c r="P56" s="87"/>
      <c r="Q56" s="87"/>
      <c r="R56" s="87"/>
      <c r="S56" s="87"/>
      <c r="T56" s="87"/>
      <c r="U56" s="87"/>
      <c r="V56" s="87"/>
      <c r="AA56" s="186"/>
      <c r="AB56" s="186"/>
      <c r="AC56" s="186"/>
      <c r="AD56" s="186"/>
      <c r="AE56" s="186"/>
      <c r="AF56" s="186"/>
      <c r="AG56" s="186"/>
      <c r="AH56" s="186"/>
      <c r="AI56" s="186"/>
      <c r="AJ56" s="186"/>
    </row>
    <row r="57" spans="1:36" s="185" customFormat="1">
      <c r="B57" s="13" t="str" cm="1">
        <f t="array" ref="B57">IF(ROW()-ROW(tbl_ES_EligibilitySummary[#Headers])&lt;=ROWS(tbl_ES_Assessment[ActionID]),"Existing action","Additional action")</f>
        <v>Existing action</v>
      </c>
      <c r="C57" s="13" t="str" cm="1">
        <f t="array" ref="C57">IF(ROW()-ROW(tbl_ES_EligibilitySummary[#Headers])&lt;=ROWS(tbl_ES_Assessment[ActionID]),INDEX(tbl_ES_Assessment[ActionID],ROW()-ROW(tbl_ES_EligibilitySummary[#Headers])),INDEX(tbl_ES_AdditionalActions[AdditionalActionID],ROW()-ROW(tbl_ES_EligibilitySummary[#Headers])-ROWS(tbl_ES_Assessment[ActionID])))</f>
        <v>ipcc_0101</v>
      </c>
      <c r="D57" s="13" t="str" cm="1">
        <f t="array" ref="D57">IF(ROW()-ROW(tbl_ES_EligibilitySummary[#Headers])&lt;=ROWS(tbl_ES_Assessment[ActionID]),INDEX(tbl_ES_Assessment[ActionName],ROW()-ROW(tbl_ES_EligibilitySummary[#Headers])),INDEX(tbl_ES_AdditionalActions[ActionName],ROW()-ROW(tbl_ES_EligibilitySummary[#Headers])-ROWS(tbl_ES_Assessment[ActionID])))</f>
        <v>Improve urban water management</v>
      </c>
      <c r="E57" s="13" cm="1">
        <f t="array" ref="E57">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57" s="13" t="str" cm="1">
        <f t="array" ref="F57">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57" s="13" t="str" cm="1">
        <f t="array" ref="G57">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57" s="13" cm="1">
        <f t="array" ref="H57">IF(ROW()-ROW(tbl_ES_EligibilitySummary[#Headers])&lt;=ROWS(tbl_ES_Assessment[ActionID]),INDEX(tbl_ES_Assessment[Exposure Eligibility],ROW()-ROW(tbl_ES_EligibilitySummary[#Headers])),INDEX(tbl_ES_AdditionalActions[Exposure Eligibility],ROW()-ROW(tbl_ES_EligibilitySummary[#Headers])-ROWS(tbl_ES_Assessment[ActionID])))</f>
        <v>0</v>
      </c>
      <c r="I57" s="13" t="str" cm="1">
        <f t="array" ref="I57">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57" s="13" t="str" cm="1">
        <f t="array" ref="J57">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57" s="13" cm="1">
        <f t="array" ref="K57">IF(ROW()-ROW(tbl_ES_EligibilitySummary[#Headers])&lt;=ROWS(tbl_ES_Assessment[ActionID]),INDEX(tbl_ES_Assessment[ReviewStatus],ROW()-ROW(tbl_ES_EligibilitySummary[#Headers])),INDEX(tbl_ES_AdditionalActions[ReviewStatus],ROW()-ROW(tbl_ES_EligibilitySummary[#Headers])-ROWS(tbl_ES_Assessment[ActionID])))</f>
        <v>0</v>
      </c>
      <c r="L57" s="87"/>
      <c r="M57" s="87"/>
      <c r="N57" s="87"/>
      <c r="O57" s="87"/>
      <c r="P57" s="87"/>
      <c r="Q57" s="87"/>
      <c r="R57" s="87"/>
      <c r="S57" s="87"/>
      <c r="T57" s="87"/>
      <c r="U57" s="87"/>
      <c r="V57" s="87"/>
      <c r="AA57" s="186"/>
      <c r="AB57" s="186"/>
      <c r="AC57" s="186"/>
      <c r="AD57" s="186"/>
      <c r="AE57" s="186"/>
      <c r="AF57" s="186"/>
      <c r="AG57" s="186"/>
      <c r="AH57" s="186"/>
      <c r="AI57" s="186"/>
      <c r="AJ57" s="186"/>
    </row>
    <row r="58" spans="1:36" s="185" customFormat="1">
      <c r="B58" s="13" t="str" cm="1">
        <f t="array" ref="B58">IF(ROW()-ROW(tbl_ES_EligibilitySummary[#Headers])&lt;=ROWS(tbl_ES_Assessment[ActionID]),"Existing action","Additional action")</f>
        <v>Existing action</v>
      </c>
      <c r="C58" s="13" t="str" cm="1">
        <f t="array" ref="C58">IF(ROW()-ROW(tbl_ES_EligibilitySummary[#Headers])&lt;=ROWS(tbl_ES_Assessment[ActionID]),INDEX(tbl_ES_Assessment[ActionID],ROW()-ROW(tbl_ES_EligibilitySummary[#Headers])),INDEX(tbl_ES_AdditionalActions[AdditionalActionID],ROW()-ROW(tbl_ES_EligibilitySummary[#Headers])-ROWS(tbl_ES_Assessment[ActionID])))</f>
        <v>ipcc_0102</v>
      </c>
      <c r="D58" s="13" t="str" cm="1">
        <f t="array" ref="D58">IF(ROW()-ROW(tbl_ES_EligibilitySummary[#Headers])&lt;=ROWS(tbl_ES_Assessment[ActionID]),INDEX(tbl_ES_Assessment[ActionName],ROW()-ROW(tbl_ES_EligibilitySummary[#Headers])),INDEX(tbl_ES_AdditionalActions[ActionName],ROW()-ROW(tbl_ES_EligibilitySummary[#Headers])-ROWS(tbl_ES_Assessment[ActionID])))</f>
        <v>Facilitate seasonal and temporary mobility strategies</v>
      </c>
      <c r="E58" s="13" cm="1">
        <f t="array" ref="E58">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58" s="13" t="str" cm="1">
        <f t="array" ref="F58">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58" s="13" t="str" cm="1">
        <f t="array" ref="G58">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58" s="13" cm="1">
        <f t="array" ref="H58">IF(ROW()-ROW(tbl_ES_EligibilitySummary[#Headers])&lt;=ROWS(tbl_ES_Assessment[ActionID]),INDEX(tbl_ES_Assessment[Exposure Eligibility],ROW()-ROW(tbl_ES_EligibilitySummary[#Headers])),INDEX(tbl_ES_AdditionalActions[Exposure Eligibility],ROW()-ROW(tbl_ES_EligibilitySummary[#Headers])-ROWS(tbl_ES_Assessment[ActionID])))</f>
        <v>0</v>
      </c>
      <c r="I58" s="13" t="str" cm="1">
        <f t="array" ref="I58">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58" s="13" t="str" cm="1">
        <f t="array" ref="J58">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58" s="13" cm="1">
        <f t="array" ref="K58">IF(ROW()-ROW(tbl_ES_EligibilitySummary[#Headers])&lt;=ROWS(tbl_ES_Assessment[ActionID]),INDEX(tbl_ES_Assessment[ReviewStatus],ROW()-ROW(tbl_ES_EligibilitySummary[#Headers])),INDEX(tbl_ES_AdditionalActions[ReviewStatus],ROW()-ROW(tbl_ES_EligibilitySummary[#Headers])-ROWS(tbl_ES_Assessment[ActionID])))</f>
        <v>0</v>
      </c>
      <c r="L58" s="87"/>
      <c r="M58" s="87"/>
      <c r="N58" s="87"/>
      <c r="O58" s="87"/>
      <c r="P58" s="87"/>
      <c r="Q58" s="87"/>
      <c r="R58" s="87"/>
      <c r="S58" s="87"/>
      <c r="T58" s="87"/>
      <c r="U58" s="87"/>
      <c r="V58" s="87"/>
      <c r="AA58" s="186"/>
      <c r="AB58" s="186"/>
      <c r="AC58" s="186"/>
      <c r="AD58" s="186"/>
      <c r="AE58" s="186"/>
      <c r="AF58" s="186"/>
      <c r="AG58" s="186"/>
      <c r="AH58" s="186"/>
      <c r="AI58" s="186"/>
      <c r="AJ58" s="186"/>
    </row>
    <row r="59" spans="1:36" s="185" customFormat="1">
      <c r="B59" s="13" t="str" cm="1">
        <f t="array" ref="B59">IF(ROW()-ROW(tbl_ES_EligibilitySummary[#Headers])&lt;=ROWS(tbl_ES_Assessment[ActionID]),"Existing action","Additional action")</f>
        <v>Existing action</v>
      </c>
      <c r="C59" s="13" t="str" cm="1">
        <f t="array" ref="C59">IF(ROW()-ROW(tbl_ES_EligibilitySummary[#Headers])&lt;=ROWS(tbl_ES_Assessment[ActionID]),INDEX(tbl_ES_Assessment[ActionID],ROW()-ROW(tbl_ES_EligibilitySummary[#Headers])),INDEX(tbl_ES_AdditionalActions[AdditionalActionID],ROW()-ROW(tbl_ES_EligibilitySummary[#Headers])-ROWS(tbl_ES_Assessment[ActionID])))</f>
        <v>ipcc_0103</v>
      </c>
      <c r="D59" s="13" t="str" cm="1">
        <f t="array" ref="D59">IF(ROW()-ROW(tbl_ES_EligibilitySummary[#Headers])&lt;=ROWS(tbl_ES_Assessment[ActionID]),INDEX(tbl_ES_Assessment[ActionName],ROW()-ROW(tbl_ES_EligibilitySummary[#Headers])),INDEX(tbl_ES_AdditionalActions[ActionName],ROW()-ROW(tbl_ES_EligibilitySummary[#Headers])-ROWS(tbl_ES_Assessment[ActionID])))</f>
        <v>Strengthen cooperative climate governance</v>
      </c>
      <c r="E59" s="13" cm="1">
        <f t="array" ref="E59">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59" s="13" t="str" cm="1">
        <f t="array" ref="F59">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59" s="13" t="str" cm="1">
        <f t="array" ref="G59">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59" s="13" cm="1">
        <f t="array" ref="H59">IF(ROW()-ROW(tbl_ES_EligibilitySummary[#Headers])&lt;=ROWS(tbl_ES_Assessment[ActionID]),INDEX(tbl_ES_Assessment[Exposure Eligibility],ROW()-ROW(tbl_ES_EligibilitySummary[#Headers])),INDEX(tbl_ES_AdditionalActions[Exposure Eligibility],ROW()-ROW(tbl_ES_EligibilitySummary[#Headers])-ROWS(tbl_ES_Assessment[ActionID])))</f>
        <v>0</v>
      </c>
      <c r="I59" s="13" t="str" cm="1">
        <f t="array" ref="I59">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59" s="13" t="str" cm="1">
        <f t="array" ref="J59">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59" s="13" cm="1">
        <f t="array" ref="K59">IF(ROW()-ROW(tbl_ES_EligibilitySummary[#Headers])&lt;=ROWS(tbl_ES_Assessment[ActionID]),INDEX(tbl_ES_Assessment[ReviewStatus],ROW()-ROW(tbl_ES_EligibilitySummary[#Headers])),INDEX(tbl_ES_AdditionalActions[ReviewStatus],ROW()-ROW(tbl_ES_EligibilitySummary[#Headers])-ROWS(tbl_ES_Assessment[ActionID])))</f>
        <v>0</v>
      </c>
      <c r="L59" s="87"/>
      <c r="M59" s="87"/>
      <c r="N59" s="87"/>
      <c r="O59" s="87"/>
      <c r="P59" s="87"/>
      <c r="Q59" s="87"/>
      <c r="R59" s="87"/>
      <c r="S59" s="87"/>
      <c r="T59" s="87"/>
      <c r="U59" s="87"/>
      <c r="V59" s="87"/>
      <c r="AA59" s="186"/>
      <c r="AB59" s="186"/>
      <c r="AC59" s="186"/>
      <c r="AD59" s="186"/>
      <c r="AE59" s="186"/>
      <c r="AF59" s="186"/>
      <c r="AG59" s="186"/>
      <c r="AH59" s="186"/>
      <c r="AI59" s="186"/>
      <c r="AJ59" s="186"/>
    </row>
    <row r="60" spans="1:36" s="185" customFormat="1">
      <c r="B60" s="13" t="str" cm="1">
        <f t="array" ref="B60">IF(ROW()-ROW(tbl_ES_EligibilitySummary[#Headers])&lt;=ROWS(tbl_ES_Assessment[ActionID]),"Existing action","Additional action")</f>
        <v>Existing action</v>
      </c>
      <c r="C60" s="13" t="str" cm="1">
        <f t="array" ref="C60">IF(ROW()-ROW(tbl_ES_EligibilitySummary[#Headers])&lt;=ROWS(tbl_ES_Assessment[ActionID]),INDEX(tbl_ES_Assessment[ActionID],ROW()-ROW(tbl_ES_EligibilitySummary[#Headers])),INDEX(tbl_ES_AdditionalActions[AdditionalActionID],ROW()-ROW(tbl_ES_EligibilitySummary[#Headers])-ROWS(tbl_ES_Assessment[ActionID])))</f>
        <v>ipcc_0104</v>
      </c>
      <c r="D60" s="13" t="str" cm="1">
        <f t="array" ref="D60">IF(ROW()-ROW(tbl_ES_EligibilitySummary[#Headers])&lt;=ROWS(tbl_ES_Assessment[ActionID]),INDEX(tbl_ES_Assessment[ActionName],ROW()-ROW(tbl_ES_EligibilitySummary[#Headers])),INDEX(tbl_ES_AdditionalActions[ActionName],ROW()-ROW(tbl_ES_EligibilitySummary[#Headers])-ROWS(tbl_ES_Assessment[ActionID])))</f>
        <v>Plan and support permanent climate‑related migration</v>
      </c>
      <c r="E60" s="13" cm="1">
        <f t="array" ref="E60">IF(ROW()-ROW(tbl_ES_EligibilitySummary[#Headers])&lt;=ROWS(tbl_ES_Assessment[ActionID]),INDEX(tbl_ES_Assessment[Vulnerability Eligibility],ROW()-ROW(tbl_ES_EligibilitySummary[#Headers])),INDEX(tbl_ES_AdditionalActions[Vulnerability Eligibility],ROW()-ROW(tbl_ES_EligibilitySummary[#Headers])-ROWS(tbl_ES_Assessment[ActionID])))</f>
        <v>0</v>
      </c>
      <c r="F60" s="13" t="str" cm="1">
        <f t="array" ref="F60">IF(ROW()-ROW(tbl_ES_EligibilitySummary[#Headers])&lt;=ROWS(tbl_ES_Assessment[ActionID]),IF(INDEX(tbl_ES_Assessment[Vulnerability Evidence Count],ROW()-ROW(tbl_ES_EligibilitySummary[#Headers]))=0,"",INDEX(tbl_ES_Assessment[Vulnerability Evidence Count],ROW()-ROW(tbl_ES_EligibilitySummary[#Headers]))),IF(INDEX(tbl_ES_AdditionalActions[Vulnerability Evidence Count],ROW()-ROW(tbl_ES_EligibilitySummary[#Headers])-ROWS(tbl_ES_Assessment[ActionID]))=0,"",INDEX(tbl_ES_AdditionalActions[Vulnerability Evidence Count],ROW()-ROW(tbl_ES_EligibilitySummary[#Headers])-ROWS(tbl_ES_Assessment[ActionID]))))</f>
        <v/>
      </c>
      <c r="G60" s="13" t="str" cm="1">
        <f t="array" ref="G60">IF(tbl_ES_EligibilitySummary[[#This Row],[Vulnerability Eligibility]]="Eligible",IF(ROW()-ROW(tbl_ES_EligibilitySummary[#Headers])&lt;=ROWS(tbl_ES_Assessment[ActionID]),IF(INDEX(tbl_ES_Assessment[Effectiveness on Vulnerability],ROW()-ROW(tbl_ES_EligibilitySummary[#Headers]))="","",INDEX(tbl_ES_Assessment[Effectiveness on Vulnerability],ROW()-ROW(tbl_ES_EligibilitySummary[#Headers]))),IF(INDEX(tbl_ES_AdditionalActions[Effectiveness on Vulnerability],ROW()-ROW(tbl_ES_EligibilitySummary[#Headers])-ROWS(tbl_ES_Assessment[ActionID]))="","",INDEX(tbl_ES_AdditionalActions[Effectiveness on Vulnerability],ROW()-ROW(tbl_ES_EligibilitySummary[#Headers])-ROWS(tbl_ES_Assessment[ActionID])))),IF(tbl_ES_EligibilitySummary[[#This Row],[Vulnerability Eligibility]]="Review required","Review required",IF(tbl_ES_EligibilitySummary[[#This Row],[Vulnerability Eligibility]]="Not eligible","N/A","")))</f>
        <v/>
      </c>
      <c r="H60" s="13" cm="1">
        <f t="array" ref="H60">IF(ROW()-ROW(tbl_ES_EligibilitySummary[#Headers])&lt;=ROWS(tbl_ES_Assessment[ActionID]),INDEX(tbl_ES_Assessment[Exposure Eligibility],ROW()-ROW(tbl_ES_EligibilitySummary[#Headers])),INDEX(tbl_ES_AdditionalActions[Exposure Eligibility],ROW()-ROW(tbl_ES_EligibilitySummary[#Headers])-ROWS(tbl_ES_Assessment[ActionID])))</f>
        <v>0</v>
      </c>
      <c r="I60" s="13" t="str" cm="1">
        <f t="array" ref="I60">IF(ROW()-ROW(tbl_ES_EligibilitySummary[#Headers])&lt;=ROWS(tbl_ES_Assessment[ActionID]),IF(INDEX(tbl_ES_Assessment[Exposure Evidence Count],ROW()-ROW(tbl_ES_EligibilitySummary[#Headers]))=0,"",INDEX(tbl_ES_Assessment[Exposure Evidence Count],ROW()-ROW(tbl_ES_EligibilitySummary[#Headers]))),IF(INDEX(tbl_ES_AdditionalActions[Exposure Evidence Count],ROW()-ROW(tbl_ES_EligibilitySummary[#Headers])-ROWS(tbl_ES_Assessment[ActionID]))=0,"",INDEX(tbl_ES_AdditionalActions[Exposure Evidence Count],ROW()-ROW(tbl_ES_EligibilitySummary[#Headers])-ROWS(tbl_ES_Assessment[ActionID]))))</f>
        <v/>
      </c>
      <c r="J60" s="13" t="str" cm="1">
        <f t="array" ref="J60">IF(tbl_ES_EligibilitySummary[[#This Row],[Exposure Eligibility]]="Eligible",IF(ROW()-ROW(tbl_ES_EligibilitySummary[#Headers])&lt;=ROWS(tbl_ES_Assessment[ActionID]),IF(INDEX(tbl_ES_Assessment[Effectiveness on Exposure],ROW()-ROW(tbl_ES_EligibilitySummary[#Headers]))="","",INDEX(tbl_ES_Assessment[Effectiveness on Exposure],ROW()-ROW(tbl_ES_EligibilitySummary[#Headers]))),IF(INDEX(tbl_ES_AdditionalActions[Effectiveness on Exposure],ROW()-ROW(tbl_ES_EligibilitySummary[#Headers])-ROWS(tbl_ES_Assessment[ActionID]))="","",INDEX(tbl_ES_AdditionalActions[Effectiveness on Exposure],ROW()-ROW(tbl_ES_EligibilitySummary[#Headers])-ROWS(tbl_ES_Assessment[ActionID])))),IF(tbl_ES_EligibilitySummary[[#This Row],[Exposure Eligibility]]="Review required","Review required",IF(tbl_ES_EligibilitySummary[[#This Row],[Exposure Eligibility]]="Not eligible","N/A","")))</f>
        <v/>
      </c>
      <c r="K60" s="13" cm="1">
        <f t="array" ref="K60">IF(ROW()-ROW(tbl_ES_EligibilitySummary[#Headers])&lt;=ROWS(tbl_ES_Assessment[ActionID]),INDEX(tbl_ES_Assessment[ReviewStatus],ROW()-ROW(tbl_ES_EligibilitySummary[#Headers])),INDEX(tbl_ES_AdditionalActions[ReviewStatus],ROW()-ROW(tbl_ES_EligibilitySummary[#Headers])-ROWS(tbl_ES_Assessment[ActionID])))</f>
        <v>0</v>
      </c>
      <c r="L60" s="87"/>
      <c r="M60" s="87"/>
      <c r="N60" s="87"/>
      <c r="O60" s="87"/>
      <c r="P60" s="87"/>
      <c r="Q60" s="87"/>
      <c r="R60" s="87"/>
      <c r="S60" s="87"/>
      <c r="T60" s="87"/>
      <c r="U60" s="87"/>
      <c r="V60" s="87"/>
      <c r="AA60" s="186"/>
      <c r="AB60" s="186"/>
      <c r="AC60" s="186"/>
      <c r="AD60" s="186"/>
      <c r="AE60" s="186"/>
      <c r="AF60" s="186"/>
      <c r="AG60" s="186"/>
      <c r="AH60" s="186"/>
      <c r="AI60" s="186"/>
      <c r="AJ60" s="186"/>
    </row>
    <row r="61" spans="1:36" s="185" customFormat="1">
      <c r="B61" s="13" t="str" cm="1">
        <f t="array" ref="B61">IF(ROW()-ROW(tbl_ES_EligibilitySummary[#Headers])&lt;=ROWS(tbl_ES_Assessment[ActionID]),"Existing action","Additional action")</f>
        <v>Additional action</v>
      </c>
      <c r="C61" s="13"/>
      <c r="D61" s="13"/>
      <c r="E61" s="13"/>
      <c r="F61" s="13"/>
      <c r="G61" s="13"/>
      <c r="H61" s="13"/>
      <c r="I61" s="13"/>
      <c r="J61" s="13"/>
      <c r="K61" s="13"/>
      <c r="L61" s="87"/>
      <c r="M61" s="87"/>
      <c r="N61" s="87"/>
      <c r="O61" s="87"/>
      <c r="P61" s="87"/>
      <c r="Q61" s="87"/>
      <c r="R61" s="87"/>
      <c r="S61" s="87"/>
      <c r="T61" s="87"/>
      <c r="AA61" s="186"/>
      <c r="AB61" s="186"/>
      <c r="AC61" s="186"/>
      <c r="AD61" s="186"/>
      <c r="AE61" s="186"/>
      <c r="AF61" s="186"/>
      <c r="AG61" s="186"/>
      <c r="AH61" s="186"/>
      <c r="AI61" s="186"/>
      <c r="AJ61" s="186"/>
    </row>
    <row r="62" spans="1:36" s="185" customFormat="1">
      <c r="B62" s="13" t="str" cm="1">
        <f t="array" ref="B62">IF(ROW()-ROW(tbl_ES_EligibilitySummary[#Headers])&lt;=ROWS(tbl_ES_Assessment[ActionID]),"Existing action","Additional action")</f>
        <v>Additional action</v>
      </c>
      <c r="C62" s="13"/>
      <c r="D62" s="13"/>
      <c r="E62" s="13"/>
      <c r="F62" s="13"/>
      <c r="G62" s="13"/>
      <c r="H62" s="13"/>
      <c r="I62" s="13"/>
      <c r="J62" s="13"/>
      <c r="K62" s="13"/>
      <c r="L62" s="87"/>
      <c r="M62" s="87"/>
      <c r="N62" s="87"/>
      <c r="O62" s="87"/>
      <c r="P62" s="87"/>
      <c r="Q62" s="87"/>
      <c r="R62" s="87"/>
      <c r="S62" s="87"/>
      <c r="T62" s="87"/>
      <c r="AA62" s="186"/>
      <c r="AB62" s="186"/>
      <c r="AC62" s="186"/>
      <c r="AD62" s="186"/>
      <c r="AE62" s="186"/>
      <c r="AF62" s="186"/>
      <c r="AG62" s="186"/>
      <c r="AH62" s="186"/>
      <c r="AI62" s="186"/>
      <c r="AJ62" s="186"/>
    </row>
    <row r="63" spans="1:36">
      <c r="A63" s="185"/>
      <c r="B63" s="13" t="str" cm="1">
        <f t="array" ref="B63">IF(ROW()-ROW(tbl_ES_EligibilitySummary[#Headers])&lt;=ROWS(tbl_ES_Assessment[ActionID]),"Existing action","Additional action")</f>
        <v>Additional action</v>
      </c>
      <c r="C63" s="13"/>
      <c r="D63" s="13"/>
      <c r="E63" s="13"/>
      <c r="F63" s="13"/>
      <c r="G63" s="13"/>
      <c r="H63" s="13"/>
      <c r="I63" s="13"/>
      <c r="J63" s="13"/>
      <c r="K63" s="13"/>
      <c r="L63" s="191" t="s">
        <v>1505</v>
      </c>
      <c r="M63" s="191"/>
      <c r="N63" s="191"/>
      <c r="O63" s="191"/>
      <c r="P63" s="191"/>
      <c r="Q63" s="191"/>
      <c r="R63" s="191"/>
      <c r="S63" s="191"/>
      <c r="T63" s="191"/>
    </row>
    <row r="64" spans="1:36">
      <c r="B64" s="13" t="str" cm="1">
        <f t="array" ref="B64">IF(ROW()-ROW(tbl_ES_EligibilitySummary[#Headers])&lt;=ROWS(tbl_ES_Assessment[ActionID]),"Existing action","Additional action")</f>
        <v>Additional action</v>
      </c>
      <c r="C64" s="13"/>
      <c r="D64" s="13"/>
      <c r="E64" s="13"/>
      <c r="F64" s="13"/>
      <c r="G64" s="13"/>
      <c r="H64" s="13"/>
      <c r="I64" s="13"/>
      <c r="J64" s="13"/>
      <c r="K64" s="13"/>
    </row>
    <row r="65" spans="1:20">
      <c r="B65" s="13" t="str" cm="1">
        <f t="array" ref="B65">IF(ROW()-ROW(tbl_ES_EligibilitySummary[#Headers])&lt;=ROWS(tbl_ES_Assessment[ActionID]),"Existing action","Additional action")</f>
        <v>Additional action</v>
      </c>
      <c r="C65" s="13"/>
      <c r="D65" s="13"/>
      <c r="E65" s="13"/>
      <c r="F65" s="13"/>
      <c r="G65" s="13"/>
      <c r="H65" s="13"/>
      <c r="I65" s="13"/>
      <c r="J65" s="13"/>
      <c r="K65" s="13"/>
    </row>
    <row r="66" spans="1:20">
      <c r="B66" s="13" t="str" cm="1">
        <f t="array" ref="B66">IF(ROW()-ROW(tbl_ES_EligibilitySummary[#Headers])&lt;=ROWS(tbl_ES_Assessment[ActionID]),"Existing action","Additional action")</f>
        <v>Additional action</v>
      </c>
      <c r="C66" s="13"/>
      <c r="D66" s="13"/>
      <c r="E66" s="13"/>
      <c r="F66" s="13"/>
      <c r="G66" s="13"/>
      <c r="H66" s="13"/>
      <c r="I66" s="13"/>
      <c r="J66" s="13"/>
      <c r="K66" s="13"/>
    </row>
    <row r="67" spans="1:20">
      <c r="B67" s="13" t="str" cm="1">
        <f t="array" ref="B67">IF(ROW()-ROW(tbl_ES_EligibilitySummary[#Headers])&lt;=ROWS(tbl_ES_Assessment[ActionID]),"Existing action","Additional action")</f>
        <v>Additional action</v>
      </c>
      <c r="C67" s="13"/>
      <c r="D67" s="13"/>
      <c r="E67" s="13"/>
      <c r="F67" s="13"/>
      <c r="G67" s="13"/>
      <c r="H67" s="13"/>
      <c r="I67" s="13"/>
      <c r="J67" s="13"/>
      <c r="K67" s="13"/>
    </row>
    <row r="68" spans="1:20">
      <c r="B68" s="13" t="str" cm="1">
        <f t="array" ref="B68">IF(ROW()-ROW(tbl_ES_EligibilitySummary[#Headers])&lt;=ROWS(tbl_ES_Assessment[ActionID]),"Existing action","Additional action")</f>
        <v>Additional action</v>
      </c>
      <c r="C68" s="13"/>
      <c r="D68" s="13"/>
      <c r="E68" s="13"/>
      <c r="F68" s="13"/>
      <c r="G68" s="13"/>
      <c r="H68" s="13"/>
      <c r="I68" s="13"/>
      <c r="J68" s="13"/>
      <c r="K68" s="13"/>
    </row>
    <row r="69" spans="1:20">
      <c r="B69" s="13" t="str" cm="1">
        <f t="array" ref="B69">IF(ROW()-ROW(tbl_ES_EligibilitySummary[#Headers])&lt;=ROWS(tbl_ES_Assessment[ActionID]),"Existing action","Additional action")</f>
        <v>Additional action</v>
      </c>
      <c r="C69" s="13"/>
      <c r="D69" s="13"/>
      <c r="E69" s="13"/>
      <c r="F69" s="13"/>
      <c r="G69" s="13"/>
      <c r="H69" s="13"/>
      <c r="I69" s="13"/>
      <c r="J69" s="13"/>
      <c r="K69" s="13"/>
    </row>
    <row r="70" spans="1:20">
      <c r="B70" s="13" t="str" cm="1">
        <f t="array" ref="B70">IF(ROW()-ROW(tbl_ES_EligibilitySummary[#Headers])&lt;=ROWS(tbl_ES_Assessment[ActionID]),"Existing action","Additional action")</f>
        <v>Additional action</v>
      </c>
      <c r="C70" s="13"/>
      <c r="D70" s="13"/>
      <c r="E70" s="13"/>
      <c r="F70" s="13"/>
      <c r="G70" s="13"/>
      <c r="H70" s="13"/>
      <c r="I70" s="13"/>
      <c r="J70" s="13"/>
      <c r="K70" s="13"/>
    </row>
    <row r="71" spans="1:20" ht="21">
      <c r="A71" s="185"/>
      <c r="B71" s="116" t="s">
        <v>2566</v>
      </c>
      <c r="C71" s="116"/>
      <c r="D71" s="116"/>
      <c r="E71" s="116"/>
      <c r="F71" s="116"/>
      <c r="G71" s="116"/>
      <c r="H71" s="116"/>
      <c r="I71" s="116"/>
      <c r="J71" s="116"/>
      <c r="K71" s="116"/>
      <c r="L71" s="116"/>
      <c r="M71" s="116"/>
      <c r="N71" s="116"/>
      <c r="O71" s="116"/>
      <c r="P71" s="116"/>
      <c r="Q71" s="116"/>
      <c r="R71" s="116"/>
      <c r="S71" s="116"/>
      <c r="T71" s="116"/>
    </row>
    <row r="72" spans="1:20">
      <c r="B72" s="93" t="s">
        <v>1613</v>
      </c>
      <c r="C72" s="80" t="s">
        <v>2577</v>
      </c>
    </row>
    <row r="73" spans="1:20">
      <c r="B73" s="192" t="s">
        <v>1542</v>
      </c>
      <c r="C73" s="83" t="s">
        <v>2270</v>
      </c>
    </row>
    <row r="75" spans="1:20" ht="15.6">
      <c r="A75" s="185"/>
      <c r="B75" s="119" t="s">
        <v>1532</v>
      </c>
      <c r="C75" s="120"/>
    </row>
    <row r="76" spans="1:20">
      <c r="A76" s="185"/>
      <c r="B76" s="193" t="s">
        <v>828</v>
      </c>
      <c r="C76" s="194" t="s">
        <v>7</v>
      </c>
    </row>
    <row r="77" spans="1:20">
      <c r="A77" s="185"/>
      <c r="B77" s="193" t="s">
        <v>1504</v>
      </c>
      <c r="C77" s="195" t="s">
        <v>33</v>
      </c>
    </row>
    <row r="78" spans="1:20">
      <c r="A78" s="185"/>
      <c r="B78" s="82" t="s">
        <v>1520</v>
      </c>
      <c r="C78" s="106" t="s">
        <v>2268</v>
      </c>
    </row>
    <row r="80" spans="1:20" ht="15.6">
      <c r="A80" s="185"/>
      <c r="B80" s="117" t="s">
        <v>1533</v>
      </c>
      <c r="C80" s="118"/>
    </row>
    <row r="81" spans="1:36">
      <c r="A81" s="185"/>
      <c r="B81" s="193" t="s">
        <v>828</v>
      </c>
      <c r="C81" s="194" t="s">
        <v>7</v>
      </c>
    </row>
    <row r="82" spans="1:36">
      <c r="A82" s="185"/>
      <c r="B82" s="193" t="s">
        <v>1504</v>
      </c>
      <c r="C82" s="195" t="s">
        <v>71</v>
      </c>
    </row>
    <row r="83" spans="1:36">
      <c r="A83" s="185"/>
      <c r="B83" s="82" t="s">
        <v>1520</v>
      </c>
      <c r="C83" s="107" t="s">
        <v>2269</v>
      </c>
    </row>
    <row r="85" spans="1:36" s="185" customFormat="1" ht="21">
      <c r="B85" s="114" t="s">
        <v>2568</v>
      </c>
      <c r="C85" s="114"/>
      <c r="D85" s="114"/>
      <c r="E85" s="114"/>
      <c r="F85" s="114"/>
      <c r="G85" s="114"/>
      <c r="H85" s="114"/>
      <c r="I85" s="114"/>
      <c r="J85" s="114"/>
      <c r="K85" s="114"/>
      <c r="L85" s="114"/>
      <c r="M85" s="114"/>
      <c r="N85" s="114"/>
      <c r="O85" s="114"/>
      <c r="P85" s="114"/>
      <c r="Q85" s="114"/>
      <c r="R85" s="114"/>
      <c r="S85" s="114"/>
      <c r="T85" s="114"/>
      <c r="AA85" s="186"/>
      <c r="AB85" s="186"/>
      <c r="AC85" s="186"/>
      <c r="AD85" s="186"/>
      <c r="AE85" s="186"/>
      <c r="AF85" s="186"/>
      <c r="AG85" s="186"/>
      <c r="AH85" s="186"/>
      <c r="AI85" s="186"/>
      <c r="AJ85" s="186"/>
    </row>
    <row r="86" spans="1:36" s="185" customFormat="1">
      <c r="B86" s="89" t="s">
        <v>1576</v>
      </c>
      <c r="C86" s="80" t="s">
        <v>1562</v>
      </c>
      <c r="D86" s="80"/>
      <c r="E86" s="80"/>
      <c r="F86" s="80"/>
      <c r="G86" s="80"/>
      <c r="H86" s="80"/>
      <c r="I86" s="80"/>
      <c r="J86" s="80"/>
      <c r="K86" s="80"/>
      <c r="L86" s="80"/>
      <c r="M86" s="80"/>
      <c r="N86" s="80"/>
      <c r="O86" s="80"/>
      <c r="P86" s="80"/>
      <c r="Q86" s="80"/>
      <c r="R86" s="80"/>
      <c r="S86" s="80"/>
      <c r="T86" s="80"/>
      <c r="AA86" s="186"/>
      <c r="AB86" s="186"/>
      <c r="AC86" s="186"/>
      <c r="AD86" s="186"/>
      <c r="AE86" s="186"/>
      <c r="AF86" s="186"/>
      <c r="AG86" s="186"/>
      <c r="AH86" s="186"/>
      <c r="AI86" s="186"/>
      <c r="AJ86" s="186"/>
    </row>
    <row r="87" spans="1:36" s="185" customFormat="1">
      <c r="B87" s="89" t="s">
        <v>1577</v>
      </c>
      <c r="C87" s="80" t="s">
        <v>2578</v>
      </c>
      <c r="D87" s="80"/>
      <c r="AA87" s="186"/>
      <c r="AB87" s="186"/>
      <c r="AC87" s="186"/>
      <c r="AD87" s="186"/>
      <c r="AE87" s="186"/>
      <c r="AF87" s="186"/>
      <c r="AG87" s="186"/>
      <c r="AH87" s="186"/>
      <c r="AI87" s="186"/>
      <c r="AJ87" s="186"/>
    </row>
    <row r="88" spans="1:36" s="185" customFormat="1">
      <c r="B88" s="89" t="s">
        <v>1557</v>
      </c>
      <c r="C88" s="80" t="s">
        <v>2271</v>
      </c>
      <c r="D88" s="91" t="s">
        <v>1588</v>
      </c>
    </row>
    <row r="89" spans="1:36" s="185" customFormat="1">
      <c r="B89" s="84" t="s">
        <v>1543</v>
      </c>
      <c r="C89" s="83" t="s">
        <v>2253</v>
      </c>
      <c r="D89" s="91" t="s">
        <v>1588</v>
      </c>
      <c r="E89" s="186"/>
    </row>
    <row r="90" spans="1:36" s="185" customFormat="1">
      <c r="B90" s="89" t="s">
        <v>1544</v>
      </c>
      <c r="C90" s="90" t="s">
        <v>1579</v>
      </c>
      <c r="D90" s="90"/>
    </row>
    <row r="91" spans="1:36">
      <c r="AA91" s="185"/>
      <c r="AB91" s="185"/>
      <c r="AC91" s="185"/>
      <c r="AD91" s="185"/>
      <c r="AE91" s="185"/>
      <c r="AF91" s="185"/>
      <c r="AG91" s="185"/>
      <c r="AH91" s="185"/>
      <c r="AI91" s="185"/>
      <c r="AJ91" s="185"/>
    </row>
    <row r="92" spans="1:36">
      <c r="B92" s="196" t="s">
        <v>1580</v>
      </c>
      <c r="C92" s="196"/>
      <c r="D92" s="196"/>
      <c r="E92" s="196"/>
      <c r="F92" s="196"/>
      <c r="G92" s="196"/>
      <c r="AA92" s="185"/>
      <c r="AB92" s="185"/>
      <c r="AC92" s="185"/>
      <c r="AD92" s="185"/>
      <c r="AE92" s="185"/>
      <c r="AF92" s="185"/>
      <c r="AG92" s="185"/>
      <c r="AH92" s="185"/>
      <c r="AI92" s="185"/>
      <c r="AJ92" s="185"/>
    </row>
    <row r="93" spans="1:36">
      <c r="A93" s="185"/>
      <c r="B93" s="104" t="s">
        <v>1506</v>
      </c>
      <c r="C93" s="104" t="s">
        <v>1507</v>
      </c>
      <c r="D93" s="104" t="s">
        <v>1508</v>
      </c>
      <c r="E93" s="104" t="s">
        <v>1509</v>
      </c>
      <c r="F93" s="104" t="s">
        <v>1510</v>
      </c>
      <c r="G93" s="104" t="s">
        <v>1511</v>
      </c>
      <c r="H93" s="105"/>
      <c r="I93" s="105"/>
      <c r="J93" s="105"/>
      <c r="K93" s="105"/>
      <c r="L93" s="105"/>
      <c r="M93" s="74"/>
      <c r="N93" s="74"/>
      <c r="O93" s="74"/>
      <c r="P93" s="74"/>
      <c r="Q93" s="74"/>
      <c r="R93" s="74"/>
      <c r="S93" s="74"/>
      <c r="T93" s="74"/>
      <c r="AA93" s="185"/>
      <c r="AB93" s="185"/>
      <c r="AC93" s="185"/>
      <c r="AD93" s="185"/>
      <c r="AE93" s="185"/>
      <c r="AF93" s="185"/>
      <c r="AG93" s="185"/>
      <c r="AH93" s="185"/>
      <c r="AI93" s="185"/>
      <c r="AJ93" s="185"/>
    </row>
    <row r="94" spans="1:36">
      <c r="B94" s="76" t="s">
        <v>2254</v>
      </c>
      <c r="C94" s="74" t="s">
        <v>1472</v>
      </c>
      <c r="D94" s="74" t="s">
        <v>2402</v>
      </c>
      <c r="E94" s="74" t="s">
        <v>2331</v>
      </c>
      <c r="F94" s="86">
        <v>2023</v>
      </c>
      <c r="G94" s="74" t="s">
        <v>2403</v>
      </c>
      <c r="H94" s="74"/>
      <c r="I94" s="74"/>
      <c r="J94" s="74"/>
      <c r="K94" s="74"/>
      <c r="L94" s="74"/>
      <c r="M94" s="74"/>
      <c r="N94" s="74"/>
      <c r="O94" s="74"/>
      <c r="P94" s="74"/>
      <c r="Q94" s="74"/>
      <c r="R94" s="74"/>
      <c r="S94" s="74"/>
      <c r="T94" s="74"/>
    </row>
    <row r="95" spans="1:36">
      <c r="B95" s="76" t="s">
        <v>2255</v>
      </c>
      <c r="C95" s="74" t="s">
        <v>1474</v>
      </c>
      <c r="D95" s="80" t="s">
        <v>2359</v>
      </c>
      <c r="E95" s="74" t="s">
        <v>1475</v>
      </c>
      <c r="F95" s="86">
        <v>2022</v>
      </c>
      <c r="G95" s="74" t="s">
        <v>2404</v>
      </c>
      <c r="H95" s="74"/>
      <c r="I95" s="74"/>
      <c r="J95" s="74"/>
      <c r="K95" s="74"/>
      <c r="L95" s="74"/>
      <c r="M95" s="74"/>
      <c r="N95" s="74"/>
      <c r="O95" s="74"/>
      <c r="P95" s="74"/>
      <c r="Q95" s="74"/>
      <c r="R95" s="74"/>
      <c r="S95" s="74"/>
      <c r="T95" s="74"/>
    </row>
    <row r="96" spans="1:36">
      <c r="B96" s="76" t="s">
        <v>2256</v>
      </c>
      <c r="C96" s="74" t="s">
        <v>1472</v>
      </c>
      <c r="D96" s="74" t="s">
        <v>2405</v>
      </c>
      <c r="E96" s="74" t="s">
        <v>1873</v>
      </c>
      <c r="F96" s="86">
        <v>2016</v>
      </c>
      <c r="G96" s="85" t="s">
        <v>2406</v>
      </c>
      <c r="H96" s="74"/>
      <c r="I96" s="74"/>
      <c r="J96" s="74"/>
      <c r="K96" s="74"/>
      <c r="L96" s="74"/>
      <c r="M96" s="74"/>
      <c r="N96" s="74"/>
      <c r="O96" s="74"/>
      <c r="P96" s="74"/>
      <c r="Q96" s="74"/>
      <c r="R96" s="74"/>
      <c r="S96" s="74"/>
      <c r="T96" s="74"/>
    </row>
    <row r="97" spans="2:36">
      <c r="B97" s="76" t="s">
        <v>2257</v>
      </c>
      <c r="C97" s="74" t="s">
        <v>1472</v>
      </c>
      <c r="D97" s="74" t="s">
        <v>2407</v>
      </c>
      <c r="E97" s="74" t="s">
        <v>2408</v>
      </c>
      <c r="F97" s="86">
        <v>2025</v>
      </c>
      <c r="G97" s="74" t="s">
        <v>2409</v>
      </c>
      <c r="H97" s="74"/>
      <c r="I97" s="74"/>
      <c r="J97" s="74"/>
      <c r="K97" s="74"/>
      <c r="L97" s="74"/>
      <c r="M97" s="74"/>
      <c r="N97" s="74"/>
      <c r="O97" s="74"/>
      <c r="P97" s="74"/>
      <c r="Q97" s="74"/>
      <c r="R97" s="74"/>
      <c r="S97" s="74"/>
      <c r="T97" s="74"/>
    </row>
    <row r="98" spans="2:36">
      <c r="B98" s="76" t="s">
        <v>2258</v>
      </c>
      <c r="C98" s="74" t="s">
        <v>1472</v>
      </c>
      <c r="D98" s="74" t="s">
        <v>2410</v>
      </c>
      <c r="E98" s="74" t="s">
        <v>2411</v>
      </c>
      <c r="F98" s="86">
        <v>2025</v>
      </c>
      <c r="G98" s="85" t="s">
        <v>2412</v>
      </c>
      <c r="H98" s="74"/>
      <c r="I98" s="74"/>
      <c r="J98" s="74"/>
      <c r="K98" s="74"/>
      <c r="L98" s="74"/>
      <c r="M98" s="74"/>
      <c r="N98" s="74"/>
      <c r="O98" s="74"/>
      <c r="P98" s="74"/>
      <c r="Q98" s="74"/>
      <c r="R98" s="74"/>
      <c r="S98" s="74"/>
      <c r="T98" s="74"/>
    </row>
    <row r="99" spans="2:36">
      <c r="B99" s="76" t="s">
        <v>2259</v>
      </c>
      <c r="C99" s="74" t="s">
        <v>1472</v>
      </c>
      <c r="D99" s="74" t="s">
        <v>2413</v>
      </c>
      <c r="E99" s="74" t="s">
        <v>2414</v>
      </c>
      <c r="F99" s="86">
        <v>2023</v>
      </c>
      <c r="G99" s="85" t="s">
        <v>2415</v>
      </c>
      <c r="H99" s="74"/>
      <c r="I99" s="74"/>
      <c r="J99" s="74"/>
      <c r="K99" s="74"/>
      <c r="L99" s="74"/>
      <c r="M99" s="74"/>
      <c r="N99" s="74"/>
      <c r="O99" s="74"/>
      <c r="P99" s="74"/>
      <c r="Q99" s="74"/>
      <c r="R99" s="74"/>
      <c r="S99" s="74"/>
      <c r="T99" s="74"/>
    </row>
    <row r="100" spans="2:36">
      <c r="B100" s="76" t="s">
        <v>2260</v>
      </c>
      <c r="C100" s="74" t="s">
        <v>1474</v>
      </c>
      <c r="D100" s="74" t="s">
        <v>2416</v>
      </c>
      <c r="E100" s="74" t="s">
        <v>2417</v>
      </c>
      <c r="F100" s="86">
        <v>2021</v>
      </c>
      <c r="G100" s="74" t="s">
        <v>2418</v>
      </c>
      <c r="H100" s="74"/>
      <c r="I100" s="74"/>
      <c r="J100" s="74"/>
      <c r="K100" s="74"/>
      <c r="L100" s="74"/>
      <c r="M100" s="74"/>
      <c r="N100" s="74"/>
      <c r="O100" s="74"/>
      <c r="P100" s="74"/>
      <c r="Q100" s="74"/>
      <c r="R100" s="74"/>
      <c r="S100" s="74"/>
      <c r="T100" s="74"/>
    </row>
    <row r="101" spans="2:36">
      <c r="B101" s="76" t="s">
        <v>2261</v>
      </c>
      <c r="C101" s="74" t="s">
        <v>1474</v>
      </c>
      <c r="D101" s="74" t="s">
        <v>2419</v>
      </c>
      <c r="E101" s="74" t="s">
        <v>2417</v>
      </c>
      <c r="F101" s="86">
        <v>2022</v>
      </c>
      <c r="G101" s="85" t="s">
        <v>2420</v>
      </c>
      <c r="H101" s="74"/>
      <c r="I101" s="74"/>
      <c r="J101" s="74"/>
      <c r="K101" s="74"/>
      <c r="L101" s="74"/>
      <c r="M101" s="74"/>
      <c r="N101" s="74"/>
      <c r="O101" s="74"/>
      <c r="P101" s="74"/>
      <c r="Q101" s="74"/>
      <c r="R101" s="74"/>
      <c r="S101" s="74"/>
      <c r="T101" s="74"/>
    </row>
    <row r="102" spans="2:36">
      <c r="B102" s="76" t="s">
        <v>2262</v>
      </c>
      <c r="C102" s="74" t="s">
        <v>1474</v>
      </c>
      <c r="D102" s="74" t="s">
        <v>2421</v>
      </c>
      <c r="E102" s="74" t="s">
        <v>1476</v>
      </c>
      <c r="F102" s="86">
        <v>2019</v>
      </c>
      <c r="G102" s="85" t="s">
        <v>2422</v>
      </c>
      <c r="H102" s="74"/>
      <c r="I102" s="74"/>
      <c r="J102" s="74"/>
      <c r="K102" s="74"/>
      <c r="L102" s="74"/>
      <c r="M102" s="74"/>
      <c r="N102" s="74"/>
      <c r="O102" s="74"/>
      <c r="P102" s="74"/>
      <c r="Q102" s="74"/>
      <c r="R102" s="74"/>
      <c r="S102" s="74"/>
      <c r="T102" s="74"/>
    </row>
    <row r="103" spans="2:36">
      <c r="B103" s="76" t="s">
        <v>2263</v>
      </c>
      <c r="C103" s="74" t="s">
        <v>1474</v>
      </c>
      <c r="D103" s="74" t="s">
        <v>2423</v>
      </c>
      <c r="E103" s="80" t="s">
        <v>2424</v>
      </c>
      <c r="F103" s="86">
        <v>2025</v>
      </c>
      <c r="G103" s="85" t="s">
        <v>2425</v>
      </c>
      <c r="H103" s="74"/>
      <c r="I103" s="74"/>
      <c r="J103" s="74"/>
      <c r="K103" s="74"/>
      <c r="L103" s="74"/>
      <c r="M103" s="74"/>
      <c r="N103" s="74"/>
      <c r="O103" s="74"/>
      <c r="P103" s="74"/>
      <c r="Q103" s="74"/>
      <c r="R103" s="74"/>
      <c r="S103" s="74"/>
      <c r="T103" s="74"/>
    </row>
    <row r="104" spans="2:36">
      <c r="B104" s="76" t="s">
        <v>2264</v>
      </c>
      <c r="C104" s="74"/>
      <c r="D104" s="80"/>
      <c r="E104" s="74"/>
      <c r="F104" s="86"/>
      <c r="G104" s="85"/>
      <c r="H104" s="74"/>
      <c r="I104" s="74"/>
      <c r="J104" s="74"/>
      <c r="K104" s="74"/>
      <c r="L104" s="74"/>
      <c r="M104" s="74"/>
      <c r="N104" s="74"/>
      <c r="O104" s="74"/>
      <c r="P104" s="74"/>
      <c r="Q104" s="74"/>
      <c r="R104" s="74"/>
      <c r="S104" s="74"/>
      <c r="T104" s="74"/>
    </row>
    <row r="105" spans="2:36">
      <c r="B105" s="76" t="s">
        <v>2265</v>
      </c>
      <c r="C105" s="74"/>
      <c r="D105" s="74"/>
      <c r="E105" s="74"/>
      <c r="F105" s="86"/>
      <c r="G105" s="85"/>
      <c r="H105" s="74"/>
      <c r="I105" s="74"/>
      <c r="J105" s="74"/>
      <c r="K105" s="74"/>
      <c r="L105" s="74"/>
      <c r="M105" s="74"/>
      <c r="N105" s="74"/>
      <c r="O105" s="74"/>
      <c r="P105" s="74"/>
      <c r="Q105" s="74"/>
      <c r="R105" s="74"/>
      <c r="S105" s="74"/>
      <c r="T105" s="74"/>
    </row>
    <row r="106" spans="2:36">
      <c r="B106" s="76"/>
      <c r="C106" s="74"/>
      <c r="D106" s="74"/>
      <c r="E106" s="74"/>
      <c r="F106" s="86"/>
      <c r="G106" s="74"/>
      <c r="H106" s="74"/>
      <c r="I106" s="74"/>
      <c r="J106" s="74"/>
      <c r="K106" s="74"/>
      <c r="L106" s="74"/>
      <c r="M106" s="74"/>
      <c r="N106" s="74"/>
      <c r="O106" s="74"/>
      <c r="P106" s="74"/>
      <c r="Q106" s="74"/>
      <c r="R106" s="74"/>
      <c r="S106" s="74"/>
      <c r="T106" s="74"/>
    </row>
    <row r="107" spans="2:36" s="185" customFormat="1" ht="17.399999999999999">
      <c r="B107" s="113" t="s">
        <v>2570</v>
      </c>
      <c r="C107" s="113"/>
      <c r="D107" s="113"/>
      <c r="E107" s="113"/>
      <c r="F107" s="113"/>
      <c r="G107" s="113"/>
      <c r="H107" s="113"/>
      <c r="I107" s="113"/>
      <c r="J107" s="113"/>
      <c r="K107" s="113"/>
      <c r="L107" s="113"/>
      <c r="M107" s="113"/>
      <c r="N107" s="113"/>
      <c r="O107" s="113"/>
      <c r="P107" s="113"/>
      <c r="Q107" s="113"/>
      <c r="R107" s="113"/>
      <c r="S107" s="113"/>
      <c r="T107" s="113"/>
      <c r="AA107" s="186"/>
      <c r="AB107" s="186"/>
      <c r="AC107" s="186"/>
      <c r="AD107" s="186"/>
      <c r="AE107" s="186"/>
      <c r="AF107" s="186"/>
      <c r="AG107" s="186"/>
      <c r="AH107" s="186"/>
      <c r="AI107" s="186"/>
      <c r="AJ107" s="186"/>
    </row>
    <row r="108" spans="2:36" s="185" customFormat="1">
      <c r="B108" s="89" t="s">
        <v>1558</v>
      </c>
      <c r="C108" s="96" t="s">
        <v>2579</v>
      </c>
      <c r="D108" s="87"/>
      <c r="E108" s="87"/>
      <c r="F108" s="87"/>
      <c r="G108" s="87"/>
      <c r="H108" s="87"/>
      <c r="I108" s="87"/>
      <c r="J108" s="87"/>
      <c r="K108" s="87"/>
      <c r="L108" s="87"/>
      <c r="M108" s="87"/>
      <c r="N108" s="87"/>
      <c r="O108" s="87"/>
      <c r="P108" s="87"/>
      <c r="Q108" s="87"/>
      <c r="R108" s="87"/>
      <c r="S108" s="87"/>
      <c r="T108" s="87"/>
      <c r="AA108" s="186"/>
      <c r="AB108" s="186"/>
      <c r="AC108" s="186"/>
      <c r="AD108" s="186"/>
      <c r="AE108" s="186"/>
      <c r="AF108" s="186"/>
      <c r="AG108" s="186"/>
      <c r="AH108" s="186"/>
      <c r="AI108" s="186"/>
      <c r="AJ108" s="186"/>
    </row>
    <row r="109" spans="2:36" s="185" customFormat="1">
      <c r="B109" s="89" t="s">
        <v>1560</v>
      </c>
      <c r="C109" s="96" t="s">
        <v>2268</v>
      </c>
      <c r="D109" s="91" t="s">
        <v>1588</v>
      </c>
      <c r="E109" s="87"/>
      <c r="F109" s="87"/>
      <c r="G109" s="87"/>
      <c r="H109" s="87"/>
      <c r="I109" s="87"/>
      <c r="J109" s="87"/>
      <c r="K109" s="87"/>
      <c r="L109" s="87"/>
      <c r="M109" s="87"/>
      <c r="N109" s="87"/>
      <c r="O109" s="87"/>
      <c r="P109" s="87"/>
      <c r="Q109" s="87"/>
      <c r="R109" s="87"/>
      <c r="S109" s="87"/>
      <c r="T109" s="87"/>
      <c r="AA109" s="186"/>
      <c r="AB109" s="186"/>
      <c r="AC109" s="186"/>
      <c r="AD109" s="186"/>
      <c r="AE109" s="186"/>
      <c r="AF109" s="186"/>
      <c r="AG109" s="186"/>
      <c r="AH109" s="186"/>
      <c r="AI109" s="186"/>
      <c r="AJ109" s="186"/>
    </row>
    <row r="110" spans="2:36" s="185" customFormat="1">
      <c r="B110" s="89" t="s">
        <v>1561</v>
      </c>
      <c r="C110" s="96" t="s">
        <v>2269</v>
      </c>
      <c r="D110" s="91" t="s">
        <v>1588</v>
      </c>
      <c r="E110" s="87"/>
      <c r="F110" s="87"/>
      <c r="G110" s="87"/>
      <c r="H110" s="87"/>
      <c r="I110" s="87"/>
      <c r="J110" s="87"/>
      <c r="K110" s="87"/>
      <c r="L110" s="87"/>
      <c r="M110" s="87"/>
      <c r="N110" s="87"/>
      <c r="O110" s="87"/>
      <c r="P110" s="87"/>
      <c r="Q110" s="87"/>
      <c r="R110" s="87"/>
      <c r="S110" s="87"/>
      <c r="T110" s="87"/>
    </row>
    <row r="111" spans="2:36" s="185" customFormat="1">
      <c r="B111" s="89" t="s">
        <v>1632</v>
      </c>
      <c r="C111" s="96" t="s">
        <v>2266</v>
      </c>
      <c r="D111" s="91" t="s">
        <v>1634</v>
      </c>
      <c r="E111" s="87"/>
      <c r="F111" s="87"/>
      <c r="G111" s="87"/>
      <c r="H111" s="87"/>
      <c r="I111" s="87"/>
      <c r="J111" s="87"/>
      <c r="K111" s="87"/>
      <c r="L111" s="87"/>
      <c r="M111" s="87"/>
      <c r="N111" s="87"/>
      <c r="O111" s="87"/>
      <c r="P111" s="87"/>
      <c r="Q111" s="87"/>
      <c r="R111" s="87"/>
      <c r="S111" s="87"/>
      <c r="T111" s="87"/>
    </row>
    <row r="112" spans="2:36" s="185" customFormat="1">
      <c r="B112" s="89" t="s">
        <v>1564</v>
      </c>
      <c r="C112" s="96" t="s">
        <v>1567</v>
      </c>
      <c r="D112" s="91" t="s">
        <v>1634</v>
      </c>
      <c r="E112" s="87"/>
      <c r="F112" s="87"/>
      <c r="G112" s="87"/>
      <c r="H112" s="87"/>
      <c r="I112" s="87"/>
      <c r="J112" s="87"/>
      <c r="K112" s="87"/>
      <c r="L112" s="87"/>
      <c r="M112" s="87"/>
      <c r="N112" s="87"/>
      <c r="O112" s="87"/>
      <c r="P112" s="87"/>
      <c r="Q112" s="87"/>
      <c r="R112" s="87"/>
      <c r="S112" s="87"/>
      <c r="T112" s="87"/>
      <c r="U112" s="87"/>
    </row>
    <row r="113" spans="2:26" s="185" customFormat="1">
      <c r="B113" s="84" t="s">
        <v>1563</v>
      </c>
      <c r="C113" s="83" t="s">
        <v>2580</v>
      </c>
      <c r="D113" s="91" t="s">
        <v>1588</v>
      </c>
      <c r="E113" s="87"/>
      <c r="F113" s="87"/>
      <c r="G113" s="87"/>
      <c r="H113" s="87"/>
      <c r="I113" s="87"/>
      <c r="J113" s="87"/>
      <c r="K113" s="87"/>
      <c r="L113" s="87"/>
      <c r="M113" s="87"/>
      <c r="N113" s="87"/>
      <c r="O113" s="87"/>
      <c r="P113" s="87"/>
      <c r="Q113" s="87"/>
      <c r="R113" s="87"/>
      <c r="S113" s="87"/>
      <c r="T113" s="87"/>
      <c r="U113" s="87"/>
    </row>
    <row r="114" spans="2:26" s="185" customFormat="1">
      <c r="B114" s="89" t="s">
        <v>1565</v>
      </c>
      <c r="C114" s="97" t="s">
        <v>1559</v>
      </c>
      <c r="D114" s="98"/>
      <c r="E114" s="87"/>
      <c r="F114" s="87"/>
      <c r="G114" s="87"/>
      <c r="H114" s="87"/>
      <c r="I114" s="87"/>
      <c r="J114" s="87"/>
      <c r="K114" s="87"/>
      <c r="L114" s="87"/>
      <c r="M114" s="87"/>
      <c r="N114" s="87"/>
      <c r="O114" s="87"/>
      <c r="P114" s="87"/>
      <c r="Q114" s="87"/>
      <c r="R114" s="87"/>
      <c r="S114" s="87"/>
      <c r="T114" s="87"/>
      <c r="U114" s="87"/>
    </row>
    <row r="115" spans="2:26" s="185" customFormat="1">
      <c r="B115" s="89" t="s">
        <v>1566</v>
      </c>
      <c r="C115" s="96" t="s">
        <v>2267</v>
      </c>
      <c r="D115" s="87"/>
      <c r="E115" s="87"/>
      <c r="F115" s="87"/>
      <c r="G115" s="87"/>
      <c r="H115" s="87"/>
      <c r="I115" s="87"/>
      <c r="J115" s="87"/>
      <c r="K115" s="87"/>
      <c r="L115" s="87"/>
      <c r="M115" s="87"/>
      <c r="N115" s="87"/>
      <c r="O115" s="87"/>
      <c r="P115" s="87"/>
      <c r="Q115" s="87"/>
      <c r="R115" s="87"/>
      <c r="S115" s="87"/>
      <c r="T115" s="87"/>
    </row>
    <row r="116" spans="2:26" s="185" customFormat="1">
      <c r="D116" s="87"/>
      <c r="E116" s="87"/>
      <c r="F116" s="87"/>
      <c r="G116" s="87"/>
      <c r="H116" s="87"/>
      <c r="I116" s="87"/>
      <c r="J116" s="87"/>
      <c r="K116" s="87"/>
      <c r="L116" s="87"/>
      <c r="M116" s="87"/>
      <c r="N116" s="87"/>
      <c r="O116" s="87"/>
      <c r="P116" s="87"/>
      <c r="Q116" s="87"/>
      <c r="R116" s="87"/>
      <c r="S116" s="87"/>
      <c r="T116" s="87"/>
    </row>
    <row r="117" spans="2:26" s="185" customFormat="1" ht="17.399999999999999">
      <c r="B117" s="121" t="s">
        <v>1269</v>
      </c>
      <c r="C117" s="121"/>
      <c r="D117" s="121"/>
      <c r="E117" s="121"/>
      <c r="F117" s="121"/>
      <c r="G117" s="121"/>
      <c r="H117" s="121"/>
      <c r="I117" s="121"/>
      <c r="J117" s="121"/>
      <c r="K117" s="121"/>
      <c r="L117" s="121"/>
      <c r="M117" s="121"/>
      <c r="N117" s="121"/>
      <c r="O117" s="121"/>
      <c r="P117" s="121"/>
      <c r="Q117" s="121"/>
      <c r="R117" s="121"/>
      <c r="S117" s="121"/>
      <c r="T117" s="121"/>
    </row>
    <row r="118" spans="2:26" s="185" customFormat="1">
      <c r="B118" s="92" t="s">
        <v>310</v>
      </c>
      <c r="C118" s="92" t="s">
        <v>311</v>
      </c>
      <c r="D118" s="92" t="s">
        <v>1293</v>
      </c>
      <c r="E118" s="102" t="s">
        <v>1636</v>
      </c>
      <c r="F118" s="103" t="s">
        <v>1637</v>
      </c>
      <c r="G118" s="103" t="s">
        <v>1647</v>
      </c>
      <c r="H118" s="92" t="s">
        <v>1502</v>
      </c>
      <c r="I118" s="92" t="s">
        <v>1487</v>
      </c>
      <c r="J118" s="92" t="s">
        <v>1469</v>
      </c>
      <c r="K118" s="92" t="s">
        <v>1488</v>
      </c>
      <c r="L118" s="92" t="s">
        <v>1500</v>
      </c>
      <c r="M118" s="92" t="s">
        <v>1489</v>
      </c>
      <c r="N118" s="92" t="s">
        <v>1490</v>
      </c>
      <c r="O118" s="102" t="s">
        <v>1638</v>
      </c>
      <c r="P118" s="103" t="s">
        <v>1639</v>
      </c>
      <c r="Q118" s="103" t="s">
        <v>1648</v>
      </c>
      <c r="R118" s="92" t="s">
        <v>1503</v>
      </c>
      <c r="S118" s="92" t="s">
        <v>1491</v>
      </c>
      <c r="T118" s="92" t="s">
        <v>1470</v>
      </c>
      <c r="U118" s="92" t="s">
        <v>1492</v>
      </c>
      <c r="V118" s="92" t="s">
        <v>1501</v>
      </c>
      <c r="W118" s="92" t="s">
        <v>1493</v>
      </c>
      <c r="X118" s="92" t="s">
        <v>1494</v>
      </c>
      <c r="Y118" s="92" t="s">
        <v>1495</v>
      </c>
      <c r="Z118" s="92" t="s">
        <v>1496</v>
      </c>
    </row>
    <row r="119" spans="2:26" s="185" customFormat="1">
      <c r="B119" s="88" t="s">
        <v>320</v>
      </c>
      <c r="C119" s="80" t="s">
        <v>321</v>
      </c>
      <c r="D119" s="80" t="s">
        <v>322</v>
      </c>
      <c r="E119" s="100"/>
      <c r="F119" s="101"/>
      <c r="G119" s="101"/>
      <c r="H119" s="88"/>
      <c r="I119" s="80"/>
      <c r="J119" s="80"/>
      <c r="K119" s="80"/>
      <c r="L119" s="80"/>
      <c r="M119" s="80"/>
      <c r="N119" s="80"/>
      <c r="O119" s="100"/>
      <c r="P119" s="101"/>
      <c r="Q119" s="101"/>
      <c r="R119" s="88"/>
      <c r="S119" s="80"/>
      <c r="T119" s="80"/>
      <c r="U119" s="80"/>
      <c r="V119" s="80"/>
      <c r="W119" s="80"/>
      <c r="X119" s="80"/>
      <c r="Y119" s="88"/>
      <c r="Z119" s="80"/>
    </row>
    <row r="120" spans="2:26" s="185" customFormat="1">
      <c r="B120" s="88" t="s">
        <v>329</v>
      </c>
      <c r="C120" s="80" t="s">
        <v>330</v>
      </c>
      <c r="D120" s="80" t="s">
        <v>331</v>
      </c>
      <c r="E120" s="100"/>
      <c r="F120" s="101"/>
      <c r="G120" s="101"/>
      <c r="H120" s="88"/>
      <c r="I120" s="80"/>
      <c r="J120" s="80"/>
      <c r="K120" s="80"/>
      <c r="L120" s="80"/>
      <c r="M120" s="80"/>
      <c r="N120" s="80"/>
      <c r="O120" s="100"/>
      <c r="P120" s="101"/>
      <c r="Q120" s="101"/>
      <c r="R120" s="88"/>
      <c r="S120" s="80"/>
      <c r="T120" s="80"/>
      <c r="U120" s="80"/>
      <c r="V120" s="80"/>
      <c r="W120" s="80"/>
      <c r="X120" s="80"/>
      <c r="Y120" s="88"/>
      <c r="Z120" s="80"/>
    </row>
    <row r="121" spans="2:26" s="185" customFormat="1">
      <c r="B121" s="88" t="s">
        <v>335</v>
      </c>
      <c r="C121" s="80" t="s">
        <v>336</v>
      </c>
      <c r="D121" s="80" t="s">
        <v>337</v>
      </c>
      <c r="E121" s="100"/>
      <c r="F121" s="101"/>
      <c r="G121" s="101"/>
      <c r="H121" s="88"/>
      <c r="I121" s="80"/>
      <c r="J121" s="80"/>
      <c r="K121" s="80"/>
      <c r="L121" s="80"/>
      <c r="M121" s="80"/>
      <c r="N121" s="80"/>
      <c r="O121" s="100"/>
      <c r="P121" s="101"/>
      <c r="Q121" s="101"/>
      <c r="R121" s="88"/>
      <c r="S121" s="80"/>
      <c r="T121" s="80"/>
      <c r="U121" s="80"/>
      <c r="V121" s="80"/>
      <c r="W121" s="80"/>
      <c r="X121" s="80"/>
      <c r="Y121" s="88"/>
      <c r="Z121" s="80"/>
    </row>
    <row r="122" spans="2:26" s="185" customFormat="1">
      <c r="B122" s="88" t="s">
        <v>341</v>
      </c>
      <c r="C122" s="80" t="s">
        <v>342</v>
      </c>
      <c r="D122" s="80" t="s">
        <v>343</v>
      </c>
      <c r="E122" s="100"/>
      <c r="F122" s="101"/>
      <c r="G122" s="101"/>
      <c r="H122" s="88"/>
      <c r="I122" s="80"/>
      <c r="J122" s="80"/>
      <c r="K122" s="80"/>
      <c r="L122" s="80"/>
      <c r="M122" s="80"/>
      <c r="N122" s="80"/>
      <c r="O122" s="100"/>
      <c r="P122" s="101"/>
      <c r="Q122" s="101"/>
      <c r="R122" s="88"/>
      <c r="S122" s="80"/>
      <c r="T122" s="80"/>
      <c r="U122" s="80"/>
      <c r="V122" s="80"/>
      <c r="W122" s="80"/>
      <c r="X122" s="80"/>
      <c r="Y122" s="88"/>
      <c r="Z122" s="80"/>
    </row>
    <row r="123" spans="2:26" s="185" customFormat="1">
      <c r="B123" s="88" t="s">
        <v>346</v>
      </c>
      <c r="C123" s="80" t="s">
        <v>347</v>
      </c>
      <c r="D123" s="80" t="s">
        <v>348</v>
      </c>
      <c r="E123" s="100"/>
      <c r="F123" s="101"/>
      <c r="G123" s="101"/>
      <c r="H123" s="88"/>
      <c r="I123" s="80"/>
      <c r="J123" s="80"/>
      <c r="K123" s="80"/>
      <c r="L123" s="80"/>
      <c r="M123" s="80"/>
      <c r="N123" s="80"/>
      <c r="O123" s="100"/>
      <c r="P123" s="101"/>
      <c r="Q123" s="101"/>
      <c r="R123" s="88"/>
      <c r="S123" s="80"/>
      <c r="T123" s="80"/>
      <c r="U123" s="80"/>
      <c r="V123" s="80"/>
      <c r="W123" s="80"/>
      <c r="X123" s="80"/>
      <c r="Y123" s="88"/>
      <c r="Z123" s="80"/>
    </row>
    <row r="124" spans="2:26" s="185" customFormat="1">
      <c r="B124" s="88" t="s">
        <v>349</v>
      </c>
      <c r="C124" s="80" t="s">
        <v>350</v>
      </c>
      <c r="D124" s="80" t="s">
        <v>351</v>
      </c>
      <c r="E124" s="100"/>
      <c r="F124" s="101"/>
      <c r="G124" s="101"/>
      <c r="H124" s="88"/>
      <c r="I124" s="80"/>
      <c r="J124" s="80"/>
      <c r="K124" s="80"/>
      <c r="L124" s="80"/>
      <c r="M124" s="80"/>
      <c r="N124" s="80"/>
      <c r="O124" s="100"/>
      <c r="P124" s="101"/>
      <c r="Q124" s="101"/>
      <c r="R124" s="88"/>
      <c r="S124" s="80"/>
      <c r="T124" s="80"/>
      <c r="U124" s="80"/>
      <c r="V124" s="80"/>
      <c r="W124" s="80"/>
      <c r="X124" s="80"/>
      <c r="Y124" s="88"/>
      <c r="Z124" s="80"/>
    </row>
    <row r="125" spans="2:26" s="185" customFormat="1">
      <c r="B125" s="88" t="s">
        <v>355</v>
      </c>
      <c r="C125" s="80" t="s">
        <v>356</v>
      </c>
      <c r="D125" s="80" t="s">
        <v>357</v>
      </c>
      <c r="E125" s="100"/>
      <c r="F125" s="101"/>
      <c r="G125" s="101"/>
      <c r="H125" s="88"/>
      <c r="I125" s="80"/>
      <c r="J125" s="80"/>
      <c r="K125" s="80"/>
      <c r="L125" s="80"/>
      <c r="M125" s="80"/>
      <c r="N125" s="80"/>
      <c r="O125" s="100"/>
      <c r="P125" s="101"/>
      <c r="Q125" s="101"/>
      <c r="R125" s="88"/>
      <c r="S125" s="80"/>
      <c r="T125" s="80"/>
      <c r="U125" s="80"/>
      <c r="V125" s="80"/>
      <c r="W125" s="80"/>
      <c r="X125" s="80"/>
      <c r="Y125" s="88"/>
      <c r="Z125" s="80"/>
    </row>
    <row r="126" spans="2:26" s="185" customFormat="1">
      <c r="B126" s="88" t="s">
        <v>360</v>
      </c>
      <c r="C126" s="80" t="s">
        <v>361</v>
      </c>
      <c r="D126" s="80" t="s">
        <v>362</v>
      </c>
      <c r="E126" s="100"/>
      <c r="F126" s="101"/>
      <c r="G126" s="101"/>
      <c r="H126" s="88"/>
      <c r="I126" s="80"/>
      <c r="J126" s="80"/>
      <c r="K126" s="80"/>
      <c r="L126" s="80"/>
      <c r="M126" s="80"/>
      <c r="N126" s="80"/>
      <c r="O126" s="100"/>
      <c r="P126" s="101"/>
      <c r="Q126" s="101"/>
      <c r="R126" s="88"/>
      <c r="S126" s="80"/>
      <c r="T126" s="80"/>
      <c r="U126" s="80"/>
      <c r="V126" s="80"/>
      <c r="W126" s="80"/>
      <c r="X126" s="80"/>
      <c r="Y126" s="88"/>
      <c r="Z126" s="80"/>
    </row>
    <row r="127" spans="2:26" s="185" customFormat="1">
      <c r="B127" s="88" t="s">
        <v>364</v>
      </c>
      <c r="C127" s="80" t="s">
        <v>365</v>
      </c>
      <c r="D127" s="80" t="s">
        <v>366</v>
      </c>
      <c r="E127" s="100"/>
      <c r="F127" s="101"/>
      <c r="G127" s="101"/>
      <c r="H127" s="88"/>
      <c r="I127" s="80"/>
      <c r="J127" s="80"/>
      <c r="K127" s="80"/>
      <c r="L127" s="80"/>
      <c r="M127" s="80"/>
      <c r="N127" s="80"/>
      <c r="O127" s="100"/>
      <c r="P127" s="101"/>
      <c r="Q127" s="101"/>
      <c r="R127" s="88"/>
      <c r="S127" s="80"/>
      <c r="T127" s="80"/>
      <c r="U127" s="80"/>
      <c r="V127" s="80"/>
      <c r="W127" s="80"/>
      <c r="X127" s="80"/>
      <c r="Y127" s="88"/>
      <c r="Z127" s="80"/>
    </row>
    <row r="128" spans="2:26" s="185" customFormat="1">
      <c r="B128" s="88" t="s">
        <v>369</v>
      </c>
      <c r="C128" s="80" t="s">
        <v>370</v>
      </c>
      <c r="D128" s="80" t="s">
        <v>371</v>
      </c>
      <c r="E128" s="100"/>
      <c r="F128" s="101"/>
      <c r="G128" s="101"/>
      <c r="H128" s="88"/>
      <c r="I128" s="80"/>
      <c r="J128" s="80"/>
      <c r="K128" s="80"/>
      <c r="L128" s="80"/>
      <c r="M128" s="80"/>
      <c r="N128" s="80"/>
      <c r="O128" s="100"/>
      <c r="P128" s="101"/>
      <c r="Q128" s="101"/>
      <c r="R128" s="88"/>
      <c r="S128" s="80"/>
      <c r="T128" s="80"/>
      <c r="U128" s="80"/>
      <c r="V128" s="80"/>
      <c r="W128" s="80"/>
      <c r="X128" s="80"/>
      <c r="Y128" s="88"/>
      <c r="Z128" s="80"/>
    </row>
    <row r="129" spans="2:26" s="185" customFormat="1">
      <c r="B129" s="88" t="s">
        <v>375</v>
      </c>
      <c r="C129" s="80" t="s">
        <v>376</v>
      </c>
      <c r="D129" s="80" t="s">
        <v>377</v>
      </c>
      <c r="E129" s="100"/>
      <c r="F129" s="101"/>
      <c r="G129" s="101"/>
      <c r="H129" s="88"/>
      <c r="I129" s="80"/>
      <c r="J129" s="80"/>
      <c r="K129" s="80"/>
      <c r="L129" s="80"/>
      <c r="M129" s="80"/>
      <c r="N129" s="80"/>
      <c r="O129" s="100"/>
      <c r="P129" s="101"/>
      <c r="Q129" s="101"/>
      <c r="R129" s="88"/>
      <c r="S129" s="80"/>
      <c r="T129" s="80"/>
      <c r="U129" s="80"/>
      <c r="V129" s="80"/>
      <c r="W129" s="80"/>
      <c r="X129" s="80"/>
      <c r="Y129" s="88"/>
      <c r="Z129" s="80"/>
    </row>
    <row r="130" spans="2:26" s="185" customFormat="1">
      <c r="B130" s="88" t="s">
        <v>379</v>
      </c>
      <c r="C130" s="80" t="s">
        <v>380</v>
      </c>
      <c r="D130" s="80" t="s">
        <v>381</v>
      </c>
      <c r="E130" s="100"/>
      <c r="F130" s="101"/>
      <c r="G130" s="101"/>
      <c r="H130" s="88"/>
      <c r="I130" s="80"/>
      <c r="J130" s="80"/>
      <c r="K130" s="80"/>
      <c r="L130" s="80"/>
      <c r="M130" s="80"/>
      <c r="N130" s="80"/>
      <c r="O130" s="100"/>
      <c r="P130" s="101"/>
      <c r="Q130" s="101"/>
      <c r="R130" s="88"/>
      <c r="S130" s="80"/>
      <c r="T130" s="80"/>
      <c r="U130" s="80"/>
      <c r="V130" s="80"/>
      <c r="W130" s="80"/>
      <c r="X130" s="80"/>
      <c r="Y130" s="88"/>
      <c r="Z130" s="80"/>
    </row>
    <row r="131" spans="2:26" s="185" customFormat="1">
      <c r="B131" s="88" t="s">
        <v>384</v>
      </c>
      <c r="C131" s="80" t="s">
        <v>385</v>
      </c>
      <c r="D131" s="80" t="s">
        <v>386</v>
      </c>
      <c r="E131" s="100"/>
      <c r="F131" s="101"/>
      <c r="G131" s="101"/>
      <c r="H131" s="88"/>
      <c r="I131" s="80"/>
      <c r="J131" s="80"/>
      <c r="K131" s="80"/>
      <c r="L131" s="80"/>
      <c r="M131" s="80"/>
      <c r="N131" s="80"/>
      <c r="O131" s="100"/>
      <c r="P131" s="101"/>
      <c r="Q131" s="101"/>
      <c r="R131" s="88"/>
      <c r="S131" s="80"/>
      <c r="T131" s="80"/>
      <c r="U131" s="80"/>
      <c r="V131" s="80"/>
      <c r="W131" s="80"/>
      <c r="X131" s="80"/>
      <c r="Y131" s="88"/>
      <c r="Z131" s="80"/>
    </row>
    <row r="132" spans="2:26" s="185" customFormat="1">
      <c r="B132" s="88" t="s">
        <v>388</v>
      </c>
      <c r="C132" s="80" t="s">
        <v>389</v>
      </c>
      <c r="D132" s="80" t="s">
        <v>390</v>
      </c>
      <c r="E132" s="100"/>
      <c r="F132" s="101"/>
      <c r="G132" s="101"/>
      <c r="H132" s="88"/>
      <c r="I132" s="80"/>
      <c r="J132" s="80"/>
      <c r="K132" s="80"/>
      <c r="L132" s="80"/>
      <c r="M132" s="80"/>
      <c r="N132" s="80"/>
      <c r="O132" s="100"/>
      <c r="P132" s="101"/>
      <c r="Q132" s="101"/>
      <c r="R132" s="88"/>
      <c r="S132" s="80"/>
      <c r="T132" s="80"/>
      <c r="U132" s="80"/>
      <c r="V132" s="80"/>
      <c r="W132" s="80"/>
      <c r="X132" s="80"/>
      <c r="Y132" s="88"/>
      <c r="Z132" s="80"/>
    </row>
    <row r="133" spans="2:26" s="185" customFormat="1">
      <c r="B133" s="88" t="s">
        <v>393</v>
      </c>
      <c r="C133" s="80" t="s">
        <v>394</v>
      </c>
      <c r="D133" s="80" t="s">
        <v>395</v>
      </c>
      <c r="E133" s="100"/>
      <c r="F133" s="101"/>
      <c r="G133" s="101"/>
      <c r="H133" s="88"/>
      <c r="I133" s="80"/>
      <c r="J133" s="80"/>
      <c r="K133" s="80"/>
      <c r="L133" s="80"/>
      <c r="M133" s="80"/>
      <c r="N133" s="80"/>
      <c r="O133" s="100"/>
      <c r="P133" s="101"/>
      <c r="Q133" s="101"/>
      <c r="R133" s="88"/>
      <c r="S133" s="80"/>
      <c r="T133" s="80"/>
      <c r="U133" s="80"/>
      <c r="V133" s="80"/>
      <c r="W133" s="80"/>
      <c r="X133" s="80"/>
      <c r="Y133" s="88"/>
      <c r="Z133" s="80"/>
    </row>
    <row r="134" spans="2:26" s="185" customFormat="1">
      <c r="B134" s="88" t="s">
        <v>398</v>
      </c>
      <c r="C134" s="80" t="s">
        <v>399</v>
      </c>
      <c r="D134" s="80" t="s">
        <v>400</v>
      </c>
      <c r="E134" s="100"/>
      <c r="F134" s="101"/>
      <c r="G134" s="101"/>
      <c r="H134" s="88"/>
      <c r="I134" s="80"/>
      <c r="J134" s="80"/>
      <c r="K134" s="80"/>
      <c r="L134" s="80"/>
      <c r="M134" s="80"/>
      <c r="N134" s="80"/>
      <c r="O134" s="100"/>
      <c r="P134" s="101"/>
      <c r="Q134" s="101"/>
      <c r="R134" s="88"/>
      <c r="S134" s="80"/>
      <c r="T134" s="80"/>
      <c r="U134" s="80"/>
      <c r="V134" s="80"/>
      <c r="W134" s="80"/>
      <c r="X134" s="80"/>
      <c r="Y134" s="88"/>
      <c r="Z134" s="80"/>
    </row>
    <row r="135" spans="2:26" s="185" customFormat="1">
      <c r="B135" s="88" t="s">
        <v>404</v>
      </c>
      <c r="C135" s="80" t="s">
        <v>405</v>
      </c>
      <c r="D135" s="80" t="s">
        <v>406</v>
      </c>
      <c r="E135" s="100"/>
      <c r="F135" s="101"/>
      <c r="G135" s="101"/>
      <c r="H135" s="88"/>
      <c r="I135" s="80"/>
      <c r="J135" s="80"/>
      <c r="K135" s="80"/>
      <c r="L135" s="80"/>
      <c r="M135" s="80"/>
      <c r="N135" s="80"/>
      <c r="O135" s="100"/>
      <c r="P135" s="101"/>
      <c r="Q135" s="101"/>
      <c r="R135" s="88"/>
      <c r="S135" s="80"/>
      <c r="T135" s="80"/>
      <c r="U135" s="80"/>
      <c r="V135" s="80"/>
      <c r="W135" s="80"/>
      <c r="X135" s="80"/>
      <c r="Y135" s="88"/>
      <c r="Z135" s="80"/>
    </row>
    <row r="136" spans="2:26" s="185" customFormat="1">
      <c r="B136" s="88" t="s">
        <v>408</v>
      </c>
      <c r="C136" s="80" t="s">
        <v>409</v>
      </c>
      <c r="D136" s="80" t="s">
        <v>410</v>
      </c>
      <c r="E136" s="100"/>
      <c r="F136" s="101"/>
      <c r="G136" s="101"/>
      <c r="H136" s="88"/>
      <c r="I136" s="80"/>
      <c r="J136" s="80"/>
      <c r="K136" s="80"/>
      <c r="L136" s="80"/>
      <c r="M136" s="80"/>
      <c r="N136" s="80"/>
      <c r="O136" s="100"/>
      <c r="P136" s="101"/>
      <c r="Q136" s="101"/>
      <c r="R136" s="88"/>
      <c r="S136" s="80"/>
      <c r="T136" s="80"/>
      <c r="U136" s="80"/>
      <c r="V136" s="80"/>
      <c r="W136" s="80"/>
      <c r="X136" s="80"/>
      <c r="Y136" s="88"/>
      <c r="Z136" s="80"/>
    </row>
    <row r="137" spans="2:26" s="185" customFormat="1">
      <c r="B137" s="88" t="s">
        <v>412</v>
      </c>
      <c r="C137" s="80" t="s">
        <v>413</v>
      </c>
      <c r="D137" s="80" t="s">
        <v>414</v>
      </c>
      <c r="E137" s="100"/>
      <c r="F137" s="101"/>
      <c r="G137" s="101"/>
      <c r="H137" s="88"/>
      <c r="I137" s="80"/>
      <c r="J137" s="80"/>
      <c r="K137" s="80"/>
      <c r="L137" s="80"/>
      <c r="M137" s="80"/>
      <c r="N137" s="80"/>
      <c r="O137" s="100"/>
      <c r="P137" s="101"/>
      <c r="Q137" s="101"/>
      <c r="R137" s="88"/>
      <c r="S137" s="80"/>
      <c r="T137" s="80"/>
      <c r="U137" s="80"/>
      <c r="V137" s="80"/>
      <c r="W137" s="80"/>
      <c r="X137" s="80"/>
      <c r="Y137" s="88"/>
      <c r="Z137" s="80"/>
    </row>
    <row r="138" spans="2:26" s="185" customFormat="1">
      <c r="B138" s="88" t="s">
        <v>417</v>
      </c>
      <c r="C138" s="80" t="s">
        <v>418</v>
      </c>
      <c r="D138" s="80" t="s">
        <v>419</v>
      </c>
      <c r="E138" s="100"/>
      <c r="F138" s="101"/>
      <c r="G138" s="101"/>
      <c r="H138" s="88"/>
      <c r="I138" s="80"/>
      <c r="J138" s="80"/>
      <c r="K138" s="80"/>
      <c r="L138" s="80"/>
      <c r="M138" s="80"/>
      <c r="N138" s="80"/>
      <c r="O138" s="100"/>
      <c r="P138" s="101"/>
      <c r="Q138" s="101"/>
      <c r="R138" s="88"/>
      <c r="S138" s="80"/>
      <c r="T138" s="80"/>
      <c r="U138" s="80"/>
      <c r="V138" s="80"/>
      <c r="W138" s="80"/>
      <c r="X138" s="80"/>
      <c r="Y138" s="88"/>
      <c r="Z138" s="80"/>
    </row>
    <row r="139" spans="2:26" s="185" customFormat="1">
      <c r="B139" s="88" t="s">
        <v>423</v>
      </c>
      <c r="C139" s="80" t="s">
        <v>424</v>
      </c>
      <c r="D139" s="80" t="s">
        <v>425</v>
      </c>
      <c r="E139" s="100"/>
      <c r="F139" s="101"/>
      <c r="G139" s="101"/>
      <c r="H139" s="88"/>
      <c r="I139" s="80"/>
      <c r="J139" s="80"/>
      <c r="K139" s="80"/>
      <c r="L139" s="80"/>
      <c r="M139" s="80"/>
      <c r="N139" s="80"/>
      <c r="O139" s="100"/>
      <c r="P139" s="101"/>
      <c r="Q139" s="101"/>
      <c r="R139" s="88"/>
      <c r="S139" s="80"/>
      <c r="T139" s="80"/>
      <c r="U139" s="80"/>
      <c r="V139" s="80"/>
      <c r="W139" s="80"/>
      <c r="X139" s="80"/>
      <c r="Y139" s="88"/>
      <c r="Z139" s="80"/>
    </row>
    <row r="140" spans="2:26" s="185" customFormat="1">
      <c r="B140" s="88" t="s">
        <v>427</v>
      </c>
      <c r="C140" s="80" t="s">
        <v>428</v>
      </c>
      <c r="D140" s="80" t="s">
        <v>429</v>
      </c>
      <c r="E140" s="100"/>
      <c r="F140" s="101"/>
      <c r="G140" s="101"/>
      <c r="H140" s="88"/>
      <c r="I140" s="80"/>
      <c r="J140" s="80"/>
      <c r="K140" s="80"/>
      <c r="L140" s="80"/>
      <c r="M140" s="80"/>
      <c r="N140" s="80"/>
      <c r="O140" s="100"/>
      <c r="P140" s="101"/>
      <c r="Q140" s="101"/>
      <c r="R140" s="88"/>
      <c r="S140" s="80"/>
      <c r="T140" s="80"/>
      <c r="U140" s="80"/>
      <c r="V140" s="80"/>
      <c r="W140" s="80"/>
      <c r="X140" s="80"/>
      <c r="Y140" s="88"/>
      <c r="Z140" s="80"/>
    </row>
    <row r="141" spans="2:26" s="185" customFormat="1">
      <c r="B141" s="88" t="s">
        <v>432</v>
      </c>
      <c r="C141" s="80" t="s">
        <v>433</v>
      </c>
      <c r="D141" s="80" t="s">
        <v>434</v>
      </c>
      <c r="E141" s="100"/>
      <c r="F141" s="101"/>
      <c r="G141" s="101"/>
      <c r="H141" s="88"/>
      <c r="I141" s="80"/>
      <c r="J141" s="80"/>
      <c r="K141" s="80"/>
      <c r="L141" s="80"/>
      <c r="M141" s="80"/>
      <c r="N141" s="80"/>
      <c r="O141" s="100"/>
      <c r="P141" s="101"/>
      <c r="Q141" s="101"/>
      <c r="R141" s="88"/>
      <c r="S141" s="80"/>
      <c r="T141" s="80"/>
      <c r="U141" s="80"/>
      <c r="V141" s="80"/>
      <c r="W141" s="80"/>
      <c r="X141" s="80"/>
      <c r="Y141" s="88"/>
      <c r="Z141" s="80"/>
    </row>
    <row r="142" spans="2:26" s="185" customFormat="1">
      <c r="B142" s="88" t="s">
        <v>436</v>
      </c>
      <c r="C142" s="80" t="s">
        <v>437</v>
      </c>
      <c r="D142" s="80" t="s">
        <v>438</v>
      </c>
      <c r="E142" s="100"/>
      <c r="F142" s="101"/>
      <c r="G142" s="101"/>
      <c r="H142" s="88"/>
      <c r="I142" s="80"/>
      <c r="J142" s="80"/>
      <c r="K142" s="80"/>
      <c r="L142" s="80"/>
      <c r="M142" s="80"/>
      <c r="N142" s="80"/>
      <c r="O142" s="100"/>
      <c r="P142" s="101"/>
      <c r="Q142" s="101"/>
      <c r="R142" s="88"/>
      <c r="S142" s="80"/>
      <c r="T142" s="80"/>
      <c r="U142" s="80"/>
      <c r="V142" s="80"/>
      <c r="W142" s="80"/>
      <c r="X142" s="80"/>
      <c r="Y142" s="88"/>
      <c r="Z142" s="80"/>
    </row>
    <row r="143" spans="2:26" s="185" customFormat="1">
      <c r="B143" s="88" t="s">
        <v>440</v>
      </c>
      <c r="C143" s="80" t="s">
        <v>441</v>
      </c>
      <c r="D143" s="80" t="s">
        <v>442</v>
      </c>
      <c r="E143" s="100"/>
      <c r="F143" s="101"/>
      <c r="G143" s="101"/>
      <c r="H143" s="88"/>
      <c r="I143" s="80"/>
      <c r="J143" s="80"/>
      <c r="K143" s="80"/>
      <c r="L143" s="80"/>
      <c r="M143" s="80"/>
      <c r="N143" s="80"/>
      <c r="O143" s="100"/>
      <c r="P143" s="101"/>
      <c r="Q143" s="101"/>
      <c r="R143" s="88"/>
      <c r="S143" s="80"/>
      <c r="T143" s="80"/>
      <c r="U143" s="80"/>
      <c r="V143" s="80"/>
      <c r="W143" s="80"/>
      <c r="X143" s="80"/>
      <c r="Y143" s="88"/>
      <c r="Z143" s="80"/>
    </row>
    <row r="144" spans="2:26" s="185" customFormat="1">
      <c r="B144" s="88" t="s">
        <v>444</v>
      </c>
      <c r="C144" s="80" t="s">
        <v>445</v>
      </c>
      <c r="D144" s="80" t="s">
        <v>446</v>
      </c>
      <c r="E144" s="100"/>
      <c r="F144" s="101"/>
      <c r="G144" s="101"/>
      <c r="H144" s="88"/>
      <c r="I144" s="80"/>
      <c r="J144" s="80"/>
      <c r="K144" s="80"/>
      <c r="L144" s="80"/>
      <c r="M144" s="80"/>
      <c r="N144" s="80"/>
      <c r="O144" s="100"/>
      <c r="P144" s="101"/>
      <c r="Q144" s="101"/>
      <c r="R144" s="88"/>
      <c r="S144" s="80"/>
      <c r="T144" s="80"/>
      <c r="U144" s="80"/>
      <c r="V144" s="80"/>
      <c r="W144" s="80"/>
      <c r="X144" s="80"/>
      <c r="Y144" s="88"/>
      <c r="Z144" s="80"/>
    </row>
    <row r="145" spans="2:26" s="185" customFormat="1">
      <c r="B145" s="88" t="s">
        <v>449</v>
      </c>
      <c r="C145" s="80" t="s">
        <v>450</v>
      </c>
      <c r="D145" s="80" t="s">
        <v>451</v>
      </c>
      <c r="E145" s="100"/>
      <c r="F145" s="101"/>
      <c r="G145" s="101"/>
      <c r="H145" s="88"/>
      <c r="I145" s="80"/>
      <c r="J145" s="80"/>
      <c r="K145" s="80"/>
      <c r="L145" s="80"/>
      <c r="M145" s="80"/>
      <c r="N145" s="80"/>
      <c r="O145" s="100"/>
      <c r="P145" s="101"/>
      <c r="Q145" s="101"/>
      <c r="R145" s="88"/>
      <c r="S145" s="80"/>
      <c r="T145" s="80"/>
      <c r="U145" s="80"/>
      <c r="V145" s="80"/>
      <c r="W145" s="80"/>
      <c r="X145" s="80"/>
      <c r="Y145" s="88"/>
      <c r="Z145" s="80"/>
    </row>
    <row r="146" spans="2:26" s="185" customFormat="1">
      <c r="B146" s="88" t="s">
        <v>453</v>
      </c>
      <c r="C146" s="80" t="s">
        <v>454</v>
      </c>
      <c r="D146" s="80" t="s">
        <v>455</v>
      </c>
      <c r="E146" s="100"/>
      <c r="F146" s="101"/>
      <c r="G146" s="101"/>
      <c r="H146" s="88"/>
      <c r="I146" s="80"/>
      <c r="J146" s="80"/>
      <c r="K146" s="80"/>
      <c r="L146" s="80"/>
      <c r="M146" s="80"/>
      <c r="N146" s="80"/>
      <c r="O146" s="100"/>
      <c r="P146" s="101"/>
      <c r="Q146" s="101"/>
      <c r="R146" s="88"/>
      <c r="S146" s="80"/>
      <c r="T146" s="80"/>
      <c r="U146" s="80"/>
      <c r="V146" s="80"/>
      <c r="W146" s="80"/>
      <c r="X146" s="80"/>
      <c r="Y146" s="88"/>
      <c r="Z146" s="80"/>
    </row>
    <row r="147" spans="2:26" s="185" customFormat="1">
      <c r="B147" s="88" t="s">
        <v>457</v>
      </c>
      <c r="C147" s="80" t="s">
        <v>458</v>
      </c>
      <c r="D147" s="80" t="s">
        <v>459</v>
      </c>
      <c r="E147" s="100"/>
      <c r="F147" s="101"/>
      <c r="G147" s="101"/>
      <c r="H147" s="88"/>
      <c r="I147" s="80"/>
      <c r="J147" s="80"/>
      <c r="K147" s="80"/>
      <c r="L147" s="80"/>
      <c r="M147" s="80"/>
      <c r="N147" s="80"/>
      <c r="O147" s="100"/>
      <c r="P147" s="101"/>
      <c r="Q147" s="101"/>
      <c r="R147" s="88"/>
      <c r="S147" s="80"/>
      <c r="T147" s="80"/>
      <c r="U147" s="80"/>
      <c r="V147" s="80"/>
      <c r="W147" s="80"/>
      <c r="X147" s="80"/>
      <c r="Y147" s="88"/>
      <c r="Z147" s="80"/>
    </row>
    <row r="148" spans="2:26" s="185" customFormat="1">
      <c r="B148" s="88" t="s">
        <v>461</v>
      </c>
      <c r="C148" s="80" t="s">
        <v>462</v>
      </c>
      <c r="D148" s="80" t="s">
        <v>463</v>
      </c>
      <c r="E148" s="100"/>
      <c r="F148" s="101"/>
      <c r="G148" s="101"/>
      <c r="H148" s="88"/>
      <c r="I148" s="80"/>
      <c r="J148" s="80"/>
      <c r="K148" s="80"/>
      <c r="L148" s="80"/>
      <c r="M148" s="80"/>
      <c r="N148" s="80"/>
      <c r="O148" s="100"/>
      <c r="P148" s="101"/>
      <c r="Q148" s="101"/>
      <c r="R148" s="88"/>
      <c r="S148" s="80"/>
      <c r="T148" s="80"/>
      <c r="U148" s="80"/>
      <c r="V148" s="80"/>
      <c r="W148" s="80"/>
      <c r="X148" s="80"/>
      <c r="Y148" s="88"/>
      <c r="Z148" s="80"/>
    </row>
    <row r="149" spans="2:26" s="185" customFormat="1">
      <c r="B149" s="88" t="s">
        <v>466</v>
      </c>
      <c r="C149" s="80" t="s">
        <v>467</v>
      </c>
      <c r="D149" s="80" t="s">
        <v>468</v>
      </c>
      <c r="E149" s="100"/>
      <c r="F149" s="101"/>
      <c r="G149" s="101"/>
      <c r="H149" s="88"/>
      <c r="I149" s="80"/>
      <c r="J149" s="80"/>
      <c r="K149" s="80"/>
      <c r="L149" s="80"/>
      <c r="M149" s="80"/>
      <c r="N149" s="80"/>
      <c r="O149" s="100"/>
      <c r="P149" s="101"/>
      <c r="Q149" s="101"/>
      <c r="R149" s="88"/>
      <c r="S149" s="80"/>
      <c r="T149" s="80"/>
      <c r="U149" s="80"/>
      <c r="V149" s="80"/>
      <c r="W149" s="80"/>
      <c r="X149" s="80"/>
      <c r="Y149" s="88"/>
      <c r="Z149" s="80"/>
    </row>
    <row r="150" spans="2:26" s="185" customFormat="1">
      <c r="B150" s="88" t="s">
        <v>471</v>
      </c>
      <c r="C150" s="80" t="s">
        <v>472</v>
      </c>
      <c r="D150" s="80" t="s">
        <v>473</v>
      </c>
      <c r="E150" s="100"/>
      <c r="F150" s="101"/>
      <c r="G150" s="101"/>
      <c r="H150" s="88"/>
      <c r="I150" s="80"/>
      <c r="J150" s="80"/>
      <c r="K150" s="80"/>
      <c r="L150" s="80"/>
      <c r="M150" s="80"/>
      <c r="N150" s="80"/>
      <c r="O150" s="100"/>
      <c r="P150" s="101"/>
      <c r="Q150" s="101"/>
      <c r="R150" s="88"/>
      <c r="S150" s="80"/>
      <c r="T150" s="80"/>
      <c r="U150" s="80"/>
      <c r="V150" s="80"/>
      <c r="W150" s="80"/>
      <c r="X150" s="80"/>
      <c r="Y150" s="88"/>
      <c r="Z150" s="80"/>
    </row>
    <row r="151" spans="2:26" s="185" customFormat="1">
      <c r="B151" s="88" t="s">
        <v>475</v>
      </c>
      <c r="C151" s="80" t="s">
        <v>476</v>
      </c>
      <c r="D151" s="80" t="s">
        <v>477</v>
      </c>
      <c r="E151" s="100"/>
      <c r="F151" s="101"/>
      <c r="G151" s="101"/>
      <c r="H151" s="88"/>
      <c r="I151" s="80"/>
      <c r="J151" s="80"/>
      <c r="K151" s="80"/>
      <c r="L151" s="80"/>
      <c r="M151" s="80"/>
      <c r="N151" s="80"/>
      <c r="O151" s="100"/>
      <c r="P151" s="101"/>
      <c r="Q151" s="101"/>
      <c r="R151" s="88"/>
      <c r="S151" s="80"/>
      <c r="T151" s="80"/>
      <c r="U151" s="80"/>
      <c r="V151" s="80"/>
      <c r="W151" s="80"/>
      <c r="X151" s="80"/>
      <c r="Y151" s="88"/>
      <c r="Z151" s="80"/>
    </row>
    <row r="152" spans="2:26" s="185" customFormat="1">
      <c r="B152" s="88" t="s">
        <v>480</v>
      </c>
      <c r="C152" s="80" t="s">
        <v>481</v>
      </c>
      <c r="D152" s="80" t="s">
        <v>482</v>
      </c>
      <c r="E152" s="100"/>
      <c r="F152" s="101"/>
      <c r="G152" s="101"/>
      <c r="H152" s="88"/>
      <c r="I152" s="80"/>
      <c r="J152" s="80"/>
      <c r="K152" s="80"/>
      <c r="L152" s="80"/>
      <c r="M152" s="80"/>
      <c r="N152" s="80"/>
      <c r="O152" s="100"/>
      <c r="P152" s="101"/>
      <c r="Q152" s="101"/>
      <c r="R152" s="88"/>
      <c r="S152" s="80"/>
      <c r="T152" s="80"/>
      <c r="U152" s="80"/>
      <c r="V152" s="80"/>
      <c r="W152" s="80"/>
      <c r="X152" s="80"/>
      <c r="Y152" s="88"/>
      <c r="Z152" s="80"/>
    </row>
    <row r="153" spans="2:26" s="185" customFormat="1">
      <c r="B153" s="88" t="s">
        <v>485</v>
      </c>
      <c r="C153" s="80" t="s">
        <v>486</v>
      </c>
      <c r="D153" s="80" t="s">
        <v>487</v>
      </c>
      <c r="E153" s="100"/>
      <c r="F153" s="101"/>
      <c r="G153" s="101"/>
      <c r="H153" s="88"/>
      <c r="I153" s="80"/>
      <c r="J153" s="80"/>
      <c r="K153" s="80"/>
      <c r="L153" s="80"/>
      <c r="M153" s="80"/>
      <c r="N153" s="80"/>
      <c r="O153" s="100"/>
      <c r="P153" s="101"/>
      <c r="Q153" s="101"/>
      <c r="R153" s="88"/>
      <c r="S153" s="80"/>
      <c r="T153" s="80"/>
      <c r="U153" s="80"/>
      <c r="V153" s="80"/>
      <c r="W153" s="80"/>
      <c r="X153" s="80"/>
      <c r="Y153" s="88"/>
      <c r="Z153" s="80"/>
    </row>
    <row r="154" spans="2:26" s="185" customFormat="1">
      <c r="B154" s="88" t="s">
        <v>490</v>
      </c>
      <c r="C154" s="80" t="s">
        <v>491</v>
      </c>
      <c r="D154" s="80" t="s">
        <v>492</v>
      </c>
      <c r="E154" s="100"/>
      <c r="F154" s="101"/>
      <c r="G154" s="101"/>
      <c r="H154" s="88"/>
      <c r="I154" s="80"/>
      <c r="J154" s="80"/>
      <c r="K154" s="80"/>
      <c r="L154" s="80"/>
      <c r="M154" s="80"/>
      <c r="N154" s="80"/>
      <c r="O154" s="100"/>
      <c r="P154" s="101"/>
      <c r="Q154" s="101"/>
      <c r="R154" s="88"/>
      <c r="S154" s="80"/>
      <c r="T154" s="80"/>
      <c r="U154" s="80"/>
      <c r="V154" s="80"/>
      <c r="W154" s="80"/>
      <c r="X154" s="80"/>
      <c r="Y154" s="88"/>
      <c r="Z154" s="80"/>
    </row>
    <row r="155" spans="2:26" s="185" customFormat="1">
      <c r="B155" s="88" t="s">
        <v>495</v>
      </c>
      <c r="C155" s="80" t="s">
        <v>496</v>
      </c>
      <c r="D155" s="80" t="s">
        <v>497</v>
      </c>
      <c r="E155" s="100"/>
      <c r="F155" s="101"/>
      <c r="G155" s="101"/>
      <c r="H155" s="88"/>
      <c r="I155" s="80"/>
      <c r="J155" s="80"/>
      <c r="K155" s="80"/>
      <c r="L155" s="80"/>
      <c r="M155" s="80"/>
      <c r="N155" s="80"/>
      <c r="O155" s="100"/>
      <c r="P155" s="101"/>
      <c r="Q155" s="101"/>
      <c r="R155" s="88"/>
      <c r="S155" s="80"/>
      <c r="T155" s="80"/>
      <c r="U155" s="80"/>
      <c r="V155" s="80"/>
      <c r="W155" s="80"/>
      <c r="X155" s="80"/>
      <c r="Y155" s="88"/>
      <c r="Z155" s="80"/>
    </row>
    <row r="156" spans="2:26" s="185" customFormat="1">
      <c r="B156" s="88" t="s">
        <v>500</v>
      </c>
      <c r="C156" s="80" t="s">
        <v>501</v>
      </c>
      <c r="D156" s="80" t="s">
        <v>502</v>
      </c>
      <c r="E156" s="100"/>
      <c r="F156" s="101"/>
      <c r="G156" s="101"/>
      <c r="H156" s="88"/>
      <c r="I156" s="80"/>
      <c r="J156" s="80"/>
      <c r="K156" s="80"/>
      <c r="L156" s="80"/>
      <c r="M156" s="80"/>
      <c r="N156" s="80"/>
      <c r="O156" s="100"/>
      <c r="P156" s="101"/>
      <c r="Q156" s="101"/>
      <c r="R156" s="88"/>
      <c r="S156" s="80"/>
      <c r="T156" s="80"/>
      <c r="U156" s="80"/>
      <c r="V156" s="80"/>
      <c r="W156" s="80"/>
      <c r="X156" s="80"/>
      <c r="Y156" s="88"/>
      <c r="Z156" s="80"/>
    </row>
    <row r="157" spans="2:26" s="185" customFormat="1">
      <c r="B157" s="88" t="s">
        <v>505</v>
      </c>
      <c r="C157" s="80" t="s">
        <v>506</v>
      </c>
      <c r="D157" s="80" t="s">
        <v>507</v>
      </c>
      <c r="E157" s="100"/>
      <c r="F157" s="101"/>
      <c r="G157" s="101"/>
      <c r="H157" s="88"/>
      <c r="I157" s="80"/>
      <c r="J157" s="80"/>
      <c r="K157" s="80"/>
      <c r="L157" s="80"/>
      <c r="M157" s="80"/>
      <c r="N157" s="80"/>
      <c r="O157" s="100"/>
      <c r="P157" s="101"/>
      <c r="Q157" s="101"/>
      <c r="R157" s="88"/>
      <c r="S157" s="80"/>
      <c r="T157" s="80"/>
      <c r="U157" s="80"/>
      <c r="V157" s="80"/>
      <c r="W157" s="80"/>
      <c r="X157" s="80"/>
      <c r="Y157" s="88"/>
      <c r="Z157" s="80"/>
    </row>
    <row r="158" spans="2:26" s="185" customFormat="1">
      <c r="B158" s="88" t="s">
        <v>509</v>
      </c>
      <c r="C158" s="80" t="s">
        <v>510</v>
      </c>
      <c r="D158" s="80" t="s">
        <v>511</v>
      </c>
      <c r="E158" s="100"/>
      <c r="F158" s="101"/>
      <c r="G158" s="101"/>
      <c r="H158" s="88"/>
      <c r="I158" s="80"/>
      <c r="J158" s="80"/>
      <c r="K158" s="80"/>
      <c r="L158" s="80"/>
      <c r="M158" s="80"/>
      <c r="N158" s="80"/>
      <c r="O158" s="100"/>
      <c r="P158" s="101"/>
      <c r="Q158" s="101"/>
      <c r="R158" s="88"/>
      <c r="S158" s="80"/>
      <c r="T158" s="80"/>
      <c r="U158" s="80"/>
      <c r="V158" s="80"/>
      <c r="W158" s="80"/>
      <c r="X158" s="80"/>
      <c r="Y158" s="88"/>
      <c r="Z158" s="80"/>
    </row>
    <row r="159" spans="2:26" s="185" customFormat="1">
      <c r="B159" s="88" t="s">
        <v>513</v>
      </c>
      <c r="C159" s="80" t="s">
        <v>514</v>
      </c>
      <c r="D159" s="80" t="s">
        <v>515</v>
      </c>
      <c r="E159" s="100"/>
      <c r="F159" s="101"/>
      <c r="G159" s="101"/>
      <c r="H159" s="88"/>
      <c r="I159" s="80"/>
      <c r="J159" s="80"/>
      <c r="K159" s="80"/>
      <c r="L159" s="80"/>
      <c r="M159" s="80"/>
      <c r="N159" s="80"/>
      <c r="O159" s="100"/>
      <c r="P159" s="101"/>
      <c r="Q159" s="101"/>
      <c r="R159" s="88"/>
      <c r="S159" s="80"/>
      <c r="T159" s="80"/>
      <c r="U159" s="80"/>
      <c r="V159" s="80"/>
      <c r="W159" s="80"/>
      <c r="X159" s="80"/>
      <c r="Y159" s="88"/>
      <c r="Z159" s="80"/>
    </row>
    <row r="160" spans="2:26" s="185" customFormat="1">
      <c r="B160" s="88" t="s">
        <v>517</v>
      </c>
      <c r="C160" s="80" t="s">
        <v>518</v>
      </c>
      <c r="D160" s="80" t="s">
        <v>519</v>
      </c>
      <c r="E160" s="100"/>
      <c r="F160" s="101"/>
      <c r="G160" s="101"/>
      <c r="H160" s="88"/>
      <c r="I160" s="80"/>
      <c r="J160" s="80"/>
      <c r="K160" s="80"/>
      <c r="L160" s="80"/>
      <c r="M160" s="80"/>
      <c r="N160" s="80"/>
      <c r="O160" s="100"/>
      <c r="P160" s="101"/>
      <c r="Q160" s="101"/>
      <c r="R160" s="88"/>
      <c r="S160" s="80"/>
      <c r="T160" s="80"/>
      <c r="U160" s="80"/>
      <c r="V160" s="80"/>
      <c r="W160" s="80"/>
      <c r="X160" s="80"/>
      <c r="Y160" s="88"/>
      <c r="Z160" s="80"/>
    </row>
    <row r="161" spans="2:36" s="185" customFormat="1">
      <c r="B161" s="88" t="s">
        <v>522</v>
      </c>
      <c r="C161" s="80" t="s">
        <v>523</v>
      </c>
      <c r="D161" s="80" t="s">
        <v>524</v>
      </c>
      <c r="E161" s="100"/>
      <c r="F161" s="101"/>
      <c r="G161" s="101"/>
      <c r="H161" s="88"/>
      <c r="I161" s="80"/>
      <c r="J161" s="80"/>
      <c r="K161" s="80"/>
      <c r="L161" s="80"/>
      <c r="M161" s="80"/>
      <c r="N161" s="80"/>
      <c r="O161" s="100"/>
      <c r="P161" s="101"/>
      <c r="Q161" s="101"/>
      <c r="R161" s="88"/>
      <c r="S161" s="80"/>
      <c r="T161" s="80"/>
      <c r="U161" s="80"/>
      <c r="V161" s="80"/>
      <c r="W161" s="80"/>
      <c r="X161" s="80"/>
      <c r="Y161" s="88"/>
      <c r="Z161" s="80"/>
    </row>
    <row r="162" spans="2:36" s="185" customFormat="1">
      <c r="B162" s="88" t="s">
        <v>527</v>
      </c>
      <c r="C162" s="80" t="s">
        <v>528</v>
      </c>
      <c r="D162" s="80" t="s">
        <v>529</v>
      </c>
      <c r="E162" s="100"/>
      <c r="F162" s="101"/>
      <c r="G162" s="101"/>
      <c r="H162" s="88"/>
      <c r="I162" s="80"/>
      <c r="J162" s="80"/>
      <c r="K162" s="80"/>
      <c r="L162" s="80"/>
      <c r="M162" s="80"/>
      <c r="N162" s="80"/>
      <c r="O162" s="100"/>
      <c r="P162" s="101"/>
      <c r="Q162" s="101"/>
      <c r="R162" s="88"/>
      <c r="S162" s="80"/>
      <c r="T162" s="80"/>
      <c r="U162" s="80"/>
      <c r="V162" s="80"/>
      <c r="W162" s="80"/>
      <c r="X162" s="80"/>
      <c r="Y162" s="88"/>
      <c r="Z162" s="80"/>
    </row>
    <row r="163" spans="2:36" s="185" customFormat="1">
      <c r="B163" s="88" t="s">
        <v>531</v>
      </c>
      <c r="C163" s="80" t="s">
        <v>532</v>
      </c>
      <c r="D163" s="80" t="s">
        <v>533</v>
      </c>
      <c r="E163" s="100"/>
      <c r="F163" s="101"/>
      <c r="G163" s="101"/>
      <c r="H163" s="88"/>
      <c r="I163" s="80"/>
      <c r="J163" s="80"/>
      <c r="K163" s="80"/>
      <c r="L163" s="80"/>
      <c r="M163" s="80"/>
      <c r="N163" s="80"/>
      <c r="O163" s="100"/>
      <c r="P163" s="101"/>
      <c r="Q163" s="101"/>
      <c r="R163" s="88"/>
      <c r="S163" s="80"/>
      <c r="T163" s="80"/>
      <c r="U163" s="80"/>
      <c r="V163" s="80"/>
      <c r="W163" s="80"/>
      <c r="X163" s="80"/>
      <c r="Y163" s="88"/>
      <c r="Z163" s="80"/>
    </row>
    <row r="164" spans="2:36" s="185" customFormat="1">
      <c r="B164" s="88" t="s">
        <v>535</v>
      </c>
      <c r="C164" s="80" t="s">
        <v>536</v>
      </c>
      <c r="D164" s="80" t="s">
        <v>537</v>
      </c>
      <c r="E164" s="100"/>
      <c r="F164" s="101"/>
      <c r="G164" s="101"/>
      <c r="H164" s="88"/>
      <c r="I164" s="80"/>
      <c r="J164" s="80"/>
      <c r="K164" s="80"/>
      <c r="L164" s="80"/>
      <c r="M164" s="80"/>
      <c r="N164" s="80"/>
      <c r="O164" s="100"/>
      <c r="P164" s="101"/>
      <c r="Q164" s="101"/>
      <c r="R164" s="88"/>
      <c r="S164" s="80"/>
      <c r="T164" s="80"/>
      <c r="U164" s="80"/>
      <c r="V164" s="80"/>
      <c r="W164" s="80"/>
      <c r="X164" s="80"/>
      <c r="Y164" s="88"/>
      <c r="Z164" s="80"/>
    </row>
    <row r="165" spans="2:36" s="185" customFormat="1">
      <c r="B165" s="88" t="s">
        <v>539</v>
      </c>
      <c r="C165" s="80" t="s">
        <v>540</v>
      </c>
      <c r="D165" s="80" t="s">
        <v>541</v>
      </c>
      <c r="E165" s="100"/>
      <c r="F165" s="101"/>
      <c r="G165" s="101"/>
      <c r="H165" s="88"/>
      <c r="I165" s="80"/>
      <c r="J165" s="80"/>
      <c r="K165" s="80"/>
      <c r="L165" s="80"/>
      <c r="M165" s="80"/>
      <c r="N165" s="80"/>
      <c r="O165" s="100"/>
      <c r="P165" s="101"/>
      <c r="Q165" s="101"/>
      <c r="R165" s="88"/>
      <c r="S165" s="80"/>
      <c r="T165" s="80"/>
      <c r="U165" s="80"/>
      <c r="V165" s="80"/>
      <c r="W165" s="80"/>
      <c r="X165" s="80"/>
      <c r="Y165" s="88"/>
      <c r="Z165" s="80"/>
    </row>
    <row r="166" spans="2:36" s="185" customFormat="1">
      <c r="B166" s="88" t="s">
        <v>543</v>
      </c>
      <c r="C166" s="80" t="s">
        <v>544</v>
      </c>
      <c r="D166" s="80" t="s">
        <v>545</v>
      </c>
      <c r="E166" s="100"/>
      <c r="F166" s="101"/>
      <c r="G166" s="101"/>
      <c r="H166" s="88"/>
      <c r="I166" s="80"/>
      <c r="J166" s="80"/>
      <c r="K166" s="80"/>
      <c r="L166" s="80"/>
      <c r="M166" s="80"/>
      <c r="N166" s="80"/>
      <c r="O166" s="100"/>
      <c r="P166" s="101"/>
      <c r="Q166" s="101"/>
      <c r="R166" s="88"/>
      <c r="S166" s="80"/>
      <c r="T166" s="80"/>
      <c r="U166" s="80"/>
      <c r="V166" s="80"/>
      <c r="W166" s="80"/>
      <c r="X166" s="80"/>
      <c r="Y166" s="88"/>
      <c r="Z166" s="80"/>
    </row>
    <row r="167" spans="2:36" s="185" customFormat="1">
      <c r="B167" s="88" t="s">
        <v>547</v>
      </c>
      <c r="C167" s="80" t="s">
        <v>548</v>
      </c>
      <c r="D167" s="80" t="s">
        <v>549</v>
      </c>
      <c r="E167" s="100"/>
      <c r="F167" s="101"/>
      <c r="G167" s="101"/>
      <c r="H167" s="88"/>
      <c r="I167" s="80"/>
      <c r="J167" s="80"/>
      <c r="K167" s="80"/>
      <c r="L167" s="80"/>
      <c r="M167" s="80"/>
      <c r="N167" s="80"/>
      <c r="O167" s="100"/>
      <c r="P167" s="101"/>
      <c r="Q167" s="101"/>
      <c r="R167" s="88"/>
      <c r="S167" s="80"/>
      <c r="T167" s="80"/>
      <c r="U167" s="80"/>
      <c r="V167" s="80"/>
      <c r="W167" s="80"/>
      <c r="X167" s="80"/>
      <c r="Y167" s="88"/>
      <c r="Z167" s="80"/>
    </row>
    <row r="168" spans="2:36" s="185" customFormat="1">
      <c r="B168" s="88" t="s">
        <v>552</v>
      </c>
      <c r="C168" s="80" t="s">
        <v>553</v>
      </c>
      <c r="D168" s="80" t="s">
        <v>554</v>
      </c>
      <c r="E168" s="100"/>
      <c r="F168" s="101"/>
      <c r="G168" s="101"/>
      <c r="H168" s="88"/>
      <c r="I168" s="80"/>
      <c r="J168" s="80"/>
      <c r="K168" s="80"/>
      <c r="L168" s="80"/>
      <c r="M168" s="80"/>
      <c r="N168" s="80"/>
      <c r="O168" s="100"/>
      <c r="P168" s="101"/>
      <c r="Q168" s="101"/>
      <c r="R168" s="88"/>
      <c r="S168" s="80"/>
      <c r="T168" s="80"/>
      <c r="U168" s="80"/>
      <c r="V168" s="80"/>
      <c r="W168" s="80"/>
      <c r="X168" s="80"/>
      <c r="Y168" s="88"/>
      <c r="Z168" s="80"/>
    </row>
    <row r="169" spans="2:36" s="185" customFormat="1">
      <c r="B169" s="88" t="s">
        <v>556</v>
      </c>
      <c r="C169" s="80" t="s">
        <v>557</v>
      </c>
      <c r="D169" s="80" t="s">
        <v>558</v>
      </c>
      <c r="E169" s="100"/>
      <c r="F169" s="101"/>
      <c r="G169" s="101"/>
      <c r="H169" s="88"/>
      <c r="I169" s="80"/>
      <c r="J169" s="80"/>
      <c r="K169" s="80"/>
      <c r="L169" s="80"/>
      <c r="M169" s="80"/>
      <c r="N169" s="80"/>
      <c r="O169" s="100"/>
      <c r="P169" s="101"/>
      <c r="Q169" s="101"/>
      <c r="R169" s="88"/>
      <c r="S169" s="80"/>
      <c r="T169" s="80"/>
      <c r="U169" s="80"/>
      <c r="V169" s="80"/>
      <c r="W169" s="80"/>
      <c r="X169" s="80"/>
      <c r="Y169" s="88"/>
      <c r="Z169" s="80"/>
    </row>
    <row r="170" spans="2:36" s="185" customFormat="1">
      <c r="B170" s="88" t="s">
        <v>561</v>
      </c>
      <c r="C170" s="80" t="s">
        <v>562</v>
      </c>
      <c r="D170" s="80" t="s">
        <v>563</v>
      </c>
      <c r="E170" s="100"/>
      <c r="F170" s="101"/>
      <c r="G170" s="101"/>
      <c r="H170" s="88"/>
      <c r="I170" s="80"/>
      <c r="J170" s="80"/>
      <c r="K170" s="80"/>
      <c r="L170" s="80"/>
      <c r="M170" s="80"/>
      <c r="N170" s="80"/>
      <c r="O170" s="100"/>
      <c r="P170" s="101"/>
      <c r="Q170" s="101"/>
      <c r="R170" s="88"/>
      <c r="S170" s="80"/>
      <c r="T170" s="80"/>
      <c r="U170" s="80"/>
      <c r="V170" s="80"/>
      <c r="W170" s="80"/>
      <c r="X170" s="80"/>
      <c r="Y170" s="88"/>
      <c r="Z170" s="80"/>
    </row>
    <row r="171" spans="2:36" s="185" customFormat="1">
      <c r="B171" s="88" t="s">
        <v>564</v>
      </c>
      <c r="C171" s="80" t="s">
        <v>565</v>
      </c>
      <c r="D171" s="80" t="s">
        <v>566</v>
      </c>
      <c r="E171" s="100"/>
      <c r="F171" s="101"/>
      <c r="G171" s="101"/>
      <c r="H171" s="88"/>
      <c r="I171" s="80"/>
      <c r="J171" s="80"/>
      <c r="K171" s="80"/>
      <c r="L171" s="80"/>
      <c r="M171" s="80"/>
      <c r="N171" s="80"/>
      <c r="O171" s="100"/>
      <c r="P171" s="101"/>
      <c r="Q171" s="101"/>
      <c r="R171" s="88"/>
      <c r="S171" s="80"/>
      <c r="T171" s="80"/>
      <c r="U171" s="80"/>
      <c r="V171" s="80"/>
      <c r="W171" s="80"/>
      <c r="X171" s="80"/>
      <c r="Y171" s="88"/>
      <c r="Z171" s="80"/>
    </row>
    <row r="172" spans="2:36" s="185" customFormat="1"/>
    <row r="173" spans="2:36" s="185" customFormat="1"/>
    <row r="174" spans="2:36" s="75" customFormat="1" ht="17.399999999999999">
      <c r="B174" s="113" t="s">
        <v>2593</v>
      </c>
      <c r="C174" s="113"/>
      <c r="D174" s="113"/>
      <c r="E174" s="113"/>
      <c r="F174" s="113"/>
      <c r="G174" s="113"/>
      <c r="H174" s="113"/>
      <c r="I174" s="113"/>
      <c r="J174" s="113"/>
      <c r="K174" s="113"/>
      <c r="L174" s="113"/>
      <c r="M174" s="113"/>
      <c r="N174" s="113"/>
      <c r="O174" s="113"/>
      <c r="P174" s="113"/>
      <c r="Q174" s="113"/>
      <c r="R174" s="113"/>
      <c r="S174" s="113"/>
      <c r="T174" s="113"/>
      <c r="AA174" s="185"/>
      <c r="AB174" s="185"/>
      <c r="AC174" s="185"/>
      <c r="AD174" s="185"/>
      <c r="AE174" s="185"/>
      <c r="AF174" s="185"/>
      <c r="AG174" s="185"/>
      <c r="AH174" s="185"/>
      <c r="AI174" s="185"/>
      <c r="AJ174" s="185"/>
    </row>
    <row r="175" spans="2:36" s="75" customFormat="1">
      <c r="B175" s="95" t="s">
        <v>312</v>
      </c>
      <c r="C175" s="99" t="s">
        <v>2594</v>
      </c>
      <c r="D175" s="99"/>
      <c r="E175" s="99"/>
      <c r="F175" s="99"/>
      <c r="G175" s="99"/>
      <c r="H175" s="99"/>
      <c r="I175" s="99"/>
      <c r="J175" s="99"/>
      <c r="K175" s="99"/>
      <c r="L175" s="99"/>
      <c r="M175" s="99"/>
      <c r="N175" s="99"/>
      <c r="O175" s="99"/>
      <c r="P175" s="99"/>
      <c r="Q175" s="99"/>
      <c r="R175" s="99"/>
      <c r="S175" s="99"/>
      <c r="T175" s="99"/>
      <c r="AA175" s="185"/>
      <c r="AB175" s="185"/>
      <c r="AC175" s="185"/>
      <c r="AD175" s="185"/>
      <c r="AE175" s="185"/>
      <c r="AF175" s="185"/>
      <c r="AG175" s="185"/>
      <c r="AH175" s="185"/>
      <c r="AI175" s="185"/>
      <c r="AJ175" s="185"/>
    </row>
    <row r="176" spans="2:36" s="75" customFormat="1">
      <c r="D176" s="99"/>
      <c r="E176" s="99"/>
      <c r="F176" s="99"/>
      <c r="G176" s="99"/>
      <c r="H176" s="99"/>
      <c r="I176" s="99"/>
      <c r="J176" s="99"/>
      <c r="K176" s="99"/>
      <c r="L176" s="99"/>
      <c r="M176" s="99"/>
      <c r="N176" s="99"/>
      <c r="O176" s="99"/>
      <c r="P176" s="99"/>
      <c r="Q176" s="99"/>
      <c r="R176" s="99"/>
      <c r="S176" s="99"/>
      <c r="T176" s="99"/>
      <c r="AA176" s="185"/>
      <c r="AB176" s="185"/>
      <c r="AC176" s="185"/>
      <c r="AD176" s="185"/>
      <c r="AE176" s="185"/>
      <c r="AF176" s="185"/>
      <c r="AG176" s="185"/>
      <c r="AH176" s="185"/>
      <c r="AI176" s="185"/>
      <c r="AJ176" s="185"/>
    </row>
    <row r="177" spans="2:36" s="75" customFormat="1" ht="17.399999999999999">
      <c r="B177" s="113" t="s">
        <v>1635</v>
      </c>
      <c r="C177" s="113"/>
      <c r="D177" s="113"/>
      <c r="E177" s="113"/>
      <c r="F177" s="113"/>
      <c r="G177" s="113"/>
      <c r="H177" s="113"/>
      <c r="I177" s="113"/>
      <c r="J177" s="113"/>
      <c r="K177" s="113"/>
      <c r="L177" s="113"/>
      <c r="M177" s="113"/>
      <c r="N177" s="113"/>
      <c r="O177" s="113"/>
      <c r="P177" s="113"/>
      <c r="Q177" s="113"/>
      <c r="R177" s="113"/>
      <c r="S177" s="113"/>
      <c r="T177" s="113"/>
    </row>
    <row r="178" spans="2:36" s="75" customFormat="1">
      <c r="B178" s="92" t="s">
        <v>1614</v>
      </c>
      <c r="C178" s="92" t="s">
        <v>311</v>
      </c>
      <c r="D178" s="92" t="s">
        <v>1293</v>
      </c>
      <c r="E178" s="102" t="s">
        <v>1636</v>
      </c>
      <c r="F178" s="103" t="s">
        <v>1637</v>
      </c>
      <c r="G178" s="103" t="s">
        <v>1647</v>
      </c>
      <c r="H178" s="92" t="s">
        <v>1502</v>
      </c>
      <c r="I178" s="92" t="s">
        <v>1487</v>
      </c>
      <c r="J178" s="92" t="s">
        <v>1469</v>
      </c>
      <c r="K178" s="92" t="s">
        <v>1488</v>
      </c>
      <c r="L178" s="92" t="s">
        <v>1500</v>
      </c>
      <c r="M178" s="92" t="s">
        <v>1489</v>
      </c>
      <c r="N178" s="92" t="s">
        <v>1490</v>
      </c>
      <c r="O178" s="102" t="s">
        <v>1638</v>
      </c>
      <c r="P178" s="103" t="s">
        <v>1639</v>
      </c>
      <c r="Q178" s="103" t="s">
        <v>1648</v>
      </c>
      <c r="R178" s="92" t="s">
        <v>1503</v>
      </c>
      <c r="S178" s="92" t="s">
        <v>1491</v>
      </c>
      <c r="T178" s="92" t="s">
        <v>1470</v>
      </c>
      <c r="U178" s="92" t="s">
        <v>1492</v>
      </c>
      <c r="V178" s="92" t="s">
        <v>1501</v>
      </c>
      <c r="W178" s="92" t="s">
        <v>1493</v>
      </c>
      <c r="X178" s="92" t="s">
        <v>1494</v>
      </c>
      <c r="Y178" s="92" t="s">
        <v>1495</v>
      </c>
      <c r="Z178" s="92" t="s">
        <v>1496</v>
      </c>
    </row>
    <row r="179" spans="2:36" s="75" customFormat="1">
      <c r="B179" s="88"/>
      <c r="C179" s="80"/>
      <c r="D179" s="80"/>
      <c r="E179" s="100"/>
      <c r="F179" s="101"/>
      <c r="G179" s="101"/>
      <c r="H179" s="88"/>
      <c r="I179" s="80"/>
      <c r="J179" s="80"/>
      <c r="K179" s="80"/>
      <c r="L179" s="80"/>
      <c r="M179" s="80"/>
      <c r="N179" s="80"/>
      <c r="O179" s="100"/>
      <c r="P179" s="101"/>
      <c r="Q179" s="101"/>
      <c r="R179" s="88"/>
      <c r="S179" s="80"/>
      <c r="T179" s="80"/>
      <c r="U179" s="80"/>
      <c r="V179" s="80"/>
      <c r="W179" s="80"/>
      <c r="X179" s="80"/>
      <c r="Y179" s="88"/>
      <c r="Z179" s="80"/>
    </row>
    <row r="180" spans="2:36">
      <c r="B180" s="88"/>
      <c r="C180" s="80"/>
      <c r="D180" s="80"/>
      <c r="E180" s="100"/>
      <c r="F180" s="101"/>
      <c r="G180" s="101"/>
      <c r="H180" s="88"/>
      <c r="I180" s="80"/>
      <c r="J180" s="80"/>
      <c r="K180" s="80"/>
      <c r="L180" s="80"/>
      <c r="M180" s="80"/>
      <c r="N180" s="80"/>
      <c r="O180" s="100"/>
      <c r="P180" s="101"/>
      <c r="Q180" s="101"/>
      <c r="R180" s="88"/>
      <c r="S180" s="80"/>
      <c r="T180" s="80"/>
      <c r="U180" s="80"/>
      <c r="V180" s="80"/>
      <c r="W180" s="80"/>
      <c r="X180" s="80"/>
      <c r="Y180" s="88"/>
      <c r="Z180" s="80"/>
      <c r="AA180" s="75"/>
      <c r="AB180" s="75"/>
      <c r="AC180" s="75"/>
      <c r="AD180" s="75"/>
      <c r="AE180" s="75"/>
      <c r="AF180" s="75"/>
      <c r="AG180" s="75"/>
      <c r="AH180" s="75"/>
      <c r="AI180" s="75"/>
      <c r="AJ180" s="75"/>
    </row>
    <row r="181" spans="2:36">
      <c r="B181" s="88"/>
      <c r="C181" s="80"/>
      <c r="D181" s="80"/>
      <c r="E181" s="100"/>
      <c r="F181" s="101"/>
      <c r="G181" s="101"/>
      <c r="H181" s="88"/>
      <c r="I181" s="80"/>
      <c r="J181" s="80"/>
      <c r="K181" s="80"/>
      <c r="L181" s="80"/>
      <c r="M181" s="80"/>
      <c r="N181" s="80"/>
      <c r="O181" s="100"/>
      <c r="P181" s="101"/>
      <c r="Q181" s="101"/>
      <c r="R181" s="88"/>
      <c r="S181" s="80"/>
      <c r="T181" s="80"/>
      <c r="U181" s="80"/>
      <c r="V181" s="80"/>
      <c r="W181" s="80"/>
      <c r="X181" s="80"/>
      <c r="Y181" s="88"/>
      <c r="Z181" s="80"/>
      <c r="AA181" s="75"/>
      <c r="AB181" s="75"/>
      <c r="AC181" s="75"/>
      <c r="AD181" s="75"/>
      <c r="AE181" s="75"/>
      <c r="AF181" s="75"/>
      <c r="AG181" s="75"/>
      <c r="AH181" s="75"/>
      <c r="AI181" s="75"/>
      <c r="AJ181" s="75"/>
    </row>
    <row r="182" spans="2:36">
      <c r="B182" s="88"/>
      <c r="C182" s="80"/>
      <c r="D182" s="80"/>
      <c r="E182" s="100"/>
      <c r="F182" s="101"/>
      <c r="G182" s="101"/>
      <c r="H182" s="88"/>
      <c r="I182" s="80"/>
      <c r="J182" s="80"/>
      <c r="K182" s="80"/>
      <c r="L182" s="80"/>
      <c r="M182" s="80"/>
      <c r="N182" s="80"/>
      <c r="O182" s="100"/>
      <c r="P182" s="101"/>
      <c r="Q182" s="101"/>
      <c r="R182" s="88"/>
      <c r="S182" s="80"/>
      <c r="T182" s="80"/>
      <c r="U182" s="80"/>
      <c r="V182" s="80"/>
      <c r="W182" s="80"/>
      <c r="X182" s="80"/>
      <c r="Y182" s="88"/>
      <c r="Z182" s="80"/>
      <c r="AA182" s="75"/>
      <c r="AB182" s="75"/>
      <c r="AC182" s="75"/>
      <c r="AD182" s="75"/>
      <c r="AE182" s="75"/>
      <c r="AF182" s="75"/>
      <c r="AG182" s="75"/>
      <c r="AH182" s="75"/>
      <c r="AI182" s="75"/>
      <c r="AJ182" s="75"/>
    </row>
    <row r="183" spans="2:36">
      <c r="B183" s="88"/>
      <c r="C183" s="80"/>
      <c r="D183" s="80"/>
      <c r="E183" s="100"/>
      <c r="F183" s="101"/>
      <c r="G183" s="101"/>
      <c r="H183" s="88"/>
      <c r="I183" s="80"/>
      <c r="J183" s="80"/>
      <c r="K183" s="80"/>
      <c r="L183" s="80"/>
      <c r="M183" s="80"/>
      <c r="N183" s="80"/>
      <c r="O183" s="100"/>
      <c r="P183" s="101"/>
      <c r="Q183" s="101"/>
      <c r="R183" s="88"/>
      <c r="S183" s="80"/>
      <c r="T183" s="80"/>
      <c r="U183" s="80"/>
      <c r="V183" s="80"/>
      <c r="W183" s="80"/>
      <c r="X183" s="80"/>
      <c r="Y183" s="88"/>
      <c r="Z183" s="80"/>
    </row>
    <row r="184" spans="2:36">
      <c r="B184" s="88"/>
      <c r="C184" s="80"/>
      <c r="D184" s="80"/>
      <c r="E184" s="100"/>
      <c r="F184" s="101"/>
      <c r="G184" s="101"/>
      <c r="H184" s="88"/>
      <c r="I184" s="80"/>
      <c r="J184" s="80"/>
      <c r="K184" s="80"/>
      <c r="L184" s="80"/>
      <c r="M184" s="80"/>
      <c r="N184" s="80"/>
      <c r="O184" s="100"/>
      <c r="P184" s="101"/>
      <c r="Q184" s="101"/>
      <c r="R184" s="88"/>
      <c r="S184" s="80"/>
      <c r="T184" s="80"/>
      <c r="U184" s="80"/>
      <c r="V184" s="80"/>
      <c r="W184" s="80"/>
      <c r="X184" s="80"/>
      <c r="Y184" s="88"/>
      <c r="Z184" s="80"/>
    </row>
    <row r="185" spans="2:36">
      <c r="B185" s="88"/>
      <c r="C185" s="80"/>
      <c r="D185" s="80"/>
      <c r="E185" s="100"/>
      <c r="F185" s="101"/>
      <c r="G185" s="101"/>
      <c r="H185" s="88"/>
      <c r="I185" s="80"/>
      <c r="J185" s="80"/>
      <c r="K185" s="80"/>
      <c r="L185" s="80"/>
      <c r="M185" s="80"/>
      <c r="N185" s="80"/>
      <c r="O185" s="100"/>
      <c r="P185" s="101"/>
      <c r="Q185" s="101"/>
      <c r="R185" s="88"/>
      <c r="S185" s="80"/>
      <c r="T185" s="80"/>
      <c r="U185" s="80"/>
      <c r="V185" s="80"/>
      <c r="W185" s="80"/>
      <c r="X185" s="80"/>
      <c r="Y185" s="88"/>
      <c r="Z185" s="80"/>
    </row>
    <row r="186" spans="2:36">
      <c r="B186" s="88"/>
      <c r="C186" s="80"/>
      <c r="D186" s="80"/>
      <c r="E186" s="100"/>
      <c r="F186" s="101"/>
      <c r="G186" s="101"/>
      <c r="H186" s="88"/>
      <c r="I186" s="80"/>
      <c r="J186" s="80"/>
      <c r="K186" s="80"/>
      <c r="L186" s="80"/>
      <c r="M186" s="80"/>
      <c r="N186" s="80"/>
      <c r="O186" s="100"/>
      <c r="P186" s="101"/>
      <c r="Q186" s="101"/>
      <c r="R186" s="88"/>
      <c r="S186" s="80"/>
      <c r="T186" s="80"/>
      <c r="U186" s="80"/>
      <c r="V186" s="80"/>
      <c r="W186" s="80"/>
      <c r="X186" s="80"/>
      <c r="Y186" s="88"/>
      <c r="Z186" s="80"/>
    </row>
    <row r="187" spans="2:36">
      <c r="B187" s="88"/>
      <c r="C187" s="80"/>
      <c r="D187" s="80"/>
      <c r="E187" s="100"/>
      <c r="F187" s="101"/>
      <c r="G187" s="101"/>
      <c r="H187" s="88"/>
      <c r="I187" s="80"/>
      <c r="J187" s="80"/>
      <c r="K187" s="80"/>
      <c r="L187" s="80"/>
      <c r="M187" s="80"/>
      <c r="N187" s="80"/>
      <c r="O187" s="100"/>
      <c r="P187" s="101"/>
      <c r="Q187" s="101"/>
      <c r="R187" s="88"/>
      <c r="S187" s="80"/>
      <c r="T187" s="80"/>
      <c r="U187" s="80"/>
      <c r="V187" s="80"/>
      <c r="W187" s="80"/>
      <c r="X187" s="80"/>
      <c r="Y187" s="88"/>
      <c r="Z187" s="80"/>
    </row>
    <row r="188" spans="2:36">
      <c r="B188" s="88"/>
      <c r="C188" s="80"/>
      <c r="D188" s="80"/>
      <c r="E188" s="100"/>
      <c r="F188" s="101"/>
      <c r="G188" s="101"/>
      <c r="H188" s="88"/>
      <c r="I188" s="80"/>
      <c r="J188" s="80"/>
      <c r="K188" s="80"/>
      <c r="L188" s="80"/>
      <c r="M188" s="80"/>
      <c r="N188" s="80"/>
      <c r="O188" s="100"/>
      <c r="P188" s="101"/>
      <c r="Q188" s="101"/>
      <c r="R188" s="88"/>
      <c r="S188" s="80"/>
      <c r="T188" s="80"/>
      <c r="U188" s="80"/>
      <c r="V188" s="80"/>
      <c r="W188" s="80"/>
      <c r="X188" s="80"/>
      <c r="Y188" s="88"/>
      <c r="Z188" s="80"/>
    </row>
  </sheetData>
  <mergeCells count="11">
    <mergeCell ref="B85:T85"/>
    <mergeCell ref="B107:T107"/>
    <mergeCell ref="B117:T117"/>
    <mergeCell ref="B174:T174"/>
    <mergeCell ref="B177:T177"/>
    <mergeCell ref="B80:C80"/>
    <mergeCell ref="B2:T2"/>
    <mergeCell ref="B3:T3"/>
    <mergeCell ref="L63:T63"/>
    <mergeCell ref="B71:T71"/>
    <mergeCell ref="B75:C75"/>
  </mergeCells>
  <conditionalFormatting sqref="B119:Z171 B179:Z188">
    <cfRule type="expression" dxfId="444" priority="1">
      <formula>B119=""</formula>
    </cfRule>
  </conditionalFormatting>
  <dataValidations count="8">
    <dataValidation type="list" allowBlank="1" showInputMessage="1" showErrorMessage="1" sqref="C81" xr:uid="{847F0BD7-45CA-4379-9351-D40DCD3A5B81}">
      <formula1>WR_ExposureSectors</formula1>
    </dataValidation>
    <dataValidation type="list" allowBlank="1" showInputMessage="1" showErrorMessage="1" sqref="C82" xr:uid="{39828DD7-E2F7-4B8A-ACAD-D4F9EC1D575D}">
      <formula1>WR_ExposureComponents</formula1>
    </dataValidation>
    <dataValidation type="list" allowBlank="1" showInputMessage="1" showErrorMessage="1" sqref="C76" xr:uid="{F8D0C726-F253-49F3-978E-E489CE0888FE}">
      <formula1>WR_VulnerabilitySectors</formula1>
    </dataValidation>
    <dataValidation type="list" allowBlank="1" showInputMessage="1" showErrorMessage="1" sqref="C77" xr:uid="{04EF295B-53C6-4C1B-B287-9A212542D193}">
      <formula1>WR_VulnerabilityComponents</formula1>
    </dataValidation>
    <dataValidation type="list" allowBlank="1" showInputMessage="1" showErrorMessage="1" sqref="R119:R171 H119:H171" xr:uid="{DB913E55-030A-4A08-B5A4-0203B4AA44BC}">
      <formula1>WR_EffectivenessLevel</formula1>
    </dataValidation>
    <dataValidation type="list" allowBlank="1" showInputMessage="1" showErrorMessage="1" sqref="Y119:Y171" xr:uid="{5BFCD1E0-2B14-4A6E-A4FF-4ADF3C9EC8FB}">
      <formula1>WR_ReviewStatus</formula1>
    </dataValidation>
    <dataValidation type="list" allowBlank="1" showInputMessage="1" showErrorMessage="1" sqref="C94:C106" xr:uid="{8FE634E7-9EA1-44FF-8790-5ECCBBF8E768}">
      <formula1>WR_SourceScope</formula1>
    </dataValidation>
    <dataValidation type="list" allowBlank="1" showInputMessage="1" showErrorMessage="1" sqref="O119:O171 E119:E171 O179:O188 E179:E188" xr:uid="{3094DAB4-B496-4E54-913C-C690AEC2033D}">
      <formula1>"Eligible,Review required,Not eligible"</formula1>
    </dataValidation>
  </dataValidations>
  <pageMargins left="0.7" right="0.7" top="0.75" bottom="0.75" header="0.3" footer="0.3"/>
  <tableParts count="4">
    <tablePart r:id="rId1"/>
    <tablePart r:id="rId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02DCA-86E4-4033-BBAD-ADB2EA5D09D5}">
  <sheetPr>
    <tabColor theme="5"/>
    <outlinePr summaryBelow="0" summaryRight="0"/>
  </sheetPr>
  <dimension ref="A1:O246"/>
  <sheetViews>
    <sheetView zoomScale="55" zoomScaleNormal="55" workbookViewId="0">
      <pane ySplit="1" topLeftCell="A215" activePane="bottomLeft" state="frozen"/>
      <selection activeCell="B22" sqref="B22:B56"/>
      <selection pane="bottomLeft" activeCell="I238" sqref="I238"/>
    </sheetView>
  </sheetViews>
  <sheetFormatPr baseColWidth="10" defaultColWidth="12.59765625" defaultRowHeight="15.75" customHeight="1"/>
  <cols>
    <col min="1" max="1" width="12.59765625" style="78"/>
    <col min="2" max="2" width="15" style="78" customWidth="1"/>
    <col min="3" max="3" width="12.59765625" style="78"/>
    <col min="4" max="4" width="16.796875" style="78" customWidth="1"/>
    <col min="5" max="5" width="19.3984375" style="78" customWidth="1"/>
    <col min="6" max="6" width="22.09765625" style="78" customWidth="1"/>
    <col min="7" max="7" width="19" style="78" customWidth="1"/>
    <col min="8" max="8" width="21.8984375" style="78" customWidth="1"/>
    <col min="9" max="9" width="19" style="78" customWidth="1"/>
    <col min="10" max="10" width="37.59765625" style="78" customWidth="1"/>
    <col min="11" max="11" width="19" style="78" customWidth="1"/>
    <col min="12" max="12" width="32.59765625" style="78" customWidth="1"/>
    <col min="13" max="13" width="18.296875" style="78" customWidth="1"/>
    <col min="14" max="14" width="32.59765625" style="78" customWidth="1"/>
    <col min="15" max="15" width="20.3984375" style="78" customWidth="1"/>
    <col min="16" max="16384" width="12.59765625" style="78"/>
  </cols>
  <sheetData>
    <row r="1" spans="1:15" ht="22.5" customHeight="1">
      <c r="A1" s="77" t="s">
        <v>20</v>
      </c>
      <c r="B1" s="77" t="s">
        <v>0</v>
      </c>
      <c r="C1" s="77" t="s">
        <v>21</v>
      </c>
      <c r="D1" s="77" t="s">
        <v>1</v>
      </c>
      <c r="E1" s="77" t="s">
        <v>22</v>
      </c>
      <c r="F1" s="77" t="s">
        <v>23</v>
      </c>
      <c r="G1" s="77" t="s">
        <v>24</v>
      </c>
      <c r="H1" s="77" t="s">
        <v>25</v>
      </c>
      <c r="I1" s="77" t="s">
        <v>26</v>
      </c>
      <c r="J1" s="77" t="s">
        <v>27</v>
      </c>
      <c r="K1" s="77" t="s">
        <v>28</v>
      </c>
      <c r="L1" s="77" t="s">
        <v>29</v>
      </c>
      <c r="M1" s="77" t="s">
        <v>30</v>
      </c>
      <c r="N1" s="77" t="s">
        <v>31</v>
      </c>
      <c r="O1" s="77" t="s">
        <v>32</v>
      </c>
    </row>
    <row r="2" spans="1:15" ht="22.5" customHeight="1">
      <c r="A2" s="79">
        <v>1</v>
      </c>
      <c r="B2" s="79" t="s">
        <v>2</v>
      </c>
      <c r="C2" s="79">
        <v>2</v>
      </c>
      <c r="D2" s="79" t="s">
        <v>3</v>
      </c>
      <c r="E2" s="79">
        <v>3</v>
      </c>
      <c r="F2" s="79" t="s">
        <v>33</v>
      </c>
      <c r="G2" s="79">
        <v>6</v>
      </c>
      <c r="H2" s="79" t="s">
        <v>34</v>
      </c>
      <c r="I2" s="79">
        <v>8</v>
      </c>
      <c r="J2" s="79" t="s">
        <v>35</v>
      </c>
      <c r="K2" s="79">
        <v>19</v>
      </c>
      <c r="L2" s="79" t="s">
        <v>36</v>
      </c>
      <c r="M2" s="79">
        <v>19</v>
      </c>
      <c r="N2" s="79" t="s">
        <v>36</v>
      </c>
      <c r="O2" s="79">
        <v>6</v>
      </c>
    </row>
    <row r="3" spans="1:15" ht="22.5" customHeight="1">
      <c r="A3" s="79">
        <v>1</v>
      </c>
      <c r="B3" s="79" t="s">
        <v>2</v>
      </c>
      <c r="C3" s="79">
        <v>2</v>
      </c>
      <c r="D3" s="79" t="s">
        <v>3</v>
      </c>
      <c r="E3" s="79">
        <v>3</v>
      </c>
      <c r="F3" s="79" t="s">
        <v>33</v>
      </c>
      <c r="G3" s="79">
        <v>6</v>
      </c>
      <c r="H3" s="79" t="s">
        <v>34</v>
      </c>
      <c r="I3" s="79">
        <v>8</v>
      </c>
      <c r="J3" s="79" t="s">
        <v>35</v>
      </c>
      <c r="K3" s="79">
        <v>20</v>
      </c>
      <c r="L3" s="79" t="s">
        <v>37</v>
      </c>
      <c r="M3" s="79">
        <v>20</v>
      </c>
      <c r="N3" s="79" t="s">
        <v>37</v>
      </c>
      <c r="O3" s="79">
        <v>6</v>
      </c>
    </row>
    <row r="4" spans="1:15" ht="22.5" customHeight="1">
      <c r="A4" s="79">
        <v>1</v>
      </c>
      <c r="B4" s="79" t="s">
        <v>2</v>
      </c>
      <c r="C4" s="79">
        <v>2</v>
      </c>
      <c r="D4" s="79" t="s">
        <v>3</v>
      </c>
      <c r="E4" s="79">
        <v>3</v>
      </c>
      <c r="F4" s="79" t="s">
        <v>33</v>
      </c>
      <c r="G4" s="79">
        <v>6</v>
      </c>
      <c r="H4" s="79" t="s">
        <v>34</v>
      </c>
      <c r="I4" s="79">
        <v>8</v>
      </c>
      <c r="J4" s="79" t="s">
        <v>35</v>
      </c>
      <c r="K4" s="79">
        <v>21</v>
      </c>
      <c r="L4" s="79" t="s">
        <v>38</v>
      </c>
      <c r="M4" s="79">
        <v>21</v>
      </c>
      <c r="N4" s="79" t="s">
        <v>38</v>
      </c>
      <c r="O4" s="79">
        <v>6</v>
      </c>
    </row>
    <row r="5" spans="1:15" ht="22.5" customHeight="1">
      <c r="A5" s="79">
        <v>1</v>
      </c>
      <c r="B5" s="79" t="s">
        <v>2</v>
      </c>
      <c r="C5" s="79">
        <v>2</v>
      </c>
      <c r="D5" s="79" t="s">
        <v>3</v>
      </c>
      <c r="E5" s="79">
        <v>3</v>
      </c>
      <c r="F5" s="79" t="s">
        <v>33</v>
      </c>
      <c r="G5" s="79">
        <v>6</v>
      </c>
      <c r="H5" s="79" t="s">
        <v>34</v>
      </c>
      <c r="I5" s="79">
        <v>9</v>
      </c>
      <c r="J5" s="79" t="s">
        <v>39</v>
      </c>
      <c r="K5" s="79">
        <v>22</v>
      </c>
      <c r="L5" s="79" t="s">
        <v>40</v>
      </c>
      <c r="M5" s="79">
        <v>22</v>
      </c>
      <c r="N5" s="79" t="s">
        <v>40</v>
      </c>
      <c r="O5" s="79">
        <v>6</v>
      </c>
    </row>
    <row r="6" spans="1:15" ht="22.5" customHeight="1">
      <c r="A6" s="79">
        <v>1</v>
      </c>
      <c r="B6" s="79" t="s">
        <v>2</v>
      </c>
      <c r="C6" s="79">
        <v>2</v>
      </c>
      <c r="D6" s="79" t="s">
        <v>3</v>
      </c>
      <c r="E6" s="79">
        <v>3</v>
      </c>
      <c r="F6" s="79" t="s">
        <v>33</v>
      </c>
      <c r="G6" s="79">
        <v>6</v>
      </c>
      <c r="H6" s="79" t="s">
        <v>34</v>
      </c>
      <c r="I6" s="79">
        <v>9</v>
      </c>
      <c r="J6" s="79" t="s">
        <v>39</v>
      </c>
      <c r="K6" s="79">
        <v>23</v>
      </c>
      <c r="L6" s="79" t="s">
        <v>41</v>
      </c>
      <c r="M6" s="79">
        <v>23</v>
      </c>
      <c r="N6" s="79" t="s">
        <v>41</v>
      </c>
      <c r="O6" s="79">
        <v>6</v>
      </c>
    </row>
    <row r="7" spans="1:15" ht="22.5" customHeight="1">
      <c r="A7" s="79">
        <v>1</v>
      </c>
      <c r="B7" s="79" t="s">
        <v>2</v>
      </c>
      <c r="C7" s="79">
        <v>2</v>
      </c>
      <c r="D7" s="79" t="s">
        <v>3</v>
      </c>
      <c r="E7" s="79">
        <v>3</v>
      </c>
      <c r="F7" s="79" t="s">
        <v>33</v>
      </c>
      <c r="G7" s="79">
        <v>6</v>
      </c>
      <c r="H7" s="79" t="s">
        <v>34</v>
      </c>
      <c r="I7" s="79">
        <v>10</v>
      </c>
      <c r="J7" s="79" t="s">
        <v>42</v>
      </c>
      <c r="K7" s="79">
        <v>24</v>
      </c>
      <c r="L7" s="79" t="s">
        <v>43</v>
      </c>
      <c r="M7" s="79">
        <v>24</v>
      </c>
      <c r="N7" s="79" t="s">
        <v>43</v>
      </c>
      <c r="O7" s="79">
        <v>6</v>
      </c>
    </row>
    <row r="8" spans="1:15" ht="22.5" customHeight="1">
      <c r="A8" s="79">
        <v>1</v>
      </c>
      <c r="B8" s="79" t="s">
        <v>2</v>
      </c>
      <c r="C8" s="79">
        <v>2</v>
      </c>
      <c r="D8" s="79" t="s">
        <v>3</v>
      </c>
      <c r="E8" s="79">
        <v>3</v>
      </c>
      <c r="F8" s="79" t="s">
        <v>33</v>
      </c>
      <c r="G8" s="79">
        <v>6</v>
      </c>
      <c r="H8" s="79" t="s">
        <v>34</v>
      </c>
      <c r="I8" s="79">
        <v>10</v>
      </c>
      <c r="J8" s="79" t="s">
        <v>42</v>
      </c>
      <c r="K8" s="79">
        <v>25</v>
      </c>
      <c r="L8" s="79" t="s">
        <v>44</v>
      </c>
      <c r="M8" s="79">
        <v>25</v>
      </c>
      <c r="N8" s="79" t="s">
        <v>44</v>
      </c>
      <c r="O8" s="79">
        <v>6</v>
      </c>
    </row>
    <row r="9" spans="1:15" ht="22.5" customHeight="1">
      <c r="A9" s="79">
        <v>1</v>
      </c>
      <c r="B9" s="79" t="s">
        <v>2</v>
      </c>
      <c r="C9" s="79">
        <v>2</v>
      </c>
      <c r="D9" s="79" t="s">
        <v>3</v>
      </c>
      <c r="E9" s="79">
        <v>3</v>
      </c>
      <c r="F9" s="79" t="s">
        <v>33</v>
      </c>
      <c r="G9" s="79">
        <v>6</v>
      </c>
      <c r="H9" s="79" t="s">
        <v>34</v>
      </c>
      <c r="I9" s="79">
        <v>11</v>
      </c>
      <c r="J9" s="79" t="s">
        <v>45</v>
      </c>
      <c r="K9" s="79">
        <v>26</v>
      </c>
      <c r="L9" s="79" t="s">
        <v>46</v>
      </c>
      <c r="M9" s="79">
        <v>26</v>
      </c>
      <c r="N9" s="79" t="s">
        <v>46</v>
      </c>
      <c r="O9" s="79">
        <v>6</v>
      </c>
    </row>
    <row r="10" spans="1:15" ht="22.5" customHeight="1">
      <c r="A10" s="79">
        <v>1</v>
      </c>
      <c r="B10" s="79" t="s">
        <v>2</v>
      </c>
      <c r="C10" s="79">
        <v>2</v>
      </c>
      <c r="D10" s="79" t="s">
        <v>3</v>
      </c>
      <c r="E10" s="79">
        <v>3</v>
      </c>
      <c r="F10" s="79" t="s">
        <v>33</v>
      </c>
      <c r="G10" s="79">
        <v>6</v>
      </c>
      <c r="H10" s="79" t="s">
        <v>34</v>
      </c>
      <c r="I10" s="79">
        <v>11</v>
      </c>
      <c r="J10" s="79" t="s">
        <v>45</v>
      </c>
      <c r="K10" s="79">
        <v>27</v>
      </c>
      <c r="L10" s="79" t="s">
        <v>47</v>
      </c>
      <c r="M10" s="79">
        <v>27</v>
      </c>
      <c r="N10" s="79" t="s">
        <v>47</v>
      </c>
      <c r="O10" s="79">
        <v>6</v>
      </c>
    </row>
    <row r="11" spans="1:15" ht="22.5" customHeight="1">
      <c r="A11" s="79">
        <v>1</v>
      </c>
      <c r="B11" s="79" t="s">
        <v>2</v>
      </c>
      <c r="C11" s="79">
        <v>2</v>
      </c>
      <c r="D11" s="79" t="s">
        <v>3</v>
      </c>
      <c r="E11" s="79">
        <v>3</v>
      </c>
      <c r="F11" s="79" t="s">
        <v>33</v>
      </c>
      <c r="G11" s="79">
        <v>6</v>
      </c>
      <c r="H11" s="79" t="s">
        <v>34</v>
      </c>
      <c r="I11" s="79">
        <v>11</v>
      </c>
      <c r="J11" s="79" t="s">
        <v>45</v>
      </c>
      <c r="K11" s="79">
        <v>28</v>
      </c>
      <c r="L11" s="79" t="s">
        <v>48</v>
      </c>
      <c r="M11" s="79">
        <v>28</v>
      </c>
      <c r="N11" s="79" t="s">
        <v>48</v>
      </c>
      <c r="O11" s="79">
        <v>6</v>
      </c>
    </row>
    <row r="12" spans="1:15" ht="22.5" customHeight="1">
      <c r="A12" s="79">
        <v>1</v>
      </c>
      <c r="B12" s="79" t="s">
        <v>2</v>
      </c>
      <c r="C12" s="79">
        <v>2</v>
      </c>
      <c r="D12" s="79" t="s">
        <v>3</v>
      </c>
      <c r="E12" s="79">
        <v>3</v>
      </c>
      <c r="F12" s="79" t="s">
        <v>33</v>
      </c>
      <c r="G12" s="79">
        <v>6</v>
      </c>
      <c r="H12" s="79" t="s">
        <v>34</v>
      </c>
      <c r="I12" s="79">
        <v>11</v>
      </c>
      <c r="J12" s="79" t="s">
        <v>45</v>
      </c>
      <c r="K12" s="79">
        <v>29</v>
      </c>
      <c r="L12" s="79" t="s">
        <v>49</v>
      </c>
      <c r="M12" s="79">
        <v>29</v>
      </c>
      <c r="N12" s="79" t="s">
        <v>49</v>
      </c>
      <c r="O12" s="79">
        <v>6</v>
      </c>
    </row>
    <row r="13" spans="1:15" ht="22.5" customHeight="1">
      <c r="A13" s="79">
        <v>1</v>
      </c>
      <c r="B13" s="79" t="s">
        <v>2</v>
      </c>
      <c r="C13" s="79">
        <v>2</v>
      </c>
      <c r="D13" s="79" t="s">
        <v>3</v>
      </c>
      <c r="E13" s="79">
        <v>3</v>
      </c>
      <c r="F13" s="79" t="s">
        <v>33</v>
      </c>
      <c r="G13" s="79">
        <v>7</v>
      </c>
      <c r="H13" s="79" t="s">
        <v>50</v>
      </c>
      <c r="I13" s="79">
        <v>12</v>
      </c>
      <c r="J13" s="79" t="s">
        <v>51</v>
      </c>
      <c r="K13" s="79">
        <v>30</v>
      </c>
      <c r="L13" s="79" t="s">
        <v>52</v>
      </c>
      <c r="M13" s="79">
        <v>30</v>
      </c>
      <c r="N13" s="79" t="s">
        <v>52</v>
      </c>
      <c r="O13" s="79">
        <v>6</v>
      </c>
    </row>
    <row r="14" spans="1:15" ht="22.5" customHeight="1">
      <c r="A14" s="79">
        <v>1</v>
      </c>
      <c r="B14" s="79" t="s">
        <v>2</v>
      </c>
      <c r="C14" s="79">
        <v>2</v>
      </c>
      <c r="D14" s="79" t="s">
        <v>3</v>
      </c>
      <c r="E14" s="79">
        <v>3</v>
      </c>
      <c r="F14" s="79" t="s">
        <v>33</v>
      </c>
      <c r="G14" s="79">
        <v>7</v>
      </c>
      <c r="H14" s="79" t="s">
        <v>50</v>
      </c>
      <c r="I14" s="79">
        <v>12</v>
      </c>
      <c r="J14" s="79" t="s">
        <v>51</v>
      </c>
      <c r="K14" s="79">
        <v>31</v>
      </c>
      <c r="L14" s="79" t="s">
        <v>53</v>
      </c>
      <c r="M14" s="79">
        <v>31</v>
      </c>
      <c r="N14" s="79" t="s">
        <v>53</v>
      </c>
      <c r="O14" s="79">
        <v>6</v>
      </c>
    </row>
    <row r="15" spans="1:15" ht="22.5" customHeight="1">
      <c r="A15" s="79">
        <v>1</v>
      </c>
      <c r="B15" s="79" t="s">
        <v>2</v>
      </c>
      <c r="C15" s="79">
        <v>2</v>
      </c>
      <c r="D15" s="79" t="s">
        <v>3</v>
      </c>
      <c r="E15" s="79">
        <v>3</v>
      </c>
      <c r="F15" s="79" t="s">
        <v>33</v>
      </c>
      <c r="G15" s="79">
        <v>7</v>
      </c>
      <c r="H15" s="79" t="s">
        <v>50</v>
      </c>
      <c r="I15" s="79">
        <v>12</v>
      </c>
      <c r="J15" s="79" t="s">
        <v>51</v>
      </c>
      <c r="K15" s="79">
        <v>32</v>
      </c>
      <c r="L15" s="79" t="s">
        <v>54</v>
      </c>
      <c r="M15" s="79">
        <v>32</v>
      </c>
      <c r="N15" s="79" t="s">
        <v>54</v>
      </c>
      <c r="O15" s="79">
        <v>6</v>
      </c>
    </row>
    <row r="16" spans="1:15" ht="22.5" customHeight="1">
      <c r="A16" s="79">
        <v>1</v>
      </c>
      <c r="B16" s="79" t="s">
        <v>2</v>
      </c>
      <c r="C16" s="79">
        <v>2</v>
      </c>
      <c r="D16" s="79" t="s">
        <v>3</v>
      </c>
      <c r="E16" s="79">
        <v>3</v>
      </c>
      <c r="F16" s="79" t="s">
        <v>33</v>
      </c>
      <c r="G16" s="79">
        <v>7</v>
      </c>
      <c r="H16" s="79" t="s">
        <v>50</v>
      </c>
      <c r="I16" s="79">
        <v>12</v>
      </c>
      <c r="J16" s="79" t="s">
        <v>51</v>
      </c>
      <c r="K16" s="79">
        <v>33</v>
      </c>
      <c r="L16" s="79" t="s">
        <v>55</v>
      </c>
      <c r="M16" s="79">
        <v>33</v>
      </c>
      <c r="N16" s="79" t="s">
        <v>55</v>
      </c>
      <c r="O16" s="79">
        <v>6</v>
      </c>
    </row>
    <row r="17" spans="1:15" ht="22.5" customHeight="1">
      <c r="A17" s="79">
        <v>1</v>
      </c>
      <c r="B17" s="79" t="s">
        <v>2</v>
      </c>
      <c r="C17" s="79">
        <v>2</v>
      </c>
      <c r="D17" s="79" t="s">
        <v>3</v>
      </c>
      <c r="E17" s="79">
        <v>3</v>
      </c>
      <c r="F17" s="79" t="s">
        <v>33</v>
      </c>
      <c r="G17" s="79">
        <v>7</v>
      </c>
      <c r="H17" s="79" t="s">
        <v>50</v>
      </c>
      <c r="I17" s="79">
        <v>13</v>
      </c>
      <c r="J17" s="79" t="s">
        <v>56</v>
      </c>
      <c r="K17" s="79">
        <v>34</v>
      </c>
      <c r="L17" s="79" t="s">
        <v>57</v>
      </c>
      <c r="M17" s="79">
        <v>34</v>
      </c>
      <c r="N17" s="79" t="s">
        <v>57</v>
      </c>
      <c r="O17" s="79">
        <v>6</v>
      </c>
    </row>
    <row r="18" spans="1:15" ht="22.5" customHeight="1">
      <c r="A18" s="79">
        <v>1</v>
      </c>
      <c r="B18" s="79" t="s">
        <v>2</v>
      </c>
      <c r="C18" s="79">
        <v>2</v>
      </c>
      <c r="D18" s="79" t="s">
        <v>3</v>
      </c>
      <c r="E18" s="79">
        <v>3</v>
      </c>
      <c r="F18" s="79" t="s">
        <v>33</v>
      </c>
      <c r="G18" s="79">
        <v>7</v>
      </c>
      <c r="H18" s="79" t="s">
        <v>50</v>
      </c>
      <c r="I18" s="79">
        <v>13</v>
      </c>
      <c r="J18" s="79" t="s">
        <v>56</v>
      </c>
      <c r="K18" s="79">
        <v>35</v>
      </c>
      <c r="L18" s="79" t="s">
        <v>58</v>
      </c>
      <c r="M18" s="79">
        <v>35</v>
      </c>
      <c r="N18" s="79" t="s">
        <v>58</v>
      </c>
      <c r="O18" s="79">
        <v>6</v>
      </c>
    </row>
    <row r="19" spans="1:15" ht="22.5" customHeight="1">
      <c r="A19" s="79">
        <v>1</v>
      </c>
      <c r="B19" s="79" t="s">
        <v>2</v>
      </c>
      <c r="C19" s="79">
        <v>2</v>
      </c>
      <c r="D19" s="79" t="s">
        <v>3</v>
      </c>
      <c r="E19" s="79">
        <v>3</v>
      </c>
      <c r="F19" s="79" t="s">
        <v>33</v>
      </c>
      <c r="G19" s="79">
        <v>7</v>
      </c>
      <c r="H19" s="79" t="s">
        <v>50</v>
      </c>
      <c r="I19" s="79">
        <v>13</v>
      </c>
      <c r="J19" s="79" t="s">
        <v>56</v>
      </c>
      <c r="K19" s="79">
        <v>36</v>
      </c>
      <c r="L19" s="79" t="s">
        <v>59</v>
      </c>
      <c r="M19" s="79">
        <v>36</v>
      </c>
      <c r="N19" s="79" t="s">
        <v>59</v>
      </c>
      <c r="O19" s="79">
        <v>6</v>
      </c>
    </row>
    <row r="20" spans="1:15" ht="22.5" customHeight="1">
      <c r="A20" s="79">
        <v>1</v>
      </c>
      <c r="B20" s="79" t="s">
        <v>2</v>
      </c>
      <c r="C20" s="79">
        <v>2</v>
      </c>
      <c r="D20" s="79" t="s">
        <v>3</v>
      </c>
      <c r="E20" s="79">
        <v>3</v>
      </c>
      <c r="F20" s="79" t="s">
        <v>33</v>
      </c>
      <c r="G20" s="79">
        <v>7</v>
      </c>
      <c r="H20" s="79" t="s">
        <v>50</v>
      </c>
      <c r="I20" s="79">
        <v>13</v>
      </c>
      <c r="J20" s="79" t="s">
        <v>56</v>
      </c>
      <c r="K20" s="79">
        <v>37</v>
      </c>
      <c r="L20" s="79" t="s">
        <v>60</v>
      </c>
      <c r="M20" s="79">
        <v>37</v>
      </c>
      <c r="N20" s="79" t="s">
        <v>60</v>
      </c>
      <c r="O20" s="79">
        <v>6</v>
      </c>
    </row>
    <row r="21" spans="1:15" ht="22.5" customHeight="1">
      <c r="A21" s="79">
        <v>1</v>
      </c>
      <c r="B21" s="79" t="s">
        <v>2</v>
      </c>
      <c r="C21" s="79">
        <v>2</v>
      </c>
      <c r="D21" s="79" t="s">
        <v>3</v>
      </c>
      <c r="E21" s="79">
        <v>3</v>
      </c>
      <c r="F21" s="79" t="s">
        <v>33</v>
      </c>
      <c r="G21" s="79">
        <v>7</v>
      </c>
      <c r="H21" s="79" t="s">
        <v>50</v>
      </c>
      <c r="I21" s="79">
        <v>14</v>
      </c>
      <c r="J21" s="79" t="s">
        <v>61</v>
      </c>
      <c r="K21" s="79">
        <v>38</v>
      </c>
      <c r="L21" s="79" t="s">
        <v>62</v>
      </c>
      <c r="M21" s="79">
        <v>38</v>
      </c>
      <c r="N21" s="79" t="s">
        <v>62</v>
      </c>
      <c r="O21" s="79">
        <v>6</v>
      </c>
    </row>
    <row r="22" spans="1:15" ht="22.5" customHeight="1">
      <c r="A22" s="79">
        <v>1</v>
      </c>
      <c r="B22" s="79" t="s">
        <v>2</v>
      </c>
      <c r="C22" s="79">
        <v>2</v>
      </c>
      <c r="D22" s="79" t="s">
        <v>3</v>
      </c>
      <c r="E22" s="79">
        <v>3</v>
      </c>
      <c r="F22" s="79" t="s">
        <v>33</v>
      </c>
      <c r="G22" s="79">
        <v>7</v>
      </c>
      <c r="H22" s="79" t="s">
        <v>50</v>
      </c>
      <c r="I22" s="79">
        <v>14</v>
      </c>
      <c r="J22" s="79" t="s">
        <v>61</v>
      </c>
      <c r="K22" s="79">
        <v>39</v>
      </c>
      <c r="L22" s="79" t="s">
        <v>63</v>
      </c>
      <c r="M22" s="79">
        <v>39</v>
      </c>
      <c r="N22" s="79" t="s">
        <v>63</v>
      </c>
      <c r="O22" s="79">
        <v>6</v>
      </c>
    </row>
    <row r="23" spans="1:15" ht="22.5" customHeight="1">
      <c r="A23" s="79">
        <v>1</v>
      </c>
      <c r="B23" s="79" t="s">
        <v>2</v>
      </c>
      <c r="C23" s="79">
        <v>2</v>
      </c>
      <c r="D23" s="79" t="s">
        <v>3</v>
      </c>
      <c r="E23" s="79">
        <v>3</v>
      </c>
      <c r="F23" s="79" t="s">
        <v>33</v>
      </c>
      <c r="G23" s="79">
        <v>7</v>
      </c>
      <c r="H23" s="79" t="s">
        <v>50</v>
      </c>
      <c r="I23" s="79">
        <v>14</v>
      </c>
      <c r="J23" s="79" t="s">
        <v>61</v>
      </c>
      <c r="K23" s="79">
        <v>40</v>
      </c>
      <c r="L23" s="79" t="s">
        <v>64</v>
      </c>
      <c r="M23" s="79">
        <v>40</v>
      </c>
      <c r="N23" s="79" t="s">
        <v>64</v>
      </c>
      <c r="O23" s="79">
        <v>6</v>
      </c>
    </row>
    <row r="24" spans="1:15" ht="22.5" customHeight="1">
      <c r="A24" s="79">
        <v>1</v>
      </c>
      <c r="B24" s="79" t="s">
        <v>2</v>
      </c>
      <c r="C24" s="79">
        <v>2</v>
      </c>
      <c r="D24" s="79" t="s">
        <v>3</v>
      </c>
      <c r="E24" s="79">
        <v>3</v>
      </c>
      <c r="F24" s="79" t="s">
        <v>33</v>
      </c>
      <c r="G24" s="79">
        <v>7</v>
      </c>
      <c r="H24" s="79" t="s">
        <v>50</v>
      </c>
      <c r="I24" s="79">
        <v>15</v>
      </c>
      <c r="J24" s="79" t="s">
        <v>65</v>
      </c>
      <c r="K24" s="79">
        <v>41</v>
      </c>
      <c r="L24" s="79" t="s">
        <v>66</v>
      </c>
      <c r="M24" s="79">
        <v>41</v>
      </c>
      <c r="N24" s="79" t="s">
        <v>66</v>
      </c>
      <c r="O24" s="79">
        <v>6</v>
      </c>
    </row>
    <row r="25" spans="1:15" ht="22.5" customHeight="1">
      <c r="A25" s="79">
        <v>1</v>
      </c>
      <c r="B25" s="79" t="s">
        <v>2</v>
      </c>
      <c r="C25" s="79">
        <v>2</v>
      </c>
      <c r="D25" s="79" t="s">
        <v>3</v>
      </c>
      <c r="E25" s="79">
        <v>3</v>
      </c>
      <c r="F25" s="79" t="s">
        <v>33</v>
      </c>
      <c r="G25" s="79">
        <v>7</v>
      </c>
      <c r="H25" s="79" t="s">
        <v>50</v>
      </c>
      <c r="I25" s="79">
        <v>15</v>
      </c>
      <c r="J25" s="79" t="s">
        <v>65</v>
      </c>
      <c r="K25" s="79">
        <v>42</v>
      </c>
      <c r="L25" s="79" t="s">
        <v>67</v>
      </c>
      <c r="M25" s="79">
        <v>42</v>
      </c>
      <c r="N25" s="79" t="s">
        <v>67</v>
      </c>
      <c r="O25" s="79">
        <v>6</v>
      </c>
    </row>
    <row r="26" spans="1:15" ht="22.5" customHeight="1">
      <c r="A26" s="79">
        <v>1</v>
      </c>
      <c r="B26" s="79" t="s">
        <v>2</v>
      </c>
      <c r="C26" s="79">
        <v>2</v>
      </c>
      <c r="D26" s="79" t="s">
        <v>3</v>
      </c>
      <c r="E26" s="79">
        <v>3</v>
      </c>
      <c r="F26" s="79" t="s">
        <v>33</v>
      </c>
      <c r="G26" s="79">
        <v>7</v>
      </c>
      <c r="H26" s="79" t="s">
        <v>50</v>
      </c>
      <c r="I26" s="79">
        <v>16</v>
      </c>
      <c r="J26" s="79" t="s">
        <v>68</v>
      </c>
      <c r="K26" s="79">
        <v>43</v>
      </c>
      <c r="L26" s="79" t="s">
        <v>69</v>
      </c>
      <c r="M26" s="79">
        <v>43</v>
      </c>
      <c r="N26" s="79" t="s">
        <v>69</v>
      </c>
      <c r="O26" s="79">
        <v>6</v>
      </c>
    </row>
    <row r="27" spans="1:15" ht="22.5" customHeight="1">
      <c r="A27" s="79">
        <v>1</v>
      </c>
      <c r="B27" s="79" t="s">
        <v>2</v>
      </c>
      <c r="C27" s="79">
        <v>2</v>
      </c>
      <c r="D27" s="79" t="s">
        <v>3</v>
      </c>
      <c r="E27" s="79">
        <v>3</v>
      </c>
      <c r="F27" s="79" t="s">
        <v>33</v>
      </c>
      <c r="G27" s="79">
        <v>7</v>
      </c>
      <c r="H27" s="79" t="s">
        <v>50</v>
      </c>
      <c r="I27" s="79">
        <v>16</v>
      </c>
      <c r="J27" s="79" t="s">
        <v>68</v>
      </c>
      <c r="K27" s="79">
        <v>44</v>
      </c>
      <c r="L27" s="79" t="s">
        <v>70</v>
      </c>
      <c r="M27" s="79">
        <v>44</v>
      </c>
      <c r="N27" s="79" t="s">
        <v>70</v>
      </c>
      <c r="O27" s="79">
        <v>6</v>
      </c>
    </row>
    <row r="28" spans="1:15" ht="22.5" customHeight="1">
      <c r="A28" s="79">
        <v>1</v>
      </c>
      <c r="B28" s="79" t="s">
        <v>2</v>
      </c>
      <c r="C28" s="79">
        <v>2</v>
      </c>
      <c r="D28" s="79" t="s">
        <v>3</v>
      </c>
      <c r="E28" s="79">
        <v>4</v>
      </c>
      <c r="F28" s="79" t="s">
        <v>71</v>
      </c>
      <c r="G28" s="79">
        <v>17</v>
      </c>
      <c r="H28" s="79" t="s">
        <v>72</v>
      </c>
      <c r="I28" s="79">
        <v>45</v>
      </c>
      <c r="J28" s="79" t="s">
        <v>73</v>
      </c>
      <c r="M28" s="79">
        <v>45</v>
      </c>
      <c r="N28" s="79" t="s">
        <v>73</v>
      </c>
      <c r="O28" s="79">
        <v>5</v>
      </c>
    </row>
    <row r="29" spans="1:15" ht="22.5" customHeight="1">
      <c r="A29" s="79">
        <v>1</v>
      </c>
      <c r="B29" s="79" t="s">
        <v>2</v>
      </c>
      <c r="C29" s="79">
        <v>2</v>
      </c>
      <c r="D29" s="79" t="s">
        <v>3</v>
      </c>
      <c r="E29" s="79">
        <v>4</v>
      </c>
      <c r="F29" s="79" t="s">
        <v>71</v>
      </c>
      <c r="G29" s="79">
        <v>18</v>
      </c>
      <c r="H29" s="79" t="s">
        <v>74</v>
      </c>
      <c r="I29" s="79">
        <v>46</v>
      </c>
      <c r="J29" s="79" t="s">
        <v>75</v>
      </c>
      <c r="M29" s="79">
        <v>46</v>
      </c>
      <c r="N29" s="79" t="s">
        <v>75</v>
      </c>
      <c r="O29" s="79">
        <v>5</v>
      </c>
    </row>
    <row r="30" spans="1:15" ht="22.5" customHeight="1">
      <c r="A30" s="79">
        <v>1</v>
      </c>
      <c r="B30" s="79" t="s">
        <v>2</v>
      </c>
      <c r="C30" s="79">
        <v>2</v>
      </c>
      <c r="D30" s="79" t="s">
        <v>3</v>
      </c>
      <c r="E30" s="79">
        <v>4</v>
      </c>
      <c r="F30" s="79" t="s">
        <v>71</v>
      </c>
      <c r="G30" s="79">
        <v>18</v>
      </c>
      <c r="H30" s="79" t="s">
        <v>74</v>
      </c>
      <c r="I30" s="79">
        <v>47</v>
      </c>
      <c r="J30" s="79" t="s">
        <v>76</v>
      </c>
      <c r="M30" s="79">
        <v>47</v>
      </c>
      <c r="N30" s="79" t="s">
        <v>77</v>
      </c>
      <c r="O30" s="79">
        <v>5</v>
      </c>
    </row>
    <row r="31" spans="1:15" ht="22.5" customHeight="1">
      <c r="A31" s="79">
        <v>1</v>
      </c>
      <c r="B31" s="79" t="s">
        <v>2</v>
      </c>
      <c r="C31" s="79">
        <v>2</v>
      </c>
      <c r="D31" s="79" t="s">
        <v>3</v>
      </c>
      <c r="E31" s="79">
        <v>4</v>
      </c>
      <c r="F31" s="79" t="s">
        <v>71</v>
      </c>
      <c r="G31" s="79">
        <v>18</v>
      </c>
      <c r="H31" s="79" t="s">
        <v>74</v>
      </c>
      <c r="I31" s="79">
        <v>48</v>
      </c>
      <c r="J31" s="79" t="s">
        <v>78</v>
      </c>
      <c r="M31" s="79">
        <v>48</v>
      </c>
      <c r="N31" s="79" t="s">
        <v>79</v>
      </c>
      <c r="O31" s="79">
        <v>5</v>
      </c>
    </row>
    <row r="32" spans="1:15" ht="22.5" customHeight="1">
      <c r="A32" s="79">
        <v>1</v>
      </c>
      <c r="B32" s="79" t="s">
        <v>2</v>
      </c>
      <c r="C32" s="79">
        <v>2</v>
      </c>
      <c r="D32" s="79" t="s">
        <v>3</v>
      </c>
      <c r="E32" s="79">
        <v>4</v>
      </c>
      <c r="F32" s="79" t="s">
        <v>71</v>
      </c>
      <c r="G32" s="79">
        <v>18</v>
      </c>
      <c r="H32" s="79" t="s">
        <v>74</v>
      </c>
      <c r="I32" s="79">
        <v>49</v>
      </c>
      <c r="J32" s="79" t="s">
        <v>80</v>
      </c>
      <c r="M32" s="79">
        <v>49</v>
      </c>
      <c r="N32" s="79" t="s">
        <v>81</v>
      </c>
      <c r="O32" s="79">
        <v>5</v>
      </c>
    </row>
    <row r="33" spans="1:15" ht="22.5" customHeight="1">
      <c r="A33" s="79">
        <v>1</v>
      </c>
      <c r="B33" s="79" t="s">
        <v>2</v>
      </c>
      <c r="C33" s="79">
        <v>2</v>
      </c>
      <c r="D33" s="79" t="s">
        <v>3</v>
      </c>
      <c r="E33" s="79">
        <v>4</v>
      </c>
      <c r="F33" s="79" t="s">
        <v>71</v>
      </c>
      <c r="G33" s="79">
        <v>18</v>
      </c>
      <c r="H33" s="79" t="s">
        <v>74</v>
      </c>
      <c r="I33" s="79">
        <v>50</v>
      </c>
      <c r="J33" s="79" t="s">
        <v>82</v>
      </c>
      <c r="M33" s="79">
        <v>50</v>
      </c>
      <c r="N33" s="79" t="s">
        <v>82</v>
      </c>
      <c r="O33" s="79">
        <v>5</v>
      </c>
    </row>
    <row r="34" spans="1:15" ht="22.5" customHeight="1">
      <c r="A34" s="79">
        <v>1</v>
      </c>
      <c r="B34" s="79" t="s">
        <v>2</v>
      </c>
      <c r="C34" s="79">
        <v>2</v>
      </c>
      <c r="D34" s="79" t="s">
        <v>3</v>
      </c>
      <c r="E34" s="79">
        <v>4</v>
      </c>
      <c r="F34" s="79" t="s">
        <v>71</v>
      </c>
      <c r="G34" s="79">
        <v>18</v>
      </c>
      <c r="H34" s="79" t="s">
        <v>74</v>
      </c>
      <c r="I34" s="79">
        <v>51</v>
      </c>
      <c r="J34" s="79" t="s">
        <v>83</v>
      </c>
      <c r="M34" s="79">
        <v>51</v>
      </c>
      <c r="N34" s="79" t="s">
        <v>83</v>
      </c>
      <c r="O34" s="79">
        <v>5</v>
      </c>
    </row>
    <row r="35" spans="1:15" ht="22.5" customHeight="1">
      <c r="A35" s="79">
        <v>1</v>
      </c>
      <c r="B35" s="79" t="s">
        <v>2</v>
      </c>
      <c r="C35" s="79">
        <v>2</v>
      </c>
      <c r="D35" s="79" t="s">
        <v>3</v>
      </c>
      <c r="E35" s="79">
        <v>4</v>
      </c>
      <c r="F35" s="79" t="s">
        <v>71</v>
      </c>
      <c r="G35" s="79">
        <v>18</v>
      </c>
      <c r="H35" s="79" t="s">
        <v>74</v>
      </c>
      <c r="I35" s="79">
        <v>52</v>
      </c>
      <c r="J35" s="79" t="s">
        <v>84</v>
      </c>
      <c r="M35" s="79">
        <v>52</v>
      </c>
      <c r="N35" s="79" t="s">
        <v>84</v>
      </c>
      <c r="O35" s="79">
        <v>5</v>
      </c>
    </row>
    <row r="36" spans="1:15" ht="22.5" customHeight="1">
      <c r="A36" s="79">
        <v>1</v>
      </c>
      <c r="B36" s="79" t="s">
        <v>2</v>
      </c>
      <c r="C36" s="79">
        <v>2</v>
      </c>
      <c r="D36" s="79" t="s">
        <v>3</v>
      </c>
      <c r="E36" s="79">
        <v>5</v>
      </c>
      <c r="F36" s="79" t="s">
        <v>85</v>
      </c>
      <c r="M36" s="79">
        <v>5</v>
      </c>
      <c r="N36" s="79" t="s">
        <v>86</v>
      </c>
      <c r="O36" s="79">
        <v>3</v>
      </c>
    </row>
    <row r="37" spans="1:15" ht="22.5" customHeight="1">
      <c r="A37" s="79">
        <v>5000</v>
      </c>
      <c r="B37" s="79" t="s">
        <v>4</v>
      </c>
      <c r="C37" s="79">
        <v>5001</v>
      </c>
      <c r="D37" s="79" t="s">
        <v>5</v>
      </c>
      <c r="E37" s="79">
        <v>5002</v>
      </c>
      <c r="F37" s="79" t="s">
        <v>33</v>
      </c>
      <c r="G37" s="79">
        <v>5005</v>
      </c>
      <c r="H37" s="79" t="s">
        <v>34</v>
      </c>
      <c r="I37" s="79">
        <v>5007</v>
      </c>
      <c r="J37" s="79" t="s">
        <v>87</v>
      </c>
      <c r="K37" s="79">
        <v>5016</v>
      </c>
      <c r="L37" s="79" t="s">
        <v>88</v>
      </c>
      <c r="M37" s="79">
        <v>5016</v>
      </c>
      <c r="N37" s="79" t="s">
        <v>88</v>
      </c>
      <c r="O37" s="79">
        <v>6</v>
      </c>
    </row>
    <row r="38" spans="1:15" ht="22.5" customHeight="1">
      <c r="A38" s="79">
        <v>5000</v>
      </c>
      <c r="B38" s="79" t="s">
        <v>4</v>
      </c>
      <c r="C38" s="79">
        <v>5001</v>
      </c>
      <c r="D38" s="79" t="s">
        <v>5</v>
      </c>
      <c r="E38" s="79">
        <v>5002</v>
      </c>
      <c r="F38" s="79" t="s">
        <v>33</v>
      </c>
      <c r="G38" s="79">
        <v>5005</v>
      </c>
      <c r="H38" s="79" t="s">
        <v>34</v>
      </c>
      <c r="I38" s="79">
        <v>5007</v>
      </c>
      <c r="J38" s="79" t="s">
        <v>87</v>
      </c>
      <c r="K38" s="79">
        <v>5017</v>
      </c>
      <c r="L38" s="79" t="s">
        <v>89</v>
      </c>
      <c r="M38" s="79">
        <v>5017</v>
      </c>
      <c r="N38" s="79" t="s">
        <v>89</v>
      </c>
      <c r="O38" s="79">
        <v>6</v>
      </c>
    </row>
    <row r="39" spans="1:15" ht="22.5" customHeight="1">
      <c r="A39" s="79">
        <v>5000</v>
      </c>
      <c r="B39" s="79" t="s">
        <v>4</v>
      </c>
      <c r="C39" s="79">
        <v>5001</v>
      </c>
      <c r="D39" s="79" t="s">
        <v>5</v>
      </c>
      <c r="E39" s="79">
        <v>5002</v>
      </c>
      <c r="F39" s="79" t="s">
        <v>33</v>
      </c>
      <c r="G39" s="79">
        <v>5005</v>
      </c>
      <c r="H39" s="79" t="s">
        <v>34</v>
      </c>
      <c r="I39" s="79">
        <v>5007</v>
      </c>
      <c r="J39" s="79" t="s">
        <v>87</v>
      </c>
      <c r="K39" s="79">
        <v>5018</v>
      </c>
      <c r="L39" s="79" t="s">
        <v>90</v>
      </c>
      <c r="M39" s="79">
        <v>5018</v>
      </c>
      <c r="N39" s="79" t="s">
        <v>90</v>
      </c>
      <c r="O39" s="79">
        <v>6</v>
      </c>
    </row>
    <row r="40" spans="1:15" ht="22.5" customHeight="1">
      <c r="A40" s="79">
        <v>5000</v>
      </c>
      <c r="B40" s="79" t="s">
        <v>4</v>
      </c>
      <c r="C40" s="79">
        <v>5001</v>
      </c>
      <c r="D40" s="79" t="s">
        <v>5</v>
      </c>
      <c r="E40" s="79">
        <v>5002</v>
      </c>
      <c r="F40" s="79" t="s">
        <v>33</v>
      </c>
      <c r="G40" s="79">
        <v>5005</v>
      </c>
      <c r="H40" s="79" t="s">
        <v>34</v>
      </c>
      <c r="I40" s="79">
        <v>5007</v>
      </c>
      <c r="J40" s="79" t="s">
        <v>87</v>
      </c>
      <c r="K40" s="79">
        <v>5019</v>
      </c>
      <c r="L40" s="79" t="s">
        <v>91</v>
      </c>
      <c r="M40" s="79">
        <v>5019</v>
      </c>
      <c r="N40" s="79" t="s">
        <v>92</v>
      </c>
      <c r="O40" s="79">
        <v>6</v>
      </c>
    </row>
    <row r="41" spans="1:15" ht="22.5" customHeight="1">
      <c r="A41" s="79">
        <v>5000</v>
      </c>
      <c r="B41" s="79" t="s">
        <v>4</v>
      </c>
      <c r="C41" s="79">
        <v>5001</v>
      </c>
      <c r="D41" s="79" t="s">
        <v>5</v>
      </c>
      <c r="E41" s="79">
        <v>5002</v>
      </c>
      <c r="F41" s="79" t="s">
        <v>33</v>
      </c>
      <c r="G41" s="79">
        <v>5005</v>
      </c>
      <c r="H41" s="79" t="s">
        <v>34</v>
      </c>
      <c r="I41" s="79">
        <v>5007</v>
      </c>
      <c r="J41" s="79" t="s">
        <v>87</v>
      </c>
      <c r="K41" s="79">
        <v>5020</v>
      </c>
      <c r="L41" s="79" t="s">
        <v>93</v>
      </c>
      <c r="M41" s="79">
        <v>5020</v>
      </c>
      <c r="N41" s="79" t="s">
        <v>93</v>
      </c>
      <c r="O41" s="79">
        <v>6</v>
      </c>
    </row>
    <row r="42" spans="1:15" ht="22.5" customHeight="1">
      <c r="A42" s="79">
        <v>5000</v>
      </c>
      <c r="B42" s="79" t="s">
        <v>4</v>
      </c>
      <c r="C42" s="79">
        <v>5001</v>
      </c>
      <c r="D42" s="79" t="s">
        <v>5</v>
      </c>
      <c r="E42" s="79">
        <v>5002</v>
      </c>
      <c r="F42" s="79" t="s">
        <v>33</v>
      </c>
      <c r="G42" s="79">
        <v>5005</v>
      </c>
      <c r="H42" s="79" t="s">
        <v>34</v>
      </c>
      <c r="I42" s="79">
        <v>5008</v>
      </c>
      <c r="J42" s="79" t="s">
        <v>94</v>
      </c>
      <c r="K42" s="79">
        <v>5021</v>
      </c>
      <c r="L42" s="79" t="s">
        <v>95</v>
      </c>
      <c r="M42" s="79">
        <v>5021</v>
      </c>
      <c r="N42" s="79" t="s">
        <v>96</v>
      </c>
      <c r="O42" s="79">
        <v>6</v>
      </c>
    </row>
    <row r="43" spans="1:15" ht="22.5" customHeight="1">
      <c r="A43" s="79">
        <v>5000</v>
      </c>
      <c r="B43" s="79" t="s">
        <v>4</v>
      </c>
      <c r="C43" s="79">
        <v>5001</v>
      </c>
      <c r="D43" s="79" t="s">
        <v>5</v>
      </c>
      <c r="E43" s="79">
        <v>5002</v>
      </c>
      <c r="F43" s="79" t="s">
        <v>33</v>
      </c>
      <c r="G43" s="79">
        <v>5005</v>
      </c>
      <c r="H43" s="79" t="s">
        <v>34</v>
      </c>
      <c r="I43" s="79">
        <v>5008</v>
      </c>
      <c r="J43" s="79" t="s">
        <v>94</v>
      </c>
      <c r="K43" s="79">
        <v>5022</v>
      </c>
      <c r="L43" s="79" t="s">
        <v>97</v>
      </c>
      <c r="M43" s="79">
        <v>5022</v>
      </c>
      <c r="N43" s="79" t="s">
        <v>97</v>
      </c>
      <c r="O43" s="79">
        <v>6</v>
      </c>
    </row>
    <row r="44" spans="1:15" ht="22.5" customHeight="1">
      <c r="A44" s="79">
        <v>5000</v>
      </c>
      <c r="B44" s="79" t="s">
        <v>4</v>
      </c>
      <c r="C44" s="79">
        <v>5001</v>
      </c>
      <c r="D44" s="79" t="s">
        <v>5</v>
      </c>
      <c r="E44" s="79">
        <v>5002</v>
      </c>
      <c r="F44" s="79" t="s">
        <v>33</v>
      </c>
      <c r="G44" s="79">
        <v>5005</v>
      </c>
      <c r="H44" s="79" t="s">
        <v>34</v>
      </c>
      <c r="I44" s="79">
        <v>5008</v>
      </c>
      <c r="J44" s="79" t="s">
        <v>94</v>
      </c>
      <c r="K44" s="79">
        <v>5023</v>
      </c>
      <c r="L44" s="79" t="s">
        <v>98</v>
      </c>
      <c r="M44" s="79">
        <v>5023</v>
      </c>
      <c r="N44" s="79" t="s">
        <v>98</v>
      </c>
      <c r="O44" s="79">
        <v>6</v>
      </c>
    </row>
    <row r="45" spans="1:15" ht="22.5" customHeight="1">
      <c r="A45" s="79">
        <v>5000</v>
      </c>
      <c r="B45" s="79" t="s">
        <v>4</v>
      </c>
      <c r="C45" s="79">
        <v>5001</v>
      </c>
      <c r="D45" s="79" t="s">
        <v>5</v>
      </c>
      <c r="E45" s="79">
        <v>5002</v>
      </c>
      <c r="F45" s="79" t="s">
        <v>33</v>
      </c>
      <c r="G45" s="79">
        <v>5005</v>
      </c>
      <c r="H45" s="79" t="s">
        <v>34</v>
      </c>
      <c r="I45" s="79">
        <v>5008</v>
      </c>
      <c r="J45" s="79" t="s">
        <v>94</v>
      </c>
      <c r="K45" s="79">
        <v>5024</v>
      </c>
      <c r="L45" s="79" t="s">
        <v>99</v>
      </c>
      <c r="M45" s="79">
        <v>5024</v>
      </c>
      <c r="N45" s="79" t="s">
        <v>99</v>
      </c>
      <c r="O45" s="79">
        <v>6</v>
      </c>
    </row>
    <row r="46" spans="1:15" ht="22.5" customHeight="1">
      <c r="A46" s="79">
        <v>5000</v>
      </c>
      <c r="B46" s="79" t="s">
        <v>4</v>
      </c>
      <c r="C46" s="79">
        <v>5001</v>
      </c>
      <c r="D46" s="79" t="s">
        <v>5</v>
      </c>
      <c r="E46" s="79">
        <v>5002</v>
      </c>
      <c r="F46" s="79" t="s">
        <v>33</v>
      </c>
      <c r="G46" s="79">
        <v>5005</v>
      </c>
      <c r="H46" s="79" t="s">
        <v>34</v>
      </c>
      <c r="I46" s="79">
        <v>5008</v>
      </c>
      <c r="J46" s="79" t="s">
        <v>94</v>
      </c>
      <c r="K46" s="79">
        <v>5025</v>
      </c>
      <c r="L46" s="79" t="s">
        <v>100</v>
      </c>
      <c r="M46" s="79">
        <v>5025</v>
      </c>
      <c r="N46" s="79" t="s">
        <v>101</v>
      </c>
      <c r="O46" s="79">
        <v>6</v>
      </c>
    </row>
    <row r="47" spans="1:15" ht="22.5" customHeight="1">
      <c r="A47" s="79">
        <v>5000</v>
      </c>
      <c r="B47" s="79" t="s">
        <v>4</v>
      </c>
      <c r="C47" s="79">
        <v>5001</v>
      </c>
      <c r="D47" s="79" t="s">
        <v>5</v>
      </c>
      <c r="E47" s="79">
        <v>5002</v>
      </c>
      <c r="F47" s="79" t="s">
        <v>33</v>
      </c>
      <c r="G47" s="79">
        <v>5006</v>
      </c>
      <c r="H47" s="79" t="s">
        <v>50</v>
      </c>
      <c r="I47" s="79">
        <v>5009</v>
      </c>
      <c r="J47" s="79" t="s">
        <v>102</v>
      </c>
      <c r="K47" s="79">
        <v>5026</v>
      </c>
      <c r="L47" s="79" t="s">
        <v>103</v>
      </c>
      <c r="M47" s="79">
        <v>5026</v>
      </c>
      <c r="N47" s="79" t="s">
        <v>103</v>
      </c>
      <c r="O47" s="79">
        <v>6</v>
      </c>
    </row>
    <row r="48" spans="1:15" ht="22.5" customHeight="1">
      <c r="A48" s="79">
        <v>5000</v>
      </c>
      <c r="B48" s="79" t="s">
        <v>4</v>
      </c>
      <c r="C48" s="79">
        <v>5001</v>
      </c>
      <c r="D48" s="79" t="s">
        <v>5</v>
      </c>
      <c r="E48" s="79">
        <v>5002</v>
      </c>
      <c r="F48" s="79" t="s">
        <v>33</v>
      </c>
      <c r="G48" s="79">
        <v>5006</v>
      </c>
      <c r="H48" s="79" t="s">
        <v>50</v>
      </c>
      <c r="I48" s="79">
        <v>5009</v>
      </c>
      <c r="J48" s="79" t="s">
        <v>102</v>
      </c>
      <c r="K48" s="79">
        <v>5027</v>
      </c>
      <c r="L48" s="79" t="s">
        <v>104</v>
      </c>
      <c r="M48" s="79">
        <v>5027</v>
      </c>
      <c r="N48" s="79" t="s">
        <v>104</v>
      </c>
      <c r="O48" s="79">
        <v>6</v>
      </c>
    </row>
    <row r="49" spans="1:15" ht="22.5" customHeight="1">
      <c r="A49" s="79">
        <v>5000</v>
      </c>
      <c r="B49" s="79" t="s">
        <v>4</v>
      </c>
      <c r="C49" s="79">
        <v>5001</v>
      </c>
      <c r="D49" s="79" t="s">
        <v>5</v>
      </c>
      <c r="E49" s="79">
        <v>5002</v>
      </c>
      <c r="F49" s="79" t="s">
        <v>33</v>
      </c>
      <c r="G49" s="79">
        <v>5006</v>
      </c>
      <c r="H49" s="79" t="s">
        <v>50</v>
      </c>
      <c r="I49" s="79">
        <v>5009</v>
      </c>
      <c r="J49" s="79" t="s">
        <v>102</v>
      </c>
      <c r="K49" s="79">
        <v>5028</v>
      </c>
      <c r="L49" s="79" t="s">
        <v>105</v>
      </c>
      <c r="M49" s="79">
        <v>5028</v>
      </c>
      <c r="N49" s="79" t="s">
        <v>105</v>
      </c>
      <c r="O49" s="79">
        <v>6</v>
      </c>
    </row>
    <row r="50" spans="1:15" ht="22.5" customHeight="1">
      <c r="A50" s="79">
        <v>5000</v>
      </c>
      <c r="B50" s="79" t="s">
        <v>4</v>
      </c>
      <c r="C50" s="79">
        <v>5001</v>
      </c>
      <c r="D50" s="79" t="s">
        <v>5</v>
      </c>
      <c r="E50" s="79">
        <v>5002</v>
      </c>
      <c r="F50" s="79" t="s">
        <v>33</v>
      </c>
      <c r="G50" s="79">
        <v>5006</v>
      </c>
      <c r="H50" s="79" t="s">
        <v>50</v>
      </c>
      <c r="I50" s="79">
        <v>5009</v>
      </c>
      <c r="J50" s="79" t="s">
        <v>102</v>
      </c>
      <c r="K50" s="79">
        <v>5029</v>
      </c>
      <c r="L50" s="79" t="s">
        <v>106</v>
      </c>
      <c r="M50" s="79">
        <v>5029</v>
      </c>
      <c r="N50" s="79" t="s">
        <v>107</v>
      </c>
      <c r="O50" s="79">
        <v>6</v>
      </c>
    </row>
    <row r="51" spans="1:15" ht="22.5" customHeight="1">
      <c r="A51" s="79">
        <v>5000</v>
      </c>
      <c r="B51" s="79" t="s">
        <v>4</v>
      </c>
      <c r="C51" s="79">
        <v>5001</v>
      </c>
      <c r="D51" s="79" t="s">
        <v>5</v>
      </c>
      <c r="E51" s="79">
        <v>5002</v>
      </c>
      <c r="F51" s="79" t="s">
        <v>33</v>
      </c>
      <c r="G51" s="79">
        <v>5006</v>
      </c>
      <c r="H51" s="79" t="s">
        <v>50</v>
      </c>
      <c r="I51" s="79">
        <v>5009</v>
      </c>
      <c r="J51" s="79" t="s">
        <v>102</v>
      </c>
      <c r="K51" s="79">
        <v>5030</v>
      </c>
      <c r="L51" s="79" t="s">
        <v>108</v>
      </c>
      <c r="M51" s="79">
        <v>5030</v>
      </c>
      <c r="N51" s="79" t="s">
        <v>109</v>
      </c>
      <c r="O51" s="79">
        <v>6</v>
      </c>
    </row>
    <row r="52" spans="1:15" ht="22.5" customHeight="1">
      <c r="A52" s="79">
        <v>5000</v>
      </c>
      <c r="B52" s="79" t="s">
        <v>4</v>
      </c>
      <c r="C52" s="79">
        <v>5001</v>
      </c>
      <c r="D52" s="79" t="s">
        <v>5</v>
      </c>
      <c r="E52" s="79">
        <v>5002</v>
      </c>
      <c r="F52" s="79" t="s">
        <v>33</v>
      </c>
      <c r="G52" s="79">
        <v>5006</v>
      </c>
      <c r="H52" s="79" t="s">
        <v>50</v>
      </c>
      <c r="I52" s="79">
        <v>5009</v>
      </c>
      <c r="J52" s="79" t="s">
        <v>102</v>
      </c>
      <c r="K52" s="79">
        <v>5031</v>
      </c>
      <c r="L52" s="79" t="s">
        <v>110</v>
      </c>
      <c r="M52" s="79">
        <v>5031</v>
      </c>
      <c r="N52" s="79" t="s">
        <v>110</v>
      </c>
      <c r="O52" s="79">
        <v>6</v>
      </c>
    </row>
    <row r="53" spans="1:15" ht="22.5" customHeight="1">
      <c r="A53" s="79">
        <v>5000</v>
      </c>
      <c r="B53" s="79" t="s">
        <v>4</v>
      </c>
      <c r="C53" s="79">
        <v>5001</v>
      </c>
      <c r="D53" s="79" t="s">
        <v>5</v>
      </c>
      <c r="E53" s="79">
        <v>5002</v>
      </c>
      <c r="F53" s="79" t="s">
        <v>33</v>
      </c>
      <c r="G53" s="79">
        <v>5006</v>
      </c>
      <c r="H53" s="79" t="s">
        <v>50</v>
      </c>
      <c r="I53" s="79">
        <v>5010</v>
      </c>
      <c r="J53" s="79" t="s">
        <v>111</v>
      </c>
      <c r="K53" s="79">
        <v>5032</v>
      </c>
      <c r="L53" s="79" t="s">
        <v>112</v>
      </c>
      <c r="M53" s="79">
        <v>5032</v>
      </c>
      <c r="N53" s="79" t="s">
        <v>113</v>
      </c>
      <c r="O53" s="79">
        <v>6</v>
      </c>
    </row>
    <row r="54" spans="1:15" ht="22.5" customHeight="1">
      <c r="A54" s="79">
        <v>5000</v>
      </c>
      <c r="B54" s="79" t="s">
        <v>4</v>
      </c>
      <c r="C54" s="79">
        <v>5001</v>
      </c>
      <c r="D54" s="79" t="s">
        <v>5</v>
      </c>
      <c r="E54" s="79">
        <v>5002</v>
      </c>
      <c r="F54" s="79" t="s">
        <v>33</v>
      </c>
      <c r="G54" s="79">
        <v>5006</v>
      </c>
      <c r="H54" s="79" t="s">
        <v>50</v>
      </c>
      <c r="I54" s="79">
        <v>5010</v>
      </c>
      <c r="J54" s="79" t="s">
        <v>111</v>
      </c>
      <c r="K54" s="79">
        <v>5033</v>
      </c>
      <c r="L54" s="79" t="s">
        <v>114</v>
      </c>
      <c r="M54" s="79">
        <v>5033</v>
      </c>
      <c r="N54" s="79" t="s">
        <v>114</v>
      </c>
      <c r="O54" s="79">
        <v>6</v>
      </c>
    </row>
    <row r="55" spans="1:15" ht="22.5" customHeight="1">
      <c r="A55" s="79">
        <v>5000</v>
      </c>
      <c r="B55" s="79" t="s">
        <v>4</v>
      </c>
      <c r="C55" s="79">
        <v>5001</v>
      </c>
      <c r="D55" s="79" t="s">
        <v>5</v>
      </c>
      <c r="E55" s="79">
        <v>5002</v>
      </c>
      <c r="F55" s="79" t="s">
        <v>33</v>
      </c>
      <c r="G55" s="79">
        <v>5006</v>
      </c>
      <c r="H55" s="79" t="s">
        <v>50</v>
      </c>
      <c r="I55" s="79">
        <v>5010</v>
      </c>
      <c r="J55" s="79" t="s">
        <v>111</v>
      </c>
      <c r="K55" s="79">
        <v>5034</v>
      </c>
      <c r="L55" s="79" t="s">
        <v>115</v>
      </c>
      <c r="M55" s="79">
        <v>5034</v>
      </c>
      <c r="N55" s="79" t="s">
        <v>115</v>
      </c>
      <c r="O55" s="79">
        <v>6</v>
      </c>
    </row>
    <row r="56" spans="1:15" ht="22.5" customHeight="1">
      <c r="A56" s="79">
        <v>5000</v>
      </c>
      <c r="B56" s="79" t="s">
        <v>4</v>
      </c>
      <c r="C56" s="79">
        <v>5001</v>
      </c>
      <c r="D56" s="79" t="s">
        <v>5</v>
      </c>
      <c r="E56" s="79">
        <v>5002</v>
      </c>
      <c r="F56" s="79" t="s">
        <v>33</v>
      </c>
      <c r="G56" s="79">
        <v>5006</v>
      </c>
      <c r="H56" s="79" t="s">
        <v>50</v>
      </c>
      <c r="I56" s="79">
        <v>5010</v>
      </c>
      <c r="J56" s="79" t="s">
        <v>111</v>
      </c>
      <c r="K56" s="79">
        <v>5035</v>
      </c>
      <c r="L56" s="79" t="s">
        <v>116</v>
      </c>
      <c r="M56" s="79">
        <v>5035</v>
      </c>
      <c r="N56" s="79" t="s">
        <v>116</v>
      </c>
      <c r="O56" s="79">
        <v>6</v>
      </c>
    </row>
    <row r="57" spans="1:15" ht="22.5" customHeight="1">
      <c r="A57" s="79">
        <v>5000</v>
      </c>
      <c r="B57" s="79" t="s">
        <v>4</v>
      </c>
      <c r="C57" s="79">
        <v>5001</v>
      </c>
      <c r="D57" s="79" t="s">
        <v>5</v>
      </c>
      <c r="E57" s="79">
        <v>5002</v>
      </c>
      <c r="F57" s="79" t="s">
        <v>33</v>
      </c>
      <c r="G57" s="79">
        <v>5006</v>
      </c>
      <c r="H57" s="79" t="s">
        <v>50</v>
      </c>
      <c r="I57" s="79">
        <v>5011</v>
      </c>
      <c r="J57" s="79" t="s">
        <v>117</v>
      </c>
      <c r="K57" s="79">
        <v>5036</v>
      </c>
      <c r="L57" s="79" t="s">
        <v>118</v>
      </c>
      <c r="M57" s="79">
        <v>5036</v>
      </c>
      <c r="N57" s="79" t="s">
        <v>118</v>
      </c>
      <c r="O57" s="79">
        <v>6</v>
      </c>
    </row>
    <row r="58" spans="1:15" ht="22.5" customHeight="1">
      <c r="A58" s="79">
        <v>5000</v>
      </c>
      <c r="B58" s="79" t="s">
        <v>4</v>
      </c>
      <c r="C58" s="79">
        <v>5001</v>
      </c>
      <c r="D58" s="79" t="s">
        <v>5</v>
      </c>
      <c r="E58" s="79">
        <v>5002</v>
      </c>
      <c r="F58" s="79" t="s">
        <v>33</v>
      </c>
      <c r="G58" s="79">
        <v>5006</v>
      </c>
      <c r="H58" s="79" t="s">
        <v>50</v>
      </c>
      <c r="I58" s="79">
        <v>5011</v>
      </c>
      <c r="J58" s="79" t="s">
        <v>117</v>
      </c>
      <c r="K58" s="79">
        <v>5037</v>
      </c>
      <c r="L58" s="79" t="s">
        <v>119</v>
      </c>
      <c r="M58" s="79">
        <v>5037</v>
      </c>
      <c r="N58" s="79" t="s">
        <v>119</v>
      </c>
      <c r="O58" s="79">
        <v>6</v>
      </c>
    </row>
    <row r="59" spans="1:15" ht="22.5" customHeight="1">
      <c r="A59" s="79">
        <v>5000</v>
      </c>
      <c r="B59" s="79" t="s">
        <v>4</v>
      </c>
      <c r="C59" s="79">
        <v>5001</v>
      </c>
      <c r="D59" s="79" t="s">
        <v>5</v>
      </c>
      <c r="E59" s="79">
        <v>5002</v>
      </c>
      <c r="F59" s="79" t="s">
        <v>33</v>
      </c>
      <c r="G59" s="79">
        <v>5006</v>
      </c>
      <c r="H59" s="79" t="s">
        <v>50</v>
      </c>
      <c r="I59" s="79">
        <v>5012</v>
      </c>
      <c r="J59" s="79" t="s">
        <v>120</v>
      </c>
      <c r="K59" s="79">
        <v>5038</v>
      </c>
      <c r="L59" s="79" t="s">
        <v>121</v>
      </c>
      <c r="M59" s="79">
        <v>5038</v>
      </c>
      <c r="N59" s="79" t="s">
        <v>122</v>
      </c>
      <c r="O59" s="79">
        <v>6</v>
      </c>
    </row>
    <row r="60" spans="1:15" ht="22.5" customHeight="1">
      <c r="A60" s="79">
        <v>5000</v>
      </c>
      <c r="B60" s="79" t="s">
        <v>4</v>
      </c>
      <c r="C60" s="79">
        <v>5001</v>
      </c>
      <c r="D60" s="79" t="s">
        <v>5</v>
      </c>
      <c r="E60" s="79">
        <v>5002</v>
      </c>
      <c r="F60" s="79" t="s">
        <v>33</v>
      </c>
      <c r="G60" s="79">
        <v>5006</v>
      </c>
      <c r="H60" s="79" t="s">
        <v>50</v>
      </c>
      <c r="I60" s="79">
        <v>5012</v>
      </c>
      <c r="J60" s="79" t="s">
        <v>120</v>
      </c>
      <c r="K60" s="79">
        <v>5039</v>
      </c>
      <c r="L60" s="79" t="s">
        <v>123</v>
      </c>
      <c r="M60" s="79">
        <v>5039</v>
      </c>
      <c r="N60" s="79" t="s">
        <v>123</v>
      </c>
      <c r="O60" s="79">
        <v>6</v>
      </c>
    </row>
    <row r="61" spans="1:15" ht="22.5" customHeight="1">
      <c r="A61" s="79">
        <v>5000</v>
      </c>
      <c r="B61" s="79" t="s">
        <v>4</v>
      </c>
      <c r="C61" s="79">
        <v>5001</v>
      </c>
      <c r="D61" s="79" t="s">
        <v>5</v>
      </c>
      <c r="E61" s="79">
        <v>5002</v>
      </c>
      <c r="F61" s="79" t="s">
        <v>33</v>
      </c>
      <c r="G61" s="79">
        <v>5006</v>
      </c>
      <c r="H61" s="79" t="s">
        <v>50</v>
      </c>
      <c r="I61" s="79">
        <v>5012</v>
      </c>
      <c r="J61" s="79" t="s">
        <v>120</v>
      </c>
      <c r="K61" s="79">
        <v>5040</v>
      </c>
      <c r="L61" s="79" t="s">
        <v>124</v>
      </c>
      <c r="M61" s="79">
        <v>5040</v>
      </c>
      <c r="N61" s="79" t="s">
        <v>124</v>
      </c>
      <c r="O61" s="79">
        <v>6</v>
      </c>
    </row>
    <row r="62" spans="1:15" ht="22.5" customHeight="1">
      <c r="A62" s="79">
        <v>5000</v>
      </c>
      <c r="B62" s="79" t="s">
        <v>4</v>
      </c>
      <c r="C62" s="79">
        <v>5001</v>
      </c>
      <c r="D62" s="79" t="s">
        <v>5</v>
      </c>
      <c r="E62" s="79">
        <v>5003</v>
      </c>
      <c r="F62" s="79" t="s">
        <v>71</v>
      </c>
      <c r="G62" s="79">
        <v>5013</v>
      </c>
      <c r="H62" s="79" t="s">
        <v>125</v>
      </c>
      <c r="I62" s="79">
        <v>5041</v>
      </c>
      <c r="J62" s="79" t="s">
        <v>126</v>
      </c>
      <c r="M62" s="79">
        <v>5041</v>
      </c>
      <c r="N62" s="79" t="s">
        <v>127</v>
      </c>
      <c r="O62" s="79">
        <v>5</v>
      </c>
    </row>
    <row r="63" spans="1:15" ht="22.5" customHeight="1">
      <c r="A63" s="79">
        <v>5000</v>
      </c>
      <c r="B63" s="79" t="s">
        <v>4</v>
      </c>
      <c r="C63" s="79">
        <v>5001</v>
      </c>
      <c r="D63" s="79" t="s">
        <v>5</v>
      </c>
      <c r="E63" s="79">
        <v>5003</v>
      </c>
      <c r="F63" s="79" t="s">
        <v>71</v>
      </c>
      <c r="G63" s="79">
        <v>5014</v>
      </c>
      <c r="H63" s="79" t="s">
        <v>128</v>
      </c>
      <c r="I63" s="79">
        <v>5042</v>
      </c>
      <c r="J63" s="79" t="s">
        <v>129</v>
      </c>
      <c r="M63" s="79">
        <v>5042</v>
      </c>
      <c r="N63" s="79" t="s">
        <v>129</v>
      </c>
      <c r="O63" s="79">
        <v>5</v>
      </c>
    </row>
    <row r="64" spans="1:15" ht="22.5" customHeight="1">
      <c r="A64" s="79">
        <v>5000</v>
      </c>
      <c r="B64" s="79" t="s">
        <v>4</v>
      </c>
      <c r="C64" s="79">
        <v>5001</v>
      </c>
      <c r="D64" s="79" t="s">
        <v>5</v>
      </c>
      <c r="E64" s="79">
        <v>5003</v>
      </c>
      <c r="F64" s="79" t="s">
        <v>71</v>
      </c>
      <c r="G64" s="79">
        <v>5014</v>
      </c>
      <c r="H64" s="79" t="s">
        <v>128</v>
      </c>
      <c r="I64" s="79">
        <v>5043</v>
      </c>
      <c r="J64" s="79" t="s">
        <v>130</v>
      </c>
      <c r="M64" s="79">
        <v>5043</v>
      </c>
      <c r="N64" s="79" t="s">
        <v>131</v>
      </c>
      <c r="O64" s="79">
        <v>5</v>
      </c>
    </row>
    <row r="65" spans="1:15" ht="22.5" customHeight="1">
      <c r="A65" s="79">
        <v>5000</v>
      </c>
      <c r="B65" s="79" t="s">
        <v>4</v>
      </c>
      <c r="C65" s="79">
        <v>5001</v>
      </c>
      <c r="D65" s="79" t="s">
        <v>5</v>
      </c>
      <c r="E65" s="79">
        <v>5003</v>
      </c>
      <c r="F65" s="79" t="s">
        <v>71</v>
      </c>
      <c r="G65" s="79">
        <v>5015</v>
      </c>
      <c r="H65" s="79" t="s">
        <v>132</v>
      </c>
      <c r="I65" s="79">
        <v>5044</v>
      </c>
      <c r="J65" s="79" t="s">
        <v>133</v>
      </c>
      <c r="M65" s="79">
        <v>5044</v>
      </c>
      <c r="N65" s="79" t="s">
        <v>133</v>
      </c>
      <c r="O65" s="79">
        <v>5</v>
      </c>
    </row>
    <row r="66" spans="1:15" ht="22.5" customHeight="1">
      <c r="A66" s="79">
        <v>5000</v>
      </c>
      <c r="B66" s="79" t="s">
        <v>4</v>
      </c>
      <c r="C66" s="79">
        <v>5001</v>
      </c>
      <c r="D66" s="79" t="s">
        <v>5</v>
      </c>
      <c r="E66" s="79">
        <v>5003</v>
      </c>
      <c r="F66" s="79" t="s">
        <v>71</v>
      </c>
      <c r="G66" s="79">
        <v>5015</v>
      </c>
      <c r="H66" s="79" t="s">
        <v>132</v>
      </c>
      <c r="I66" s="79">
        <v>5045</v>
      </c>
      <c r="J66" s="79" t="s">
        <v>134</v>
      </c>
      <c r="M66" s="79">
        <v>5045</v>
      </c>
      <c r="N66" s="79" t="s">
        <v>134</v>
      </c>
      <c r="O66" s="79">
        <v>5</v>
      </c>
    </row>
    <row r="67" spans="1:15" ht="22.5" customHeight="1">
      <c r="A67" s="79">
        <v>5000</v>
      </c>
      <c r="B67" s="79" t="s">
        <v>4</v>
      </c>
      <c r="C67" s="79">
        <v>5001</v>
      </c>
      <c r="D67" s="79" t="s">
        <v>5</v>
      </c>
      <c r="E67" s="79">
        <v>5004</v>
      </c>
      <c r="F67" s="79" t="s">
        <v>85</v>
      </c>
      <c r="G67" s="79">
        <v>5046</v>
      </c>
      <c r="H67" s="79" t="s">
        <v>135</v>
      </c>
      <c r="M67" s="79">
        <v>5046</v>
      </c>
      <c r="N67" s="79" t="s">
        <v>135</v>
      </c>
      <c r="O67" s="79">
        <v>4</v>
      </c>
    </row>
    <row r="68" spans="1:15" ht="22.5" customHeight="1">
      <c r="A68" s="79">
        <v>5000</v>
      </c>
      <c r="B68" s="79" t="s">
        <v>4</v>
      </c>
      <c r="C68" s="79">
        <v>5001</v>
      </c>
      <c r="D68" s="79" t="s">
        <v>5</v>
      </c>
      <c r="E68" s="79">
        <v>5004</v>
      </c>
      <c r="F68" s="79" t="s">
        <v>85</v>
      </c>
      <c r="G68" s="79">
        <v>5047</v>
      </c>
      <c r="H68" s="79" t="s">
        <v>136</v>
      </c>
      <c r="M68" s="79">
        <v>5047</v>
      </c>
      <c r="N68" s="79" t="s">
        <v>136</v>
      </c>
      <c r="O68" s="79">
        <v>4</v>
      </c>
    </row>
    <row r="69" spans="1:15" ht="22.5" customHeight="1">
      <c r="A69" s="79">
        <v>5000</v>
      </c>
      <c r="B69" s="79" t="s">
        <v>4</v>
      </c>
      <c r="C69" s="79">
        <v>5048</v>
      </c>
      <c r="D69" s="79" t="s">
        <v>6</v>
      </c>
      <c r="E69" s="79">
        <v>5049</v>
      </c>
      <c r="F69" s="79" t="s">
        <v>33</v>
      </c>
      <c r="G69" s="79">
        <v>5052</v>
      </c>
      <c r="H69" s="79" t="s">
        <v>34</v>
      </c>
      <c r="I69" s="79">
        <v>5054</v>
      </c>
      <c r="J69" s="79" t="s">
        <v>137</v>
      </c>
      <c r="K69" s="79">
        <v>5060</v>
      </c>
      <c r="L69" s="79" t="s">
        <v>138</v>
      </c>
      <c r="M69" s="79">
        <v>5060</v>
      </c>
      <c r="N69" s="79" t="s">
        <v>139</v>
      </c>
      <c r="O69" s="79">
        <v>6</v>
      </c>
    </row>
    <row r="70" spans="1:15" ht="22.5" customHeight="1">
      <c r="A70" s="79">
        <v>5000</v>
      </c>
      <c r="B70" s="79" t="s">
        <v>4</v>
      </c>
      <c r="C70" s="79">
        <v>5048</v>
      </c>
      <c r="D70" s="79" t="s">
        <v>6</v>
      </c>
      <c r="E70" s="79">
        <v>5049</v>
      </c>
      <c r="F70" s="79" t="s">
        <v>33</v>
      </c>
      <c r="G70" s="79">
        <v>5052</v>
      </c>
      <c r="H70" s="79" t="s">
        <v>34</v>
      </c>
      <c r="I70" s="79">
        <v>5054</v>
      </c>
      <c r="J70" s="79" t="s">
        <v>137</v>
      </c>
      <c r="K70" s="79">
        <v>5061</v>
      </c>
      <c r="L70" s="79" t="s">
        <v>140</v>
      </c>
      <c r="M70" s="79">
        <v>5061</v>
      </c>
      <c r="N70" s="79" t="s">
        <v>141</v>
      </c>
      <c r="O70" s="79">
        <v>6</v>
      </c>
    </row>
    <row r="71" spans="1:15" ht="22.5" customHeight="1">
      <c r="A71" s="79">
        <v>5000</v>
      </c>
      <c r="B71" s="79" t="s">
        <v>4</v>
      </c>
      <c r="C71" s="79">
        <v>5048</v>
      </c>
      <c r="D71" s="79" t="s">
        <v>6</v>
      </c>
      <c r="E71" s="79">
        <v>5049</v>
      </c>
      <c r="F71" s="79" t="s">
        <v>33</v>
      </c>
      <c r="G71" s="79">
        <v>5052</v>
      </c>
      <c r="H71" s="79" t="s">
        <v>34</v>
      </c>
      <c r="I71" s="79">
        <v>5054</v>
      </c>
      <c r="J71" s="79" t="s">
        <v>137</v>
      </c>
      <c r="K71" s="79">
        <v>5062</v>
      </c>
      <c r="L71" s="79" t="s">
        <v>142</v>
      </c>
      <c r="M71" s="79">
        <v>5062</v>
      </c>
      <c r="N71" s="79" t="s">
        <v>142</v>
      </c>
      <c r="O71" s="79">
        <v>6</v>
      </c>
    </row>
    <row r="72" spans="1:15" ht="22.5" customHeight="1">
      <c r="A72" s="79">
        <v>5000</v>
      </c>
      <c r="B72" s="79" t="s">
        <v>4</v>
      </c>
      <c r="C72" s="79">
        <v>5048</v>
      </c>
      <c r="D72" s="79" t="s">
        <v>6</v>
      </c>
      <c r="E72" s="79">
        <v>5049</v>
      </c>
      <c r="F72" s="79" t="s">
        <v>33</v>
      </c>
      <c r="G72" s="79">
        <v>5052</v>
      </c>
      <c r="H72" s="79" t="s">
        <v>34</v>
      </c>
      <c r="I72" s="79">
        <v>5055</v>
      </c>
      <c r="J72" s="79" t="s">
        <v>143</v>
      </c>
      <c r="K72" s="79">
        <v>5063</v>
      </c>
      <c r="L72" s="79" t="s">
        <v>144</v>
      </c>
      <c r="M72" s="79">
        <v>5063</v>
      </c>
      <c r="N72" s="79" t="s">
        <v>145</v>
      </c>
      <c r="O72" s="79">
        <v>6</v>
      </c>
    </row>
    <row r="73" spans="1:15" ht="22.5" customHeight="1">
      <c r="A73" s="79">
        <v>5000</v>
      </c>
      <c r="B73" s="79" t="s">
        <v>4</v>
      </c>
      <c r="C73" s="79">
        <v>5048</v>
      </c>
      <c r="D73" s="79" t="s">
        <v>6</v>
      </c>
      <c r="E73" s="79">
        <v>5049</v>
      </c>
      <c r="F73" s="79" t="s">
        <v>33</v>
      </c>
      <c r="G73" s="79">
        <v>5052</v>
      </c>
      <c r="H73" s="79" t="s">
        <v>34</v>
      </c>
      <c r="I73" s="79">
        <v>5055</v>
      </c>
      <c r="J73" s="79" t="s">
        <v>143</v>
      </c>
      <c r="K73" s="79">
        <v>5064</v>
      </c>
      <c r="L73" s="79" t="s">
        <v>146</v>
      </c>
      <c r="M73" s="79">
        <v>5064</v>
      </c>
      <c r="N73" s="79" t="s">
        <v>146</v>
      </c>
      <c r="O73" s="79">
        <v>6</v>
      </c>
    </row>
    <row r="74" spans="1:15" ht="22.5" customHeight="1">
      <c r="A74" s="79">
        <v>5000</v>
      </c>
      <c r="B74" s="79" t="s">
        <v>4</v>
      </c>
      <c r="C74" s="79">
        <v>5048</v>
      </c>
      <c r="D74" s="79" t="s">
        <v>6</v>
      </c>
      <c r="E74" s="79">
        <v>5049</v>
      </c>
      <c r="F74" s="79" t="s">
        <v>33</v>
      </c>
      <c r="G74" s="79">
        <v>5052</v>
      </c>
      <c r="H74" s="79" t="s">
        <v>34</v>
      </c>
      <c r="I74" s="79">
        <v>5055</v>
      </c>
      <c r="J74" s="79" t="s">
        <v>143</v>
      </c>
      <c r="K74" s="79">
        <v>5065</v>
      </c>
      <c r="L74" s="79" t="s">
        <v>147</v>
      </c>
      <c r="M74" s="79">
        <v>5065</v>
      </c>
      <c r="N74" s="79" t="s">
        <v>148</v>
      </c>
      <c r="O74" s="79">
        <v>6</v>
      </c>
    </row>
    <row r="75" spans="1:15" ht="22.5" customHeight="1">
      <c r="A75" s="79">
        <v>5000</v>
      </c>
      <c r="B75" s="79" t="s">
        <v>4</v>
      </c>
      <c r="C75" s="79">
        <v>5048</v>
      </c>
      <c r="D75" s="79" t="s">
        <v>6</v>
      </c>
      <c r="E75" s="79">
        <v>5049</v>
      </c>
      <c r="F75" s="79" t="s">
        <v>33</v>
      </c>
      <c r="G75" s="79">
        <v>5052</v>
      </c>
      <c r="H75" s="79" t="s">
        <v>34</v>
      </c>
      <c r="I75" s="79">
        <v>5055</v>
      </c>
      <c r="J75" s="79" t="s">
        <v>143</v>
      </c>
      <c r="K75" s="79">
        <v>5066</v>
      </c>
      <c r="L75" s="79" t="s">
        <v>149</v>
      </c>
      <c r="M75" s="79">
        <v>5066</v>
      </c>
      <c r="N75" s="79" t="s">
        <v>149</v>
      </c>
      <c r="O75" s="79">
        <v>6</v>
      </c>
    </row>
    <row r="76" spans="1:15" ht="22.5" customHeight="1">
      <c r="A76" s="79">
        <v>5000</v>
      </c>
      <c r="B76" s="79" t="s">
        <v>4</v>
      </c>
      <c r="C76" s="79">
        <v>5048</v>
      </c>
      <c r="D76" s="79" t="s">
        <v>6</v>
      </c>
      <c r="E76" s="79">
        <v>5049</v>
      </c>
      <c r="F76" s="79" t="s">
        <v>33</v>
      </c>
      <c r="G76" s="79">
        <v>5052</v>
      </c>
      <c r="H76" s="79" t="s">
        <v>34</v>
      </c>
      <c r="I76" s="79">
        <v>5056</v>
      </c>
      <c r="J76" s="79" t="s">
        <v>150</v>
      </c>
      <c r="K76" s="79">
        <v>5067</v>
      </c>
      <c r="L76" s="79" t="s">
        <v>151</v>
      </c>
      <c r="M76" s="79">
        <v>5067</v>
      </c>
      <c r="N76" s="79" t="s">
        <v>151</v>
      </c>
      <c r="O76" s="79">
        <v>6</v>
      </c>
    </row>
    <row r="77" spans="1:15" ht="22.5" customHeight="1">
      <c r="A77" s="79">
        <v>5000</v>
      </c>
      <c r="B77" s="79" t="s">
        <v>4</v>
      </c>
      <c r="C77" s="79">
        <v>5048</v>
      </c>
      <c r="D77" s="79" t="s">
        <v>6</v>
      </c>
      <c r="E77" s="79">
        <v>5049</v>
      </c>
      <c r="F77" s="79" t="s">
        <v>33</v>
      </c>
      <c r="G77" s="79">
        <v>5052</v>
      </c>
      <c r="H77" s="79" t="s">
        <v>34</v>
      </c>
      <c r="I77" s="79">
        <v>5056</v>
      </c>
      <c r="J77" s="79" t="s">
        <v>150</v>
      </c>
      <c r="K77" s="79">
        <v>5068</v>
      </c>
      <c r="L77" s="79" t="s">
        <v>152</v>
      </c>
      <c r="M77" s="79">
        <v>5068</v>
      </c>
      <c r="N77" s="79" t="s">
        <v>152</v>
      </c>
      <c r="O77" s="79">
        <v>6</v>
      </c>
    </row>
    <row r="78" spans="1:15" ht="22.5" customHeight="1">
      <c r="A78" s="79">
        <v>5000</v>
      </c>
      <c r="B78" s="79" t="s">
        <v>4</v>
      </c>
      <c r="C78" s="79">
        <v>5048</v>
      </c>
      <c r="D78" s="79" t="s">
        <v>6</v>
      </c>
      <c r="E78" s="79">
        <v>5049</v>
      </c>
      <c r="F78" s="79" t="s">
        <v>33</v>
      </c>
      <c r="G78" s="79">
        <v>5052</v>
      </c>
      <c r="H78" s="79" t="s">
        <v>34</v>
      </c>
      <c r="I78" s="79">
        <v>5056</v>
      </c>
      <c r="J78" s="79" t="s">
        <v>150</v>
      </c>
      <c r="K78" s="79">
        <v>5069</v>
      </c>
      <c r="L78" s="79" t="s">
        <v>153</v>
      </c>
      <c r="M78" s="79">
        <v>5069</v>
      </c>
      <c r="N78" s="79" t="s">
        <v>153</v>
      </c>
      <c r="O78" s="79">
        <v>6</v>
      </c>
    </row>
    <row r="79" spans="1:15" ht="22.5" customHeight="1">
      <c r="A79" s="79">
        <v>5000</v>
      </c>
      <c r="B79" s="79" t="s">
        <v>4</v>
      </c>
      <c r="C79" s="79">
        <v>5048</v>
      </c>
      <c r="D79" s="79" t="s">
        <v>6</v>
      </c>
      <c r="E79" s="79">
        <v>5049</v>
      </c>
      <c r="F79" s="79" t="s">
        <v>33</v>
      </c>
      <c r="G79" s="79">
        <v>5052</v>
      </c>
      <c r="H79" s="79" t="s">
        <v>34</v>
      </c>
      <c r="I79" s="79">
        <v>5056</v>
      </c>
      <c r="J79" s="79" t="s">
        <v>150</v>
      </c>
      <c r="K79" s="79">
        <v>5070</v>
      </c>
      <c r="L79" s="79" t="s">
        <v>154</v>
      </c>
      <c r="M79" s="79">
        <v>5070</v>
      </c>
      <c r="N79" s="79" t="s">
        <v>154</v>
      </c>
      <c r="O79" s="79">
        <v>6</v>
      </c>
    </row>
    <row r="80" spans="1:15" ht="22.5" customHeight="1">
      <c r="A80" s="79">
        <v>5000</v>
      </c>
      <c r="B80" s="79" t="s">
        <v>4</v>
      </c>
      <c r="C80" s="79">
        <v>5048</v>
      </c>
      <c r="D80" s="79" t="s">
        <v>6</v>
      </c>
      <c r="E80" s="79">
        <v>5049</v>
      </c>
      <c r="F80" s="79" t="s">
        <v>33</v>
      </c>
      <c r="G80" s="79">
        <v>5053</v>
      </c>
      <c r="H80" s="79" t="s">
        <v>50</v>
      </c>
      <c r="I80" s="79">
        <v>5057</v>
      </c>
      <c r="J80" s="79" t="s">
        <v>102</v>
      </c>
      <c r="K80" s="79">
        <v>5071</v>
      </c>
      <c r="L80" s="79" t="s">
        <v>155</v>
      </c>
      <c r="M80" s="79">
        <v>5071</v>
      </c>
      <c r="N80" s="79" t="s">
        <v>155</v>
      </c>
      <c r="O80" s="79">
        <v>6</v>
      </c>
    </row>
    <row r="81" spans="1:15" ht="22.5" customHeight="1">
      <c r="A81" s="79">
        <v>5000</v>
      </c>
      <c r="B81" s="79" t="s">
        <v>4</v>
      </c>
      <c r="C81" s="79">
        <v>5048</v>
      </c>
      <c r="D81" s="79" t="s">
        <v>6</v>
      </c>
      <c r="E81" s="79">
        <v>5049</v>
      </c>
      <c r="F81" s="79" t="s">
        <v>33</v>
      </c>
      <c r="G81" s="79">
        <v>5053</v>
      </c>
      <c r="H81" s="79" t="s">
        <v>50</v>
      </c>
      <c r="I81" s="79">
        <v>5057</v>
      </c>
      <c r="J81" s="79" t="s">
        <v>102</v>
      </c>
      <c r="K81" s="79">
        <v>5072</v>
      </c>
      <c r="L81" s="79" t="s">
        <v>156</v>
      </c>
      <c r="M81" s="79">
        <v>5072</v>
      </c>
      <c r="N81" s="79" t="s">
        <v>157</v>
      </c>
      <c r="O81" s="79">
        <v>6</v>
      </c>
    </row>
    <row r="82" spans="1:15" ht="22.5" customHeight="1">
      <c r="A82" s="79">
        <v>5000</v>
      </c>
      <c r="B82" s="79" t="s">
        <v>4</v>
      </c>
      <c r="C82" s="79">
        <v>5048</v>
      </c>
      <c r="D82" s="79" t="s">
        <v>6</v>
      </c>
      <c r="E82" s="79">
        <v>5049</v>
      </c>
      <c r="F82" s="79" t="s">
        <v>33</v>
      </c>
      <c r="G82" s="79">
        <v>5053</v>
      </c>
      <c r="H82" s="79" t="s">
        <v>50</v>
      </c>
      <c r="I82" s="79">
        <v>5057</v>
      </c>
      <c r="J82" s="79" t="s">
        <v>102</v>
      </c>
      <c r="K82" s="79">
        <v>5073</v>
      </c>
      <c r="L82" s="79" t="s">
        <v>158</v>
      </c>
      <c r="M82" s="79">
        <v>5073</v>
      </c>
      <c r="N82" s="79" t="s">
        <v>158</v>
      </c>
      <c r="O82" s="79">
        <v>6</v>
      </c>
    </row>
    <row r="83" spans="1:15" ht="22.5" customHeight="1">
      <c r="A83" s="79">
        <v>5000</v>
      </c>
      <c r="B83" s="79" t="s">
        <v>4</v>
      </c>
      <c r="C83" s="79">
        <v>5048</v>
      </c>
      <c r="D83" s="79" t="s">
        <v>6</v>
      </c>
      <c r="E83" s="79">
        <v>5049</v>
      </c>
      <c r="F83" s="79" t="s">
        <v>33</v>
      </c>
      <c r="G83" s="79">
        <v>5053</v>
      </c>
      <c r="H83" s="79" t="s">
        <v>50</v>
      </c>
      <c r="I83" s="79">
        <v>5057</v>
      </c>
      <c r="J83" s="79" t="s">
        <v>102</v>
      </c>
      <c r="K83" s="79">
        <v>5074</v>
      </c>
      <c r="L83" s="79" t="s">
        <v>159</v>
      </c>
      <c r="M83" s="79">
        <v>5074</v>
      </c>
      <c r="N83" s="79" t="s">
        <v>160</v>
      </c>
      <c r="O83" s="79">
        <v>6</v>
      </c>
    </row>
    <row r="84" spans="1:15" ht="22.5" customHeight="1">
      <c r="A84" s="79">
        <v>5000</v>
      </c>
      <c r="B84" s="79" t="s">
        <v>4</v>
      </c>
      <c r="C84" s="79">
        <v>5048</v>
      </c>
      <c r="D84" s="79" t="s">
        <v>6</v>
      </c>
      <c r="E84" s="79">
        <v>5049</v>
      </c>
      <c r="F84" s="79" t="s">
        <v>33</v>
      </c>
      <c r="G84" s="79">
        <v>5053</v>
      </c>
      <c r="H84" s="79" t="s">
        <v>50</v>
      </c>
      <c r="I84" s="79">
        <v>5057</v>
      </c>
      <c r="J84" s="79" t="s">
        <v>102</v>
      </c>
      <c r="K84" s="79">
        <v>5075</v>
      </c>
      <c r="L84" s="79" t="s">
        <v>161</v>
      </c>
      <c r="M84" s="79">
        <v>5075</v>
      </c>
      <c r="N84" s="79" t="s">
        <v>162</v>
      </c>
      <c r="O84" s="79">
        <v>6</v>
      </c>
    </row>
    <row r="85" spans="1:15" ht="22.5" customHeight="1">
      <c r="A85" s="79">
        <v>5000</v>
      </c>
      <c r="B85" s="79" t="s">
        <v>4</v>
      </c>
      <c r="C85" s="79">
        <v>5048</v>
      </c>
      <c r="D85" s="79" t="s">
        <v>6</v>
      </c>
      <c r="E85" s="79">
        <v>5049</v>
      </c>
      <c r="F85" s="79" t="s">
        <v>33</v>
      </c>
      <c r="G85" s="79">
        <v>5053</v>
      </c>
      <c r="H85" s="79" t="s">
        <v>50</v>
      </c>
      <c r="I85" s="79">
        <v>5057</v>
      </c>
      <c r="J85" s="79" t="s">
        <v>102</v>
      </c>
      <c r="K85" s="79">
        <v>5076</v>
      </c>
      <c r="L85" s="79" t="s">
        <v>163</v>
      </c>
      <c r="M85" s="79">
        <v>5076</v>
      </c>
      <c r="N85" s="79" t="s">
        <v>164</v>
      </c>
      <c r="O85" s="79">
        <v>6</v>
      </c>
    </row>
    <row r="86" spans="1:15" ht="22.5" customHeight="1">
      <c r="A86" s="79">
        <v>5000</v>
      </c>
      <c r="B86" s="79" t="s">
        <v>4</v>
      </c>
      <c r="C86" s="79">
        <v>5048</v>
      </c>
      <c r="D86" s="79" t="s">
        <v>6</v>
      </c>
      <c r="E86" s="79">
        <v>5049</v>
      </c>
      <c r="F86" s="79" t="s">
        <v>33</v>
      </c>
      <c r="G86" s="79">
        <v>5053</v>
      </c>
      <c r="H86" s="79" t="s">
        <v>50</v>
      </c>
      <c r="I86" s="79">
        <v>5058</v>
      </c>
      <c r="J86" s="79" t="s">
        <v>165</v>
      </c>
      <c r="K86" s="79">
        <v>5077</v>
      </c>
      <c r="L86" s="79" t="s">
        <v>166</v>
      </c>
      <c r="M86" s="79">
        <v>5077</v>
      </c>
      <c r="N86" s="79" t="s">
        <v>167</v>
      </c>
      <c r="O86" s="79">
        <v>6</v>
      </c>
    </row>
    <row r="87" spans="1:15" ht="22.5" customHeight="1">
      <c r="A87" s="79">
        <v>5000</v>
      </c>
      <c r="B87" s="79" t="s">
        <v>4</v>
      </c>
      <c r="C87" s="79">
        <v>5048</v>
      </c>
      <c r="D87" s="79" t="s">
        <v>6</v>
      </c>
      <c r="E87" s="79">
        <v>5049</v>
      </c>
      <c r="F87" s="79" t="s">
        <v>33</v>
      </c>
      <c r="G87" s="79">
        <v>5053</v>
      </c>
      <c r="H87" s="79" t="s">
        <v>50</v>
      </c>
      <c r="I87" s="79">
        <v>5058</v>
      </c>
      <c r="J87" s="79" t="s">
        <v>165</v>
      </c>
      <c r="K87" s="79">
        <v>5078</v>
      </c>
      <c r="L87" s="79" t="s">
        <v>168</v>
      </c>
      <c r="M87" s="79">
        <v>5078</v>
      </c>
      <c r="N87" s="79" t="s">
        <v>168</v>
      </c>
      <c r="O87" s="79">
        <v>6</v>
      </c>
    </row>
    <row r="88" spans="1:15" ht="22.5" customHeight="1">
      <c r="A88" s="79">
        <v>5000</v>
      </c>
      <c r="B88" s="79" t="s">
        <v>4</v>
      </c>
      <c r="C88" s="79">
        <v>5048</v>
      </c>
      <c r="D88" s="79" t="s">
        <v>6</v>
      </c>
      <c r="E88" s="79">
        <v>5049</v>
      </c>
      <c r="F88" s="79" t="s">
        <v>33</v>
      </c>
      <c r="G88" s="79">
        <v>5053</v>
      </c>
      <c r="H88" s="79" t="s">
        <v>50</v>
      </c>
      <c r="I88" s="79">
        <v>5058</v>
      </c>
      <c r="J88" s="79" t="s">
        <v>165</v>
      </c>
      <c r="K88" s="79">
        <v>5079</v>
      </c>
      <c r="L88" s="79" t="s">
        <v>169</v>
      </c>
      <c r="M88" s="79">
        <v>5079</v>
      </c>
      <c r="N88" s="79" t="s">
        <v>169</v>
      </c>
      <c r="O88" s="79">
        <v>6</v>
      </c>
    </row>
    <row r="89" spans="1:15" ht="22.5" customHeight="1">
      <c r="A89" s="79">
        <v>5000</v>
      </c>
      <c r="B89" s="79" t="s">
        <v>4</v>
      </c>
      <c r="C89" s="79">
        <v>5048</v>
      </c>
      <c r="D89" s="79" t="s">
        <v>6</v>
      </c>
      <c r="E89" s="79">
        <v>5050</v>
      </c>
      <c r="F89" s="79" t="s">
        <v>71</v>
      </c>
      <c r="G89" s="79">
        <v>5059</v>
      </c>
      <c r="H89" s="79" t="s">
        <v>72</v>
      </c>
      <c r="I89" s="79">
        <v>5080</v>
      </c>
      <c r="J89" s="79" t="s">
        <v>73</v>
      </c>
      <c r="M89" s="79">
        <v>5080</v>
      </c>
      <c r="N89" s="79" t="s">
        <v>73</v>
      </c>
      <c r="O89" s="79">
        <v>5</v>
      </c>
    </row>
    <row r="90" spans="1:15" ht="22.5" customHeight="1">
      <c r="A90" s="79">
        <v>5000</v>
      </c>
      <c r="B90" s="79" t="s">
        <v>4</v>
      </c>
      <c r="C90" s="79">
        <v>5048</v>
      </c>
      <c r="D90" s="79" t="s">
        <v>6</v>
      </c>
      <c r="E90" s="79">
        <v>5050</v>
      </c>
      <c r="F90" s="79" t="s">
        <v>71</v>
      </c>
      <c r="G90" s="79">
        <v>5059</v>
      </c>
      <c r="H90" s="79" t="s">
        <v>72</v>
      </c>
      <c r="I90" s="79">
        <v>5081</v>
      </c>
      <c r="J90" s="79" t="s">
        <v>170</v>
      </c>
      <c r="M90" s="79">
        <v>5081</v>
      </c>
      <c r="N90" s="79" t="s">
        <v>170</v>
      </c>
      <c r="O90" s="79">
        <v>5</v>
      </c>
    </row>
    <row r="91" spans="1:15" ht="22.5" customHeight="1">
      <c r="A91" s="79">
        <v>5000</v>
      </c>
      <c r="B91" s="79" t="s">
        <v>4</v>
      </c>
      <c r="C91" s="79">
        <v>5048</v>
      </c>
      <c r="D91" s="79" t="s">
        <v>6</v>
      </c>
      <c r="E91" s="79">
        <v>5051</v>
      </c>
      <c r="F91" s="79" t="s">
        <v>85</v>
      </c>
      <c r="M91" s="79">
        <v>5051</v>
      </c>
      <c r="N91" s="79" t="s">
        <v>171</v>
      </c>
      <c r="O91" s="79">
        <v>3</v>
      </c>
    </row>
    <row r="92" spans="1:15" ht="22.5" customHeight="1">
      <c r="A92" s="79">
        <v>10000</v>
      </c>
      <c r="B92" s="79" t="s">
        <v>7</v>
      </c>
      <c r="C92" s="79">
        <v>10001</v>
      </c>
      <c r="D92" s="79" t="s">
        <v>8</v>
      </c>
      <c r="E92" s="79">
        <v>10002</v>
      </c>
      <c r="F92" s="79" t="s">
        <v>33</v>
      </c>
      <c r="G92" s="79">
        <v>10005</v>
      </c>
      <c r="H92" s="79" t="s">
        <v>34</v>
      </c>
      <c r="I92" s="79">
        <v>10007</v>
      </c>
      <c r="J92" s="79" t="s">
        <v>172</v>
      </c>
      <c r="M92" s="79">
        <v>10007</v>
      </c>
      <c r="N92" s="79" t="s">
        <v>172</v>
      </c>
      <c r="O92" s="79">
        <v>5</v>
      </c>
    </row>
    <row r="93" spans="1:15" ht="22.5" customHeight="1">
      <c r="A93" s="79">
        <v>10000</v>
      </c>
      <c r="B93" s="79" t="s">
        <v>7</v>
      </c>
      <c r="C93" s="79">
        <v>10001</v>
      </c>
      <c r="D93" s="79" t="s">
        <v>8</v>
      </c>
      <c r="E93" s="79">
        <v>10002</v>
      </c>
      <c r="F93" s="79" t="s">
        <v>33</v>
      </c>
      <c r="G93" s="79">
        <v>10005</v>
      </c>
      <c r="H93" s="79" t="s">
        <v>34</v>
      </c>
      <c r="I93" s="79">
        <v>10008</v>
      </c>
      <c r="J93" s="79" t="s">
        <v>173</v>
      </c>
      <c r="M93" s="79">
        <v>10008</v>
      </c>
      <c r="N93" s="79" t="s">
        <v>173</v>
      </c>
      <c r="O93" s="79">
        <v>5</v>
      </c>
    </row>
    <row r="94" spans="1:15" ht="22.5" customHeight="1">
      <c r="A94" s="79">
        <v>10000</v>
      </c>
      <c r="B94" s="79" t="s">
        <v>7</v>
      </c>
      <c r="C94" s="79">
        <v>10001</v>
      </c>
      <c r="D94" s="79" t="s">
        <v>8</v>
      </c>
      <c r="E94" s="79">
        <v>10002</v>
      </c>
      <c r="F94" s="79" t="s">
        <v>33</v>
      </c>
      <c r="G94" s="79">
        <v>10005</v>
      </c>
      <c r="H94" s="79" t="s">
        <v>34</v>
      </c>
      <c r="I94" s="79">
        <v>10009</v>
      </c>
      <c r="J94" s="79" t="s">
        <v>174</v>
      </c>
      <c r="M94" s="79">
        <v>10009</v>
      </c>
      <c r="N94" s="79" t="s">
        <v>175</v>
      </c>
      <c r="O94" s="79">
        <v>5</v>
      </c>
    </row>
    <row r="95" spans="1:15" ht="22.5" customHeight="1">
      <c r="A95" s="79">
        <v>10000</v>
      </c>
      <c r="B95" s="79" t="s">
        <v>7</v>
      </c>
      <c r="C95" s="79">
        <v>10001</v>
      </c>
      <c r="D95" s="79" t="s">
        <v>8</v>
      </c>
      <c r="E95" s="79">
        <v>10002</v>
      </c>
      <c r="F95" s="79" t="s">
        <v>33</v>
      </c>
      <c r="G95" s="79">
        <v>10005</v>
      </c>
      <c r="H95" s="79" t="s">
        <v>34</v>
      </c>
      <c r="I95" s="79">
        <v>10010</v>
      </c>
      <c r="J95" s="79" t="s">
        <v>176</v>
      </c>
      <c r="M95" s="79">
        <v>10010</v>
      </c>
      <c r="N95" s="79" t="s">
        <v>177</v>
      </c>
      <c r="O95" s="79">
        <v>5</v>
      </c>
    </row>
    <row r="96" spans="1:15" ht="22.5" customHeight="1">
      <c r="A96" s="79">
        <v>10000</v>
      </c>
      <c r="B96" s="79" t="s">
        <v>7</v>
      </c>
      <c r="C96" s="79">
        <v>10001</v>
      </c>
      <c r="D96" s="79" t="s">
        <v>8</v>
      </c>
      <c r="E96" s="79">
        <v>10002</v>
      </c>
      <c r="F96" s="79" t="s">
        <v>33</v>
      </c>
      <c r="G96" s="79">
        <v>10006</v>
      </c>
      <c r="H96" s="79" t="s">
        <v>50</v>
      </c>
      <c r="I96" s="79">
        <v>10011</v>
      </c>
      <c r="J96" s="79" t="s">
        <v>178</v>
      </c>
      <c r="M96" s="79">
        <v>10011</v>
      </c>
      <c r="N96" s="79" t="s">
        <v>178</v>
      </c>
      <c r="O96" s="79">
        <v>5</v>
      </c>
    </row>
    <row r="97" spans="1:15" ht="22.5" customHeight="1">
      <c r="A97" s="79">
        <v>10000</v>
      </c>
      <c r="B97" s="79" t="s">
        <v>7</v>
      </c>
      <c r="C97" s="79">
        <v>10001</v>
      </c>
      <c r="D97" s="79" t="s">
        <v>8</v>
      </c>
      <c r="E97" s="79">
        <v>10002</v>
      </c>
      <c r="F97" s="79" t="s">
        <v>33</v>
      </c>
      <c r="G97" s="79">
        <v>10006</v>
      </c>
      <c r="H97" s="79" t="s">
        <v>50</v>
      </c>
      <c r="I97" s="79">
        <v>10012</v>
      </c>
      <c r="J97" s="79" t="s">
        <v>179</v>
      </c>
      <c r="M97" s="79">
        <v>10012</v>
      </c>
      <c r="N97" s="79" t="s">
        <v>179</v>
      </c>
      <c r="O97" s="79">
        <v>5</v>
      </c>
    </row>
    <row r="98" spans="1:15" ht="22.5" customHeight="1">
      <c r="A98" s="79">
        <v>10000</v>
      </c>
      <c r="B98" s="79" t="s">
        <v>7</v>
      </c>
      <c r="C98" s="79">
        <v>10001</v>
      </c>
      <c r="D98" s="79" t="s">
        <v>8</v>
      </c>
      <c r="E98" s="79">
        <v>10002</v>
      </c>
      <c r="F98" s="79" t="s">
        <v>33</v>
      </c>
      <c r="G98" s="79">
        <v>10006</v>
      </c>
      <c r="H98" s="79" t="s">
        <v>50</v>
      </c>
      <c r="I98" s="79">
        <v>10013</v>
      </c>
      <c r="J98" s="79" t="s">
        <v>180</v>
      </c>
      <c r="M98" s="79">
        <v>10013</v>
      </c>
      <c r="N98" s="79" t="s">
        <v>180</v>
      </c>
      <c r="O98" s="79">
        <v>5</v>
      </c>
    </row>
    <row r="99" spans="1:15" ht="22.5" customHeight="1">
      <c r="A99" s="79">
        <v>10000</v>
      </c>
      <c r="B99" s="79" t="s">
        <v>7</v>
      </c>
      <c r="C99" s="79">
        <v>10001</v>
      </c>
      <c r="D99" s="79" t="s">
        <v>8</v>
      </c>
      <c r="E99" s="79">
        <v>10002</v>
      </c>
      <c r="F99" s="79" t="s">
        <v>33</v>
      </c>
      <c r="G99" s="79">
        <v>10006</v>
      </c>
      <c r="H99" s="79" t="s">
        <v>50</v>
      </c>
      <c r="I99" s="79">
        <v>10014</v>
      </c>
      <c r="J99" s="79" t="s">
        <v>181</v>
      </c>
      <c r="M99" s="79">
        <v>10014</v>
      </c>
      <c r="N99" s="79" t="s">
        <v>182</v>
      </c>
      <c r="O99" s="79">
        <v>5</v>
      </c>
    </row>
    <row r="100" spans="1:15" ht="22.5" customHeight="1">
      <c r="A100" s="79">
        <v>10000</v>
      </c>
      <c r="B100" s="79" t="s">
        <v>7</v>
      </c>
      <c r="C100" s="79">
        <v>10001</v>
      </c>
      <c r="D100" s="79" t="s">
        <v>8</v>
      </c>
      <c r="E100" s="79">
        <v>10002</v>
      </c>
      <c r="F100" s="79" t="s">
        <v>33</v>
      </c>
      <c r="G100" s="79">
        <v>10006</v>
      </c>
      <c r="H100" s="79" t="s">
        <v>50</v>
      </c>
      <c r="I100" s="79">
        <v>10015</v>
      </c>
      <c r="J100" s="79" t="s">
        <v>183</v>
      </c>
      <c r="M100" s="79">
        <v>10015</v>
      </c>
      <c r="N100" s="79" t="s">
        <v>184</v>
      </c>
      <c r="O100" s="79">
        <v>5</v>
      </c>
    </row>
    <row r="101" spans="1:15" ht="22.5" customHeight="1">
      <c r="A101" s="79">
        <v>10000</v>
      </c>
      <c r="B101" s="79" t="s">
        <v>7</v>
      </c>
      <c r="C101" s="79">
        <v>10001</v>
      </c>
      <c r="D101" s="79" t="s">
        <v>8</v>
      </c>
      <c r="E101" s="79">
        <v>10002</v>
      </c>
      <c r="F101" s="79" t="s">
        <v>33</v>
      </c>
      <c r="G101" s="79">
        <v>10006</v>
      </c>
      <c r="H101" s="79" t="s">
        <v>50</v>
      </c>
      <c r="I101" s="79">
        <v>10016</v>
      </c>
      <c r="J101" s="79" t="s">
        <v>185</v>
      </c>
      <c r="M101" s="79">
        <v>10016</v>
      </c>
      <c r="N101" s="79" t="s">
        <v>70</v>
      </c>
      <c r="O101" s="79">
        <v>5</v>
      </c>
    </row>
    <row r="102" spans="1:15" ht="22.5" customHeight="1">
      <c r="A102" s="79">
        <v>10000</v>
      </c>
      <c r="B102" s="79" t="s">
        <v>7</v>
      </c>
      <c r="C102" s="79">
        <v>10001</v>
      </c>
      <c r="D102" s="79" t="s">
        <v>8</v>
      </c>
      <c r="E102" s="79">
        <v>10002</v>
      </c>
      <c r="F102" s="79" t="s">
        <v>33</v>
      </c>
      <c r="G102" s="79">
        <v>10006</v>
      </c>
      <c r="H102" s="79" t="s">
        <v>50</v>
      </c>
      <c r="I102" s="79">
        <v>10017</v>
      </c>
      <c r="J102" s="79" t="s">
        <v>186</v>
      </c>
      <c r="M102" s="79">
        <v>10017</v>
      </c>
      <c r="N102" s="79" t="s">
        <v>186</v>
      </c>
      <c r="O102" s="79">
        <v>5</v>
      </c>
    </row>
    <row r="103" spans="1:15" ht="22.5" customHeight="1">
      <c r="A103" s="79">
        <v>10000</v>
      </c>
      <c r="B103" s="79" t="s">
        <v>7</v>
      </c>
      <c r="C103" s="79">
        <v>10001</v>
      </c>
      <c r="D103" s="79" t="s">
        <v>8</v>
      </c>
      <c r="E103" s="79">
        <v>10003</v>
      </c>
      <c r="F103" s="79" t="s">
        <v>71</v>
      </c>
      <c r="G103" s="79">
        <v>10018</v>
      </c>
      <c r="H103" s="79" t="s">
        <v>73</v>
      </c>
      <c r="M103" s="79">
        <v>10018</v>
      </c>
      <c r="N103" s="79" t="s">
        <v>73</v>
      </c>
      <c r="O103" s="79">
        <v>4</v>
      </c>
    </row>
    <row r="104" spans="1:15" ht="22.5" customHeight="1">
      <c r="A104" s="79">
        <v>10000</v>
      </c>
      <c r="B104" s="79" t="s">
        <v>7</v>
      </c>
      <c r="C104" s="79">
        <v>10001</v>
      </c>
      <c r="D104" s="79" t="s">
        <v>8</v>
      </c>
      <c r="E104" s="79">
        <v>10003</v>
      </c>
      <c r="F104" s="79" t="s">
        <v>71</v>
      </c>
      <c r="G104" s="79">
        <v>10019</v>
      </c>
      <c r="H104" s="79" t="s">
        <v>187</v>
      </c>
      <c r="M104" s="79">
        <v>10019</v>
      </c>
      <c r="N104" s="79" t="s">
        <v>188</v>
      </c>
      <c r="O104" s="79">
        <v>4</v>
      </c>
    </row>
    <row r="105" spans="1:15" ht="22.5" customHeight="1">
      <c r="A105" s="79">
        <v>10000</v>
      </c>
      <c r="B105" s="79" t="s">
        <v>7</v>
      </c>
      <c r="C105" s="79">
        <v>10001</v>
      </c>
      <c r="D105" s="79" t="s">
        <v>8</v>
      </c>
      <c r="E105" s="79">
        <v>10004</v>
      </c>
      <c r="F105" s="79" t="s">
        <v>189</v>
      </c>
      <c r="G105" s="79">
        <v>10020</v>
      </c>
      <c r="H105" s="79" t="s">
        <v>190</v>
      </c>
      <c r="M105" s="79">
        <v>10020</v>
      </c>
      <c r="N105" s="79" t="s">
        <v>191</v>
      </c>
      <c r="O105" s="79">
        <v>4</v>
      </c>
    </row>
    <row r="106" spans="1:15" ht="22.5" customHeight="1">
      <c r="A106" s="79">
        <v>10000</v>
      </c>
      <c r="B106" s="79" t="s">
        <v>7</v>
      </c>
      <c r="C106" s="79">
        <v>10001</v>
      </c>
      <c r="D106" s="79" t="s">
        <v>8</v>
      </c>
      <c r="E106" s="79">
        <v>10004</v>
      </c>
      <c r="F106" s="79" t="s">
        <v>189</v>
      </c>
      <c r="G106" s="79">
        <v>10021</v>
      </c>
      <c r="H106" s="79" t="s">
        <v>192</v>
      </c>
      <c r="M106" s="79">
        <v>10021</v>
      </c>
      <c r="N106" s="79" t="s">
        <v>193</v>
      </c>
      <c r="O106" s="79">
        <v>4</v>
      </c>
    </row>
    <row r="107" spans="1:15" ht="22.5" customHeight="1">
      <c r="A107" s="79">
        <v>10000</v>
      </c>
      <c r="B107" s="79" t="s">
        <v>7</v>
      </c>
      <c r="C107" s="79">
        <v>10001</v>
      </c>
      <c r="D107" s="79" t="s">
        <v>8</v>
      </c>
      <c r="E107" s="79">
        <v>10004</v>
      </c>
      <c r="F107" s="79" t="s">
        <v>189</v>
      </c>
      <c r="G107" s="79">
        <v>10022</v>
      </c>
      <c r="H107" s="79" t="s">
        <v>194</v>
      </c>
      <c r="M107" s="79">
        <v>10022</v>
      </c>
      <c r="N107" s="79" t="s">
        <v>195</v>
      </c>
      <c r="O107" s="79">
        <v>4</v>
      </c>
    </row>
    <row r="108" spans="1:15" ht="22.5" customHeight="1">
      <c r="A108" s="79">
        <v>10000</v>
      </c>
      <c r="B108" s="79" t="s">
        <v>7</v>
      </c>
      <c r="C108" s="79">
        <v>10001</v>
      </c>
      <c r="D108" s="79" t="s">
        <v>8</v>
      </c>
      <c r="E108" s="79">
        <v>10004</v>
      </c>
      <c r="F108" s="79" t="s">
        <v>189</v>
      </c>
      <c r="G108" s="79">
        <v>10023</v>
      </c>
      <c r="H108" s="79" t="s">
        <v>196</v>
      </c>
      <c r="M108" s="79">
        <v>10023</v>
      </c>
      <c r="N108" s="79" t="s">
        <v>197</v>
      </c>
      <c r="O108" s="79">
        <v>4</v>
      </c>
    </row>
    <row r="109" spans="1:15" ht="22.5" customHeight="1">
      <c r="A109" s="79">
        <v>10000</v>
      </c>
      <c r="B109" s="79" t="s">
        <v>7</v>
      </c>
      <c r="C109" s="79">
        <v>10024</v>
      </c>
      <c r="D109" s="79" t="s">
        <v>9</v>
      </c>
      <c r="E109" s="79">
        <v>10025</v>
      </c>
      <c r="F109" s="79" t="s">
        <v>190</v>
      </c>
      <c r="M109" s="79">
        <v>10025</v>
      </c>
      <c r="N109" s="79" t="s">
        <v>191</v>
      </c>
      <c r="O109" s="79">
        <v>3</v>
      </c>
    </row>
    <row r="110" spans="1:15" ht="22.5" customHeight="1">
      <c r="A110" s="79">
        <v>10000</v>
      </c>
      <c r="B110" s="79" t="s">
        <v>7</v>
      </c>
      <c r="C110" s="79">
        <v>10024</v>
      </c>
      <c r="D110" s="79" t="s">
        <v>9</v>
      </c>
      <c r="E110" s="79">
        <v>10026</v>
      </c>
      <c r="F110" s="79" t="s">
        <v>192</v>
      </c>
      <c r="M110" s="79">
        <v>10026</v>
      </c>
      <c r="N110" s="79" t="s">
        <v>193</v>
      </c>
      <c r="O110" s="79">
        <v>3</v>
      </c>
    </row>
    <row r="111" spans="1:15" ht="22.5" customHeight="1">
      <c r="A111" s="79">
        <v>10000</v>
      </c>
      <c r="B111" s="79" t="s">
        <v>7</v>
      </c>
      <c r="C111" s="79">
        <v>10024</v>
      </c>
      <c r="D111" s="79" t="s">
        <v>9</v>
      </c>
      <c r="E111" s="79">
        <v>10027</v>
      </c>
      <c r="F111" s="79" t="s">
        <v>194</v>
      </c>
      <c r="M111" s="79">
        <v>10027</v>
      </c>
      <c r="N111" s="79" t="s">
        <v>195</v>
      </c>
      <c r="O111" s="79">
        <v>3</v>
      </c>
    </row>
    <row r="112" spans="1:15" ht="22.5" customHeight="1">
      <c r="A112" s="79">
        <v>10000</v>
      </c>
      <c r="B112" s="79" t="s">
        <v>7</v>
      </c>
      <c r="C112" s="79">
        <v>10024</v>
      </c>
      <c r="D112" s="79" t="s">
        <v>9</v>
      </c>
      <c r="E112" s="79">
        <v>10028</v>
      </c>
      <c r="F112" s="79" t="s">
        <v>196</v>
      </c>
      <c r="M112" s="79">
        <v>10028</v>
      </c>
      <c r="N112" s="79" t="s">
        <v>197</v>
      </c>
      <c r="O112" s="79">
        <v>3</v>
      </c>
    </row>
    <row r="113" spans="1:15" ht="22.5" customHeight="1">
      <c r="A113" s="79">
        <v>50000</v>
      </c>
      <c r="B113" s="79" t="s">
        <v>10</v>
      </c>
      <c r="C113" s="79">
        <v>50001</v>
      </c>
      <c r="D113" s="79" t="s">
        <v>11</v>
      </c>
      <c r="E113" s="79">
        <v>50002</v>
      </c>
      <c r="F113" s="79" t="s">
        <v>33</v>
      </c>
      <c r="G113" s="79">
        <v>50005</v>
      </c>
      <c r="H113" s="79" t="s">
        <v>34</v>
      </c>
      <c r="I113" s="79">
        <v>50007</v>
      </c>
      <c r="J113" s="79" t="s">
        <v>198</v>
      </c>
      <c r="K113" s="79">
        <v>50013</v>
      </c>
      <c r="L113" s="79" t="s">
        <v>199</v>
      </c>
      <c r="M113" s="79">
        <v>50013</v>
      </c>
      <c r="N113" s="79" t="s">
        <v>200</v>
      </c>
      <c r="O113" s="79">
        <v>6</v>
      </c>
    </row>
    <row r="114" spans="1:15" ht="22.5" customHeight="1">
      <c r="A114" s="79">
        <v>50000</v>
      </c>
      <c r="B114" s="79" t="s">
        <v>10</v>
      </c>
      <c r="C114" s="79">
        <v>50001</v>
      </c>
      <c r="D114" s="79" t="s">
        <v>11</v>
      </c>
      <c r="E114" s="79">
        <v>50002</v>
      </c>
      <c r="F114" s="79" t="s">
        <v>33</v>
      </c>
      <c r="G114" s="79">
        <v>50005</v>
      </c>
      <c r="H114" s="79" t="s">
        <v>34</v>
      </c>
      <c r="I114" s="79">
        <v>50007</v>
      </c>
      <c r="J114" s="79" t="s">
        <v>198</v>
      </c>
      <c r="K114" s="79">
        <v>50014</v>
      </c>
      <c r="L114" s="79" t="s">
        <v>201</v>
      </c>
      <c r="M114" s="79">
        <v>50014</v>
      </c>
      <c r="N114" s="79" t="s">
        <v>202</v>
      </c>
      <c r="O114" s="79">
        <v>6</v>
      </c>
    </row>
    <row r="115" spans="1:15" ht="22.5" customHeight="1">
      <c r="A115" s="79">
        <v>50000</v>
      </c>
      <c r="B115" s="79" t="s">
        <v>10</v>
      </c>
      <c r="C115" s="79">
        <v>50001</v>
      </c>
      <c r="D115" s="79" t="s">
        <v>11</v>
      </c>
      <c r="E115" s="79">
        <v>50002</v>
      </c>
      <c r="F115" s="79" t="s">
        <v>33</v>
      </c>
      <c r="G115" s="79">
        <v>50005</v>
      </c>
      <c r="H115" s="79" t="s">
        <v>34</v>
      </c>
      <c r="I115" s="79">
        <v>50008</v>
      </c>
      <c r="J115" s="79" t="s">
        <v>203</v>
      </c>
      <c r="K115" s="79">
        <v>50015</v>
      </c>
      <c r="L115" s="79" t="s">
        <v>204</v>
      </c>
      <c r="M115" s="79">
        <v>50015</v>
      </c>
      <c r="N115" s="79" t="s">
        <v>204</v>
      </c>
      <c r="O115" s="79">
        <v>6</v>
      </c>
    </row>
    <row r="116" spans="1:15" ht="22.5" customHeight="1">
      <c r="A116" s="79">
        <v>50000</v>
      </c>
      <c r="B116" s="79" t="s">
        <v>10</v>
      </c>
      <c r="C116" s="79">
        <v>50001</v>
      </c>
      <c r="D116" s="79" t="s">
        <v>11</v>
      </c>
      <c r="E116" s="79">
        <v>50002</v>
      </c>
      <c r="F116" s="79" t="s">
        <v>33</v>
      </c>
      <c r="G116" s="79">
        <v>50005</v>
      </c>
      <c r="H116" s="79" t="s">
        <v>34</v>
      </c>
      <c r="I116" s="79">
        <v>50008</v>
      </c>
      <c r="J116" s="79" t="s">
        <v>203</v>
      </c>
      <c r="K116" s="79">
        <v>50016</v>
      </c>
      <c r="L116" s="79" t="s">
        <v>205</v>
      </c>
      <c r="M116" s="79">
        <v>50016</v>
      </c>
      <c r="N116" s="79" t="s">
        <v>205</v>
      </c>
      <c r="O116" s="79">
        <v>6</v>
      </c>
    </row>
    <row r="117" spans="1:15" ht="22.5" customHeight="1">
      <c r="A117" s="79">
        <v>50000</v>
      </c>
      <c r="B117" s="79" t="s">
        <v>10</v>
      </c>
      <c r="C117" s="79">
        <v>50001</v>
      </c>
      <c r="D117" s="79" t="s">
        <v>11</v>
      </c>
      <c r="E117" s="79">
        <v>50002</v>
      </c>
      <c r="F117" s="79" t="s">
        <v>33</v>
      </c>
      <c r="G117" s="79">
        <v>50005</v>
      </c>
      <c r="H117" s="79" t="s">
        <v>34</v>
      </c>
      <c r="I117" s="79">
        <v>50009</v>
      </c>
      <c r="J117" s="79" t="s">
        <v>206</v>
      </c>
      <c r="K117" s="79">
        <v>50017</v>
      </c>
      <c r="L117" s="79" t="s">
        <v>207</v>
      </c>
      <c r="M117" s="79">
        <v>50017</v>
      </c>
      <c r="N117" s="79" t="s">
        <v>208</v>
      </c>
      <c r="O117" s="79">
        <v>6</v>
      </c>
    </row>
    <row r="118" spans="1:15" ht="22.5" customHeight="1">
      <c r="A118" s="79">
        <v>50000</v>
      </c>
      <c r="B118" s="79" t="s">
        <v>10</v>
      </c>
      <c r="C118" s="79">
        <v>50001</v>
      </c>
      <c r="D118" s="79" t="s">
        <v>11</v>
      </c>
      <c r="E118" s="79">
        <v>50002</v>
      </c>
      <c r="F118" s="79" t="s">
        <v>33</v>
      </c>
      <c r="G118" s="79">
        <v>50005</v>
      </c>
      <c r="H118" s="79" t="s">
        <v>34</v>
      </c>
      <c r="I118" s="79">
        <v>50009</v>
      </c>
      <c r="J118" s="79" t="s">
        <v>206</v>
      </c>
      <c r="K118" s="79">
        <v>50018</v>
      </c>
      <c r="L118" s="79" t="s">
        <v>209</v>
      </c>
      <c r="M118" s="79">
        <v>50018</v>
      </c>
      <c r="N118" s="79" t="s">
        <v>210</v>
      </c>
      <c r="O118" s="79">
        <v>6</v>
      </c>
    </row>
    <row r="119" spans="1:15" ht="22.5" customHeight="1">
      <c r="A119" s="79">
        <v>50000</v>
      </c>
      <c r="B119" s="79" t="s">
        <v>10</v>
      </c>
      <c r="C119" s="79">
        <v>50001</v>
      </c>
      <c r="D119" s="79" t="s">
        <v>11</v>
      </c>
      <c r="E119" s="79">
        <v>50002</v>
      </c>
      <c r="F119" s="79" t="s">
        <v>33</v>
      </c>
      <c r="G119" s="79">
        <v>50006</v>
      </c>
      <c r="H119" s="79" t="s">
        <v>50</v>
      </c>
      <c r="I119" s="79">
        <v>50010</v>
      </c>
      <c r="J119" s="79" t="s">
        <v>211</v>
      </c>
      <c r="K119" s="79">
        <v>50019</v>
      </c>
      <c r="L119" s="79" t="s">
        <v>212</v>
      </c>
      <c r="M119" s="79">
        <v>50019</v>
      </c>
      <c r="N119" s="79" t="s">
        <v>213</v>
      </c>
      <c r="O119" s="79">
        <v>6</v>
      </c>
    </row>
    <row r="120" spans="1:15" ht="22.5" customHeight="1">
      <c r="A120" s="79">
        <v>50000</v>
      </c>
      <c r="B120" s="79" t="s">
        <v>10</v>
      </c>
      <c r="C120" s="79">
        <v>50001</v>
      </c>
      <c r="D120" s="79" t="s">
        <v>11</v>
      </c>
      <c r="E120" s="79">
        <v>50002</v>
      </c>
      <c r="F120" s="79" t="s">
        <v>33</v>
      </c>
      <c r="G120" s="79">
        <v>50006</v>
      </c>
      <c r="H120" s="79" t="s">
        <v>50</v>
      </c>
      <c r="I120" s="79">
        <v>50010</v>
      </c>
      <c r="J120" s="79" t="s">
        <v>211</v>
      </c>
      <c r="K120" s="79">
        <v>50020</v>
      </c>
      <c r="L120" s="79" t="s">
        <v>214</v>
      </c>
      <c r="M120" s="79">
        <v>50020</v>
      </c>
      <c r="N120" s="79" t="s">
        <v>214</v>
      </c>
      <c r="O120" s="79">
        <v>6</v>
      </c>
    </row>
    <row r="121" spans="1:15" ht="22.5" customHeight="1">
      <c r="A121" s="79">
        <v>50000</v>
      </c>
      <c r="B121" s="79" t="s">
        <v>10</v>
      </c>
      <c r="C121" s="79">
        <v>50001</v>
      </c>
      <c r="D121" s="79" t="s">
        <v>11</v>
      </c>
      <c r="E121" s="79">
        <v>50003</v>
      </c>
      <c r="F121" s="79" t="s">
        <v>71</v>
      </c>
      <c r="G121" s="79">
        <v>50011</v>
      </c>
      <c r="H121" s="79" t="s">
        <v>215</v>
      </c>
      <c r="I121" s="79">
        <v>50021</v>
      </c>
      <c r="J121" s="79" t="s">
        <v>216</v>
      </c>
      <c r="M121" s="79">
        <v>50021</v>
      </c>
      <c r="N121" s="79" t="s">
        <v>217</v>
      </c>
      <c r="O121" s="79">
        <v>5</v>
      </c>
    </row>
    <row r="122" spans="1:15" ht="22.5" customHeight="1">
      <c r="A122" s="79">
        <v>50000</v>
      </c>
      <c r="B122" s="79" t="s">
        <v>10</v>
      </c>
      <c r="C122" s="79">
        <v>50001</v>
      </c>
      <c r="D122" s="79" t="s">
        <v>11</v>
      </c>
      <c r="E122" s="79">
        <v>50003</v>
      </c>
      <c r="F122" s="79" t="s">
        <v>71</v>
      </c>
      <c r="G122" s="79">
        <v>50012</v>
      </c>
      <c r="H122" s="79" t="s">
        <v>218</v>
      </c>
      <c r="I122" s="79">
        <v>50022</v>
      </c>
      <c r="J122" s="79" t="s">
        <v>219</v>
      </c>
      <c r="M122" s="79">
        <v>50022</v>
      </c>
      <c r="N122" s="79" t="s">
        <v>219</v>
      </c>
      <c r="O122" s="79">
        <v>5</v>
      </c>
    </row>
    <row r="123" spans="1:15" ht="22.5" customHeight="1">
      <c r="A123" s="79">
        <v>50000</v>
      </c>
      <c r="B123" s="79" t="s">
        <v>10</v>
      </c>
      <c r="C123" s="79">
        <v>50001</v>
      </c>
      <c r="D123" s="79" t="s">
        <v>11</v>
      </c>
      <c r="E123" s="79">
        <v>50003</v>
      </c>
      <c r="F123" s="79" t="s">
        <v>71</v>
      </c>
      <c r="G123" s="79">
        <v>50012</v>
      </c>
      <c r="H123" s="79" t="s">
        <v>218</v>
      </c>
      <c r="I123" s="79">
        <v>50023</v>
      </c>
      <c r="J123" s="79" t="s">
        <v>220</v>
      </c>
      <c r="M123" s="79">
        <v>50023</v>
      </c>
      <c r="N123" s="79" t="s">
        <v>220</v>
      </c>
      <c r="O123" s="79">
        <v>5</v>
      </c>
    </row>
    <row r="124" spans="1:15" ht="22.5" customHeight="1">
      <c r="A124" s="79">
        <v>50000</v>
      </c>
      <c r="B124" s="79" t="s">
        <v>10</v>
      </c>
      <c r="C124" s="79">
        <v>50001</v>
      </c>
      <c r="D124" s="79" t="s">
        <v>11</v>
      </c>
      <c r="E124" s="79">
        <v>50003</v>
      </c>
      <c r="F124" s="79" t="s">
        <v>71</v>
      </c>
      <c r="G124" s="79">
        <v>50012</v>
      </c>
      <c r="H124" s="79" t="s">
        <v>218</v>
      </c>
      <c r="I124" s="79">
        <v>50024</v>
      </c>
      <c r="J124" s="79" t="s">
        <v>221</v>
      </c>
      <c r="M124" s="79">
        <v>50024</v>
      </c>
      <c r="N124" s="79" t="s">
        <v>221</v>
      </c>
      <c r="O124" s="79">
        <v>5</v>
      </c>
    </row>
    <row r="125" spans="1:15" ht="22.5" customHeight="1">
      <c r="A125" s="79">
        <v>50000</v>
      </c>
      <c r="B125" s="79" t="s">
        <v>10</v>
      </c>
      <c r="C125" s="79">
        <v>50001</v>
      </c>
      <c r="D125" s="79" t="s">
        <v>11</v>
      </c>
      <c r="E125" s="79">
        <v>50003</v>
      </c>
      <c r="F125" s="79" t="s">
        <v>71</v>
      </c>
      <c r="G125" s="79">
        <v>50012</v>
      </c>
      <c r="H125" s="79" t="s">
        <v>218</v>
      </c>
      <c r="I125" s="79">
        <v>50025</v>
      </c>
      <c r="J125" s="79" t="s">
        <v>222</v>
      </c>
      <c r="M125" s="79">
        <v>50025</v>
      </c>
      <c r="N125" s="79" t="s">
        <v>222</v>
      </c>
      <c r="O125" s="79">
        <v>5</v>
      </c>
    </row>
    <row r="126" spans="1:15" ht="22.5" customHeight="1">
      <c r="A126" s="79">
        <v>50000</v>
      </c>
      <c r="B126" s="79" t="s">
        <v>10</v>
      </c>
      <c r="C126" s="79">
        <v>50001</v>
      </c>
      <c r="D126" s="79" t="s">
        <v>11</v>
      </c>
      <c r="E126" s="79">
        <v>50003</v>
      </c>
      <c r="F126" s="79" t="s">
        <v>71</v>
      </c>
      <c r="G126" s="79">
        <v>50012</v>
      </c>
      <c r="H126" s="79" t="s">
        <v>218</v>
      </c>
      <c r="I126" s="79">
        <v>50026</v>
      </c>
      <c r="J126" s="79" t="s">
        <v>223</v>
      </c>
      <c r="M126" s="79">
        <v>50026</v>
      </c>
      <c r="N126" s="79" t="s">
        <v>223</v>
      </c>
      <c r="O126" s="79">
        <v>5</v>
      </c>
    </row>
    <row r="127" spans="1:15" ht="22.5" customHeight="1">
      <c r="A127" s="79">
        <v>50000</v>
      </c>
      <c r="B127" s="79" t="s">
        <v>10</v>
      </c>
      <c r="C127" s="79">
        <v>50001</v>
      </c>
      <c r="D127" s="79" t="s">
        <v>11</v>
      </c>
      <c r="E127" s="79">
        <v>50004</v>
      </c>
      <c r="F127" s="79" t="s">
        <v>85</v>
      </c>
      <c r="G127" s="79">
        <v>50027</v>
      </c>
      <c r="H127" s="79" t="s">
        <v>224</v>
      </c>
      <c r="M127" s="79">
        <v>50027</v>
      </c>
      <c r="N127" s="79" t="s">
        <v>224</v>
      </c>
      <c r="O127" s="79">
        <v>4</v>
      </c>
    </row>
    <row r="128" spans="1:15" ht="22.5" customHeight="1">
      <c r="A128" s="79">
        <v>50000</v>
      </c>
      <c r="B128" s="79" t="s">
        <v>10</v>
      </c>
      <c r="C128" s="79">
        <v>50001</v>
      </c>
      <c r="D128" s="79" t="s">
        <v>11</v>
      </c>
      <c r="E128" s="79">
        <v>50004</v>
      </c>
      <c r="F128" s="79" t="s">
        <v>85</v>
      </c>
      <c r="G128" s="79">
        <v>50028</v>
      </c>
      <c r="H128" s="79" t="s">
        <v>225</v>
      </c>
      <c r="M128" s="79">
        <v>50028</v>
      </c>
      <c r="N128" s="79" t="s">
        <v>225</v>
      </c>
      <c r="O128" s="79">
        <v>4</v>
      </c>
    </row>
    <row r="129" spans="1:15" ht="22.5" customHeight="1">
      <c r="A129" s="79">
        <v>50000</v>
      </c>
      <c r="B129" s="79" t="s">
        <v>10</v>
      </c>
      <c r="C129" s="79">
        <v>50001</v>
      </c>
      <c r="D129" s="79" t="s">
        <v>11</v>
      </c>
      <c r="E129" s="79">
        <v>50004</v>
      </c>
      <c r="F129" s="79" t="s">
        <v>85</v>
      </c>
      <c r="G129" s="79">
        <v>50029</v>
      </c>
      <c r="H129" s="79" t="s">
        <v>226</v>
      </c>
      <c r="M129" s="79">
        <v>50029</v>
      </c>
      <c r="N129" s="79" t="s">
        <v>226</v>
      </c>
      <c r="O129" s="79">
        <v>4</v>
      </c>
    </row>
    <row r="130" spans="1:15" ht="22.5" customHeight="1">
      <c r="A130" s="79">
        <v>50000</v>
      </c>
      <c r="B130" s="79" t="s">
        <v>10</v>
      </c>
      <c r="C130" s="79">
        <v>50030</v>
      </c>
      <c r="D130" s="79" t="s">
        <v>12</v>
      </c>
      <c r="E130" s="79">
        <v>50031</v>
      </c>
      <c r="F130" s="79" t="s">
        <v>33</v>
      </c>
      <c r="G130" s="79">
        <v>50034</v>
      </c>
      <c r="H130" s="79" t="s">
        <v>34</v>
      </c>
      <c r="I130" s="79">
        <v>50036</v>
      </c>
      <c r="J130" s="79" t="s">
        <v>198</v>
      </c>
      <c r="K130" s="79">
        <v>50042</v>
      </c>
      <c r="L130" s="79" t="s">
        <v>227</v>
      </c>
      <c r="M130" s="79">
        <v>50042</v>
      </c>
      <c r="N130" s="79" t="s">
        <v>227</v>
      </c>
      <c r="O130" s="79">
        <v>6</v>
      </c>
    </row>
    <row r="131" spans="1:15" ht="22.5" customHeight="1">
      <c r="A131" s="79">
        <v>50000</v>
      </c>
      <c r="B131" s="79" t="s">
        <v>10</v>
      </c>
      <c r="C131" s="79">
        <v>50030</v>
      </c>
      <c r="D131" s="79" t="s">
        <v>12</v>
      </c>
      <c r="E131" s="79">
        <v>50031</v>
      </c>
      <c r="F131" s="79" t="s">
        <v>33</v>
      </c>
      <c r="G131" s="79">
        <v>50034</v>
      </c>
      <c r="H131" s="79" t="s">
        <v>34</v>
      </c>
      <c r="I131" s="79">
        <v>50036</v>
      </c>
      <c r="J131" s="79" t="s">
        <v>198</v>
      </c>
      <c r="K131" s="79">
        <v>50043</v>
      </c>
      <c r="L131" s="79" t="s">
        <v>201</v>
      </c>
      <c r="M131" s="79">
        <v>50043</v>
      </c>
      <c r="N131" s="79" t="s">
        <v>202</v>
      </c>
      <c r="O131" s="79">
        <v>6</v>
      </c>
    </row>
    <row r="132" spans="1:15" ht="22.5" customHeight="1">
      <c r="A132" s="79">
        <v>50000</v>
      </c>
      <c r="B132" s="79" t="s">
        <v>10</v>
      </c>
      <c r="C132" s="79">
        <v>50030</v>
      </c>
      <c r="D132" s="79" t="s">
        <v>12</v>
      </c>
      <c r="E132" s="79">
        <v>50031</v>
      </c>
      <c r="F132" s="79" t="s">
        <v>33</v>
      </c>
      <c r="G132" s="79">
        <v>50034</v>
      </c>
      <c r="H132" s="79" t="s">
        <v>34</v>
      </c>
      <c r="I132" s="79">
        <v>50037</v>
      </c>
      <c r="J132" s="79" t="s">
        <v>203</v>
      </c>
      <c r="K132" s="79">
        <v>50044</v>
      </c>
      <c r="L132" s="79" t="s">
        <v>205</v>
      </c>
      <c r="M132" s="79">
        <v>50044</v>
      </c>
      <c r="N132" s="79" t="s">
        <v>205</v>
      </c>
      <c r="O132" s="79">
        <v>6</v>
      </c>
    </row>
    <row r="133" spans="1:15" ht="22.5" customHeight="1">
      <c r="A133" s="79">
        <v>50000</v>
      </c>
      <c r="B133" s="79" t="s">
        <v>10</v>
      </c>
      <c r="C133" s="79">
        <v>50030</v>
      </c>
      <c r="D133" s="79" t="s">
        <v>12</v>
      </c>
      <c r="E133" s="79">
        <v>50031</v>
      </c>
      <c r="F133" s="79" t="s">
        <v>33</v>
      </c>
      <c r="G133" s="79">
        <v>50034</v>
      </c>
      <c r="H133" s="79" t="s">
        <v>34</v>
      </c>
      <c r="I133" s="79">
        <v>50038</v>
      </c>
      <c r="J133" s="79" t="s">
        <v>228</v>
      </c>
      <c r="K133" s="79">
        <v>50045</v>
      </c>
      <c r="L133" s="79" t="s">
        <v>229</v>
      </c>
      <c r="M133" s="79">
        <v>50045</v>
      </c>
      <c r="N133" s="79" t="s">
        <v>229</v>
      </c>
      <c r="O133" s="79">
        <v>6</v>
      </c>
    </row>
    <row r="134" spans="1:15" ht="22.5" customHeight="1">
      <c r="A134" s="79">
        <v>50000</v>
      </c>
      <c r="B134" s="79" t="s">
        <v>10</v>
      </c>
      <c r="C134" s="79">
        <v>50030</v>
      </c>
      <c r="D134" s="79" t="s">
        <v>12</v>
      </c>
      <c r="E134" s="79">
        <v>50031</v>
      </c>
      <c r="F134" s="79" t="s">
        <v>33</v>
      </c>
      <c r="G134" s="79">
        <v>50035</v>
      </c>
      <c r="H134" s="79" t="s">
        <v>50</v>
      </c>
      <c r="I134" s="79">
        <v>50039</v>
      </c>
      <c r="J134" s="79" t="s">
        <v>211</v>
      </c>
      <c r="K134" s="79">
        <v>50046</v>
      </c>
      <c r="L134" s="79" t="s">
        <v>212</v>
      </c>
      <c r="M134" s="79">
        <v>50046</v>
      </c>
      <c r="N134" s="79" t="s">
        <v>213</v>
      </c>
      <c r="O134" s="79">
        <v>6</v>
      </c>
    </row>
    <row r="135" spans="1:15" ht="22.5" customHeight="1">
      <c r="A135" s="79">
        <v>50000</v>
      </c>
      <c r="B135" s="79" t="s">
        <v>10</v>
      </c>
      <c r="C135" s="79">
        <v>50030</v>
      </c>
      <c r="D135" s="79" t="s">
        <v>12</v>
      </c>
      <c r="E135" s="79">
        <v>50032</v>
      </c>
      <c r="F135" s="79" t="s">
        <v>71</v>
      </c>
      <c r="G135" s="79">
        <v>50040</v>
      </c>
      <c r="H135" s="79" t="s">
        <v>215</v>
      </c>
      <c r="I135" s="79">
        <v>50047</v>
      </c>
      <c r="J135" s="79" t="s">
        <v>216</v>
      </c>
      <c r="M135" s="79">
        <v>50047</v>
      </c>
      <c r="N135" s="79" t="s">
        <v>217</v>
      </c>
      <c r="O135" s="79">
        <v>5</v>
      </c>
    </row>
    <row r="136" spans="1:15" ht="22.5" customHeight="1">
      <c r="A136" s="79">
        <v>50000</v>
      </c>
      <c r="B136" s="79" t="s">
        <v>10</v>
      </c>
      <c r="C136" s="79">
        <v>50030</v>
      </c>
      <c r="D136" s="79" t="s">
        <v>12</v>
      </c>
      <c r="E136" s="79">
        <v>50032</v>
      </c>
      <c r="F136" s="79" t="s">
        <v>71</v>
      </c>
      <c r="G136" s="79">
        <v>50041</v>
      </c>
      <c r="H136" s="79" t="s">
        <v>218</v>
      </c>
      <c r="I136" s="79">
        <v>50048</v>
      </c>
      <c r="J136" s="79" t="s">
        <v>219</v>
      </c>
      <c r="M136" s="79">
        <v>50048</v>
      </c>
      <c r="N136" s="79" t="s">
        <v>219</v>
      </c>
      <c r="O136" s="79">
        <v>5</v>
      </c>
    </row>
    <row r="137" spans="1:15" ht="22.5" customHeight="1">
      <c r="A137" s="79">
        <v>50000</v>
      </c>
      <c r="B137" s="79" t="s">
        <v>10</v>
      </c>
      <c r="C137" s="79">
        <v>50030</v>
      </c>
      <c r="D137" s="79" t="s">
        <v>12</v>
      </c>
      <c r="E137" s="79">
        <v>50032</v>
      </c>
      <c r="F137" s="79" t="s">
        <v>71</v>
      </c>
      <c r="G137" s="79">
        <v>50041</v>
      </c>
      <c r="H137" s="79" t="s">
        <v>218</v>
      </c>
      <c r="I137" s="79">
        <v>50049</v>
      </c>
      <c r="J137" s="79" t="s">
        <v>230</v>
      </c>
      <c r="M137" s="79">
        <v>50049</v>
      </c>
      <c r="N137" s="79" t="s">
        <v>231</v>
      </c>
      <c r="O137" s="79">
        <v>5</v>
      </c>
    </row>
    <row r="138" spans="1:15" ht="22.5" customHeight="1">
      <c r="A138" s="79">
        <v>50000</v>
      </c>
      <c r="B138" s="79" t="s">
        <v>10</v>
      </c>
      <c r="C138" s="79">
        <v>50030</v>
      </c>
      <c r="D138" s="79" t="s">
        <v>12</v>
      </c>
      <c r="E138" s="79">
        <v>50032</v>
      </c>
      <c r="F138" s="79" t="s">
        <v>71</v>
      </c>
      <c r="G138" s="79">
        <v>50041</v>
      </c>
      <c r="H138" s="79" t="s">
        <v>218</v>
      </c>
      <c r="I138" s="79">
        <v>50050</v>
      </c>
      <c r="J138" s="79" t="s">
        <v>232</v>
      </c>
      <c r="M138" s="79">
        <v>50050</v>
      </c>
      <c r="N138" s="79" t="s">
        <v>232</v>
      </c>
      <c r="O138" s="79">
        <v>5</v>
      </c>
    </row>
    <row r="139" spans="1:15" ht="22.5" customHeight="1">
      <c r="A139" s="79">
        <v>50000</v>
      </c>
      <c r="B139" s="79" t="s">
        <v>10</v>
      </c>
      <c r="C139" s="79">
        <v>50030</v>
      </c>
      <c r="D139" s="79" t="s">
        <v>12</v>
      </c>
      <c r="E139" s="79">
        <v>50032</v>
      </c>
      <c r="F139" s="79" t="s">
        <v>71</v>
      </c>
      <c r="G139" s="79">
        <v>50041</v>
      </c>
      <c r="H139" s="79" t="s">
        <v>218</v>
      </c>
      <c r="I139" s="79">
        <v>50051</v>
      </c>
      <c r="J139" s="79" t="s">
        <v>233</v>
      </c>
      <c r="M139" s="79">
        <v>50051</v>
      </c>
      <c r="N139" s="79" t="s">
        <v>233</v>
      </c>
      <c r="O139" s="79">
        <v>5</v>
      </c>
    </row>
    <row r="140" spans="1:15" ht="22.5" customHeight="1">
      <c r="A140" s="79">
        <v>50000</v>
      </c>
      <c r="B140" s="79" t="s">
        <v>10</v>
      </c>
      <c r="C140" s="79">
        <v>50030</v>
      </c>
      <c r="D140" s="79" t="s">
        <v>12</v>
      </c>
      <c r="E140" s="79">
        <v>50033</v>
      </c>
      <c r="F140" s="79" t="s">
        <v>85</v>
      </c>
      <c r="G140" s="79">
        <v>50052</v>
      </c>
      <c r="H140" s="79" t="s">
        <v>224</v>
      </c>
      <c r="M140" s="79">
        <v>50052</v>
      </c>
      <c r="N140" s="79" t="s">
        <v>224</v>
      </c>
      <c r="O140" s="79">
        <v>4</v>
      </c>
    </row>
    <row r="141" spans="1:15" ht="22.5" customHeight="1">
      <c r="A141" s="79">
        <v>50000</v>
      </c>
      <c r="B141" s="79" t="s">
        <v>10</v>
      </c>
      <c r="C141" s="79">
        <v>50030</v>
      </c>
      <c r="D141" s="79" t="s">
        <v>12</v>
      </c>
      <c r="E141" s="79">
        <v>50033</v>
      </c>
      <c r="F141" s="79" t="s">
        <v>85</v>
      </c>
      <c r="G141" s="79">
        <v>50053</v>
      </c>
      <c r="H141" s="79" t="s">
        <v>225</v>
      </c>
      <c r="M141" s="79">
        <v>50053</v>
      </c>
      <c r="N141" s="79" t="s">
        <v>225</v>
      </c>
      <c r="O141" s="79">
        <v>4</v>
      </c>
    </row>
    <row r="142" spans="1:15" ht="22.5" customHeight="1">
      <c r="A142" s="79">
        <v>50000</v>
      </c>
      <c r="B142" s="79" t="s">
        <v>10</v>
      </c>
      <c r="C142" s="79">
        <v>50030</v>
      </c>
      <c r="D142" s="79" t="s">
        <v>12</v>
      </c>
      <c r="E142" s="79">
        <v>50033</v>
      </c>
      <c r="F142" s="79" t="s">
        <v>85</v>
      </c>
      <c r="G142" s="79">
        <v>50054</v>
      </c>
      <c r="H142" s="79" t="s">
        <v>226</v>
      </c>
      <c r="M142" s="79">
        <v>50054</v>
      </c>
      <c r="N142" s="79" t="s">
        <v>226</v>
      </c>
      <c r="O142" s="79">
        <v>4</v>
      </c>
    </row>
    <row r="143" spans="1:15" ht="22.5" customHeight="1">
      <c r="A143" s="79">
        <v>50000</v>
      </c>
      <c r="B143" s="79" t="s">
        <v>10</v>
      </c>
      <c r="C143" s="79">
        <v>50055</v>
      </c>
      <c r="D143" s="79" t="s">
        <v>13</v>
      </c>
      <c r="E143" s="79">
        <v>50056</v>
      </c>
      <c r="F143" s="79" t="s">
        <v>33</v>
      </c>
      <c r="G143" s="79">
        <v>50059</v>
      </c>
      <c r="H143" s="79" t="s">
        <v>34</v>
      </c>
      <c r="I143" s="79">
        <v>50061</v>
      </c>
      <c r="J143" s="79" t="s">
        <v>198</v>
      </c>
      <c r="K143" s="79">
        <v>50066</v>
      </c>
      <c r="L143" s="79" t="s">
        <v>227</v>
      </c>
      <c r="M143" s="79">
        <v>50066</v>
      </c>
      <c r="N143" s="79" t="s">
        <v>227</v>
      </c>
      <c r="O143" s="79">
        <v>6</v>
      </c>
    </row>
    <row r="144" spans="1:15" ht="22.5" customHeight="1">
      <c r="A144" s="79">
        <v>50000</v>
      </c>
      <c r="B144" s="79" t="s">
        <v>10</v>
      </c>
      <c r="C144" s="79">
        <v>50055</v>
      </c>
      <c r="D144" s="79" t="s">
        <v>13</v>
      </c>
      <c r="E144" s="79">
        <v>50056</v>
      </c>
      <c r="F144" s="79" t="s">
        <v>33</v>
      </c>
      <c r="G144" s="79">
        <v>50059</v>
      </c>
      <c r="H144" s="79" t="s">
        <v>34</v>
      </c>
      <c r="I144" s="79">
        <v>50061</v>
      </c>
      <c r="J144" s="79" t="s">
        <v>198</v>
      </c>
      <c r="K144" s="79">
        <v>50067</v>
      </c>
      <c r="L144" s="79" t="s">
        <v>201</v>
      </c>
      <c r="M144" s="79">
        <v>50067</v>
      </c>
      <c r="N144" s="79" t="s">
        <v>202</v>
      </c>
      <c r="O144" s="79">
        <v>6</v>
      </c>
    </row>
    <row r="145" spans="1:15" ht="22.5" customHeight="1">
      <c r="A145" s="79">
        <v>50000</v>
      </c>
      <c r="B145" s="79" t="s">
        <v>10</v>
      </c>
      <c r="C145" s="79">
        <v>50055</v>
      </c>
      <c r="D145" s="79" t="s">
        <v>13</v>
      </c>
      <c r="E145" s="79">
        <v>50056</v>
      </c>
      <c r="F145" s="79" t="s">
        <v>33</v>
      </c>
      <c r="G145" s="79">
        <v>50059</v>
      </c>
      <c r="H145" s="79" t="s">
        <v>34</v>
      </c>
      <c r="I145" s="79">
        <v>50062</v>
      </c>
      <c r="J145" s="79" t="s">
        <v>234</v>
      </c>
      <c r="K145" s="79">
        <v>50068</v>
      </c>
      <c r="L145" s="79" t="s">
        <v>235</v>
      </c>
      <c r="M145" s="79">
        <v>50068</v>
      </c>
      <c r="N145" s="79" t="s">
        <v>235</v>
      </c>
      <c r="O145" s="79">
        <v>6</v>
      </c>
    </row>
    <row r="146" spans="1:15" ht="22.5" customHeight="1">
      <c r="A146" s="79">
        <v>50000</v>
      </c>
      <c r="B146" s="79" t="s">
        <v>10</v>
      </c>
      <c r="C146" s="79">
        <v>50055</v>
      </c>
      <c r="D146" s="79" t="s">
        <v>13</v>
      </c>
      <c r="E146" s="79">
        <v>50056</v>
      </c>
      <c r="F146" s="79" t="s">
        <v>33</v>
      </c>
      <c r="G146" s="79">
        <v>50060</v>
      </c>
      <c r="H146" s="79" t="s">
        <v>50</v>
      </c>
      <c r="I146" s="79">
        <v>50063</v>
      </c>
      <c r="J146" s="79" t="s">
        <v>211</v>
      </c>
      <c r="K146" s="79">
        <v>50069</v>
      </c>
      <c r="L146" s="79" t="s">
        <v>212</v>
      </c>
      <c r="M146" s="79">
        <v>50069</v>
      </c>
      <c r="N146" s="79" t="s">
        <v>213</v>
      </c>
      <c r="O146" s="79">
        <v>6</v>
      </c>
    </row>
    <row r="147" spans="1:15" ht="22.5" customHeight="1">
      <c r="A147" s="79">
        <v>50000</v>
      </c>
      <c r="B147" s="79" t="s">
        <v>10</v>
      </c>
      <c r="C147" s="79">
        <v>50055</v>
      </c>
      <c r="D147" s="79" t="s">
        <v>13</v>
      </c>
      <c r="E147" s="79">
        <v>50057</v>
      </c>
      <c r="F147" s="79" t="s">
        <v>71</v>
      </c>
      <c r="G147" s="79">
        <v>50064</v>
      </c>
      <c r="H147" s="79" t="s">
        <v>215</v>
      </c>
      <c r="I147" s="79">
        <v>50070</v>
      </c>
      <c r="J147" s="79" t="s">
        <v>216</v>
      </c>
      <c r="M147" s="79">
        <v>50070</v>
      </c>
      <c r="N147" s="79" t="s">
        <v>217</v>
      </c>
      <c r="O147" s="79">
        <v>5</v>
      </c>
    </row>
    <row r="148" spans="1:15" ht="22.5" customHeight="1">
      <c r="A148" s="79">
        <v>50000</v>
      </c>
      <c r="B148" s="79" t="s">
        <v>10</v>
      </c>
      <c r="C148" s="79">
        <v>50055</v>
      </c>
      <c r="D148" s="79" t="s">
        <v>13</v>
      </c>
      <c r="E148" s="79">
        <v>50057</v>
      </c>
      <c r="F148" s="79" t="s">
        <v>71</v>
      </c>
      <c r="G148" s="79">
        <v>50065</v>
      </c>
      <c r="H148" s="79" t="s">
        <v>218</v>
      </c>
      <c r="I148" s="79">
        <v>50071</v>
      </c>
      <c r="J148" s="79" t="s">
        <v>219</v>
      </c>
      <c r="M148" s="79">
        <v>50071</v>
      </c>
      <c r="N148" s="79" t="s">
        <v>219</v>
      </c>
      <c r="O148" s="79">
        <v>5</v>
      </c>
    </row>
    <row r="149" spans="1:15" ht="22.5" customHeight="1">
      <c r="A149" s="79">
        <v>50000</v>
      </c>
      <c r="B149" s="79" t="s">
        <v>10</v>
      </c>
      <c r="C149" s="79">
        <v>50055</v>
      </c>
      <c r="D149" s="79" t="s">
        <v>13</v>
      </c>
      <c r="E149" s="79">
        <v>50057</v>
      </c>
      <c r="F149" s="79" t="s">
        <v>71</v>
      </c>
      <c r="G149" s="79">
        <v>50065</v>
      </c>
      <c r="H149" s="79" t="s">
        <v>218</v>
      </c>
      <c r="I149" s="79">
        <v>50072</v>
      </c>
      <c r="J149" s="79" t="s">
        <v>232</v>
      </c>
      <c r="M149" s="79">
        <v>50072</v>
      </c>
      <c r="N149" s="79" t="s">
        <v>232</v>
      </c>
      <c r="O149" s="79">
        <v>5</v>
      </c>
    </row>
    <row r="150" spans="1:15" ht="22.5" customHeight="1">
      <c r="A150" s="79">
        <v>50000</v>
      </c>
      <c r="B150" s="79" t="s">
        <v>10</v>
      </c>
      <c r="C150" s="79">
        <v>50055</v>
      </c>
      <c r="D150" s="79" t="s">
        <v>13</v>
      </c>
      <c r="E150" s="79">
        <v>50058</v>
      </c>
      <c r="F150" s="79" t="s">
        <v>85</v>
      </c>
      <c r="G150" s="79">
        <v>50073</v>
      </c>
      <c r="H150" s="79" t="s">
        <v>236</v>
      </c>
      <c r="M150" s="79">
        <v>50073</v>
      </c>
      <c r="N150" s="79" t="s">
        <v>236</v>
      </c>
      <c r="O150" s="79">
        <v>4</v>
      </c>
    </row>
    <row r="151" spans="1:15" ht="22.5" customHeight="1">
      <c r="A151" s="79">
        <v>50000</v>
      </c>
      <c r="B151" s="79" t="s">
        <v>10</v>
      </c>
      <c r="C151" s="79">
        <v>50055</v>
      </c>
      <c r="D151" s="79" t="s">
        <v>13</v>
      </c>
      <c r="E151" s="79">
        <v>50058</v>
      </c>
      <c r="F151" s="79" t="s">
        <v>85</v>
      </c>
      <c r="G151" s="79">
        <v>50074</v>
      </c>
      <c r="H151" s="79" t="s">
        <v>225</v>
      </c>
      <c r="M151" s="79">
        <v>50074</v>
      </c>
      <c r="N151" s="79" t="s">
        <v>225</v>
      </c>
      <c r="O151" s="79">
        <v>4</v>
      </c>
    </row>
    <row r="152" spans="1:15" ht="22.5" customHeight="1">
      <c r="A152" s="79">
        <v>50000</v>
      </c>
      <c r="B152" s="79" t="s">
        <v>10</v>
      </c>
      <c r="C152" s="79">
        <v>50055</v>
      </c>
      <c r="D152" s="79" t="s">
        <v>13</v>
      </c>
      <c r="E152" s="79">
        <v>50058</v>
      </c>
      <c r="F152" s="79" t="s">
        <v>85</v>
      </c>
      <c r="G152" s="79">
        <v>50075</v>
      </c>
      <c r="H152" s="79" t="s">
        <v>226</v>
      </c>
      <c r="M152" s="79">
        <v>50075</v>
      </c>
      <c r="N152" s="79" t="s">
        <v>226</v>
      </c>
      <c r="O152" s="79">
        <v>4</v>
      </c>
    </row>
    <row r="153" spans="1:15" ht="22.5" customHeight="1">
      <c r="A153" s="79">
        <v>50000</v>
      </c>
      <c r="B153" s="79" t="s">
        <v>10</v>
      </c>
      <c r="C153" s="79">
        <v>50076</v>
      </c>
      <c r="D153" s="79" t="s">
        <v>14</v>
      </c>
      <c r="E153" s="79">
        <v>50077</v>
      </c>
      <c r="F153" s="79" t="s">
        <v>33</v>
      </c>
      <c r="G153" s="79">
        <v>50080</v>
      </c>
      <c r="H153" s="79" t="s">
        <v>34</v>
      </c>
      <c r="I153" s="79">
        <v>50082</v>
      </c>
      <c r="J153" s="79" t="s">
        <v>198</v>
      </c>
      <c r="K153" s="79">
        <v>50088</v>
      </c>
      <c r="L153" s="79" t="s">
        <v>227</v>
      </c>
      <c r="M153" s="79">
        <v>50088</v>
      </c>
      <c r="N153" s="79" t="s">
        <v>227</v>
      </c>
      <c r="O153" s="79">
        <v>6</v>
      </c>
    </row>
    <row r="154" spans="1:15" ht="22.5" customHeight="1">
      <c r="A154" s="79">
        <v>50000</v>
      </c>
      <c r="B154" s="79" t="s">
        <v>10</v>
      </c>
      <c r="C154" s="79">
        <v>50076</v>
      </c>
      <c r="D154" s="79" t="s">
        <v>14</v>
      </c>
      <c r="E154" s="79">
        <v>50077</v>
      </c>
      <c r="F154" s="79" t="s">
        <v>33</v>
      </c>
      <c r="G154" s="79">
        <v>50080</v>
      </c>
      <c r="H154" s="79" t="s">
        <v>34</v>
      </c>
      <c r="I154" s="79">
        <v>50082</v>
      </c>
      <c r="J154" s="79" t="s">
        <v>198</v>
      </c>
      <c r="K154" s="79">
        <v>50089</v>
      </c>
      <c r="L154" s="79" t="s">
        <v>237</v>
      </c>
      <c r="M154" s="79">
        <v>50089</v>
      </c>
      <c r="N154" s="79" t="s">
        <v>237</v>
      </c>
      <c r="O154" s="79">
        <v>6</v>
      </c>
    </row>
    <row r="155" spans="1:15" ht="22.5" customHeight="1">
      <c r="A155" s="79">
        <v>50000</v>
      </c>
      <c r="B155" s="79" t="s">
        <v>10</v>
      </c>
      <c r="C155" s="79">
        <v>50076</v>
      </c>
      <c r="D155" s="79" t="s">
        <v>14</v>
      </c>
      <c r="E155" s="79">
        <v>50077</v>
      </c>
      <c r="F155" s="79" t="s">
        <v>33</v>
      </c>
      <c r="G155" s="79">
        <v>50080</v>
      </c>
      <c r="H155" s="79" t="s">
        <v>34</v>
      </c>
      <c r="I155" s="79">
        <v>50082</v>
      </c>
      <c r="J155" s="79" t="s">
        <v>198</v>
      </c>
      <c r="K155" s="79">
        <v>50090</v>
      </c>
      <c r="L155" s="79" t="s">
        <v>238</v>
      </c>
      <c r="M155" s="79">
        <v>50090</v>
      </c>
      <c r="N155" s="79" t="s">
        <v>238</v>
      </c>
      <c r="O155" s="79">
        <v>6</v>
      </c>
    </row>
    <row r="156" spans="1:15" ht="22.5" customHeight="1">
      <c r="A156" s="79">
        <v>50000</v>
      </c>
      <c r="B156" s="79" t="s">
        <v>10</v>
      </c>
      <c r="C156" s="79">
        <v>50076</v>
      </c>
      <c r="D156" s="79" t="s">
        <v>14</v>
      </c>
      <c r="E156" s="79">
        <v>50077</v>
      </c>
      <c r="F156" s="79" t="s">
        <v>33</v>
      </c>
      <c r="G156" s="79">
        <v>50080</v>
      </c>
      <c r="H156" s="79" t="s">
        <v>34</v>
      </c>
      <c r="I156" s="79">
        <v>50082</v>
      </c>
      <c r="J156" s="79" t="s">
        <v>198</v>
      </c>
      <c r="K156" s="79">
        <v>50091</v>
      </c>
      <c r="L156" s="79" t="s">
        <v>201</v>
      </c>
      <c r="M156" s="79">
        <v>50091</v>
      </c>
      <c r="N156" s="79" t="s">
        <v>202</v>
      </c>
      <c r="O156" s="79">
        <v>6</v>
      </c>
    </row>
    <row r="157" spans="1:15" ht="22.5" customHeight="1">
      <c r="A157" s="79">
        <v>50000</v>
      </c>
      <c r="B157" s="79" t="s">
        <v>10</v>
      </c>
      <c r="C157" s="79">
        <v>50076</v>
      </c>
      <c r="D157" s="79" t="s">
        <v>14</v>
      </c>
      <c r="E157" s="79">
        <v>50077</v>
      </c>
      <c r="F157" s="79" t="s">
        <v>33</v>
      </c>
      <c r="G157" s="79">
        <v>50080</v>
      </c>
      <c r="H157" s="79" t="s">
        <v>34</v>
      </c>
      <c r="I157" s="79">
        <v>50083</v>
      </c>
      <c r="J157" s="79" t="s">
        <v>239</v>
      </c>
      <c r="K157" s="79">
        <v>50092</v>
      </c>
      <c r="L157" s="79" t="s">
        <v>240</v>
      </c>
      <c r="M157" s="79">
        <v>50092</v>
      </c>
      <c r="N157" s="79" t="s">
        <v>241</v>
      </c>
      <c r="O157" s="79">
        <v>6</v>
      </c>
    </row>
    <row r="158" spans="1:15" ht="22.5" customHeight="1">
      <c r="A158" s="79">
        <v>50000</v>
      </c>
      <c r="B158" s="79" t="s">
        <v>10</v>
      </c>
      <c r="C158" s="79">
        <v>50076</v>
      </c>
      <c r="D158" s="79" t="s">
        <v>14</v>
      </c>
      <c r="E158" s="79">
        <v>50077</v>
      </c>
      <c r="F158" s="79" t="s">
        <v>33</v>
      </c>
      <c r="G158" s="79">
        <v>50081</v>
      </c>
      <c r="H158" s="79" t="s">
        <v>50</v>
      </c>
      <c r="I158" s="79">
        <v>50084</v>
      </c>
      <c r="J158" s="79" t="s">
        <v>211</v>
      </c>
      <c r="K158" s="79">
        <v>50093</v>
      </c>
      <c r="L158" s="79" t="s">
        <v>212</v>
      </c>
      <c r="M158" s="79">
        <v>50093</v>
      </c>
      <c r="N158" s="79" t="s">
        <v>213</v>
      </c>
      <c r="O158" s="79">
        <v>6</v>
      </c>
    </row>
    <row r="159" spans="1:15" ht="22.5" customHeight="1">
      <c r="A159" s="79">
        <v>50000</v>
      </c>
      <c r="B159" s="79" t="s">
        <v>10</v>
      </c>
      <c r="C159" s="79">
        <v>50076</v>
      </c>
      <c r="D159" s="79" t="s">
        <v>14</v>
      </c>
      <c r="E159" s="79">
        <v>50078</v>
      </c>
      <c r="F159" s="79" t="s">
        <v>71</v>
      </c>
      <c r="G159" s="79">
        <v>50085</v>
      </c>
      <c r="H159" s="79" t="s">
        <v>73</v>
      </c>
      <c r="I159" s="79">
        <v>50094</v>
      </c>
      <c r="J159" s="79" t="s">
        <v>73</v>
      </c>
      <c r="M159" s="79">
        <v>50094</v>
      </c>
      <c r="N159" s="79" t="s">
        <v>73</v>
      </c>
      <c r="O159" s="79">
        <v>5</v>
      </c>
    </row>
    <row r="160" spans="1:15" ht="22.5" customHeight="1">
      <c r="A160" s="79">
        <v>50000</v>
      </c>
      <c r="B160" s="79" t="s">
        <v>10</v>
      </c>
      <c r="C160" s="79">
        <v>50076</v>
      </c>
      <c r="D160" s="79" t="s">
        <v>14</v>
      </c>
      <c r="E160" s="79">
        <v>50078</v>
      </c>
      <c r="F160" s="79" t="s">
        <v>71</v>
      </c>
      <c r="G160" s="79">
        <v>50086</v>
      </c>
      <c r="H160" s="79" t="s">
        <v>215</v>
      </c>
      <c r="I160" s="79">
        <v>50095</v>
      </c>
      <c r="J160" s="79" t="s">
        <v>216</v>
      </c>
      <c r="M160" s="79">
        <v>50095</v>
      </c>
      <c r="N160" s="79" t="s">
        <v>217</v>
      </c>
      <c r="O160" s="79">
        <v>5</v>
      </c>
    </row>
    <row r="161" spans="1:15" ht="22.5" customHeight="1">
      <c r="A161" s="79">
        <v>50000</v>
      </c>
      <c r="B161" s="79" t="s">
        <v>10</v>
      </c>
      <c r="C161" s="79">
        <v>50076</v>
      </c>
      <c r="D161" s="79" t="s">
        <v>14</v>
      </c>
      <c r="E161" s="79">
        <v>50078</v>
      </c>
      <c r="F161" s="79" t="s">
        <v>71</v>
      </c>
      <c r="G161" s="79">
        <v>50087</v>
      </c>
      <c r="H161" s="79" t="s">
        <v>218</v>
      </c>
      <c r="I161" s="79">
        <v>50096</v>
      </c>
      <c r="J161" s="79" t="s">
        <v>230</v>
      </c>
      <c r="M161" s="79">
        <v>50096</v>
      </c>
      <c r="N161" s="79" t="s">
        <v>231</v>
      </c>
      <c r="O161" s="79">
        <v>5</v>
      </c>
    </row>
    <row r="162" spans="1:15" ht="22.5" customHeight="1">
      <c r="A162" s="79">
        <v>50000</v>
      </c>
      <c r="B162" s="79" t="s">
        <v>10</v>
      </c>
      <c r="C162" s="79">
        <v>50076</v>
      </c>
      <c r="D162" s="79" t="s">
        <v>14</v>
      </c>
      <c r="E162" s="79">
        <v>50078</v>
      </c>
      <c r="F162" s="79" t="s">
        <v>71</v>
      </c>
      <c r="G162" s="79">
        <v>50087</v>
      </c>
      <c r="H162" s="79" t="s">
        <v>218</v>
      </c>
      <c r="I162" s="79">
        <v>50097</v>
      </c>
      <c r="J162" s="79" t="s">
        <v>221</v>
      </c>
      <c r="M162" s="79">
        <v>50097</v>
      </c>
      <c r="N162" s="79" t="s">
        <v>221</v>
      </c>
      <c r="O162" s="79">
        <v>5</v>
      </c>
    </row>
    <row r="163" spans="1:15" ht="22.5" customHeight="1">
      <c r="A163" s="79">
        <v>50000</v>
      </c>
      <c r="B163" s="79" t="s">
        <v>10</v>
      </c>
      <c r="C163" s="79">
        <v>50076</v>
      </c>
      <c r="D163" s="79" t="s">
        <v>14</v>
      </c>
      <c r="E163" s="79">
        <v>50078</v>
      </c>
      <c r="F163" s="79" t="s">
        <v>71</v>
      </c>
      <c r="G163" s="79">
        <v>50087</v>
      </c>
      <c r="H163" s="79" t="s">
        <v>218</v>
      </c>
      <c r="I163" s="79">
        <v>50098</v>
      </c>
      <c r="J163" s="79" t="s">
        <v>223</v>
      </c>
      <c r="M163" s="79">
        <v>50098</v>
      </c>
      <c r="N163" s="79" t="s">
        <v>223</v>
      </c>
      <c r="O163" s="79">
        <v>5</v>
      </c>
    </row>
    <row r="164" spans="1:15" ht="22.5" customHeight="1">
      <c r="A164" s="79">
        <v>50000</v>
      </c>
      <c r="B164" s="79" t="s">
        <v>10</v>
      </c>
      <c r="C164" s="79">
        <v>50076</v>
      </c>
      <c r="D164" s="79" t="s">
        <v>14</v>
      </c>
      <c r="E164" s="79">
        <v>50079</v>
      </c>
      <c r="F164" s="79" t="s">
        <v>85</v>
      </c>
      <c r="G164" s="79">
        <v>50099</v>
      </c>
      <c r="H164" s="79" t="s">
        <v>224</v>
      </c>
      <c r="M164" s="79">
        <v>50099</v>
      </c>
      <c r="N164" s="79" t="s">
        <v>224</v>
      </c>
      <c r="O164" s="79">
        <v>4</v>
      </c>
    </row>
    <row r="165" spans="1:15" ht="22.5" customHeight="1">
      <c r="A165" s="79">
        <v>50000</v>
      </c>
      <c r="B165" s="79" t="s">
        <v>10</v>
      </c>
      <c r="C165" s="79">
        <v>50076</v>
      </c>
      <c r="D165" s="79" t="s">
        <v>14</v>
      </c>
      <c r="E165" s="79">
        <v>50079</v>
      </c>
      <c r="F165" s="79" t="s">
        <v>85</v>
      </c>
      <c r="G165" s="79">
        <v>50100</v>
      </c>
      <c r="H165" s="79" t="s">
        <v>236</v>
      </c>
      <c r="M165" s="79">
        <v>50100</v>
      </c>
      <c r="N165" s="79" t="s">
        <v>236</v>
      </c>
      <c r="O165" s="79">
        <v>4</v>
      </c>
    </row>
    <row r="166" spans="1:15" ht="22.5" customHeight="1">
      <c r="A166" s="79">
        <v>50000</v>
      </c>
      <c r="B166" s="79" t="s">
        <v>10</v>
      </c>
      <c r="C166" s="79">
        <v>50076</v>
      </c>
      <c r="D166" s="79" t="s">
        <v>14</v>
      </c>
      <c r="E166" s="79">
        <v>50079</v>
      </c>
      <c r="F166" s="79" t="s">
        <v>85</v>
      </c>
      <c r="G166" s="79">
        <v>50101</v>
      </c>
      <c r="H166" s="79" t="s">
        <v>225</v>
      </c>
      <c r="M166" s="79">
        <v>50101</v>
      </c>
      <c r="N166" s="79" t="s">
        <v>225</v>
      </c>
      <c r="O166" s="79">
        <v>4</v>
      </c>
    </row>
    <row r="167" spans="1:15" ht="22.5" customHeight="1">
      <c r="A167" s="79">
        <v>50000</v>
      </c>
      <c r="B167" s="79" t="s">
        <v>10</v>
      </c>
      <c r="C167" s="79">
        <v>50076</v>
      </c>
      <c r="D167" s="79" t="s">
        <v>14</v>
      </c>
      <c r="E167" s="79">
        <v>50079</v>
      </c>
      <c r="F167" s="79" t="s">
        <v>85</v>
      </c>
      <c r="G167" s="79">
        <v>50102</v>
      </c>
      <c r="H167" s="79" t="s">
        <v>242</v>
      </c>
      <c r="M167" s="79">
        <v>50102</v>
      </c>
      <c r="N167" s="79" t="s">
        <v>243</v>
      </c>
      <c r="O167" s="79">
        <v>4</v>
      </c>
    </row>
    <row r="168" spans="1:15" ht="22.5" customHeight="1">
      <c r="A168" s="79">
        <v>50000</v>
      </c>
      <c r="B168" s="79" t="s">
        <v>10</v>
      </c>
      <c r="C168" s="79">
        <v>50076</v>
      </c>
      <c r="D168" s="79" t="s">
        <v>14</v>
      </c>
      <c r="E168" s="79">
        <v>50079</v>
      </c>
      <c r="F168" s="79" t="s">
        <v>85</v>
      </c>
      <c r="G168" s="79">
        <v>50103</v>
      </c>
      <c r="H168" s="79" t="s">
        <v>244</v>
      </c>
      <c r="M168" s="79">
        <v>50103</v>
      </c>
      <c r="N168" s="79" t="s">
        <v>244</v>
      </c>
      <c r="O168" s="79">
        <v>4</v>
      </c>
    </row>
    <row r="169" spans="1:15" ht="22.5" customHeight="1">
      <c r="A169" s="79">
        <v>50000</v>
      </c>
      <c r="B169" s="79" t="s">
        <v>10</v>
      </c>
      <c r="C169" s="79">
        <v>50076</v>
      </c>
      <c r="D169" s="79" t="s">
        <v>14</v>
      </c>
      <c r="E169" s="79">
        <v>50079</v>
      </c>
      <c r="F169" s="79" t="s">
        <v>85</v>
      </c>
      <c r="G169" s="79">
        <v>50104</v>
      </c>
      <c r="H169" s="79" t="s">
        <v>226</v>
      </c>
      <c r="M169" s="79">
        <v>50104</v>
      </c>
      <c r="N169" s="79" t="s">
        <v>226</v>
      </c>
      <c r="O169" s="79">
        <v>4</v>
      </c>
    </row>
    <row r="170" spans="1:15" ht="22.5" customHeight="1">
      <c r="A170" s="79">
        <v>60000</v>
      </c>
      <c r="B170" s="79" t="s">
        <v>15</v>
      </c>
      <c r="C170" s="79">
        <v>60001</v>
      </c>
      <c r="D170" s="79" t="s">
        <v>16</v>
      </c>
      <c r="E170" s="79">
        <v>60002</v>
      </c>
      <c r="F170" s="79" t="s">
        <v>33</v>
      </c>
      <c r="G170" s="79">
        <v>60005</v>
      </c>
      <c r="H170" s="79" t="s">
        <v>50</v>
      </c>
      <c r="I170" s="79">
        <v>60007</v>
      </c>
      <c r="J170" s="79" t="s">
        <v>245</v>
      </c>
      <c r="K170" s="79">
        <v>60014</v>
      </c>
      <c r="L170" s="79" t="s">
        <v>246</v>
      </c>
      <c r="M170" s="79">
        <v>60014</v>
      </c>
      <c r="N170" s="79" t="s">
        <v>246</v>
      </c>
      <c r="O170" s="79">
        <v>6</v>
      </c>
    </row>
    <row r="171" spans="1:15" ht="22.5" customHeight="1">
      <c r="A171" s="79">
        <v>60000</v>
      </c>
      <c r="B171" s="79" t="s">
        <v>15</v>
      </c>
      <c r="C171" s="79">
        <v>60001</v>
      </c>
      <c r="D171" s="79" t="s">
        <v>16</v>
      </c>
      <c r="E171" s="79">
        <v>60002</v>
      </c>
      <c r="F171" s="79" t="s">
        <v>33</v>
      </c>
      <c r="G171" s="79">
        <v>60005</v>
      </c>
      <c r="H171" s="79" t="s">
        <v>50</v>
      </c>
      <c r="I171" s="79">
        <v>60007</v>
      </c>
      <c r="J171" s="79" t="s">
        <v>245</v>
      </c>
      <c r="K171" s="79">
        <v>60015</v>
      </c>
      <c r="L171" s="79" t="s">
        <v>247</v>
      </c>
      <c r="M171" s="79">
        <v>60015</v>
      </c>
      <c r="N171" s="79" t="s">
        <v>248</v>
      </c>
      <c r="O171" s="79">
        <v>6</v>
      </c>
    </row>
    <row r="172" spans="1:15" ht="22.5" customHeight="1">
      <c r="A172" s="79">
        <v>60000</v>
      </c>
      <c r="B172" s="79" t="s">
        <v>15</v>
      </c>
      <c r="C172" s="79">
        <v>60001</v>
      </c>
      <c r="D172" s="79" t="s">
        <v>16</v>
      </c>
      <c r="E172" s="79">
        <v>60002</v>
      </c>
      <c r="F172" s="79" t="s">
        <v>33</v>
      </c>
      <c r="G172" s="79">
        <v>60005</v>
      </c>
      <c r="H172" s="79" t="s">
        <v>50</v>
      </c>
      <c r="I172" s="79">
        <v>60007</v>
      </c>
      <c r="J172" s="79" t="s">
        <v>245</v>
      </c>
      <c r="K172" s="79">
        <v>60016</v>
      </c>
      <c r="L172" s="79" t="s">
        <v>249</v>
      </c>
      <c r="M172" s="79">
        <v>60016</v>
      </c>
      <c r="N172" s="79" t="s">
        <v>249</v>
      </c>
      <c r="O172" s="79">
        <v>6</v>
      </c>
    </row>
    <row r="173" spans="1:15" ht="22.5" customHeight="1">
      <c r="A173" s="79">
        <v>60000</v>
      </c>
      <c r="B173" s="79" t="s">
        <v>15</v>
      </c>
      <c r="C173" s="79">
        <v>60001</v>
      </c>
      <c r="D173" s="79" t="s">
        <v>16</v>
      </c>
      <c r="E173" s="79">
        <v>60002</v>
      </c>
      <c r="F173" s="79" t="s">
        <v>33</v>
      </c>
      <c r="G173" s="79">
        <v>60005</v>
      </c>
      <c r="H173" s="79" t="s">
        <v>50</v>
      </c>
      <c r="I173" s="79">
        <v>60007</v>
      </c>
      <c r="J173" s="79" t="s">
        <v>245</v>
      </c>
      <c r="K173" s="79">
        <v>60017</v>
      </c>
      <c r="L173" s="79" t="s">
        <v>250</v>
      </c>
      <c r="M173" s="79">
        <v>60017</v>
      </c>
      <c r="N173" s="79" t="s">
        <v>251</v>
      </c>
      <c r="O173" s="79">
        <v>6</v>
      </c>
    </row>
    <row r="174" spans="1:15" ht="22.5" customHeight="1">
      <c r="A174" s="79">
        <v>60000</v>
      </c>
      <c r="B174" s="79" t="s">
        <v>15</v>
      </c>
      <c r="C174" s="79">
        <v>60001</v>
      </c>
      <c r="D174" s="79" t="s">
        <v>16</v>
      </c>
      <c r="E174" s="79">
        <v>60002</v>
      </c>
      <c r="F174" s="79" t="s">
        <v>33</v>
      </c>
      <c r="G174" s="79">
        <v>60005</v>
      </c>
      <c r="H174" s="79" t="s">
        <v>50</v>
      </c>
      <c r="I174" s="79">
        <v>60008</v>
      </c>
      <c r="J174" s="79" t="s">
        <v>252</v>
      </c>
      <c r="K174" s="79">
        <v>60018</v>
      </c>
      <c r="L174" s="79" t="s">
        <v>59</v>
      </c>
      <c r="M174" s="79">
        <v>60018</v>
      </c>
      <c r="N174" s="79" t="s">
        <v>59</v>
      </c>
      <c r="O174" s="79">
        <v>6</v>
      </c>
    </row>
    <row r="175" spans="1:15" ht="22.5" customHeight="1">
      <c r="A175" s="79">
        <v>60000</v>
      </c>
      <c r="B175" s="79" t="s">
        <v>15</v>
      </c>
      <c r="C175" s="79">
        <v>60001</v>
      </c>
      <c r="D175" s="79" t="s">
        <v>16</v>
      </c>
      <c r="E175" s="79">
        <v>60002</v>
      </c>
      <c r="F175" s="79" t="s">
        <v>33</v>
      </c>
      <c r="G175" s="79">
        <v>60005</v>
      </c>
      <c r="H175" s="79" t="s">
        <v>50</v>
      </c>
      <c r="I175" s="79">
        <v>60008</v>
      </c>
      <c r="J175" s="79" t="s">
        <v>252</v>
      </c>
      <c r="K175" s="79">
        <v>60019</v>
      </c>
      <c r="L175" s="79" t="s">
        <v>253</v>
      </c>
      <c r="M175" s="79">
        <v>60019</v>
      </c>
      <c r="N175" s="79" t="s">
        <v>253</v>
      </c>
      <c r="O175" s="79">
        <v>6</v>
      </c>
    </row>
    <row r="176" spans="1:15" ht="22.5" customHeight="1">
      <c r="A176" s="79">
        <v>60000</v>
      </c>
      <c r="B176" s="79" t="s">
        <v>15</v>
      </c>
      <c r="C176" s="79">
        <v>60001</v>
      </c>
      <c r="D176" s="79" t="s">
        <v>16</v>
      </c>
      <c r="E176" s="79">
        <v>60002</v>
      </c>
      <c r="F176" s="79" t="s">
        <v>33</v>
      </c>
      <c r="G176" s="79">
        <v>60005</v>
      </c>
      <c r="H176" s="79" t="s">
        <v>50</v>
      </c>
      <c r="I176" s="79">
        <v>60008</v>
      </c>
      <c r="J176" s="79" t="s">
        <v>252</v>
      </c>
      <c r="K176" s="79">
        <v>60020</v>
      </c>
      <c r="L176" s="79" t="s">
        <v>254</v>
      </c>
      <c r="M176" s="79">
        <v>60020</v>
      </c>
      <c r="N176" s="79" t="s">
        <v>254</v>
      </c>
      <c r="O176" s="79">
        <v>6</v>
      </c>
    </row>
    <row r="177" spans="1:15" ht="22.5" customHeight="1">
      <c r="A177" s="79">
        <v>60000</v>
      </c>
      <c r="B177" s="79" t="s">
        <v>15</v>
      </c>
      <c r="C177" s="79">
        <v>60001</v>
      </c>
      <c r="D177" s="79" t="s">
        <v>16</v>
      </c>
      <c r="E177" s="79">
        <v>60002</v>
      </c>
      <c r="F177" s="79" t="s">
        <v>33</v>
      </c>
      <c r="G177" s="79">
        <v>60005</v>
      </c>
      <c r="H177" s="79" t="s">
        <v>50</v>
      </c>
      <c r="I177" s="79">
        <v>60008</v>
      </c>
      <c r="J177" s="79" t="s">
        <v>252</v>
      </c>
      <c r="K177" s="79">
        <v>60021</v>
      </c>
      <c r="L177" s="79" t="s">
        <v>255</v>
      </c>
      <c r="M177" s="79">
        <v>60021</v>
      </c>
      <c r="N177" s="79" t="s">
        <v>256</v>
      </c>
      <c r="O177" s="79">
        <v>6</v>
      </c>
    </row>
    <row r="178" spans="1:15" ht="22.5" customHeight="1">
      <c r="A178" s="79">
        <v>60000</v>
      </c>
      <c r="B178" s="79" t="s">
        <v>15</v>
      </c>
      <c r="C178" s="79">
        <v>60001</v>
      </c>
      <c r="D178" s="79" t="s">
        <v>16</v>
      </c>
      <c r="E178" s="79">
        <v>60002</v>
      </c>
      <c r="F178" s="79" t="s">
        <v>33</v>
      </c>
      <c r="G178" s="79">
        <v>60005</v>
      </c>
      <c r="H178" s="79" t="s">
        <v>50</v>
      </c>
      <c r="I178" s="79">
        <v>60008</v>
      </c>
      <c r="J178" s="79" t="s">
        <v>252</v>
      </c>
      <c r="K178" s="79">
        <v>60022</v>
      </c>
      <c r="L178" s="79" t="s">
        <v>257</v>
      </c>
      <c r="M178" s="79">
        <v>60022</v>
      </c>
      <c r="N178" s="79" t="s">
        <v>258</v>
      </c>
      <c r="O178" s="79">
        <v>6</v>
      </c>
    </row>
    <row r="179" spans="1:15" ht="22.5" customHeight="1">
      <c r="A179" s="79">
        <v>60000</v>
      </c>
      <c r="B179" s="79" t="s">
        <v>15</v>
      </c>
      <c r="C179" s="79">
        <v>60001</v>
      </c>
      <c r="D179" s="79" t="s">
        <v>16</v>
      </c>
      <c r="E179" s="79">
        <v>60002</v>
      </c>
      <c r="F179" s="79" t="s">
        <v>33</v>
      </c>
      <c r="G179" s="79">
        <v>60005</v>
      </c>
      <c r="H179" s="79" t="s">
        <v>50</v>
      </c>
      <c r="I179" s="79">
        <v>60008</v>
      </c>
      <c r="J179" s="79" t="s">
        <v>252</v>
      </c>
      <c r="K179" s="79">
        <v>60023</v>
      </c>
      <c r="L179" s="79" t="s">
        <v>259</v>
      </c>
      <c r="M179" s="79">
        <v>60023</v>
      </c>
      <c r="N179" s="79" t="s">
        <v>259</v>
      </c>
      <c r="O179" s="79">
        <v>6</v>
      </c>
    </row>
    <row r="180" spans="1:15" ht="22.5" customHeight="1">
      <c r="A180" s="79">
        <v>60000</v>
      </c>
      <c r="B180" s="79" t="s">
        <v>15</v>
      </c>
      <c r="C180" s="79">
        <v>60001</v>
      </c>
      <c r="D180" s="79" t="s">
        <v>16</v>
      </c>
      <c r="E180" s="79">
        <v>60002</v>
      </c>
      <c r="F180" s="79" t="s">
        <v>33</v>
      </c>
      <c r="G180" s="79">
        <v>60005</v>
      </c>
      <c r="H180" s="79" t="s">
        <v>50</v>
      </c>
      <c r="I180" s="79">
        <v>60008</v>
      </c>
      <c r="J180" s="79" t="s">
        <v>252</v>
      </c>
      <c r="K180" s="79">
        <v>60024</v>
      </c>
      <c r="L180" s="79" t="s">
        <v>260</v>
      </c>
      <c r="M180" s="79">
        <v>60024</v>
      </c>
      <c r="N180" s="79" t="s">
        <v>260</v>
      </c>
      <c r="O180" s="79">
        <v>6</v>
      </c>
    </row>
    <row r="181" spans="1:15" ht="22.5" customHeight="1">
      <c r="A181" s="79">
        <v>60000</v>
      </c>
      <c r="B181" s="79" t="s">
        <v>15</v>
      </c>
      <c r="C181" s="79">
        <v>60001</v>
      </c>
      <c r="D181" s="79" t="s">
        <v>16</v>
      </c>
      <c r="E181" s="79">
        <v>60002</v>
      </c>
      <c r="F181" s="79" t="s">
        <v>33</v>
      </c>
      <c r="G181" s="79">
        <v>60005</v>
      </c>
      <c r="H181" s="79" t="s">
        <v>50</v>
      </c>
      <c r="I181" s="79">
        <v>60009</v>
      </c>
      <c r="J181" s="79" t="s">
        <v>261</v>
      </c>
      <c r="K181" s="79">
        <v>60025</v>
      </c>
      <c r="L181" s="79" t="s">
        <v>218</v>
      </c>
      <c r="M181" s="79">
        <v>60025</v>
      </c>
      <c r="N181" s="79" t="s">
        <v>218</v>
      </c>
      <c r="O181" s="79">
        <v>6</v>
      </c>
    </row>
    <row r="182" spans="1:15" ht="22.5" customHeight="1">
      <c r="A182" s="79">
        <v>60000</v>
      </c>
      <c r="B182" s="79" t="s">
        <v>15</v>
      </c>
      <c r="C182" s="79">
        <v>60001</v>
      </c>
      <c r="D182" s="79" t="s">
        <v>16</v>
      </c>
      <c r="E182" s="79">
        <v>60002</v>
      </c>
      <c r="F182" s="79" t="s">
        <v>33</v>
      </c>
      <c r="G182" s="79">
        <v>60005</v>
      </c>
      <c r="H182" s="79" t="s">
        <v>50</v>
      </c>
      <c r="I182" s="79">
        <v>60009</v>
      </c>
      <c r="J182" s="79" t="s">
        <v>261</v>
      </c>
      <c r="K182" s="79">
        <v>60026</v>
      </c>
      <c r="L182" s="79" t="s">
        <v>262</v>
      </c>
      <c r="M182" s="79">
        <v>60026</v>
      </c>
      <c r="N182" s="79" t="s">
        <v>262</v>
      </c>
      <c r="O182" s="79">
        <v>6</v>
      </c>
    </row>
    <row r="183" spans="1:15" ht="22.5" customHeight="1">
      <c r="A183" s="79">
        <v>60000</v>
      </c>
      <c r="B183" s="79" t="s">
        <v>15</v>
      </c>
      <c r="C183" s="79">
        <v>60001</v>
      </c>
      <c r="D183" s="79" t="s">
        <v>16</v>
      </c>
      <c r="E183" s="79">
        <v>60002</v>
      </c>
      <c r="F183" s="79" t="s">
        <v>33</v>
      </c>
      <c r="G183" s="79">
        <v>60005</v>
      </c>
      <c r="H183" s="79" t="s">
        <v>50</v>
      </c>
      <c r="I183" s="79">
        <v>60009</v>
      </c>
      <c r="J183" s="79" t="s">
        <v>261</v>
      </c>
      <c r="K183" s="79">
        <v>60027</v>
      </c>
      <c r="L183" s="79" t="s">
        <v>263</v>
      </c>
      <c r="M183" s="79">
        <v>60027</v>
      </c>
      <c r="N183" s="79" t="s">
        <v>263</v>
      </c>
      <c r="O183" s="79">
        <v>6</v>
      </c>
    </row>
    <row r="184" spans="1:15" ht="22.5" customHeight="1">
      <c r="A184" s="79">
        <v>60000</v>
      </c>
      <c r="B184" s="79" t="s">
        <v>15</v>
      </c>
      <c r="C184" s="79">
        <v>60001</v>
      </c>
      <c r="D184" s="79" t="s">
        <v>16</v>
      </c>
      <c r="E184" s="79">
        <v>60002</v>
      </c>
      <c r="F184" s="79" t="s">
        <v>33</v>
      </c>
      <c r="G184" s="79">
        <v>60005</v>
      </c>
      <c r="H184" s="79" t="s">
        <v>50</v>
      </c>
      <c r="I184" s="79">
        <v>60009</v>
      </c>
      <c r="J184" s="79" t="s">
        <v>261</v>
      </c>
      <c r="K184" s="79">
        <v>60028</v>
      </c>
      <c r="L184" s="79" t="s">
        <v>264</v>
      </c>
      <c r="M184" s="79">
        <v>60028</v>
      </c>
      <c r="N184" s="79" t="s">
        <v>264</v>
      </c>
      <c r="O184" s="79">
        <v>6</v>
      </c>
    </row>
    <row r="185" spans="1:15" ht="22.5" customHeight="1">
      <c r="A185" s="79">
        <v>60000</v>
      </c>
      <c r="B185" s="79" t="s">
        <v>15</v>
      </c>
      <c r="C185" s="79">
        <v>60001</v>
      </c>
      <c r="D185" s="79" t="s">
        <v>16</v>
      </c>
      <c r="E185" s="79">
        <v>60002</v>
      </c>
      <c r="F185" s="79" t="s">
        <v>33</v>
      </c>
      <c r="G185" s="79">
        <v>60005</v>
      </c>
      <c r="H185" s="79" t="s">
        <v>50</v>
      </c>
      <c r="I185" s="79">
        <v>60009</v>
      </c>
      <c r="J185" s="79" t="s">
        <v>261</v>
      </c>
      <c r="K185" s="79">
        <v>60029</v>
      </c>
      <c r="L185" s="79" t="s">
        <v>265</v>
      </c>
      <c r="M185" s="79">
        <v>60029</v>
      </c>
      <c r="N185" s="79" t="s">
        <v>266</v>
      </c>
      <c r="O185" s="79">
        <v>6</v>
      </c>
    </row>
    <row r="186" spans="1:15" ht="22.5" customHeight="1">
      <c r="A186" s="79">
        <v>60000</v>
      </c>
      <c r="B186" s="79" t="s">
        <v>15</v>
      </c>
      <c r="C186" s="79">
        <v>60001</v>
      </c>
      <c r="D186" s="79" t="s">
        <v>16</v>
      </c>
      <c r="E186" s="79">
        <v>60002</v>
      </c>
      <c r="F186" s="79" t="s">
        <v>33</v>
      </c>
      <c r="G186" s="79">
        <v>60005</v>
      </c>
      <c r="H186" s="79" t="s">
        <v>50</v>
      </c>
      <c r="I186" s="79">
        <v>60009</v>
      </c>
      <c r="J186" s="79" t="s">
        <v>261</v>
      </c>
      <c r="K186" s="79">
        <v>60030</v>
      </c>
      <c r="L186" s="79" t="s">
        <v>52</v>
      </c>
      <c r="M186" s="79">
        <v>60030</v>
      </c>
      <c r="N186" s="79" t="s">
        <v>52</v>
      </c>
      <c r="O186" s="79">
        <v>6</v>
      </c>
    </row>
    <row r="187" spans="1:15" ht="22.5" customHeight="1">
      <c r="A187" s="79">
        <v>60000</v>
      </c>
      <c r="B187" s="79" t="s">
        <v>15</v>
      </c>
      <c r="C187" s="79">
        <v>60001</v>
      </c>
      <c r="D187" s="79" t="s">
        <v>16</v>
      </c>
      <c r="E187" s="79">
        <v>60002</v>
      </c>
      <c r="F187" s="79" t="s">
        <v>33</v>
      </c>
      <c r="G187" s="79">
        <v>60006</v>
      </c>
      <c r="H187" s="79" t="s">
        <v>34</v>
      </c>
      <c r="I187" s="79">
        <v>60010</v>
      </c>
      <c r="J187" s="79" t="s">
        <v>267</v>
      </c>
      <c r="K187" s="79">
        <v>60031</v>
      </c>
      <c r="L187" s="79" t="s">
        <v>268</v>
      </c>
      <c r="M187" s="79">
        <v>60031</v>
      </c>
      <c r="N187" s="79" t="s">
        <v>269</v>
      </c>
      <c r="O187" s="79">
        <v>6</v>
      </c>
    </row>
    <row r="188" spans="1:15" ht="22.5" customHeight="1">
      <c r="A188" s="79">
        <v>60000</v>
      </c>
      <c r="B188" s="79" t="s">
        <v>15</v>
      </c>
      <c r="C188" s="79">
        <v>60001</v>
      </c>
      <c r="D188" s="79" t="s">
        <v>16</v>
      </c>
      <c r="E188" s="79">
        <v>60002</v>
      </c>
      <c r="F188" s="79" t="s">
        <v>33</v>
      </c>
      <c r="G188" s="79">
        <v>60006</v>
      </c>
      <c r="H188" s="79" t="s">
        <v>34</v>
      </c>
      <c r="I188" s="79">
        <v>60010</v>
      </c>
      <c r="J188" s="79" t="s">
        <v>267</v>
      </c>
      <c r="K188" s="79">
        <v>60032</v>
      </c>
      <c r="L188" s="79" t="s">
        <v>270</v>
      </c>
      <c r="M188" s="79">
        <v>60032</v>
      </c>
      <c r="N188" s="79" t="s">
        <v>271</v>
      </c>
      <c r="O188" s="79">
        <v>6</v>
      </c>
    </row>
    <row r="189" spans="1:15" ht="22.5" customHeight="1">
      <c r="A189" s="79">
        <v>60000</v>
      </c>
      <c r="B189" s="79" t="s">
        <v>15</v>
      </c>
      <c r="C189" s="79">
        <v>60001</v>
      </c>
      <c r="D189" s="79" t="s">
        <v>16</v>
      </c>
      <c r="E189" s="79">
        <v>60002</v>
      </c>
      <c r="F189" s="79" t="s">
        <v>33</v>
      </c>
      <c r="G189" s="79">
        <v>60006</v>
      </c>
      <c r="H189" s="79" t="s">
        <v>34</v>
      </c>
      <c r="I189" s="79">
        <v>60010</v>
      </c>
      <c r="J189" s="79" t="s">
        <v>267</v>
      </c>
      <c r="K189" s="79">
        <v>60033</v>
      </c>
      <c r="L189" s="79" t="s">
        <v>272</v>
      </c>
      <c r="M189" s="79">
        <v>60033</v>
      </c>
      <c r="N189" s="79" t="s">
        <v>272</v>
      </c>
      <c r="O189" s="79">
        <v>6</v>
      </c>
    </row>
    <row r="190" spans="1:15" ht="22.5" customHeight="1">
      <c r="A190" s="79">
        <v>60000</v>
      </c>
      <c r="B190" s="79" t="s">
        <v>15</v>
      </c>
      <c r="C190" s="79">
        <v>60001</v>
      </c>
      <c r="D190" s="79" t="s">
        <v>16</v>
      </c>
      <c r="E190" s="79">
        <v>60002</v>
      </c>
      <c r="F190" s="79" t="s">
        <v>33</v>
      </c>
      <c r="G190" s="79">
        <v>60006</v>
      </c>
      <c r="H190" s="79" t="s">
        <v>34</v>
      </c>
      <c r="I190" s="79">
        <v>60010</v>
      </c>
      <c r="J190" s="79" t="s">
        <v>267</v>
      </c>
      <c r="K190" s="79">
        <v>60034</v>
      </c>
      <c r="L190" s="79" t="s">
        <v>273</v>
      </c>
      <c r="M190" s="79">
        <v>60034</v>
      </c>
      <c r="N190" s="79" t="s">
        <v>274</v>
      </c>
      <c r="O190" s="79">
        <v>6</v>
      </c>
    </row>
    <row r="191" spans="1:15" ht="22.5" customHeight="1">
      <c r="A191" s="79">
        <v>60000</v>
      </c>
      <c r="B191" s="79" t="s">
        <v>15</v>
      </c>
      <c r="C191" s="79">
        <v>60001</v>
      </c>
      <c r="D191" s="79" t="s">
        <v>16</v>
      </c>
      <c r="E191" s="79">
        <v>60002</v>
      </c>
      <c r="F191" s="79" t="s">
        <v>33</v>
      </c>
      <c r="G191" s="79">
        <v>60006</v>
      </c>
      <c r="H191" s="79" t="s">
        <v>34</v>
      </c>
      <c r="I191" s="79">
        <v>60011</v>
      </c>
      <c r="J191" s="79" t="s">
        <v>275</v>
      </c>
      <c r="K191" s="79">
        <v>60035</v>
      </c>
      <c r="L191" s="79" t="s">
        <v>276</v>
      </c>
      <c r="M191" s="79">
        <v>60035</v>
      </c>
      <c r="N191" s="79" t="s">
        <v>276</v>
      </c>
      <c r="O191" s="79">
        <v>6</v>
      </c>
    </row>
    <row r="192" spans="1:15" ht="22.5" customHeight="1">
      <c r="A192" s="79">
        <v>60000</v>
      </c>
      <c r="B192" s="79" t="s">
        <v>15</v>
      </c>
      <c r="C192" s="79">
        <v>60001</v>
      </c>
      <c r="D192" s="79" t="s">
        <v>16</v>
      </c>
      <c r="E192" s="79">
        <v>60002</v>
      </c>
      <c r="F192" s="79" t="s">
        <v>33</v>
      </c>
      <c r="G192" s="79">
        <v>60006</v>
      </c>
      <c r="H192" s="79" t="s">
        <v>34</v>
      </c>
      <c r="I192" s="79">
        <v>60011</v>
      </c>
      <c r="J192" s="79" t="s">
        <v>275</v>
      </c>
      <c r="K192" s="79">
        <v>60036</v>
      </c>
      <c r="L192" s="79" t="s">
        <v>277</v>
      </c>
      <c r="M192" s="79">
        <v>60036</v>
      </c>
      <c r="N192" s="79" t="s">
        <v>277</v>
      </c>
      <c r="O192" s="79">
        <v>6</v>
      </c>
    </row>
    <row r="193" spans="1:15" ht="22.5" customHeight="1">
      <c r="A193" s="79">
        <v>60000</v>
      </c>
      <c r="B193" s="79" t="s">
        <v>15</v>
      </c>
      <c r="C193" s="79">
        <v>60001</v>
      </c>
      <c r="D193" s="79" t="s">
        <v>16</v>
      </c>
      <c r="E193" s="79">
        <v>60002</v>
      </c>
      <c r="F193" s="79" t="s">
        <v>33</v>
      </c>
      <c r="G193" s="79">
        <v>60006</v>
      </c>
      <c r="H193" s="79" t="s">
        <v>34</v>
      </c>
      <c r="I193" s="79">
        <v>60011</v>
      </c>
      <c r="J193" s="79" t="s">
        <v>275</v>
      </c>
      <c r="K193" s="79">
        <v>60037</v>
      </c>
      <c r="L193" s="79" t="s">
        <v>278</v>
      </c>
      <c r="M193" s="79">
        <v>60037</v>
      </c>
      <c r="N193" s="79" t="s">
        <v>278</v>
      </c>
      <c r="O193" s="79">
        <v>6</v>
      </c>
    </row>
    <row r="194" spans="1:15" ht="22.5" customHeight="1">
      <c r="A194" s="79">
        <v>60000</v>
      </c>
      <c r="B194" s="79" t="s">
        <v>15</v>
      </c>
      <c r="C194" s="79">
        <v>60001</v>
      </c>
      <c r="D194" s="79" t="s">
        <v>16</v>
      </c>
      <c r="E194" s="79">
        <v>60002</v>
      </c>
      <c r="F194" s="79" t="s">
        <v>33</v>
      </c>
      <c r="G194" s="79">
        <v>60006</v>
      </c>
      <c r="H194" s="79" t="s">
        <v>34</v>
      </c>
      <c r="I194" s="79">
        <v>60011</v>
      </c>
      <c r="J194" s="79" t="s">
        <v>275</v>
      </c>
      <c r="K194" s="79">
        <v>60038</v>
      </c>
      <c r="L194" s="79" t="s">
        <v>279</v>
      </c>
      <c r="M194" s="79">
        <v>60038</v>
      </c>
      <c r="N194" s="79" t="s">
        <v>279</v>
      </c>
      <c r="O194" s="79">
        <v>6</v>
      </c>
    </row>
    <row r="195" spans="1:15" ht="22.5" customHeight="1">
      <c r="A195" s="79">
        <v>60000</v>
      </c>
      <c r="B195" s="79" t="s">
        <v>15</v>
      </c>
      <c r="C195" s="79">
        <v>60001</v>
      </c>
      <c r="D195" s="79" t="s">
        <v>16</v>
      </c>
      <c r="E195" s="79">
        <v>60003</v>
      </c>
      <c r="F195" s="79" t="s">
        <v>71</v>
      </c>
      <c r="G195" s="79">
        <v>60012</v>
      </c>
      <c r="H195" s="79" t="s">
        <v>280</v>
      </c>
      <c r="I195" s="79">
        <v>60039</v>
      </c>
      <c r="J195" s="79" t="s">
        <v>281</v>
      </c>
      <c r="M195" s="79">
        <v>60039</v>
      </c>
      <c r="N195" s="79" t="s">
        <v>281</v>
      </c>
      <c r="O195" s="79">
        <v>5</v>
      </c>
    </row>
    <row r="196" spans="1:15" ht="22.5" customHeight="1">
      <c r="A196" s="79">
        <v>60000</v>
      </c>
      <c r="B196" s="79" t="s">
        <v>15</v>
      </c>
      <c r="C196" s="79">
        <v>60001</v>
      </c>
      <c r="D196" s="79" t="s">
        <v>16</v>
      </c>
      <c r="E196" s="79">
        <v>60003</v>
      </c>
      <c r="F196" s="79" t="s">
        <v>71</v>
      </c>
      <c r="G196" s="79">
        <v>60013</v>
      </c>
      <c r="H196" s="79" t="s">
        <v>73</v>
      </c>
      <c r="I196" s="79">
        <v>60040</v>
      </c>
      <c r="J196" s="79" t="s">
        <v>282</v>
      </c>
      <c r="M196" s="79">
        <v>60040</v>
      </c>
      <c r="N196" s="79" t="s">
        <v>282</v>
      </c>
      <c r="O196" s="79">
        <v>5</v>
      </c>
    </row>
    <row r="197" spans="1:15" ht="22.5" customHeight="1">
      <c r="A197" s="79">
        <v>60000</v>
      </c>
      <c r="B197" s="79" t="s">
        <v>15</v>
      </c>
      <c r="C197" s="79">
        <v>60001</v>
      </c>
      <c r="D197" s="79" t="s">
        <v>16</v>
      </c>
      <c r="E197" s="79">
        <v>60004</v>
      </c>
      <c r="F197" s="79" t="s">
        <v>85</v>
      </c>
      <c r="M197" s="79">
        <v>60004</v>
      </c>
      <c r="N197" s="79" t="s">
        <v>85</v>
      </c>
      <c r="O197" s="79">
        <v>3</v>
      </c>
    </row>
    <row r="198" spans="1:15" ht="22.5" customHeight="1">
      <c r="A198" s="79">
        <v>60000</v>
      </c>
      <c r="B198" s="79" t="s">
        <v>15</v>
      </c>
      <c r="C198" s="79">
        <v>60041</v>
      </c>
      <c r="D198" s="79" t="s">
        <v>17</v>
      </c>
      <c r="E198" s="79">
        <v>60042</v>
      </c>
      <c r="F198" s="79" t="s">
        <v>33</v>
      </c>
      <c r="G198" s="79">
        <v>60045</v>
      </c>
      <c r="H198" s="79" t="s">
        <v>50</v>
      </c>
      <c r="I198" s="79">
        <v>60047</v>
      </c>
      <c r="J198" s="79" t="s">
        <v>245</v>
      </c>
      <c r="K198" s="79">
        <v>60054</v>
      </c>
      <c r="L198" s="79" t="s">
        <v>246</v>
      </c>
      <c r="M198" s="79">
        <v>60054</v>
      </c>
      <c r="N198" s="79" t="s">
        <v>246</v>
      </c>
      <c r="O198" s="79">
        <v>6</v>
      </c>
    </row>
    <row r="199" spans="1:15" ht="22.5" customHeight="1">
      <c r="A199" s="79">
        <v>60000</v>
      </c>
      <c r="B199" s="79" t="s">
        <v>15</v>
      </c>
      <c r="C199" s="79">
        <v>60041</v>
      </c>
      <c r="D199" s="79" t="s">
        <v>17</v>
      </c>
      <c r="E199" s="79">
        <v>60042</v>
      </c>
      <c r="F199" s="79" t="s">
        <v>33</v>
      </c>
      <c r="G199" s="79">
        <v>60045</v>
      </c>
      <c r="H199" s="79" t="s">
        <v>50</v>
      </c>
      <c r="I199" s="79">
        <v>60047</v>
      </c>
      <c r="J199" s="79" t="s">
        <v>245</v>
      </c>
      <c r="K199" s="79">
        <v>60055</v>
      </c>
      <c r="L199" s="79" t="s">
        <v>247</v>
      </c>
      <c r="M199" s="79">
        <v>60055</v>
      </c>
      <c r="N199" s="79" t="s">
        <v>248</v>
      </c>
      <c r="O199" s="79">
        <v>6</v>
      </c>
    </row>
    <row r="200" spans="1:15" ht="22.5" customHeight="1">
      <c r="A200" s="79">
        <v>60000</v>
      </c>
      <c r="B200" s="79" t="s">
        <v>15</v>
      </c>
      <c r="C200" s="79">
        <v>60041</v>
      </c>
      <c r="D200" s="79" t="s">
        <v>17</v>
      </c>
      <c r="E200" s="79">
        <v>60042</v>
      </c>
      <c r="F200" s="79" t="s">
        <v>33</v>
      </c>
      <c r="G200" s="79">
        <v>60045</v>
      </c>
      <c r="H200" s="79" t="s">
        <v>50</v>
      </c>
      <c r="I200" s="79">
        <v>60047</v>
      </c>
      <c r="J200" s="79" t="s">
        <v>245</v>
      </c>
      <c r="K200" s="79">
        <v>60056</v>
      </c>
      <c r="L200" s="79" t="s">
        <v>249</v>
      </c>
      <c r="M200" s="79">
        <v>60056</v>
      </c>
      <c r="N200" s="79" t="s">
        <v>249</v>
      </c>
      <c r="O200" s="79">
        <v>6</v>
      </c>
    </row>
    <row r="201" spans="1:15" ht="22.5" customHeight="1">
      <c r="A201" s="79">
        <v>60000</v>
      </c>
      <c r="B201" s="79" t="s">
        <v>15</v>
      </c>
      <c r="C201" s="79">
        <v>60041</v>
      </c>
      <c r="D201" s="79" t="s">
        <v>17</v>
      </c>
      <c r="E201" s="79">
        <v>60042</v>
      </c>
      <c r="F201" s="79" t="s">
        <v>33</v>
      </c>
      <c r="G201" s="79">
        <v>60045</v>
      </c>
      <c r="H201" s="79" t="s">
        <v>50</v>
      </c>
      <c r="I201" s="79">
        <v>60047</v>
      </c>
      <c r="J201" s="79" t="s">
        <v>245</v>
      </c>
      <c r="K201" s="79">
        <v>60057</v>
      </c>
      <c r="L201" s="79" t="s">
        <v>250</v>
      </c>
      <c r="M201" s="79">
        <v>60057</v>
      </c>
      <c r="N201" s="79" t="s">
        <v>251</v>
      </c>
      <c r="O201" s="79">
        <v>6</v>
      </c>
    </row>
    <row r="202" spans="1:15" ht="22.5" customHeight="1">
      <c r="A202" s="79">
        <v>60000</v>
      </c>
      <c r="B202" s="79" t="s">
        <v>15</v>
      </c>
      <c r="C202" s="79">
        <v>60041</v>
      </c>
      <c r="D202" s="79" t="s">
        <v>17</v>
      </c>
      <c r="E202" s="79">
        <v>60042</v>
      </c>
      <c r="F202" s="79" t="s">
        <v>33</v>
      </c>
      <c r="G202" s="79">
        <v>60045</v>
      </c>
      <c r="H202" s="79" t="s">
        <v>50</v>
      </c>
      <c r="I202" s="79">
        <v>60048</v>
      </c>
      <c r="J202" s="79" t="s">
        <v>283</v>
      </c>
      <c r="K202" s="79">
        <v>60058</v>
      </c>
      <c r="L202" s="79" t="s">
        <v>59</v>
      </c>
      <c r="M202" s="79">
        <v>60058</v>
      </c>
      <c r="N202" s="79" t="s">
        <v>59</v>
      </c>
      <c r="O202" s="79">
        <v>6</v>
      </c>
    </row>
    <row r="203" spans="1:15" ht="22.5" customHeight="1">
      <c r="A203" s="79">
        <v>60000</v>
      </c>
      <c r="B203" s="79" t="s">
        <v>15</v>
      </c>
      <c r="C203" s="79">
        <v>60041</v>
      </c>
      <c r="D203" s="79" t="s">
        <v>17</v>
      </c>
      <c r="E203" s="79">
        <v>60042</v>
      </c>
      <c r="F203" s="79" t="s">
        <v>33</v>
      </c>
      <c r="G203" s="79">
        <v>60045</v>
      </c>
      <c r="H203" s="79" t="s">
        <v>50</v>
      </c>
      <c r="I203" s="79">
        <v>60048</v>
      </c>
      <c r="J203" s="79" t="s">
        <v>283</v>
      </c>
      <c r="K203" s="79">
        <v>60059</v>
      </c>
      <c r="L203" s="79" t="s">
        <v>253</v>
      </c>
      <c r="M203" s="79">
        <v>60059</v>
      </c>
      <c r="N203" s="79" t="s">
        <v>253</v>
      </c>
      <c r="O203" s="79">
        <v>6</v>
      </c>
    </row>
    <row r="204" spans="1:15" ht="22.5" customHeight="1">
      <c r="A204" s="79">
        <v>60000</v>
      </c>
      <c r="B204" s="79" t="s">
        <v>15</v>
      </c>
      <c r="C204" s="79">
        <v>60041</v>
      </c>
      <c r="D204" s="79" t="s">
        <v>17</v>
      </c>
      <c r="E204" s="79">
        <v>60042</v>
      </c>
      <c r="F204" s="79" t="s">
        <v>33</v>
      </c>
      <c r="G204" s="79">
        <v>60045</v>
      </c>
      <c r="H204" s="79" t="s">
        <v>50</v>
      </c>
      <c r="I204" s="79">
        <v>60048</v>
      </c>
      <c r="J204" s="79" t="s">
        <v>283</v>
      </c>
      <c r="K204" s="79">
        <v>60060</v>
      </c>
      <c r="L204" s="79" t="s">
        <v>254</v>
      </c>
      <c r="M204" s="79">
        <v>60060</v>
      </c>
      <c r="N204" s="79" t="s">
        <v>254</v>
      </c>
      <c r="O204" s="79">
        <v>6</v>
      </c>
    </row>
    <row r="205" spans="1:15" ht="22.5" customHeight="1">
      <c r="A205" s="79">
        <v>60000</v>
      </c>
      <c r="B205" s="79" t="s">
        <v>15</v>
      </c>
      <c r="C205" s="79">
        <v>60041</v>
      </c>
      <c r="D205" s="79" t="s">
        <v>17</v>
      </c>
      <c r="E205" s="79">
        <v>60042</v>
      </c>
      <c r="F205" s="79" t="s">
        <v>33</v>
      </c>
      <c r="G205" s="79">
        <v>60045</v>
      </c>
      <c r="H205" s="79" t="s">
        <v>50</v>
      </c>
      <c r="I205" s="79">
        <v>60048</v>
      </c>
      <c r="J205" s="79" t="s">
        <v>283</v>
      </c>
      <c r="K205" s="79">
        <v>60061</v>
      </c>
      <c r="L205" s="79" t="s">
        <v>255</v>
      </c>
      <c r="M205" s="79">
        <v>60061</v>
      </c>
      <c r="N205" s="79" t="s">
        <v>256</v>
      </c>
      <c r="O205" s="79">
        <v>6</v>
      </c>
    </row>
    <row r="206" spans="1:15" ht="22.5" customHeight="1">
      <c r="A206" s="79">
        <v>60000</v>
      </c>
      <c r="B206" s="79" t="s">
        <v>15</v>
      </c>
      <c r="C206" s="79">
        <v>60041</v>
      </c>
      <c r="D206" s="79" t="s">
        <v>17</v>
      </c>
      <c r="E206" s="79">
        <v>60042</v>
      </c>
      <c r="F206" s="79" t="s">
        <v>33</v>
      </c>
      <c r="G206" s="79">
        <v>60045</v>
      </c>
      <c r="H206" s="79" t="s">
        <v>50</v>
      </c>
      <c r="I206" s="79">
        <v>60048</v>
      </c>
      <c r="J206" s="79" t="s">
        <v>283</v>
      </c>
      <c r="K206" s="79">
        <v>60062</v>
      </c>
      <c r="L206" s="79" t="s">
        <v>257</v>
      </c>
      <c r="M206" s="79">
        <v>60062</v>
      </c>
      <c r="N206" s="79" t="s">
        <v>258</v>
      </c>
      <c r="O206" s="79">
        <v>6</v>
      </c>
    </row>
    <row r="207" spans="1:15" ht="22.5" customHeight="1">
      <c r="A207" s="79">
        <v>60000</v>
      </c>
      <c r="B207" s="79" t="s">
        <v>15</v>
      </c>
      <c r="C207" s="79">
        <v>60041</v>
      </c>
      <c r="D207" s="79" t="s">
        <v>17</v>
      </c>
      <c r="E207" s="79">
        <v>60042</v>
      </c>
      <c r="F207" s="79" t="s">
        <v>33</v>
      </c>
      <c r="G207" s="79">
        <v>60045</v>
      </c>
      <c r="H207" s="79" t="s">
        <v>50</v>
      </c>
      <c r="I207" s="79">
        <v>60048</v>
      </c>
      <c r="J207" s="79" t="s">
        <v>283</v>
      </c>
      <c r="K207" s="79">
        <v>60063</v>
      </c>
      <c r="L207" s="79" t="s">
        <v>259</v>
      </c>
      <c r="M207" s="79">
        <v>60063</v>
      </c>
      <c r="N207" s="79" t="s">
        <v>259</v>
      </c>
      <c r="O207" s="79">
        <v>6</v>
      </c>
    </row>
    <row r="208" spans="1:15" ht="22.5" customHeight="1">
      <c r="A208" s="79">
        <v>60000</v>
      </c>
      <c r="B208" s="79" t="s">
        <v>15</v>
      </c>
      <c r="C208" s="79">
        <v>60041</v>
      </c>
      <c r="D208" s="79" t="s">
        <v>17</v>
      </c>
      <c r="E208" s="79">
        <v>60042</v>
      </c>
      <c r="F208" s="79" t="s">
        <v>33</v>
      </c>
      <c r="G208" s="79">
        <v>60045</v>
      </c>
      <c r="H208" s="79" t="s">
        <v>50</v>
      </c>
      <c r="I208" s="79">
        <v>60048</v>
      </c>
      <c r="J208" s="79" t="s">
        <v>283</v>
      </c>
      <c r="K208" s="79">
        <v>60064</v>
      </c>
      <c r="L208" s="79" t="s">
        <v>260</v>
      </c>
      <c r="M208" s="79">
        <v>60064</v>
      </c>
      <c r="N208" s="79" t="s">
        <v>260</v>
      </c>
      <c r="O208" s="79">
        <v>6</v>
      </c>
    </row>
    <row r="209" spans="1:15" ht="22.5" customHeight="1">
      <c r="A209" s="79">
        <v>60000</v>
      </c>
      <c r="B209" s="79" t="s">
        <v>15</v>
      </c>
      <c r="C209" s="79">
        <v>60041</v>
      </c>
      <c r="D209" s="79" t="s">
        <v>17</v>
      </c>
      <c r="E209" s="79">
        <v>60042</v>
      </c>
      <c r="F209" s="79" t="s">
        <v>33</v>
      </c>
      <c r="G209" s="79">
        <v>60045</v>
      </c>
      <c r="H209" s="79" t="s">
        <v>50</v>
      </c>
      <c r="I209" s="79">
        <v>60049</v>
      </c>
      <c r="J209" s="79" t="s">
        <v>261</v>
      </c>
      <c r="K209" s="79">
        <v>60065</v>
      </c>
      <c r="L209" s="79" t="s">
        <v>218</v>
      </c>
      <c r="M209" s="79">
        <v>60065</v>
      </c>
      <c r="N209" s="79" t="s">
        <v>218</v>
      </c>
      <c r="O209" s="79">
        <v>6</v>
      </c>
    </row>
    <row r="210" spans="1:15" ht="22.5" customHeight="1">
      <c r="A210" s="79">
        <v>60000</v>
      </c>
      <c r="B210" s="79" t="s">
        <v>15</v>
      </c>
      <c r="C210" s="79">
        <v>60041</v>
      </c>
      <c r="D210" s="79" t="s">
        <v>17</v>
      </c>
      <c r="E210" s="79">
        <v>60042</v>
      </c>
      <c r="F210" s="79" t="s">
        <v>33</v>
      </c>
      <c r="G210" s="79">
        <v>60045</v>
      </c>
      <c r="H210" s="79" t="s">
        <v>50</v>
      </c>
      <c r="I210" s="79">
        <v>60049</v>
      </c>
      <c r="J210" s="79" t="s">
        <v>261</v>
      </c>
      <c r="K210" s="79">
        <v>60066</v>
      </c>
      <c r="L210" s="79" t="s">
        <v>262</v>
      </c>
      <c r="M210" s="79">
        <v>60066</v>
      </c>
      <c r="N210" s="79" t="s">
        <v>262</v>
      </c>
      <c r="O210" s="79">
        <v>6</v>
      </c>
    </row>
    <row r="211" spans="1:15" ht="22.5" customHeight="1">
      <c r="A211" s="79">
        <v>60000</v>
      </c>
      <c r="B211" s="79" t="s">
        <v>15</v>
      </c>
      <c r="C211" s="79">
        <v>60041</v>
      </c>
      <c r="D211" s="79" t="s">
        <v>17</v>
      </c>
      <c r="E211" s="79">
        <v>60042</v>
      </c>
      <c r="F211" s="79" t="s">
        <v>33</v>
      </c>
      <c r="G211" s="79">
        <v>60045</v>
      </c>
      <c r="H211" s="79" t="s">
        <v>50</v>
      </c>
      <c r="I211" s="79">
        <v>60049</v>
      </c>
      <c r="J211" s="79" t="s">
        <v>261</v>
      </c>
      <c r="K211" s="79">
        <v>60067</v>
      </c>
      <c r="L211" s="79" t="s">
        <v>263</v>
      </c>
      <c r="M211" s="79">
        <v>60067</v>
      </c>
      <c r="N211" s="79" t="s">
        <v>263</v>
      </c>
      <c r="O211" s="79">
        <v>6</v>
      </c>
    </row>
    <row r="212" spans="1:15" ht="22.5" customHeight="1">
      <c r="A212" s="79">
        <v>60000</v>
      </c>
      <c r="B212" s="79" t="s">
        <v>15</v>
      </c>
      <c r="C212" s="79">
        <v>60041</v>
      </c>
      <c r="D212" s="79" t="s">
        <v>17</v>
      </c>
      <c r="E212" s="79">
        <v>60042</v>
      </c>
      <c r="F212" s="79" t="s">
        <v>33</v>
      </c>
      <c r="G212" s="79">
        <v>60045</v>
      </c>
      <c r="H212" s="79" t="s">
        <v>50</v>
      </c>
      <c r="I212" s="79">
        <v>60049</v>
      </c>
      <c r="J212" s="79" t="s">
        <v>261</v>
      </c>
      <c r="K212" s="79">
        <v>60068</v>
      </c>
      <c r="L212" s="79" t="s">
        <v>264</v>
      </c>
      <c r="M212" s="79">
        <v>60068</v>
      </c>
      <c r="N212" s="79" t="s">
        <v>264</v>
      </c>
      <c r="O212" s="79">
        <v>6</v>
      </c>
    </row>
    <row r="213" spans="1:15" ht="22.5" customHeight="1">
      <c r="A213" s="79">
        <v>60000</v>
      </c>
      <c r="B213" s="79" t="s">
        <v>15</v>
      </c>
      <c r="C213" s="79">
        <v>60041</v>
      </c>
      <c r="D213" s="79" t="s">
        <v>17</v>
      </c>
      <c r="E213" s="79">
        <v>60042</v>
      </c>
      <c r="F213" s="79" t="s">
        <v>33</v>
      </c>
      <c r="G213" s="79">
        <v>60045</v>
      </c>
      <c r="H213" s="79" t="s">
        <v>50</v>
      </c>
      <c r="I213" s="79">
        <v>60049</v>
      </c>
      <c r="J213" s="79" t="s">
        <v>261</v>
      </c>
      <c r="K213" s="79">
        <v>60069</v>
      </c>
      <c r="L213" s="79" t="s">
        <v>265</v>
      </c>
      <c r="M213" s="79">
        <v>60069</v>
      </c>
      <c r="N213" s="79" t="s">
        <v>266</v>
      </c>
      <c r="O213" s="79">
        <v>6</v>
      </c>
    </row>
    <row r="214" spans="1:15" ht="22.5" customHeight="1">
      <c r="A214" s="79">
        <v>60000</v>
      </c>
      <c r="B214" s="79" t="s">
        <v>15</v>
      </c>
      <c r="C214" s="79">
        <v>60041</v>
      </c>
      <c r="D214" s="79" t="s">
        <v>17</v>
      </c>
      <c r="E214" s="79">
        <v>60042</v>
      </c>
      <c r="F214" s="79" t="s">
        <v>33</v>
      </c>
      <c r="G214" s="79">
        <v>60045</v>
      </c>
      <c r="H214" s="79" t="s">
        <v>50</v>
      </c>
      <c r="I214" s="79">
        <v>60049</v>
      </c>
      <c r="J214" s="79" t="s">
        <v>261</v>
      </c>
      <c r="K214" s="79">
        <v>60070</v>
      </c>
      <c r="L214" s="79" t="s">
        <v>52</v>
      </c>
      <c r="M214" s="79">
        <v>60070</v>
      </c>
      <c r="N214" s="79" t="s">
        <v>52</v>
      </c>
      <c r="O214" s="79">
        <v>6</v>
      </c>
    </row>
    <row r="215" spans="1:15" ht="22.5" customHeight="1">
      <c r="A215" s="79">
        <v>60000</v>
      </c>
      <c r="B215" s="79" t="s">
        <v>15</v>
      </c>
      <c r="C215" s="79">
        <v>60041</v>
      </c>
      <c r="D215" s="79" t="s">
        <v>17</v>
      </c>
      <c r="E215" s="79">
        <v>60042</v>
      </c>
      <c r="F215" s="79" t="s">
        <v>33</v>
      </c>
      <c r="G215" s="79">
        <v>60046</v>
      </c>
      <c r="H215" s="79" t="s">
        <v>34</v>
      </c>
      <c r="I215" s="79">
        <v>60050</v>
      </c>
      <c r="J215" s="79" t="s">
        <v>267</v>
      </c>
      <c r="K215" s="79">
        <v>60071</v>
      </c>
      <c r="L215" s="79" t="s">
        <v>268</v>
      </c>
      <c r="M215" s="79">
        <v>60071</v>
      </c>
      <c r="N215" s="79" t="s">
        <v>269</v>
      </c>
      <c r="O215" s="79">
        <v>6</v>
      </c>
    </row>
    <row r="216" spans="1:15" ht="22.5" customHeight="1">
      <c r="A216" s="79">
        <v>60000</v>
      </c>
      <c r="B216" s="79" t="s">
        <v>15</v>
      </c>
      <c r="C216" s="79">
        <v>60041</v>
      </c>
      <c r="D216" s="79" t="s">
        <v>17</v>
      </c>
      <c r="E216" s="79">
        <v>60042</v>
      </c>
      <c r="F216" s="79" t="s">
        <v>33</v>
      </c>
      <c r="G216" s="79">
        <v>60046</v>
      </c>
      <c r="H216" s="79" t="s">
        <v>34</v>
      </c>
      <c r="I216" s="79">
        <v>60050</v>
      </c>
      <c r="J216" s="79" t="s">
        <v>267</v>
      </c>
      <c r="K216" s="79">
        <v>60072</v>
      </c>
      <c r="L216" s="79" t="s">
        <v>270</v>
      </c>
      <c r="M216" s="79">
        <v>60072</v>
      </c>
      <c r="N216" s="79" t="s">
        <v>271</v>
      </c>
      <c r="O216" s="79">
        <v>6</v>
      </c>
    </row>
    <row r="217" spans="1:15" ht="22.5" customHeight="1">
      <c r="A217" s="79">
        <v>60000</v>
      </c>
      <c r="B217" s="79" t="s">
        <v>15</v>
      </c>
      <c r="C217" s="79">
        <v>60041</v>
      </c>
      <c r="D217" s="79" t="s">
        <v>17</v>
      </c>
      <c r="E217" s="79">
        <v>60042</v>
      </c>
      <c r="F217" s="79" t="s">
        <v>33</v>
      </c>
      <c r="G217" s="79">
        <v>60046</v>
      </c>
      <c r="H217" s="79" t="s">
        <v>34</v>
      </c>
      <c r="I217" s="79">
        <v>60050</v>
      </c>
      <c r="J217" s="79" t="s">
        <v>267</v>
      </c>
      <c r="K217" s="79">
        <v>60073</v>
      </c>
      <c r="L217" s="79" t="s">
        <v>272</v>
      </c>
      <c r="M217" s="79">
        <v>60073</v>
      </c>
      <c r="N217" s="79" t="s">
        <v>272</v>
      </c>
      <c r="O217" s="79">
        <v>6</v>
      </c>
    </row>
    <row r="218" spans="1:15" ht="22.5" customHeight="1">
      <c r="A218" s="79">
        <v>60000</v>
      </c>
      <c r="B218" s="79" t="s">
        <v>15</v>
      </c>
      <c r="C218" s="79">
        <v>60041</v>
      </c>
      <c r="D218" s="79" t="s">
        <v>17</v>
      </c>
      <c r="E218" s="79">
        <v>60042</v>
      </c>
      <c r="F218" s="79" t="s">
        <v>33</v>
      </c>
      <c r="G218" s="79">
        <v>60046</v>
      </c>
      <c r="H218" s="79" t="s">
        <v>34</v>
      </c>
      <c r="I218" s="79">
        <v>60050</v>
      </c>
      <c r="J218" s="79" t="s">
        <v>267</v>
      </c>
      <c r="K218" s="79">
        <v>60074</v>
      </c>
      <c r="L218" s="79" t="s">
        <v>273</v>
      </c>
      <c r="M218" s="79">
        <v>60074</v>
      </c>
      <c r="N218" s="79" t="s">
        <v>274</v>
      </c>
      <c r="O218" s="79">
        <v>6</v>
      </c>
    </row>
    <row r="219" spans="1:15" ht="22.5" customHeight="1">
      <c r="A219" s="79">
        <v>60000</v>
      </c>
      <c r="B219" s="79" t="s">
        <v>15</v>
      </c>
      <c r="C219" s="79">
        <v>60041</v>
      </c>
      <c r="D219" s="79" t="s">
        <v>17</v>
      </c>
      <c r="E219" s="79">
        <v>60042</v>
      </c>
      <c r="F219" s="79" t="s">
        <v>33</v>
      </c>
      <c r="G219" s="79">
        <v>60046</v>
      </c>
      <c r="H219" s="79" t="s">
        <v>34</v>
      </c>
      <c r="I219" s="79">
        <v>60051</v>
      </c>
      <c r="J219" s="79" t="s">
        <v>275</v>
      </c>
      <c r="K219" s="79">
        <v>60075</v>
      </c>
      <c r="L219" s="79" t="s">
        <v>276</v>
      </c>
      <c r="M219" s="79">
        <v>60075</v>
      </c>
      <c r="N219" s="79" t="s">
        <v>276</v>
      </c>
      <c r="O219" s="79">
        <v>6</v>
      </c>
    </row>
    <row r="220" spans="1:15" ht="22.5" customHeight="1">
      <c r="A220" s="79">
        <v>60000</v>
      </c>
      <c r="B220" s="79" t="s">
        <v>15</v>
      </c>
      <c r="C220" s="79">
        <v>60041</v>
      </c>
      <c r="D220" s="79" t="s">
        <v>17</v>
      </c>
      <c r="E220" s="79">
        <v>60042</v>
      </c>
      <c r="F220" s="79" t="s">
        <v>33</v>
      </c>
      <c r="G220" s="79">
        <v>60046</v>
      </c>
      <c r="H220" s="79" t="s">
        <v>34</v>
      </c>
      <c r="I220" s="79">
        <v>60051</v>
      </c>
      <c r="J220" s="79" t="s">
        <v>275</v>
      </c>
      <c r="K220" s="79">
        <v>60076</v>
      </c>
      <c r="L220" s="79" t="s">
        <v>277</v>
      </c>
      <c r="M220" s="79">
        <v>60076</v>
      </c>
      <c r="N220" s="79" t="s">
        <v>277</v>
      </c>
      <c r="O220" s="79">
        <v>6</v>
      </c>
    </row>
    <row r="221" spans="1:15" ht="22.5" customHeight="1">
      <c r="A221" s="79">
        <v>60000</v>
      </c>
      <c r="B221" s="79" t="s">
        <v>15</v>
      </c>
      <c r="C221" s="79">
        <v>60041</v>
      </c>
      <c r="D221" s="79" t="s">
        <v>17</v>
      </c>
      <c r="E221" s="79">
        <v>60042</v>
      </c>
      <c r="F221" s="79" t="s">
        <v>33</v>
      </c>
      <c r="G221" s="79">
        <v>60046</v>
      </c>
      <c r="H221" s="79" t="s">
        <v>34</v>
      </c>
      <c r="I221" s="79">
        <v>60051</v>
      </c>
      <c r="J221" s="79" t="s">
        <v>275</v>
      </c>
      <c r="K221" s="79">
        <v>60077</v>
      </c>
      <c r="L221" s="79" t="s">
        <v>278</v>
      </c>
      <c r="M221" s="79">
        <v>60077</v>
      </c>
      <c r="N221" s="79" t="s">
        <v>278</v>
      </c>
      <c r="O221" s="79">
        <v>6</v>
      </c>
    </row>
    <row r="222" spans="1:15" ht="22.5" customHeight="1">
      <c r="A222" s="79">
        <v>60000</v>
      </c>
      <c r="B222" s="79" t="s">
        <v>15</v>
      </c>
      <c r="C222" s="79">
        <v>60041</v>
      </c>
      <c r="D222" s="79" t="s">
        <v>17</v>
      </c>
      <c r="E222" s="79">
        <v>60042</v>
      </c>
      <c r="F222" s="79" t="s">
        <v>33</v>
      </c>
      <c r="G222" s="79">
        <v>60046</v>
      </c>
      <c r="H222" s="79" t="s">
        <v>34</v>
      </c>
      <c r="I222" s="79">
        <v>60051</v>
      </c>
      <c r="J222" s="79" t="s">
        <v>275</v>
      </c>
      <c r="K222" s="79">
        <v>60078</v>
      </c>
      <c r="L222" s="79" t="s">
        <v>279</v>
      </c>
      <c r="M222" s="79">
        <v>60078</v>
      </c>
      <c r="N222" s="79" t="s">
        <v>279</v>
      </c>
      <c r="O222" s="79">
        <v>6</v>
      </c>
    </row>
    <row r="223" spans="1:15" ht="22.5" customHeight="1">
      <c r="A223" s="79">
        <v>60000</v>
      </c>
      <c r="B223" s="79" t="s">
        <v>15</v>
      </c>
      <c r="C223" s="79">
        <v>60041</v>
      </c>
      <c r="D223" s="79" t="s">
        <v>17</v>
      </c>
      <c r="E223" s="79">
        <v>60043</v>
      </c>
      <c r="F223" s="79" t="s">
        <v>71</v>
      </c>
      <c r="G223" s="79">
        <v>60052</v>
      </c>
      <c r="H223" s="79" t="s">
        <v>280</v>
      </c>
      <c r="I223" s="79">
        <v>60079</v>
      </c>
      <c r="J223" s="79" t="s">
        <v>281</v>
      </c>
      <c r="M223" s="79">
        <v>60079</v>
      </c>
      <c r="N223" s="79" t="s">
        <v>281</v>
      </c>
      <c r="O223" s="79">
        <v>5</v>
      </c>
    </row>
    <row r="224" spans="1:15" ht="22.5" customHeight="1">
      <c r="A224" s="79">
        <v>60000</v>
      </c>
      <c r="B224" s="79" t="s">
        <v>15</v>
      </c>
      <c r="C224" s="79">
        <v>60041</v>
      </c>
      <c r="D224" s="79" t="s">
        <v>17</v>
      </c>
      <c r="E224" s="79">
        <v>60043</v>
      </c>
      <c r="F224" s="79" t="s">
        <v>71</v>
      </c>
      <c r="G224" s="79">
        <v>60053</v>
      </c>
      <c r="H224" s="79" t="s">
        <v>73</v>
      </c>
      <c r="I224" s="79">
        <v>60080</v>
      </c>
      <c r="J224" s="79" t="s">
        <v>282</v>
      </c>
      <c r="M224" s="79">
        <v>60080</v>
      </c>
      <c r="N224" s="79" t="s">
        <v>282</v>
      </c>
      <c r="O224" s="79">
        <v>5</v>
      </c>
    </row>
    <row r="225" spans="1:15" ht="22.5" customHeight="1">
      <c r="A225" s="79">
        <v>60000</v>
      </c>
      <c r="B225" s="79" t="s">
        <v>15</v>
      </c>
      <c r="C225" s="79">
        <v>60041</v>
      </c>
      <c r="D225" s="79" t="s">
        <v>17</v>
      </c>
      <c r="E225" s="79">
        <v>60044</v>
      </c>
      <c r="F225" s="79" t="s">
        <v>85</v>
      </c>
      <c r="M225" s="79">
        <v>60044</v>
      </c>
      <c r="N225" s="79" t="s">
        <v>85</v>
      </c>
      <c r="O225" s="79">
        <v>3</v>
      </c>
    </row>
    <row r="226" spans="1:15" ht="22.5" customHeight="1">
      <c r="A226" s="79">
        <v>90000</v>
      </c>
      <c r="B226" s="79" t="s">
        <v>18</v>
      </c>
      <c r="C226" s="79">
        <v>90001</v>
      </c>
      <c r="D226" s="79" t="s">
        <v>19</v>
      </c>
      <c r="E226" s="79">
        <v>90002</v>
      </c>
      <c r="F226" s="79" t="s">
        <v>33</v>
      </c>
      <c r="G226" s="79">
        <v>90005</v>
      </c>
      <c r="H226" s="79" t="s">
        <v>34</v>
      </c>
      <c r="I226" s="79">
        <v>90007</v>
      </c>
      <c r="J226" s="79" t="s">
        <v>284</v>
      </c>
      <c r="K226" s="79">
        <v>90014</v>
      </c>
      <c r="L226" s="79" t="s">
        <v>285</v>
      </c>
      <c r="M226" s="79">
        <v>90014</v>
      </c>
      <c r="N226" s="79" t="s">
        <v>285</v>
      </c>
      <c r="O226" s="79">
        <v>6</v>
      </c>
    </row>
    <row r="227" spans="1:15" ht="22.5" customHeight="1">
      <c r="A227" s="79">
        <v>90000</v>
      </c>
      <c r="B227" s="79" t="s">
        <v>18</v>
      </c>
      <c r="C227" s="79">
        <v>90001</v>
      </c>
      <c r="D227" s="79" t="s">
        <v>19</v>
      </c>
      <c r="E227" s="79">
        <v>90002</v>
      </c>
      <c r="F227" s="79" t="s">
        <v>33</v>
      </c>
      <c r="G227" s="79">
        <v>90005</v>
      </c>
      <c r="H227" s="79" t="s">
        <v>34</v>
      </c>
      <c r="I227" s="79">
        <v>90007</v>
      </c>
      <c r="J227" s="79" t="s">
        <v>284</v>
      </c>
      <c r="K227" s="79">
        <v>90015</v>
      </c>
      <c r="L227" s="79" t="s">
        <v>286</v>
      </c>
      <c r="M227" s="79">
        <v>90015</v>
      </c>
      <c r="N227" s="79" t="s">
        <v>286</v>
      </c>
      <c r="O227" s="79">
        <v>6</v>
      </c>
    </row>
    <row r="228" spans="1:15" ht="22.5" customHeight="1">
      <c r="A228" s="79">
        <v>90000</v>
      </c>
      <c r="B228" s="79" t="s">
        <v>18</v>
      </c>
      <c r="C228" s="79">
        <v>90001</v>
      </c>
      <c r="D228" s="79" t="s">
        <v>19</v>
      </c>
      <c r="E228" s="79">
        <v>90002</v>
      </c>
      <c r="F228" s="79" t="s">
        <v>33</v>
      </c>
      <c r="G228" s="79">
        <v>90005</v>
      </c>
      <c r="H228" s="79" t="s">
        <v>34</v>
      </c>
      <c r="I228" s="79">
        <v>90007</v>
      </c>
      <c r="J228" s="79" t="s">
        <v>284</v>
      </c>
      <c r="K228" s="79">
        <v>90016</v>
      </c>
      <c r="L228" s="79" t="s">
        <v>287</v>
      </c>
      <c r="M228" s="79">
        <v>90016</v>
      </c>
      <c r="N228" s="79" t="s">
        <v>287</v>
      </c>
      <c r="O228" s="79">
        <v>6</v>
      </c>
    </row>
    <row r="229" spans="1:15" ht="22.5" customHeight="1">
      <c r="A229" s="79">
        <v>90000</v>
      </c>
      <c r="B229" s="79" t="s">
        <v>18</v>
      </c>
      <c r="C229" s="79">
        <v>90001</v>
      </c>
      <c r="D229" s="79" t="s">
        <v>19</v>
      </c>
      <c r="E229" s="79">
        <v>90002</v>
      </c>
      <c r="F229" s="79" t="s">
        <v>33</v>
      </c>
      <c r="G229" s="79">
        <v>90005</v>
      </c>
      <c r="H229" s="79" t="s">
        <v>34</v>
      </c>
      <c r="I229" s="79">
        <v>90007</v>
      </c>
      <c r="J229" s="79" t="s">
        <v>284</v>
      </c>
      <c r="K229" s="79">
        <v>90017</v>
      </c>
      <c r="L229" s="79" t="s">
        <v>288</v>
      </c>
      <c r="M229" s="79">
        <v>90017</v>
      </c>
      <c r="N229" s="79" t="s">
        <v>288</v>
      </c>
      <c r="O229" s="79">
        <v>6</v>
      </c>
    </row>
    <row r="230" spans="1:15" ht="22.5" customHeight="1">
      <c r="A230" s="79">
        <v>90000</v>
      </c>
      <c r="B230" s="79" t="s">
        <v>18</v>
      </c>
      <c r="C230" s="79">
        <v>90001</v>
      </c>
      <c r="D230" s="79" t="s">
        <v>19</v>
      </c>
      <c r="E230" s="79">
        <v>90002</v>
      </c>
      <c r="F230" s="79" t="s">
        <v>33</v>
      </c>
      <c r="G230" s="79">
        <v>90005</v>
      </c>
      <c r="H230" s="79" t="s">
        <v>34</v>
      </c>
      <c r="I230" s="79">
        <v>90008</v>
      </c>
      <c r="J230" s="79" t="s">
        <v>289</v>
      </c>
      <c r="K230" s="79">
        <v>90018</v>
      </c>
      <c r="L230" s="79" t="s">
        <v>290</v>
      </c>
      <c r="M230" s="79">
        <v>90018</v>
      </c>
      <c r="N230" s="79" t="s">
        <v>291</v>
      </c>
      <c r="O230" s="79">
        <v>6</v>
      </c>
    </row>
    <row r="231" spans="1:15" ht="22.5" customHeight="1">
      <c r="A231" s="79">
        <v>90000</v>
      </c>
      <c r="B231" s="79" t="s">
        <v>18</v>
      </c>
      <c r="C231" s="79">
        <v>90001</v>
      </c>
      <c r="D231" s="79" t="s">
        <v>19</v>
      </c>
      <c r="E231" s="79">
        <v>90002</v>
      </c>
      <c r="F231" s="79" t="s">
        <v>33</v>
      </c>
      <c r="G231" s="79">
        <v>90005</v>
      </c>
      <c r="H231" s="79" t="s">
        <v>34</v>
      </c>
      <c r="I231" s="79">
        <v>90008</v>
      </c>
      <c r="J231" s="79" t="s">
        <v>289</v>
      </c>
      <c r="K231" s="79">
        <v>90019</v>
      </c>
      <c r="L231" s="79" t="s">
        <v>292</v>
      </c>
      <c r="M231" s="79">
        <v>90019</v>
      </c>
      <c r="N231" s="79" t="s">
        <v>292</v>
      </c>
      <c r="O231" s="79">
        <v>6</v>
      </c>
    </row>
    <row r="232" spans="1:15" ht="22.5" customHeight="1">
      <c r="A232" s="79">
        <v>90000</v>
      </c>
      <c r="B232" s="79" t="s">
        <v>18</v>
      </c>
      <c r="C232" s="79">
        <v>90001</v>
      </c>
      <c r="D232" s="79" t="s">
        <v>19</v>
      </c>
      <c r="E232" s="79">
        <v>90002</v>
      </c>
      <c r="F232" s="79" t="s">
        <v>33</v>
      </c>
      <c r="G232" s="79">
        <v>90005</v>
      </c>
      <c r="H232" s="79" t="s">
        <v>34</v>
      </c>
      <c r="I232" s="79">
        <v>90008</v>
      </c>
      <c r="J232" s="79" t="s">
        <v>289</v>
      </c>
      <c r="K232" s="79">
        <v>90020</v>
      </c>
      <c r="L232" s="79" t="s">
        <v>293</v>
      </c>
      <c r="M232" s="79">
        <v>90020</v>
      </c>
      <c r="N232" s="79" t="s">
        <v>293</v>
      </c>
      <c r="O232" s="79">
        <v>6</v>
      </c>
    </row>
    <row r="233" spans="1:15" ht="22.5" customHeight="1">
      <c r="A233" s="79">
        <v>90000</v>
      </c>
      <c r="B233" s="79" t="s">
        <v>18</v>
      </c>
      <c r="C233" s="79">
        <v>90001</v>
      </c>
      <c r="D233" s="79" t="s">
        <v>19</v>
      </c>
      <c r="E233" s="79">
        <v>90002</v>
      </c>
      <c r="F233" s="79" t="s">
        <v>33</v>
      </c>
      <c r="G233" s="79">
        <v>90005</v>
      </c>
      <c r="H233" s="79" t="s">
        <v>34</v>
      </c>
      <c r="I233" s="79">
        <v>90008</v>
      </c>
      <c r="J233" s="79" t="s">
        <v>289</v>
      </c>
      <c r="K233" s="79">
        <v>90021</v>
      </c>
      <c r="L233" s="79" t="s">
        <v>220</v>
      </c>
      <c r="M233" s="79">
        <v>90021</v>
      </c>
      <c r="N233" s="79" t="s">
        <v>220</v>
      </c>
      <c r="O233" s="79">
        <v>6</v>
      </c>
    </row>
    <row r="234" spans="1:15" ht="22.5" customHeight="1">
      <c r="A234" s="79">
        <v>90000</v>
      </c>
      <c r="B234" s="79" t="s">
        <v>18</v>
      </c>
      <c r="C234" s="79">
        <v>90001</v>
      </c>
      <c r="D234" s="79" t="s">
        <v>19</v>
      </c>
      <c r="E234" s="79">
        <v>90002</v>
      </c>
      <c r="F234" s="79" t="s">
        <v>33</v>
      </c>
      <c r="G234" s="79">
        <v>90005</v>
      </c>
      <c r="H234" s="79" t="s">
        <v>34</v>
      </c>
      <c r="I234" s="79">
        <v>90009</v>
      </c>
      <c r="J234" s="79" t="s">
        <v>294</v>
      </c>
      <c r="K234" s="79">
        <v>90022</v>
      </c>
      <c r="L234" s="79" t="s">
        <v>267</v>
      </c>
      <c r="M234" s="79">
        <v>90022</v>
      </c>
      <c r="N234" s="79" t="s">
        <v>267</v>
      </c>
      <c r="O234" s="79">
        <v>6</v>
      </c>
    </row>
    <row r="235" spans="1:15" ht="22.5" customHeight="1">
      <c r="A235" s="79">
        <v>90000</v>
      </c>
      <c r="B235" s="79" t="s">
        <v>18</v>
      </c>
      <c r="C235" s="79">
        <v>90001</v>
      </c>
      <c r="D235" s="79" t="s">
        <v>19</v>
      </c>
      <c r="E235" s="79">
        <v>90002</v>
      </c>
      <c r="F235" s="79" t="s">
        <v>33</v>
      </c>
      <c r="G235" s="79">
        <v>90005</v>
      </c>
      <c r="H235" s="79" t="s">
        <v>34</v>
      </c>
      <c r="I235" s="79">
        <v>90009</v>
      </c>
      <c r="J235" s="79" t="s">
        <v>294</v>
      </c>
      <c r="K235" s="79">
        <v>90023</v>
      </c>
      <c r="L235" s="79" t="s">
        <v>295</v>
      </c>
      <c r="M235" s="79">
        <v>90023</v>
      </c>
      <c r="N235" s="79" t="s">
        <v>295</v>
      </c>
      <c r="O235" s="79">
        <v>6</v>
      </c>
    </row>
    <row r="236" spans="1:15" ht="22.5" customHeight="1">
      <c r="A236" s="79">
        <v>90000</v>
      </c>
      <c r="B236" s="79" t="s">
        <v>18</v>
      </c>
      <c r="C236" s="79">
        <v>90001</v>
      </c>
      <c r="D236" s="79" t="s">
        <v>19</v>
      </c>
      <c r="E236" s="79">
        <v>90002</v>
      </c>
      <c r="F236" s="79" t="s">
        <v>33</v>
      </c>
      <c r="G236" s="79">
        <v>90005</v>
      </c>
      <c r="H236" s="79" t="s">
        <v>34</v>
      </c>
      <c r="I236" s="79">
        <v>90010</v>
      </c>
      <c r="J236" s="79" t="s">
        <v>275</v>
      </c>
      <c r="K236" s="79">
        <v>90024</v>
      </c>
      <c r="L236" s="79" t="s">
        <v>215</v>
      </c>
      <c r="M236" s="79">
        <v>90024</v>
      </c>
      <c r="N236" s="79" t="s">
        <v>215</v>
      </c>
      <c r="O236" s="79">
        <v>6</v>
      </c>
    </row>
    <row r="237" spans="1:15" ht="22.5" customHeight="1">
      <c r="A237" s="79">
        <v>90000</v>
      </c>
      <c r="B237" s="79" t="s">
        <v>18</v>
      </c>
      <c r="C237" s="79">
        <v>90001</v>
      </c>
      <c r="D237" s="79" t="s">
        <v>19</v>
      </c>
      <c r="E237" s="79">
        <v>90002</v>
      </c>
      <c r="F237" s="79" t="s">
        <v>33</v>
      </c>
      <c r="G237" s="79">
        <v>90005</v>
      </c>
      <c r="H237" s="79" t="s">
        <v>34</v>
      </c>
      <c r="I237" s="79">
        <v>90010</v>
      </c>
      <c r="J237" s="79" t="s">
        <v>275</v>
      </c>
      <c r="K237" s="79">
        <v>90025</v>
      </c>
      <c r="L237" s="79" t="s">
        <v>296</v>
      </c>
      <c r="M237" s="79">
        <v>90025</v>
      </c>
      <c r="N237" s="79" t="s">
        <v>297</v>
      </c>
      <c r="O237" s="79">
        <v>6</v>
      </c>
    </row>
    <row r="238" spans="1:15" ht="22.5" customHeight="1">
      <c r="A238" s="79">
        <v>90000</v>
      </c>
      <c r="B238" s="79" t="s">
        <v>18</v>
      </c>
      <c r="C238" s="79">
        <v>90001</v>
      </c>
      <c r="D238" s="79" t="s">
        <v>19</v>
      </c>
      <c r="E238" s="79">
        <v>90002</v>
      </c>
      <c r="F238" s="79" t="s">
        <v>33</v>
      </c>
      <c r="G238" s="79">
        <v>90006</v>
      </c>
      <c r="H238" s="79" t="s">
        <v>50</v>
      </c>
      <c r="I238" s="79">
        <v>90011</v>
      </c>
      <c r="J238" s="79" t="s">
        <v>298</v>
      </c>
      <c r="K238" s="79">
        <v>90026</v>
      </c>
      <c r="L238" s="79" t="s">
        <v>112</v>
      </c>
      <c r="M238" s="79">
        <v>90026</v>
      </c>
      <c r="N238" s="79" t="s">
        <v>113</v>
      </c>
      <c r="O238" s="79">
        <v>6</v>
      </c>
    </row>
    <row r="239" spans="1:15" ht="22.5" customHeight="1">
      <c r="A239" s="79">
        <v>90000</v>
      </c>
      <c r="B239" s="79" t="s">
        <v>18</v>
      </c>
      <c r="C239" s="79">
        <v>90001</v>
      </c>
      <c r="D239" s="79" t="s">
        <v>19</v>
      </c>
      <c r="E239" s="79">
        <v>90002</v>
      </c>
      <c r="F239" s="79" t="s">
        <v>33</v>
      </c>
      <c r="G239" s="79">
        <v>90006</v>
      </c>
      <c r="H239" s="79" t="s">
        <v>50</v>
      </c>
      <c r="I239" s="79">
        <v>90011</v>
      </c>
      <c r="J239" s="79" t="s">
        <v>298</v>
      </c>
      <c r="K239" s="79">
        <v>90027</v>
      </c>
      <c r="L239" s="79" t="s">
        <v>299</v>
      </c>
      <c r="M239" s="79">
        <v>90027</v>
      </c>
      <c r="N239" s="79" t="s">
        <v>300</v>
      </c>
      <c r="O239" s="79">
        <v>6</v>
      </c>
    </row>
    <row r="240" spans="1:15" ht="22.5" customHeight="1">
      <c r="A240" s="79">
        <v>90000</v>
      </c>
      <c r="B240" s="79" t="s">
        <v>18</v>
      </c>
      <c r="C240" s="79">
        <v>90001</v>
      </c>
      <c r="D240" s="79" t="s">
        <v>19</v>
      </c>
      <c r="E240" s="79">
        <v>90003</v>
      </c>
      <c r="F240" s="79" t="s">
        <v>71</v>
      </c>
      <c r="G240" s="79">
        <v>90012</v>
      </c>
      <c r="H240" s="79" t="s">
        <v>301</v>
      </c>
      <c r="I240" s="79">
        <v>90028</v>
      </c>
      <c r="J240" s="79" t="s">
        <v>232</v>
      </c>
      <c r="M240" s="79">
        <v>90028</v>
      </c>
      <c r="N240" s="79" t="s">
        <v>232</v>
      </c>
      <c r="O240" s="79">
        <v>5</v>
      </c>
    </row>
    <row r="241" spans="1:15" ht="22.5" customHeight="1">
      <c r="A241" s="79">
        <v>90000</v>
      </c>
      <c r="B241" s="79" t="s">
        <v>18</v>
      </c>
      <c r="C241" s="79">
        <v>90001</v>
      </c>
      <c r="D241" s="79" t="s">
        <v>19</v>
      </c>
      <c r="E241" s="79">
        <v>90003</v>
      </c>
      <c r="F241" s="79" t="s">
        <v>71</v>
      </c>
      <c r="G241" s="79">
        <v>90012</v>
      </c>
      <c r="H241" s="79" t="s">
        <v>301</v>
      </c>
      <c r="I241" s="79">
        <v>90029</v>
      </c>
      <c r="J241" s="79" t="s">
        <v>302</v>
      </c>
      <c r="M241" s="79">
        <v>90029</v>
      </c>
      <c r="N241" s="79" t="s">
        <v>302</v>
      </c>
      <c r="O241" s="79">
        <v>5</v>
      </c>
    </row>
    <row r="242" spans="1:15" ht="22.5" customHeight="1">
      <c r="A242" s="79">
        <v>90000</v>
      </c>
      <c r="B242" s="79" t="s">
        <v>18</v>
      </c>
      <c r="C242" s="79">
        <v>90001</v>
      </c>
      <c r="D242" s="79" t="s">
        <v>19</v>
      </c>
      <c r="E242" s="79">
        <v>90003</v>
      </c>
      <c r="F242" s="79" t="s">
        <v>71</v>
      </c>
      <c r="G242" s="79">
        <v>90012</v>
      </c>
      <c r="H242" s="79" t="s">
        <v>301</v>
      </c>
      <c r="I242" s="79">
        <v>90030</v>
      </c>
      <c r="J242" s="79" t="s">
        <v>303</v>
      </c>
      <c r="M242" s="79">
        <v>90030</v>
      </c>
      <c r="N242" s="79" t="s">
        <v>303</v>
      </c>
      <c r="O242" s="79">
        <v>5</v>
      </c>
    </row>
    <row r="243" spans="1:15" ht="22.5" customHeight="1">
      <c r="A243" s="79">
        <v>90000</v>
      </c>
      <c r="B243" s="79" t="s">
        <v>18</v>
      </c>
      <c r="C243" s="79">
        <v>90001</v>
      </c>
      <c r="D243" s="79" t="s">
        <v>19</v>
      </c>
      <c r="E243" s="79">
        <v>90004</v>
      </c>
      <c r="F243" s="79" t="s">
        <v>85</v>
      </c>
      <c r="G243" s="79">
        <v>90013</v>
      </c>
      <c r="H243" s="79" t="s">
        <v>304</v>
      </c>
      <c r="I243" s="79">
        <v>90031</v>
      </c>
      <c r="J243" s="79" t="s">
        <v>305</v>
      </c>
      <c r="M243" s="79">
        <v>90031</v>
      </c>
      <c r="N243" s="79" t="s">
        <v>305</v>
      </c>
      <c r="O243" s="79">
        <v>5</v>
      </c>
    </row>
    <row r="244" spans="1:15" ht="22.5" customHeight="1">
      <c r="A244" s="79">
        <v>90000</v>
      </c>
      <c r="B244" s="79" t="s">
        <v>18</v>
      </c>
      <c r="C244" s="79">
        <v>90001</v>
      </c>
      <c r="D244" s="79" t="s">
        <v>19</v>
      </c>
      <c r="E244" s="79">
        <v>90004</v>
      </c>
      <c r="F244" s="79" t="s">
        <v>85</v>
      </c>
      <c r="G244" s="79">
        <v>90013</v>
      </c>
      <c r="H244" s="79" t="s">
        <v>304</v>
      </c>
      <c r="I244" s="79">
        <v>90032</v>
      </c>
      <c r="J244" s="79" t="s">
        <v>306</v>
      </c>
      <c r="M244" s="79">
        <v>90032</v>
      </c>
      <c r="N244" s="79" t="s">
        <v>307</v>
      </c>
      <c r="O244" s="79">
        <v>5</v>
      </c>
    </row>
    <row r="245" spans="1:15" ht="22.5" customHeight="1">
      <c r="A245" s="79">
        <v>90000</v>
      </c>
      <c r="B245" s="79" t="s">
        <v>18</v>
      </c>
      <c r="C245" s="79">
        <v>90001</v>
      </c>
      <c r="D245" s="79" t="s">
        <v>19</v>
      </c>
      <c r="E245" s="79">
        <v>90004</v>
      </c>
      <c r="F245" s="79" t="s">
        <v>85</v>
      </c>
      <c r="G245" s="79">
        <v>90013</v>
      </c>
      <c r="H245" s="79" t="s">
        <v>304</v>
      </c>
      <c r="I245" s="79">
        <v>90033</v>
      </c>
      <c r="J245" s="79" t="s">
        <v>308</v>
      </c>
      <c r="M245" s="79">
        <v>90033</v>
      </c>
      <c r="N245" s="79" t="s">
        <v>308</v>
      </c>
      <c r="O245" s="79">
        <v>5</v>
      </c>
    </row>
    <row r="246" spans="1:15" ht="22.5" customHeight="1">
      <c r="A246" s="79">
        <v>90000</v>
      </c>
      <c r="B246" s="79" t="s">
        <v>18</v>
      </c>
      <c r="C246" s="79">
        <v>90001</v>
      </c>
      <c r="D246" s="79" t="s">
        <v>19</v>
      </c>
      <c r="E246" s="79">
        <v>90004</v>
      </c>
      <c r="F246" s="79" t="s">
        <v>85</v>
      </c>
      <c r="G246" s="79">
        <v>90013</v>
      </c>
      <c r="H246" s="79" t="s">
        <v>304</v>
      </c>
      <c r="I246" s="79">
        <v>90034</v>
      </c>
      <c r="J246" s="79" t="s">
        <v>309</v>
      </c>
      <c r="M246" s="79">
        <v>90034</v>
      </c>
      <c r="N246" s="79" t="s">
        <v>309</v>
      </c>
      <c r="O246" s="79">
        <v>5</v>
      </c>
    </row>
  </sheetData>
  <pageMargins left="0.511811024" right="0.511811024" top="0.78740157499999996" bottom="0.78740157499999996" header="0.31496062000000002" footer="0.31496062000000002"/>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BAC3-FB88-4E65-91A1-608C0D1B6051}">
  <dimension ref="A1:G40"/>
  <sheetViews>
    <sheetView workbookViewId="0">
      <selection activeCell="D11" sqref="D11"/>
    </sheetView>
  </sheetViews>
  <sheetFormatPr baseColWidth="10" defaultRowHeight="15"/>
  <cols>
    <col min="1" max="2" width="25" customWidth="1"/>
    <col min="3" max="3" width="27.5" customWidth="1"/>
    <col min="4" max="4" width="25" customWidth="1"/>
    <col min="5" max="5" width="29.19921875" customWidth="1"/>
    <col min="6" max="6" width="4.19921875" customWidth="1"/>
    <col min="7" max="7" width="25" customWidth="1"/>
  </cols>
  <sheetData>
    <row r="1" spans="1:7" ht="28.05" customHeight="1">
      <c r="A1" s="178" t="s">
        <v>1534</v>
      </c>
      <c r="B1" s="178"/>
      <c r="C1" s="178"/>
      <c r="D1" s="178"/>
      <c r="E1" s="178"/>
      <c r="F1" s="178"/>
      <c r="G1" s="178"/>
    </row>
    <row r="2" spans="1:7">
      <c r="A2" s="179" t="s">
        <v>1535</v>
      </c>
      <c r="B2" s="179"/>
      <c r="C2" s="179"/>
      <c r="D2" s="179"/>
      <c r="E2" s="179"/>
      <c r="F2" s="179"/>
      <c r="G2" s="179"/>
    </row>
    <row r="3" spans="1:7">
      <c r="A3" s="74"/>
      <c r="B3" s="74"/>
      <c r="C3" s="74"/>
      <c r="D3" s="74"/>
      <c r="E3" s="74"/>
      <c r="F3" s="74"/>
      <c r="G3" s="74"/>
    </row>
    <row r="4" spans="1:7">
      <c r="A4" s="74" t="s">
        <v>1471</v>
      </c>
      <c r="B4" s="74"/>
      <c r="C4" s="74" t="s">
        <v>1477</v>
      </c>
      <c r="D4" s="74"/>
      <c r="E4" s="74" t="s">
        <v>1497</v>
      </c>
      <c r="F4" s="74"/>
      <c r="G4" s="74" t="s">
        <v>1499</v>
      </c>
    </row>
    <row r="5" spans="1:7">
      <c r="A5" s="74" t="s">
        <v>1472</v>
      </c>
      <c r="B5" s="74"/>
      <c r="C5" s="74" t="s">
        <v>1512</v>
      </c>
      <c r="D5" s="74"/>
      <c r="E5" s="74" t="s">
        <v>33</v>
      </c>
      <c r="F5" s="74"/>
      <c r="G5" s="74" t="s">
        <v>1516</v>
      </c>
    </row>
    <row r="6" spans="1:7">
      <c r="A6" s="74" t="s">
        <v>1474</v>
      </c>
      <c r="B6" s="74"/>
      <c r="C6" s="74" t="s">
        <v>1513</v>
      </c>
      <c r="D6" s="74"/>
      <c r="E6" s="74" t="s">
        <v>71</v>
      </c>
      <c r="F6" s="74"/>
      <c r="G6" s="74" t="s">
        <v>1517</v>
      </c>
    </row>
    <row r="7" spans="1:7">
      <c r="A7" s="74"/>
      <c r="B7" s="74"/>
      <c r="C7" s="74" t="s">
        <v>1514</v>
      </c>
      <c r="D7" s="74"/>
      <c r="E7" s="74" t="s">
        <v>1515</v>
      </c>
      <c r="F7" s="74"/>
      <c r="G7" s="74" t="s">
        <v>1518</v>
      </c>
    </row>
    <row r="8" spans="1:7">
      <c r="A8" s="74"/>
      <c r="B8" s="74"/>
      <c r="C8" s="74" t="s">
        <v>1498</v>
      </c>
      <c r="D8" s="74"/>
      <c r="E8" s="74"/>
      <c r="F8" s="74"/>
      <c r="G8" s="74" t="s">
        <v>1519</v>
      </c>
    </row>
    <row r="9" spans="1:7">
      <c r="A9" s="74"/>
      <c r="B9" s="74"/>
      <c r="C9" s="74"/>
      <c r="D9" s="74"/>
      <c r="E9" s="74"/>
      <c r="F9" s="74"/>
      <c r="G9" s="74"/>
    </row>
    <row r="10" spans="1:7">
      <c r="A10" s="74"/>
      <c r="B10" s="74"/>
      <c r="C10" s="74"/>
      <c r="D10" s="74"/>
      <c r="E10" s="74"/>
      <c r="F10" s="74"/>
      <c r="G10" s="74"/>
    </row>
    <row r="11" spans="1:7">
      <c r="A11" s="74" t="s">
        <v>1478</v>
      </c>
      <c r="B11" s="74"/>
      <c r="C11" s="74" t="s">
        <v>1495</v>
      </c>
      <c r="D11" s="74"/>
      <c r="E11" s="74" t="s">
        <v>1526</v>
      </c>
      <c r="F11" s="74"/>
      <c r="G11" s="74"/>
    </row>
    <row r="12" spans="1:7">
      <c r="A12" s="74" t="s">
        <v>1147</v>
      </c>
      <c r="B12" s="74"/>
      <c r="C12" s="74" t="s">
        <v>1187</v>
      </c>
      <c r="D12" s="74"/>
      <c r="E12" s="74" t="s">
        <v>1161</v>
      </c>
      <c r="F12" s="74"/>
      <c r="G12" s="74"/>
    </row>
    <row r="13" spans="1:7">
      <c r="A13" s="74" t="s">
        <v>1148</v>
      </c>
      <c r="B13" s="74"/>
      <c r="C13" s="74" t="s">
        <v>1521</v>
      </c>
      <c r="D13" s="74"/>
      <c r="E13" s="74" t="s">
        <v>1162</v>
      </c>
      <c r="F13" s="74"/>
      <c r="G13" s="74"/>
    </row>
    <row r="14" spans="1:7">
      <c r="A14" s="74"/>
      <c r="B14" s="74"/>
      <c r="C14" s="74" t="s">
        <v>1522</v>
      </c>
      <c r="D14" s="74"/>
      <c r="E14" s="74" t="s">
        <v>1201</v>
      </c>
      <c r="F14" s="74"/>
      <c r="G14" s="74"/>
    </row>
    <row r="15" spans="1:7">
      <c r="A15" s="74"/>
      <c r="B15" s="74"/>
      <c r="C15" s="74" t="s">
        <v>1523</v>
      </c>
      <c r="D15" s="74"/>
      <c r="E15" s="74" t="s">
        <v>1163</v>
      </c>
      <c r="F15" s="74"/>
      <c r="G15" s="74"/>
    </row>
    <row r="16" spans="1:7">
      <c r="A16" s="74"/>
      <c r="B16" s="74"/>
      <c r="C16" s="74" t="s">
        <v>1524</v>
      </c>
      <c r="D16" s="74"/>
      <c r="E16" s="74"/>
      <c r="F16" s="74"/>
      <c r="G16" s="74"/>
    </row>
    <row r="17" spans="1:7">
      <c r="A17" s="74"/>
      <c r="B17" s="74"/>
      <c r="C17" s="74" t="s">
        <v>1525</v>
      </c>
      <c r="D17" s="74"/>
      <c r="E17" s="74"/>
      <c r="F17" s="74"/>
      <c r="G17" s="74"/>
    </row>
    <row r="18" spans="1:7">
      <c r="A18" s="74"/>
      <c r="B18" s="74"/>
      <c r="C18" s="74"/>
      <c r="D18" s="74"/>
      <c r="E18" s="74"/>
      <c r="F18" s="74"/>
      <c r="G18" s="74"/>
    </row>
    <row r="19" spans="1:7">
      <c r="A19" s="74"/>
      <c r="B19" s="74"/>
      <c r="C19" s="74"/>
      <c r="D19" s="74"/>
      <c r="E19" s="74"/>
      <c r="F19" s="74"/>
      <c r="G19" s="74"/>
    </row>
    <row r="20" spans="1:7">
      <c r="A20" s="177" t="s">
        <v>1527</v>
      </c>
      <c r="B20" s="177"/>
      <c r="C20" s="177"/>
      <c r="D20" s="177"/>
      <c r="E20" s="177"/>
      <c r="F20" s="177"/>
      <c r="G20" s="177"/>
    </row>
    <row r="21" spans="1:7">
      <c r="A21" s="81" t="s">
        <v>1528</v>
      </c>
      <c r="B21" s="81" t="s">
        <v>1529</v>
      </c>
      <c r="C21" s="81"/>
      <c r="D21" s="81" t="s">
        <v>1530</v>
      </c>
      <c r="E21" s="81" t="s">
        <v>1531</v>
      </c>
      <c r="F21" s="74"/>
      <c r="G21" s="74"/>
    </row>
    <row r="22" spans="1:7">
      <c r="A22" s="74" t="str" cm="1">
        <f t="array" ref="A22:A27">_xlfn._xlws.SORT(_xlfn.UNIQUE(_xlfn._xlws.FILTER(Table227[sector_name],Table227[risk_component_name]="Vulnerability","")))</f>
        <v>Biodiversity</v>
      </c>
      <c r="B22" s="74" t="str" cm="1">
        <f t="array" ref="B22">_xlfn._xlws.SORT(_xlfn.UNIQUE(_xlfn._xlws.FILTER(Table227[risk_component_name],(Table227[sector_name]='Water Resources x actions'!$C$71)*(Table227[risk_component_name]="Vulnerability"),"")))</f>
        <v>Vulnerability</v>
      </c>
      <c r="C22" s="74"/>
      <c r="D22" s="74" t="str" cm="1">
        <f t="array" ref="D22:D27">_xlfn._xlws.SORT(_xlfn.UNIQUE(_xlfn._xlws.FILTER(Table227[sector_name],Table227[risk_component_name]="Exposure","")))</f>
        <v>Biodiversity</v>
      </c>
      <c r="E22" s="74" t="str" cm="1">
        <f t="array" ref="E22">_xlfn._xlws.SORT(_xlfn.UNIQUE(_xlfn._xlws.FILTER(Table227[risk_component_name],(Table227[sector_name]='Water Resources x actions'!$C$76)*(Table227[risk_component_name]="Exposure"),"")))</f>
        <v>Exposure</v>
      </c>
      <c r="F22" s="74"/>
      <c r="G22" s="74"/>
    </row>
    <row r="23" spans="1:7">
      <c r="A23" s="74" t="str">
        <v>Energy security</v>
      </c>
      <c r="B23" s="74"/>
      <c r="C23" s="74"/>
      <c r="D23" s="74" t="str">
        <v>Energy security</v>
      </c>
      <c r="E23" s="74"/>
      <c r="F23" s="74"/>
      <c r="G23" s="74"/>
    </row>
    <row r="24" spans="1:7">
      <c r="A24" s="74" t="str">
        <v>Food security</v>
      </c>
      <c r="B24" s="74"/>
      <c r="C24" s="74"/>
      <c r="D24" s="74" t="str">
        <v>Food security</v>
      </c>
      <c r="E24" s="74"/>
      <c r="F24" s="74"/>
      <c r="G24" s="74"/>
    </row>
    <row r="25" spans="1:7">
      <c r="A25" s="74" t="str">
        <v>Geohydrological disasters</v>
      </c>
      <c r="B25" s="74"/>
      <c r="C25" s="74"/>
      <c r="D25" s="74" t="str">
        <v>Geohydrological disasters</v>
      </c>
      <c r="E25" s="74"/>
      <c r="F25" s="74"/>
      <c r="G25" s="74"/>
    </row>
    <row r="26" spans="1:7">
      <c r="A26" s="74" t="str">
        <v>Health</v>
      </c>
      <c r="B26" s="74"/>
      <c r="C26" s="74"/>
      <c r="D26" s="74" t="str">
        <v>Health</v>
      </c>
      <c r="E26" s="74"/>
      <c r="F26" s="74"/>
      <c r="G26" s="74"/>
    </row>
    <row r="27" spans="1:7">
      <c r="A27" s="74" t="str">
        <v>Water resources</v>
      </c>
      <c r="B27" s="74"/>
      <c r="C27" s="74"/>
      <c r="D27" s="74" t="str">
        <v>Water resources</v>
      </c>
      <c r="E27" s="74"/>
      <c r="F27" s="74"/>
      <c r="G27" s="74"/>
    </row>
    <row r="28" spans="1:7">
      <c r="A28" s="74"/>
      <c r="B28" s="74"/>
      <c r="C28" s="74"/>
      <c r="D28" s="74"/>
      <c r="E28" s="74"/>
      <c r="F28" s="74"/>
      <c r="G28" s="74"/>
    </row>
    <row r="29" spans="1:7">
      <c r="A29" s="74"/>
      <c r="B29" s="74"/>
      <c r="C29" s="74"/>
      <c r="D29" s="74"/>
      <c r="E29" s="74"/>
      <c r="F29" s="74"/>
      <c r="G29" s="74"/>
    </row>
    <row r="30" spans="1:7">
      <c r="A30" s="74"/>
      <c r="B30" s="74"/>
      <c r="C30" s="74"/>
      <c r="D30" s="74"/>
      <c r="E30" s="74"/>
      <c r="F30" s="74"/>
      <c r="G30" s="74"/>
    </row>
    <row r="31" spans="1:7">
      <c r="A31" s="74"/>
      <c r="B31" s="74"/>
      <c r="C31" s="74"/>
      <c r="D31" s="74"/>
      <c r="E31" s="74"/>
      <c r="F31" s="74"/>
      <c r="G31" s="74"/>
    </row>
    <row r="32" spans="1:7">
      <c r="A32" s="74"/>
      <c r="B32" s="74"/>
      <c r="C32" s="74"/>
      <c r="D32" s="74"/>
      <c r="E32" s="74"/>
      <c r="F32" s="74"/>
      <c r="G32" s="74"/>
    </row>
    <row r="33" spans="1:7">
      <c r="A33" s="74"/>
      <c r="B33" s="74"/>
      <c r="C33" s="74"/>
      <c r="D33" s="74"/>
      <c r="E33" s="74"/>
      <c r="F33" s="74"/>
      <c r="G33" s="74"/>
    </row>
    <row r="34" spans="1:7">
      <c r="A34" s="74"/>
      <c r="B34" s="74"/>
      <c r="C34" s="74"/>
      <c r="D34" s="74"/>
      <c r="E34" s="74"/>
      <c r="F34" s="74"/>
      <c r="G34" s="74"/>
    </row>
    <row r="35" spans="1:7">
      <c r="A35" s="74"/>
      <c r="B35" s="74"/>
      <c r="C35" s="74"/>
      <c r="D35" s="74"/>
      <c r="E35" s="74"/>
      <c r="F35" s="74"/>
      <c r="G35" s="74"/>
    </row>
    <row r="36" spans="1:7">
      <c r="A36" s="74"/>
      <c r="B36" s="74"/>
      <c r="C36" s="74"/>
      <c r="D36" s="74"/>
      <c r="E36" s="74"/>
      <c r="F36" s="74"/>
      <c r="G36" s="74"/>
    </row>
    <row r="37" spans="1:7">
      <c r="A37" s="74"/>
      <c r="B37" s="74"/>
      <c r="C37" s="74"/>
      <c r="D37" s="74"/>
      <c r="E37" s="74"/>
      <c r="F37" s="74"/>
      <c r="G37" s="74"/>
    </row>
    <row r="38" spans="1:7">
      <c r="A38" s="74"/>
      <c r="B38" s="74"/>
      <c r="C38" s="74"/>
      <c r="D38" s="74"/>
      <c r="E38" s="74"/>
      <c r="F38" s="74"/>
      <c r="G38" s="74"/>
    </row>
    <row r="39" spans="1:7">
      <c r="A39" s="74"/>
      <c r="B39" s="74"/>
      <c r="C39" s="74"/>
      <c r="D39" s="74"/>
      <c r="E39" s="74"/>
      <c r="F39" s="74"/>
      <c r="G39" s="74"/>
    </row>
    <row r="40" spans="1:7">
      <c r="A40" s="74"/>
      <c r="B40" s="74"/>
      <c r="C40" s="74"/>
      <c r="D40" s="74"/>
      <c r="E40" s="74"/>
      <c r="F40" s="74"/>
      <c r="G40" s="74"/>
    </row>
  </sheetData>
  <mergeCells count="3">
    <mergeCell ref="A20:G20"/>
    <mergeCell ref="A1:G1"/>
    <mergeCell ref="A2:G2"/>
  </mergeCells>
  <pageMargins left="0.7" right="0.7" top="0.75" bottom="0.75" header="0.3" footer="0.3"/>
  <tableParts count="7">
    <tablePart r:id="rId1"/>
    <tablePart r:id="rId2"/>
    <tablePart r:id="rId3"/>
    <tablePart r:id="rId4"/>
    <tablePart r:id="rId5"/>
    <tablePart r:id="rId6"/>
    <tablePart r:id="rId7"/>
  </tableParts>
</worksheet>
</file>

<file path=docMetadata/LabelInfo.xml><?xml version="1.0" encoding="utf-8"?>
<clbl:labelList xmlns:clbl="http://schemas.microsoft.com/office/2020/mipLabelMetadata">
  <clbl:label id="{aa321b6e-c2f4-42f8-95b8-4d018e6d28ec}" enabled="0" method="" siteId="{aa321b6e-c2f4-42f8-95b8-4d018e6d28e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22</vt:i4>
      </vt:variant>
      <vt:variant>
        <vt:lpstr>Plages nommées</vt:lpstr>
      </vt:variant>
      <vt:variant>
        <vt:i4>50</vt:i4>
      </vt:variant>
    </vt:vector>
  </HeadingPairs>
  <TitlesOfParts>
    <vt:vector size="72" baseType="lpstr">
      <vt:lpstr>Home</vt:lpstr>
      <vt:lpstr>Summary Matrix</vt:lpstr>
      <vt:lpstr>Water Resources x actions</vt:lpstr>
      <vt:lpstr>Score assessments</vt:lpstr>
      <vt:lpstr>Impact scoring - detailed test</vt:lpstr>
      <vt:lpstr>99_Source_Backup</vt:lpstr>
      <vt:lpstr>Sectors_Adaptabrasil (old)</vt:lpstr>
      <vt:lpstr>Tab Google drive &gt;&gt;&gt;</vt:lpstr>
      <vt:lpstr>Bank of actions</vt:lpstr>
      <vt:lpstr>sector_risk</vt:lpstr>
      <vt:lpstr>all_indicators</vt:lpstr>
      <vt:lpstr>Finance data catalog</vt:lpstr>
      <vt:lpstr>Legal feasibility</vt:lpstr>
      <vt:lpstr>Policy documents</vt:lpstr>
      <vt:lpstr>Old &gt;&gt;</vt:lpstr>
      <vt:lpstr>Food Security x actions</vt:lpstr>
      <vt:lpstr>Biodiversity x actions</vt:lpstr>
      <vt:lpstr>Geohydrological disas x actions</vt:lpstr>
      <vt:lpstr>Health x actions</vt:lpstr>
      <vt:lpstr>Energy Security x actions</vt:lpstr>
      <vt:lpstr>all_indicators_bank</vt:lpstr>
      <vt:lpstr>Lists</vt:lpstr>
      <vt:lpstr>ImpactActionIDs</vt:lpstr>
      <vt:lpstr>'99_Source_Backup'!ImpactScaledActionIDs</vt:lpstr>
      <vt:lpstr>'Biodiversity x actions'!ImpactScaledActionIDs</vt:lpstr>
      <vt:lpstr>'Energy Security x actions'!ImpactScaledActionIDs</vt:lpstr>
      <vt:lpstr>'Food Security x actions'!ImpactScaledActionIDs</vt:lpstr>
      <vt:lpstr>'Geohydrological disas x actions'!ImpactScaledActionIDs</vt:lpstr>
      <vt:lpstr>'Health x actions'!ImpactScaledActionIDs</vt:lpstr>
      <vt:lpstr>ImpactScaledActionIDs</vt:lpstr>
      <vt:lpstr>'Biodiversity x actions'!WR_AccessStatus</vt:lpstr>
      <vt:lpstr>'Energy Security x actions'!WR_AccessStatus</vt:lpstr>
      <vt:lpstr>'Food Security x actions'!WR_AccessStatus</vt:lpstr>
      <vt:lpstr>'Geohydrological disas x actions'!WR_AccessStatus</vt:lpstr>
      <vt:lpstr>'Health x actions'!WR_AccessStatus</vt:lpstr>
      <vt:lpstr>WR_AccessStatus</vt:lpstr>
      <vt:lpstr>'Biodiversity x actions'!WR_EffectivenessLevel</vt:lpstr>
      <vt:lpstr>'Energy Security x actions'!WR_EffectivenessLevel</vt:lpstr>
      <vt:lpstr>'Food Security x actions'!WR_EffectivenessLevel</vt:lpstr>
      <vt:lpstr>'Geohydrological disas x actions'!WR_EffectivenessLevel</vt:lpstr>
      <vt:lpstr>'Health x actions'!WR_EffectivenessLevel</vt:lpstr>
      <vt:lpstr>WR_EffectivenessLevel</vt:lpstr>
      <vt:lpstr>'Biodiversity x actions'!WR_EvidenceStrength</vt:lpstr>
      <vt:lpstr>'Energy Security x actions'!WR_EvidenceStrength</vt:lpstr>
      <vt:lpstr>'Food Security x actions'!WR_EvidenceStrength</vt:lpstr>
      <vt:lpstr>'Geohydrological disas x actions'!WR_EvidenceStrength</vt:lpstr>
      <vt:lpstr>'Health x actions'!WR_EvidenceStrength</vt:lpstr>
      <vt:lpstr>WR_EvidenceStrength</vt:lpstr>
      <vt:lpstr>'Biodiversity x actions'!WR_HumanValidated</vt:lpstr>
      <vt:lpstr>'Energy Security x actions'!WR_HumanValidated</vt:lpstr>
      <vt:lpstr>'Food Security x actions'!WR_HumanValidated</vt:lpstr>
      <vt:lpstr>'Geohydrological disas x actions'!WR_HumanValidated</vt:lpstr>
      <vt:lpstr>'Health x actions'!WR_HumanValidated</vt:lpstr>
      <vt:lpstr>WR_HumanValidated</vt:lpstr>
      <vt:lpstr>'Biodiversity x actions'!WR_RelevantComponent</vt:lpstr>
      <vt:lpstr>'Energy Security x actions'!WR_RelevantComponent</vt:lpstr>
      <vt:lpstr>'Food Security x actions'!WR_RelevantComponent</vt:lpstr>
      <vt:lpstr>'Geohydrological disas x actions'!WR_RelevantComponent</vt:lpstr>
      <vt:lpstr>'Health x actions'!WR_RelevantComponent</vt:lpstr>
      <vt:lpstr>WR_RelevantComponent</vt:lpstr>
      <vt:lpstr>'Biodiversity x actions'!WR_ReviewStatus</vt:lpstr>
      <vt:lpstr>'Energy Security x actions'!WR_ReviewStatus</vt:lpstr>
      <vt:lpstr>'Food Security x actions'!WR_ReviewStatus</vt:lpstr>
      <vt:lpstr>'Geohydrological disas x actions'!WR_ReviewStatus</vt:lpstr>
      <vt:lpstr>'Health x actions'!WR_ReviewStatus</vt:lpstr>
      <vt:lpstr>WR_ReviewStatus</vt:lpstr>
      <vt:lpstr>'Biodiversity x actions'!WR_SourceScope</vt:lpstr>
      <vt:lpstr>'Energy Security x actions'!WR_SourceScope</vt:lpstr>
      <vt:lpstr>'Food Security x actions'!WR_SourceScope</vt:lpstr>
      <vt:lpstr>'Geohydrological disas x actions'!WR_SourceScope</vt:lpstr>
      <vt:lpstr>'Health x actions'!WR_SourceScope</vt:lpstr>
      <vt:lpstr>WR_SourceScope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Albaz (CE)</dc:creator>
  <cp:lastModifiedBy>Arthur Albaz (CE)</cp:lastModifiedBy>
  <dcterms:created xsi:type="dcterms:W3CDTF">2026-07-16T16:57:03Z</dcterms:created>
  <dcterms:modified xsi:type="dcterms:W3CDTF">2026-08-26T20:14:17Z</dcterms:modified>
</cp:coreProperties>
</file>