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54aac0ca13d4b41" /></Relationships>
</file>

<file path=xl/workbook.xml><?xml version="1.0" encoding="utf-8"?>
<x:workbook xmlns:x="http://schemas.openxmlformats.org/spreadsheetml/2006/main">
  <x:sheets>
    <x:sheet xmlns:r="http://schemas.openxmlformats.org/officeDocument/2006/relationships" name="Start Here" sheetId="1" r:id="Ra8bc03f4c9c54d1c"/>
    <x:sheet xmlns:r="http://schemas.openxmlformats.org/officeDocument/2006/relationships" name="Assessment Review" sheetId="2" r:id="R7ffdff2706364a6e"/>
    <x:sheet xmlns:r="http://schemas.openxmlformats.org/officeDocument/2006/relationships" name="Evidence Review" sheetId="3" r:id="R72b2de63ac524481"/>
    <x:sheet xmlns:r="http://schemas.openxmlformats.org/officeDocument/2006/relationships" name="Source Review" sheetId="4" r:id="Rb8bdc0161a324c6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yyyy-mm-dd"/>
    <x:numFmt numFmtId="202" formatCode="@"/>
    <x:numFmt numFmtId="203" formatCode="0"/>
  </x:numFmts>
  <x:fonts count="12">
    <x:font>
      <x:sz val="11"/>
      <x:name val="Carlito"/>
    </x:font>
    <x:font>
      <x:b/>
      <x:sz val="11"/>
      <x:color rgb="FFFFFFFF"/>
      <x:name val="Carlito"/>
    </x:font>
    <x:font>
      <x:sz val="11"/>
      <x:color rgb="FF173042"/>
      <x:name val="Carlito"/>
    </x:font>
    <x:font>
      <x:b/>
      <x:sz val="11"/>
      <x:color rgb="FF123B52"/>
      <x:name val="Carlito"/>
    </x:font>
    <x:font>
      <x:b/>
      <x:sz val="11"/>
      <x:color rgb="FF173042"/>
      <x:name val="Carlito"/>
    </x:font>
    <x:font>
      <x:b/>
      <x:sz val="11"/>
      <x:color rgb="FF0F766E"/>
      <x:name val="Carlito"/>
    </x:font>
    <x:font>
      <x:b/>
      <x:sz val="11"/>
      <x:color rgb="FFFFFFFF"/>
      <x:name val="Aptos"/>
    </x:font>
    <x:font>
      <x:sz val="11"/>
      <x:color rgb="FF173042"/>
      <x:name val="Aptos"/>
    </x:font>
    <x:font>
      <x:sz val="11"/>
      <x:name val="Aptos"/>
    </x:font>
    <x:font>
      <x:b/>
      <x:sz val="11"/>
      <x:color rgb="FF123B52"/>
      <x:name val="Aptos"/>
    </x:font>
    <x:font>
      <x:b/>
      <x:sz val="11"/>
      <x:color rgb="FF173042"/>
      <x:name val="Aptos"/>
    </x:font>
    <x:font>
      <x:b/>
      <x:sz val="11"/>
      <x:color rgb="FF0F766E"/>
      <x:name val="Aptos"/>
    </x:font>
  </x:fonts>
  <x:fills count="9">
    <x:fill>
      <x:patternFill patternType="none"/>
    </x:fill>
    <x:fill>
      <x:patternFill patternType="gray125"/>
    </x:fill>
    <x:fill>
      <x:patternFill patternType="solid">
        <x:fgColor rgb="FF123B52"/>
      </x:patternFill>
    </x:fill>
    <x:fill>
      <x:patternFill patternType="solid">
        <x:fgColor rgb="FFE8F1F7"/>
      </x:patternFill>
    </x:fill>
    <x:fill>
      <x:patternFill patternType="solid">
        <x:fgColor rgb="FF0F766E"/>
      </x:patternFill>
    </x:fill>
    <x:fill>
      <x:patternFill patternType="solid">
        <x:fgColor rgb="FFDFF3EF"/>
      </x:patternFill>
    </x:fill>
    <x:fill>
      <x:patternFill patternType="solid">
        <x:fgColor rgb="FFEEF1F3"/>
      </x:patternFill>
    </x:fill>
    <x:fill>
      <x:patternFill patternType="solid">
        <x:fgColor rgb="FFFFFFFF"/>
      </x:patternFill>
    </x:fill>
    <x:fill>
      <x:patternFill patternType="solid">
        <x:fgColor rgb="FFFFF4CC"/>
      </x:patternFill>
    </x:fill>
  </x:fills>
  <x:borders count="25">
    <x:border/>
    <x:border>
      <x:left style="thin">
        <x:color rgb="FFCAD4DA"/>
      </x:left>
      <x:top style="thin">
        <x:color rgb="FFCAD4DA"/>
      </x:top>
    </x:border>
    <x:border>
      <x:right style="thin">
        <x:color rgb="FFCAD4DA"/>
      </x:right>
      <x:top style="thin">
        <x:color rgb="FFCAD4DA"/>
      </x:top>
    </x:border>
    <x:border>
      <x:left style="thin">
        <x:color rgb="FFCAD4DA"/>
      </x:left>
      <x:bottom style="thin">
        <x:color rgb="FFCAD4DA"/>
      </x:bottom>
    </x:border>
    <x:border>
      <x:right style="thin">
        <x:color rgb="FFCAD4DA"/>
      </x:right>
      <x:bottom style="thin">
        <x:color rgb="FFCAD4DA"/>
      </x:bottom>
    </x:border>
    <x:border>
      <x:left style="thin">
        <x:color rgb="FFF7D774"/>
      </x:left>
      <x:top style="thin">
        <x:color rgb="FFF7D774"/>
      </x:top>
      <x:bottom style="thin">
        <x:color rgb="FFF7D774"/>
      </x:bottom>
    </x:border>
    <x:border>
      <x:top style="thin">
        <x:color rgb="FFF7D774"/>
      </x:top>
      <x:bottom style="thin">
        <x:color rgb="FFF7D774"/>
      </x:bottom>
    </x:border>
    <x:border>
      <x:right style="thin">
        <x:color rgb="FFF7D774"/>
      </x:right>
      <x:top style="thin">
        <x:color rgb="FFF7D774"/>
      </x:top>
      <x:bottom style="thin">
        <x:color rgb="FFF7D774"/>
      </x:bottom>
    </x:border>
    <x:border>
      <x:left style="thin">
        <x:color rgb="FFCAD4DA"/>
      </x:left>
      <x:right style="thin">
        <x:color rgb="FFCAD4DA"/>
      </x:right>
      <x:bottom style="thin">
        <x:color rgb="FFCAD4DA"/>
      </x:bottom>
    </x:border>
    <x:border>
      <x:right style="thin">
        <x:color rgb="FFCAD4DA"/>
      </x:right>
      <x:top style="thin">
        <x:color rgb="FFCAD4DA"/>
      </x:top>
      <x:bottom style="thin">
        <x:color rgb="FFCAD4DA"/>
      </x:bottom>
    </x:border>
    <x:border>
      <x:left style="thin">
        <x:color rgb="FFCAD4DA"/>
      </x:left>
      <x:right style="thin">
        <x:color rgb="FFCAD4DA"/>
      </x:right>
      <x:top style="thin">
        <x:color rgb="FFCAD4DA"/>
      </x:top>
      <x:bottom style="thin">
        <x:color rgb="FFCAD4DA"/>
      </x:bottom>
    </x:border>
    <x:border>
      <x:left style="thin">
        <x:color rgb="FFCAD4DA"/>
      </x:left>
      <x:top style="thin">
        <x:color rgb="FFCAD4DA"/>
      </x:top>
      <x:bottom style="thin">
        <x:color rgb="FFCAD4DA"/>
      </x:bottom>
    </x:border>
    <x:border>
      <x:left style="thin">
        <x:color rgb="FFCAD4DA"/>
      </x:left>
      <x:right style="thin">
        <x:color rgb="FFCAD4DA"/>
      </x:right>
      <x:top style="thin">
        <x:color rgb="FFCAD4DA"/>
      </x:top>
    </x:border>
    <x:border>
      <x:left style="thin">
        <x:color rgb="FF123B52"/>
      </x:left>
      <x:top style="thin">
        <x:color rgb="FF123B52"/>
      </x:top>
      <x:bottom style="thin">
        <x:color rgb="FF123B52"/>
      </x:bottom>
    </x:border>
    <x:border>
      <x:top style="thin">
        <x:color rgb="FF123B52"/>
      </x:top>
      <x:bottom style="thin">
        <x:color rgb="FF123B52"/>
      </x:bottom>
    </x:border>
    <x:border>
      <x:right style="thin">
        <x:color rgb="FF123B52"/>
      </x:right>
      <x:top style="thin">
        <x:color rgb="FF123B52"/>
      </x:top>
      <x:bottom style="thin">
        <x:color rgb="FF123B52"/>
      </x:bottom>
    </x:border>
    <x:border>
      <x:right style="thin">
        <x:color rgb="FFE6ECEF"/>
      </x:right>
      <x:bottom style="thin">
        <x:color rgb="FFE6ECEF"/>
      </x:bottom>
    </x:border>
    <x:border>
      <x:left style="thin">
        <x:color rgb="FFE6ECEF"/>
      </x:left>
      <x:right style="thin">
        <x:color rgb="FFE6ECEF"/>
      </x:right>
      <x:bottom style="thin">
        <x:color rgb="FFE6ECEF"/>
      </x:bottom>
    </x:border>
    <x:border>
      <x:left style="thin">
        <x:color rgb="FFE6ECEF"/>
      </x:left>
      <x:bottom style="thin">
        <x:color rgb="FFE6ECEF"/>
      </x:bottom>
    </x:border>
    <x:border>
      <x:right style="thin">
        <x:color rgb="FFE6ECEF"/>
      </x:right>
      <x:top style="thin">
        <x:color rgb="FFE6ECEF"/>
      </x:top>
      <x:bottom style="thin">
        <x:color rgb="FFE6ECEF"/>
      </x:bottom>
    </x:border>
    <x:border>
      <x:left style="thin">
        <x:color rgb="FFE6ECEF"/>
      </x:left>
      <x:right style="thin">
        <x:color rgb="FFE6ECEF"/>
      </x:right>
      <x:top style="thin">
        <x:color rgb="FFE6ECEF"/>
      </x:top>
      <x:bottom style="thin">
        <x:color rgb="FFE6ECEF"/>
      </x:bottom>
    </x:border>
    <x:border>
      <x:left style="thin">
        <x:color rgb="FFE6ECEF"/>
      </x:left>
      <x:top style="thin">
        <x:color rgb="FFE6ECEF"/>
      </x:top>
      <x:bottom style="thin">
        <x:color rgb="FFE6ECEF"/>
      </x:bottom>
    </x:border>
    <x:border>
      <x:right style="thin">
        <x:color rgb="FFE6ECEF"/>
      </x:right>
      <x:top style="thin">
        <x:color rgb="FFE6ECEF"/>
      </x:top>
    </x:border>
    <x:border>
      <x:left style="thin">
        <x:color rgb="FFE6ECEF"/>
      </x:left>
      <x:right style="thin">
        <x:color rgb="FFE6ECEF"/>
      </x:right>
      <x:top style="thin">
        <x:color rgb="FFE6ECEF"/>
      </x:top>
    </x:border>
    <x:border>
      <x:left style="thin">
        <x:color rgb="FFE6ECEF"/>
      </x:left>
      <x:top style="thin">
        <x:color rgb="FFE6ECEF"/>
      </x:top>
    </x:border>
  </x:borders>
  <x:cellStyleXfs count="1">
    <x:xf numFmtId="0" fontId="0" fillId="0" borderId="0"/>
  </x:cellStyleXfs>
  <x:cellXfs count="17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0" fillId="5" borderId="0" xfId="0" applyNumberFormat="1" applyFont="1" applyFill="1" applyBorder="1"/>
    <x:xf numFmtId="0" fontId="3" fillId="5" borderId="0" xfId="0" applyNumberFormat="1" applyFont="1" applyFill="1" applyBorder="1"/>
    <x:xf numFmtId="0" fontId="3" fillId="5" borderId="1" xfId="0" applyNumberFormat="1" applyFont="1" applyFill="1" applyBorder="1"/>
    <x:xf numFmtId="0" fontId="3" fillId="5" borderId="2" xfId="0" applyNumberFormat="1" applyFont="1" applyFill="1" applyBorder="1"/>
    <x:xf numFmtId="0" fontId="3" fillId="5" borderId="3" xfId="0" applyNumberFormat="1" applyFont="1" applyFill="1" applyBorder="1"/>
    <x:xf numFmtId="0" fontId="3" fillId="5" borderId="4" xfId="0" applyNumberFormat="1" applyFont="1" applyFill="1" applyBorder="1"/>
    <x:xf numFmtId="200" fontId="3" fillId="5" borderId="1" xfId="0" applyNumberFormat="1" applyFont="1" applyFill="1" applyBorder="1"/>
    <x:xf numFmtId="200" fontId="3" fillId="5" borderId="2" xfId="0" applyNumberFormat="1" applyFont="1" applyFill="1" applyBorder="1"/>
    <x:xf numFmtId="200" fontId="3" fillId="5" borderId="3" xfId="0" applyNumberFormat="1" applyFont="1" applyFill="1" applyBorder="1"/>
    <x:xf numFmtId="200" fontId="3" fillId="5" borderId="4" xfId="0" applyNumberFormat="1" applyFont="1" applyFill="1" applyBorder="1"/>
    <x:xf numFmtId="200" fontId="3" fillId="5" borderId="1" xfId="0" applyNumberFormat="1" applyFont="1" applyFill="1" applyBorder="1" applyAlignment="1">
      <x:alignment horizontal="center"/>
    </x:xf>
    <x:xf numFmtId="200" fontId="3" fillId="5" borderId="2" xfId="0" applyNumberFormat="1" applyFont="1" applyFill="1" applyBorder="1" applyAlignment="1">
      <x:alignment horizontal="center"/>
    </x:xf>
    <x:xf numFmtId="200" fontId="3" fillId="5" borderId="3" xfId="0" applyNumberFormat="1" applyFont="1" applyFill="1" applyBorder="1" applyAlignment="1">
      <x:alignment horizontal="center"/>
    </x:xf>
    <x:xf numFmtId="200" fontId="3" fillId="5" borderId="4" xfId="0" applyNumberFormat="1" applyFont="1" applyFill="1" applyBorder="1" applyAlignment="1">
      <x:alignment horizontal="center"/>
    </x:xf>
    <x:xf numFmtId="200" fontId="3" fillId="5" borderId="1" xfId="0" applyNumberFormat="1" applyFont="1" applyFill="1" applyBorder="1" applyAlignment="1">
      <x:alignment horizontal="center" vertical="center"/>
    </x:xf>
    <x:xf numFmtId="200" fontId="3" fillId="5" borderId="2" xfId="0" applyNumberFormat="1" applyFont="1" applyFill="1" applyBorder="1" applyAlignment="1">
      <x:alignment horizontal="center" vertical="center"/>
    </x:xf>
    <x:xf numFmtId="200" fontId="3" fillId="5" borderId="3" xfId="0" applyNumberFormat="1" applyFont="1" applyFill="1" applyBorder="1" applyAlignment="1">
      <x:alignment horizontal="center" vertical="center"/>
    </x:xf>
    <x:xf numFmtId="200" fontId="3" fillId="5" borderId="4" xfId="0" applyNumberFormat="1" applyFont="1" applyFill="1" applyBorder="1" applyAlignment="1">
      <x:alignment horizontal="center" vertical="center"/>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horizontal="center"/>
    </x:xf>
    <x:xf numFmtId="0" fontId="0" fillId="7" borderId="0" xfId="0" applyNumberFormat="1" applyFont="1" applyFill="1" applyBorder="1"/>
    <x:xf numFmtId="0" fontId="3" fillId="7" borderId="0" xfId="0" applyNumberFormat="1" applyFont="1" applyFill="1" applyBorder="1"/>
    <x:xf numFmtId="0" fontId="3" fillId="7" borderId="1" xfId="0" applyNumberFormat="1" applyFont="1" applyFill="1" applyBorder="1"/>
    <x:xf numFmtId="0" fontId="3" fillId="7" borderId="2" xfId="0" applyNumberFormat="1" applyFont="1" applyFill="1" applyBorder="1"/>
    <x:xf numFmtId="0" fontId="3" fillId="7" borderId="3" xfId="0" applyNumberFormat="1" applyFont="1" applyFill="1" applyBorder="1"/>
    <x:xf numFmtId="0" fontId="3" fillId="7" borderId="4" xfId="0" applyNumberFormat="1" applyFont="1" applyFill="1" applyBorder="1"/>
    <x:xf numFmtId="200" fontId="3" fillId="7" borderId="1" xfId="0" applyNumberFormat="1" applyFont="1" applyFill="1" applyBorder="1"/>
    <x:xf numFmtId="200" fontId="3" fillId="7" borderId="2" xfId="0" applyNumberFormat="1" applyFont="1" applyFill="1" applyBorder="1"/>
    <x:xf numFmtId="200" fontId="3" fillId="7" borderId="3" xfId="0" applyNumberFormat="1" applyFont="1" applyFill="1" applyBorder="1"/>
    <x:xf numFmtId="200" fontId="3" fillId="7" borderId="4" xfId="0" applyNumberFormat="1" applyFont="1" applyFill="1" applyBorder="1"/>
    <x:xf numFmtId="200" fontId="3" fillId="7" borderId="1" xfId="0" applyNumberFormat="1" applyFont="1" applyFill="1" applyBorder="1" applyAlignment="1">
      <x:alignment horizontal="center"/>
    </x:xf>
    <x:xf numFmtId="200" fontId="3" fillId="7" borderId="2" xfId="0" applyNumberFormat="1" applyFont="1" applyFill="1" applyBorder="1" applyAlignment="1">
      <x:alignment horizontal="center"/>
    </x:xf>
    <x:xf numFmtId="200" fontId="3" fillId="7" borderId="3" xfId="0" applyNumberFormat="1" applyFont="1" applyFill="1" applyBorder="1" applyAlignment="1">
      <x:alignment horizontal="center"/>
    </x:xf>
    <x:xf numFmtId="200" fontId="3" fillId="7" borderId="4" xfId="0" applyNumberFormat="1" applyFont="1" applyFill="1" applyBorder="1" applyAlignment="1">
      <x:alignment horizontal="center"/>
    </x:xf>
    <x:xf numFmtId="200" fontId="3" fillId="7" borderId="1" xfId="0" applyNumberFormat="1" applyFont="1" applyFill="1" applyBorder="1" applyAlignment="1">
      <x:alignment horizontal="center" vertical="center"/>
    </x:xf>
    <x:xf numFmtId="200" fontId="3" fillId="7" borderId="2" xfId="0" applyNumberFormat="1" applyFont="1" applyFill="1" applyBorder="1" applyAlignment="1">
      <x:alignment horizontal="center" vertical="center"/>
    </x:xf>
    <x:xf numFmtId="200" fontId="3" fillId="7" borderId="3" xfId="0" applyNumberFormat="1" applyFont="1" applyFill="1" applyBorder="1" applyAlignment="1">
      <x:alignment horizontal="center" vertical="center"/>
    </x:xf>
    <x:xf numFmtId="200" fontId="3" fillId="7" borderId="4" xfId="0" applyNumberFormat="1" applyFont="1" applyFill="1" applyBorder="1" applyAlignment="1">
      <x:alignment horizontal="center" vertical="center"/>
    </x:xf>
    <x:xf numFmtId="0" fontId="0" fillId="8" borderId="0" xfId="0" applyNumberFormat="1" applyFont="1" applyFill="1" applyBorder="1"/>
    <x:xf numFmtId="0" fontId="0" fillId="8" borderId="5" xfId="0" applyNumberFormat="1" applyFont="1" applyFill="1" applyBorder="1"/>
    <x:xf numFmtId="0" fontId="0" fillId="8" borderId="6" xfId="0" applyNumberFormat="1" applyFont="1" applyFill="1" applyBorder="1"/>
    <x:xf numFmtId="0" fontId="0" fillId="8" borderId="7" xfId="0" applyNumberFormat="1" applyFont="1" applyFill="1" applyBorder="1"/>
    <x:xf numFmtId="201" fontId="0" fillId="8" borderId="5" xfId="0" applyNumberFormat="1" applyFont="1" applyFill="1" applyBorder="1"/>
    <x:xf numFmtId="201" fontId="0" fillId="8" borderId="6" xfId="0" applyNumberFormat="1" applyFont="1" applyFill="1" applyBorder="1"/>
    <x:xf numFmtId="201" fontId="0" fillId="8" borderId="7"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center"/>
    </x:xf>
    <x:xf numFmtId="0" fontId="4"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5" fillId="5" borderId="4" xfId="0" applyNumberFormat="1" applyFont="1" applyFill="1" applyBorder="1" applyAlignment="1">
      <x:alignment horizontal="center"/>
    </x:xf>
    <x:xf numFmtId="0" fontId="4" fillId="0" borderId="8" xfId="0" applyNumberFormat="1" applyFont="1" applyFill="1" applyBorder="1"/>
    <x:xf numFmtId="0" fontId="2" fillId="0" borderId="3" xfId="0" applyNumberFormat="1" applyFont="1" applyFill="1" applyBorder="1" applyAlignment="1">
      <x:alignment wrapText="1"/>
    </x:xf>
    <x:xf numFmtId="0" fontId="5" fillId="5" borderId="9" xfId="0" applyNumberFormat="1" applyFont="1" applyFill="1" applyBorder="1" applyAlignment="1">
      <x:alignment horizontal="center"/>
    </x:xf>
    <x:xf numFmtId="0" fontId="4" fillId="0" borderId="10" xfId="0" applyNumberFormat="1" applyFont="1" applyFill="1" applyBorder="1"/>
    <x:xf numFmtId="0" fontId="2" fillId="0" borderId="11" xfId="0" applyNumberFormat="1" applyFont="1" applyFill="1" applyBorder="1" applyAlignment="1">
      <x:alignment wrapText="1"/>
    </x:xf>
    <x:xf numFmtId="0" fontId="5" fillId="5" borderId="2" xfId="0" applyNumberFormat="1" applyFont="1" applyFill="1" applyBorder="1" applyAlignment="1">
      <x:alignment horizontal="center"/>
    </x:xf>
    <x:xf numFmtId="0" fontId="4" fillId="0" borderId="12" xfId="0" applyNumberFormat="1" applyFont="1" applyFill="1" applyBorder="1"/>
    <x:xf numFmtId="0" fontId="2" fillId="0" borderId="1" xfId="0" applyNumberFormat="1" applyFont="1" applyFill="1" applyBorder="1" applyAlignment="1">
      <x:alignment wrapText="1"/>
    </x:xf>
    <x:xf numFmtId="0" fontId="3" fillId="3" borderId="0" xfId="0" applyNumberFormat="1" applyFont="1" applyFill="1" applyBorder="1"/>
    <x:xf numFmtId="0" fontId="3" fillId="3" borderId="0" xfId="0" applyNumberFormat="1" applyFont="1" applyFill="1" applyBorder="1" applyAlignment="1">
      <x:alignment vertical="top"/>
    </x:xf>
    <x:xf numFmtId="0" fontId="2" fillId="0" borderId="0" xfId="0" applyNumberFormat="1" applyFont="1" applyFill="1" applyBorder="1" applyAlignment="1">
      <x:alignment vertical="top" wrapText="1"/>
    </x:xf>
    <x:xf numFmtId="0" fontId="3" fillId="3" borderId="4" xfId="0" applyNumberFormat="1" applyFont="1" applyFill="1" applyBorder="1" applyAlignment="1">
      <x:alignment vertical="top"/>
    </x:xf>
    <x:xf numFmtId="0" fontId="2" fillId="0" borderId="8"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3" fillId="3" borderId="9" xfId="0" applyNumberFormat="1" applyFont="1" applyFill="1" applyBorder="1" applyAlignment="1">
      <x:alignment vertical="top"/>
    </x:xf>
    <x:xf numFmtId="0" fontId="2" fillId="0" borderId="10" xfId="0" applyNumberFormat="1" applyFont="1" applyFill="1" applyBorder="1" applyAlignment="1">
      <x:alignment vertical="top" wrapText="1"/>
    </x:xf>
    <x:xf numFmtId="0" fontId="2" fillId="0" borderId="11" xfId="0" applyNumberFormat="1" applyFont="1" applyFill="1" applyBorder="1" applyAlignment="1">
      <x:alignment vertical="top" wrapText="1"/>
    </x:xf>
    <x:xf numFmtId="0" fontId="3" fillId="3" borderId="2" xfId="0" applyNumberFormat="1" applyFont="1" applyFill="1" applyBorder="1" applyAlignment="1">
      <x:alignment vertical="top"/>
    </x:xf>
    <x:xf numFmtId="0" fontId="2" fillId="0" borderId="12"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6" fillId="2" borderId="0" xfId="0" applyNumberFormat="1" applyFont="1" applyFill="1" applyBorder="1" applyAlignment="1">
      <x:alignment vertical="center"/>
    </x:xf>
    <x:xf numFmtId="0" fontId="7" fillId="3" borderId="0" xfId="0" applyNumberFormat="1" applyFont="1" applyFill="1" applyBorder="1" applyAlignment="1">
      <x:alignment vertical="center" wrapText="1"/>
    </x:xf>
    <x:xf numFmtId="0" fontId="8" fillId="0" borderId="0" xfId="0" applyNumberFormat="1" applyFont="1" applyFill="1" applyBorder="1"/>
    <x:xf numFmtId="0" fontId="6" fillId="4" borderId="0" xfId="0" applyNumberFormat="1" applyFont="1" applyFill="1" applyBorder="1" applyAlignment="1">
      <x:alignment horizontal="center"/>
    </x:xf>
    <x:xf numFmtId="200" fontId="9" fillId="5" borderId="1" xfId="0" applyNumberFormat="1" applyFont="1" applyFill="1" applyBorder="1" applyAlignment="1">
      <x:alignment horizontal="center" vertical="center"/>
    </x:xf>
    <x:xf numFmtId="200" fontId="9" fillId="5" borderId="2" xfId="0" applyNumberFormat="1" applyFont="1" applyFill="1" applyBorder="1" applyAlignment="1">
      <x:alignment horizontal="center" vertical="center"/>
    </x:xf>
    <x:xf numFmtId="200" fontId="9" fillId="5" borderId="3" xfId="0" applyNumberFormat="1" applyFont="1" applyFill="1" applyBorder="1" applyAlignment="1">
      <x:alignment horizontal="center" vertical="center"/>
    </x:xf>
    <x:xf numFmtId="200" fontId="9" fillId="5" borderId="4" xfId="0" applyNumberFormat="1" applyFont="1" applyFill="1" applyBorder="1" applyAlignment="1">
      <x:alignment horizontal="center" vertical="center"/>
    </x:xf>
    <x:xf numFmtId="0" fontId="10" fillId="6" borderId="0" xfId="0" applyNumberFormat="1" applyFont="1" applyFill="1" applyBorder="1" applyAlignment="1">
      <x:alignment horizontal="center"/>
    </x:xf>
    <x:xf numFmtId="200" fontId="9" fillId="7" borderId="1" xfId="0" applyNumberFormat="1" applyFont="1" applyFill="1" applyBorder="1" applyAlignment="1">
      <x:alignment horizontal="center" vertical="center"/>
    </x:xf>
    <x:xf numFmtId="200" fontId="9" fillId="7" borderId="2" xfId="0" applyNumberFormat="1" applyFont="1" applyFill="1" applyBorder="1" applyAlignment="1">
      <x:alignment horizontal="center" vertical="center"/>
    </x:xf>
    <x:xf numFmtId="200" fontId="9" fillId="7" borderId="3" xfId="0" applyNumberFormat="1" applyFont="1" applyFill="1" applyBorder="1" applyAlignment="1">
      <x:alignment horizontal="center" vertical="center"/>
    </x:xf>
    <x:xf numFmtId="200" fontId="9" fillId="7" borderId="4" xfId="0" applyNumberFormat="1" applyFont="1" applyFill="1" applyBorder="1" applyAlignment="1">
      <x:alignment horizontal="center" vertical="center"/>
    </x:xf>
    <x:xf numFmtId="0" fontId="6" fillId="2" borderId="0" xfId="0" applyNumberFormat="1" applyFont="1" applyFill="1" applyBorder="1"/>
    <x:xf numFmtId="0" fontId="10" fillId="6" borderId="0"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201" fontId="8" fillId="8" borderId="5" xfId="0" applyNumberFormat="1" applyFont="1" applyFill="1" applyBorder="1"/>
    <x:xf numFmtId="201" fontId="8" fillId="8" borderId="6" xfId="0" applyNumberFormat="1" applyFont="1" applyFill="1" applyBorder="1"/>
    <x:xf numFmtId="201" fontId="8" fillId="8" borderId="7" xfId="0" applyNumberFormat="1" applyFont="1" applyFill="1" applyBorder="1"/>
    <x:xf numFmtId="0" fontId="11" fillId="5" borderId="4" xfId="0" applyNumberFormat="1" applyFont="1" applyFill="1" applyBorder="1" applyAlignment="1">
      <x:alignment horizontal="center"/>
    </x:xf>
    <x:xf numFmtId="0" fontId="10" fillId="0" borderId="8" xfId="0" applyNumberFormat="1" applyFont="1" applyFill="1" applyBorder="1"/>
    <x:xf numFmtId="0" fontId="7" fillId="0" borderId="3" xfId="0" applyNumberFormat="1" applyFont="1" applyFill="1" applyBorder="1" applyAlignment="1">
      <x:alignment wrapText="1"/>
    </x:xf>
    <x:xf numFmtId="0" fontId="11" fillId="5" borderId="9" xfId="0" applyNumberFormat="1" applyFont="1" applyFill="1" applyBorder="1" applyAlignment="1">
      <x:alignment horizontal="center"/>
    </x:xf>
    <x:xf numFmtId="0" fontId="10" fillId="0" borderId="10" xfId="0" applyNumberFormat="1" applyFont="1" applyFill="1" applyBorder="1"/>
    <x:xf numFmtId="0" fontId="7" fillId="0" borderId="11" xfId="0" applyNumberFormat="1" applyFont="1" applyFill="1" applyBorder="1" applyAlignment="1">
      <x:alignment wrapText="1"/>
    </x:xf>
    <x:xf numFmtId="0" fontId="11" fillId="5" borderId="2" xfId="0" applyNumberFormat="1" applyFont="1" applyFill="1" applyBorder="1" applyAlignment="1">
      <x:alignment horizontal="center"/>
    </x:xf>
    <x:xf numFmtId="0" fontId="10" fillId="0" borderId="12" xfId="0" applyNumberFormat="1" applyFont="1" applyFill="1" applyBorder="1"/>
    <x:xf numFmtId="0" fontId="7" fillId="0" borderId="1" xfId="0" applyNumberFormat="1" applyFont="1" applyFill="1" applyBorder="1" applyAlignment="1">
      <x:alignment wrapText="1"/>
    </x:xf>
    <x:xf numFmtId="0" fontId="9" fillId="3" borderId="4" xfId="0" applyNumberFormat="1" applyFont="1" applyFill="1" applyBorder="1" applyAlignment="1">
      <x:alignment vertical="top"/>
    </x:xf>
    <x:xf numFmtId="0" fontId="7" fillId="0" borderId="8"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9" fillId="3" borderId="9" xfId="0" applyNumberFormat="1" applyFont="1" applyFill="1" applyBorder="1" applyAlignment="1">
      <x:alignment vertical="top"/>
    </x:xf>
    <x:xf numFmtId="0" fontId="7" fillId="0" borderId="10"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9" fillId="3" borderId="2" xfId="0" applyNumberFormat="1" applyFont="1" applyFill="1" applyBorder="1" applyAlignment="1">
      <x:alignment vertical="top"/>
    </x:xf>
    <x:xf numFmtId="0" fontId="7" fillId="0" borderId="12"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1" fillId="4" borderId="13" xfId="0" applyNumberFormat="1" applyFont="1" applyFill="1" applyBorder="1"/>
    <x:xf numFmtId="0" fontId="1" fillId="4" borderId="14" xfId="0" applyNumberFormat="1" applyFont="1" applyFill="1" applyBorder="1"/>
    <x:xf numFmtId="0" fontId="1" fillId="4" borderId="15" xfId="0" applyNumberFormat="1" applyFont="1" applyFill="1" applyBorder="1"/>
    <x:xf numFmtId="0" fontId="1" fillId="4" borderId="13" xfId="0" applyNumberFormat="1" applyFont="1" applyFill="1" applyBorder="1" applyAlignment="1">
      <x:alignment wrapText="1"/>
    </x:xf>
    <x:xf numFmtId="0" fontId="1" fillId="4" borderId="14" xfId="0" applyNumberFormat="1" applyFont="1" applyFill="1" applyBorder="1" applyAlignment="1">
      <x:alignment wrapText="1"/>
    </x:xf>
    <x:xf numFmtId="0" fontId="1" fillId="4" borderId="15" xfId="0" applyNumberFormat="1" applyFont="1" applyFill="1" applyBorder="1" applyAlignment="1">
      <x:alignment wrapText="1"/>
    </x:xf>
    <x:xf numFmtId="0" fontId="1" fillId="4" borderId="13" xfId="0" applyNumberFormat="1" applyFont="1" applyFill="1" applyBorder="1" applyAlignment="1">
      <x:alignment vertical="center" wrapText="1"/>
    </x:xf>
    <x:xf numFmtId="0" fontId="1" fillId="4" borderId="14" xfId="0" applyNumberFormat="1" applyFont="1" applyFill="1" applyBorder="1" applyAlignment="1">
      <x:alignment vertical="center" wrapText="1"/>
    </x:xf>
    <x:xf numFmtId="0" fontId="1" fillId="4" borderId="15" xfId="0" applyNumberFormat="1" applyFont="1" applyFill="1" applyBorder="1" applyAlignment="1">
      <x:alignment vertical="center" wrapText="1"/>
    </x:xf>
    <x:xf numFmtId="0" fontId="2" fillId="0" borderId="16" xfId="0" applyNumberFormat="1" applyFont="1" applyFill="1" applyBorder="1"/>
    <x:xf numFmtId="0" fontId="2" fillId="0" borderId="17" xfId="0" applyNumberFormat="1" applyFont="1" applyFill="1" applyBorder="1"/>
    <x:xf numFmtId="0" fontId="2" fillId="0" borderId="18" xfId="0" applyNumberFormat="1" applyFont="1" applyFill="1" applyBorder="1"/>
    <x:xf numFmtId="0" fontId="2" fillId="0" borderId="19" xfId="0" applyNumberFormat="1" applyFont="1" applyFill="1" applyBorder="1"/>
    <x:xf numFmtId="0" fontId="2" fillId="0" borderId="20" xfId="0" applyNumberFormat="1" applyFont="1" applyFill="1" applyBorder="1"/>
    <x:xf numFmtId="0" fontId="2" fillId="0" borderId="21" xfId="0" applyNumberFormat="1" applyFont="1" applyFill="1" applyBorder="1"/>
    <x:xf numFmtId="0" fontId="2" fillId="0" borderId="22" xfId="0" applyNumberFormat="1" applyFont="1" applyFill="1" applyBorder="1"/>
    <x:xf numFmtId="0" fontId="2" fillId="0" borderId="23" xfId="0" applyNumberFormat="1" applyFont="1" applyFill="1" applyBorder="1"/>
    <x:xf numFmtId="0" fontId="2" fillId="0" borderId="24" xfId="0" applyNumberFormat="1" applyFont="1" applyFill="1" applyBorder="1"/>
    <x:xf numFmtId="0" fontId="2" fillId="0" borderId="16" xfId="0" applyNumberFormat="1" applyFont="1" applyFill="1" applyBorder="1" applyAlignment="1">
      <x:alignment vertical="top"/>
    </x:xf>
    <x:xf numFmtId="0" fontId="2" fillId="0" borderId="17" xfId="0" applyNumberFormat="1" applyFont="1" applyFill="1" applyBorder="1" applyAlignment="1">
      <x:alignment vertical="top"/>
    </x:xf>
    <x:xf numFmtId="0" fontId="2" fillId="0" borderId="18" xfId="0" applyNumberFormat="1" applyFont="1" applyFill="1" applyBorder="1" applyAlignment="1">
      <x:alignment vertical="top"/>
    </x:xf>
    <x:xf numFmtId="0" fontId="2" fillId="0" borderId="19" xfId="0" applyNumberFormat="1" applyFont="1" applyFill="1" applyBorder="1" applyAlignment="1">
      <x:alignment vertical="top"/>
    </x:xf>
    <x:xf numFmtId="0" fontId="2" fillId="0" borderId="20" xfId="0" applyNumberFormat="1" applyFont="1" applyFill="1" applyBorder="1" applyAlignment="1">
      <x:alignment vertical="top"/>
    </x:xf>
    <x:xf numFmtId="0" fontId="2" fillId="0" borderId="21" xfId="0" applyNumberFormat="1" applyFont="1" applyFill="1" applyBorder="1" applyAlignment="1">
      <x:alignment vertical="top"/>
    </x:xf>
    <x:xf numFmtId="0" fontId="2" fillId="0" borderId="22" xfId="0" applyNumberFormat="1" applyFont="1" applyFill="1" applyBorder="1" applyAlignment="1">
      <x:alignment vertical="top"/>
    </x:xf>
    <x:xf numFmtId="0" fontId="2" fillId="0" borderId="23" xfId="0" applyNumberFormat="1" applyFont="1" applyFill="1" applyBorder="1" applyAlignment="1">
      <x:alignment vertical="top"/>
    </x:xf>
    <x:xf numFmtId="0" fontId="2" fillId="0" borderId="24" xfId="0" applyNumberFormat="1" applyFont="1" applyFill="1" applyBorder="1" applyAlignment="1">
      <x:alignment vertical="top"/>
    </x:xf>
    <x:xf numFmtId="0" fontId="2" fillId="8" borderId="17" xfId="0" applyNumberFormat="1" applyFont="1" applyFill="1" applyBorder="1" applyAlignment="1">
      <x:alignment vertical="top"/>
    </x:xf>
    <x:xf numFmtId="0" fontId="2" fillId="8" borderId="20" xfId="0" applyNumberFormat="1" applyFont="1" applyFill="1" applyBorder="1" applyAlignment="1">
      <x:alignment vertical="top"/>
    </x:xf>
    <x:xf numFmtId="0" fontId="2" fillId="8" borderId="23" xfId="0" applyNumberFormat="1" applyFont="1" applyFill="1" applyBorder="1" applyAlignment="1">
      <x:alignment vertical="top"/>
    </x:xf>
    <x:xf numFmtId="0" fontId="2" fillId="8" borderId="17" xfId="0" applyNumberFormat="1" applyFont="1" applyFill="1" applyBorder="1" applyAlignment="1">
      <x:alignment vertical="top" wrapText="1"/>
    </x:xf>
    <x:xf numFmtId="0" fontId="2" fillId="8" borderId="20" xfId="0" applyNumberFormat="1" applyFont="1" applyFill="1" applyBorder="1" applyAlignment="1">
      <x:alignment vertical="top" wrapText="1"/>
    </x:xf>
    <x:xf numFmtId="0" fontId="2" fillId="8" borderId="23" xfId="0" applyNumberFormat="1" applyFont="1" applyFill="1" applyBorder="1" applyAlignment="1">
      <x:alignment vertical="top" wrapText="1"/>
    </x:xf>
    <x:xf numFmtId="0" fontId="2" fillId="0" borderId="16" xfId="0" applyNumberFormat="1" applyFont="1" applyFill="1" applyBorder="1" applyAlignment="1">
      <x:alignment vertical="top" wrapText="1"/>
    </x:xf>
    <x:xf numFmtId="0" fontId="2" fillId="0" borderId="17" xfId="0" applyNumberFormat="1" applyFont="1" applyFill="1" applyBorder="1" applyAlignment="1">
      <x:alignment vertical="top" wrapText="1"/>
    </x:xf>
    <x:xf numFmtId="0" fontId="2" fillId="0" borderId="18" xfId="0" applyNumberFormat="1" applyFont="1" applyFill="1" applyBorder="1" applyAlignment="1">
      <x:alignment vertical="top" wrapText="1"/>
    </x:xf>
    <x:xf numFmtId="0" fontId="2" fillId="0" borderId="19" xfId="0" applyNumberFormat="1" applyFont="1" applyFill="1" applyBorder="1" applyAlignment="1">
      <x:alignment vertical="top" wrapText="1"/>
    </x:xf>
    <x:xf numFmtId="0" fontId="2" fillId="0" borderId="20" xfId="0" applyNumberFormat="1" applyFont="1" applyFill="1" applyBorder="1" applyAlignment="1">
      <x:alignment vertical="top" wrapText="1"/>
    </x:xf>
    <x:xf numFmtId="0" fontId="2" fillId="0" borderId="21" xfId="0" applyNumberFormat="1" applyFont="1" applyFill="1" applyBorder="1" applyAlignment="1">
      <x:alignment vertical="top" wrapText="1"/>
    </x:xf>
    <x:xf numFmtId="0" fontId="2" fillId="0" borderId="22" xfId="0" applyNumberFormat="1" applyFont="1" applyFill="1" applyBorder="1" applyAlignment="1">
      <x:alignment vertical="top" wrapText="1"/>
    </x:xf>
    <x:xf numFmtId="0" fontId="2" fillId="0" borderId="23" xfId="0" applyNumberFormat="1" applyFont="1" applyFill="1" applyBorder="1" applyAlignment="1">
      <x:alignment vertical="top" wrapText="1"/>
    </x:xf>
    <x:xf numFmtId="0" fontId="2" fillId="0" borderId="24" xfId="0" applyNumberFormat="1" applyFont="1" applyFill="1" applyBorder="1" applyAlignment="1">
      <x:alignment vertical="top" wrapText="1"/>
    </x:xf>
    <x:xf numFmtId="202" fontId="2" fillId="0" borderId="16" xfId="0" applyNumberFormat="1" applyFont="1" applyFill="1" applyBorder="1" applyAlignment="1">
      <x:alignment vertical="top" wrapText="1"/>
    </x:xf>
    <x:xf numFmtId="202" fontId="2" fillId="0" borderId="19" xfId="0" applyNumberFormat="1" applyFont="1" applyFill="1" applyBorder="1" applyAlignment="1">
      <x:alignment vertical="top" wrapText="1"/>
    </x:xf>
    <x:xf numFmtId="202" fontId="2" fillId="0" borderId="22" xfId="0" applyNumberFormat="1" applyFont="1" applyFill="1" applyBorder="1" applyAlignment="1">
      <x:alignment vertical="top" wrapText="1"/>
    </x:xf>
    <x:xf numFmtId="200" fontId="2" fillId="0" borderId="17" xfId="0" applyNumberFormat="1" applyFont="1" applyFill="1" applyBorder="1" applyAlignment="1">
      <x:alignment vertical="top" wrapText="1"/>
    </x:xf>
    <x:xf numFmtId="200" fontId="2" fillId="0" borderId="20" xfId="0" applyNumberFormat="1" applyFont="1" applyFill="1" applyBorder="1" applyAlignment="1">
      <x:alignment vertical="top" wrapText="1"/>
    </x:xf>
    <x:xf numFmtId="200" fontId="2" fillId="0" borderId="23" xfId="0" applyNumberFormat="1" applyFont="1" applyFill="1" applyBorder="1" applyAlignment="1">
      <x:alignment vertical="top" wrapText="1"/>
    </x:xf>
    <x:xf numFmtId="0" fontId="2" fillId="8" borderId="18" xfId="0" applyNumberFormat="1" applyFont="1" applyFill="1" applyBorder="1" applyAlignment="1">
      <x:alignment vertical="top"/>
    </x:xf>
    <x:xf numFmtId="0" fontId="2" fillId="8" borderId="21" xfId="0" applyNumberFormat="1" applyFont="1" applyFill="1" applyBorder="1" applyAlignment="1">
      <x:alignment vertical="top"/>
    </x:xf>
    <x:xf numFmtId="0" fontId="2" fillId="8" borderId="24" xfId="0" applyNumberFormat="1" applyFont="1" applyFill="1" applyBorder="1" applyAlignment="1">
      <x:alignment vertical="top"/>
    </x:xf>
    <x:xf numFmtId="0" fontId="2" fillId="8" borderId="18" xfId="0" applyNumberFormat="1" applyFont="1" applyFill="1" applyBorder="1" applyAlignment="1">
      <x:alignment vertical="top" wrapText="1"/>
    </x:xf>
    <x:xf numFmtId="0" fontId="2" fillId="8" borderId="21" xfId="0" applyNumberFormat="1" applyFont="1" applyFill="1" applyBorder="1" applyAlignment="1">
      <x:alignment vertical="top" wrapText="1"/>
    </x:xf>
    <x:xf numFmtId="0" fontId="2" fillId="8" borderId="24" xfId="0" applyNumberFormat="1" applyFont="1" applyFill="1" applyBorder="1" applyAlignment="1">
      <x:alignment vertical="top" wrapText="1"/>
    </x:xf>
    <x:xf numFmtId="203" fontId="2" fillId="0" borderId="17" xfId="0" applyNumberFormat="1" applyFont="1" applyFill="1" applyBorder="1" applyAlignment="1">
      <x:alignment vertical="top" wrapText="1"/>
    </x:xf>
    <x:xf numFmtId="203" fontId="2" fillId="0" borderId="20" xfId="0" applyNumberFormat="1" applyFont="1" applyFill="1" applyBorder="1" applyAlignment="1">
      <x:alignment vertical="top" wrapText="1"/>
    </x:xf>
    <x:xf numFmtId="203" fontId="2" fillId="0" borderId="23" xfId="0" applyNumberFormat="1" applyFont="1" applyFill="1" applyBorder="1" applyAlignment="1">
      <x:alignment vertical="top" wrapText="1"/>
    </x:xf>
  </x:cellXfs>
  <x:cellStyles count="1">
    <x:cellStyle name="Normal" xfId="0"/>
  </x:cellStyles>
  <x:dxfs count="23">
    <x:dxf>
      <x:fill>
        <x:patternFill patternType="solid">
          <x:bgColor rgb="FFDDF3E4"/>
        </x:patternFill>
      </x:fill>
    </x:dxf>
    <x:dxf>
      <x:fill>
        <x:patternFill patternType="solid">
          <x:bgColor rgb="FFFDE2E2"/>
        </x:patternFill>
      </x:fill>
    </x:dxf>
    <x:dxf>
      <x:fill>
        <x:patternFill patternType="solid">
          <x:bgColor rgb="FFFCE8C3"/>
        </x:patternFill>
      </x:fill>
    </x:dxf>
    <x:dxf>
      <x:fill>
        <x:patternFill patternType="solid">
          <x:bgColor rgb="FFDDF3E4"/>
        </x:patternFill>
      </x:fill>
    </x:dxf>
    <x:dxf>
      <x:fill>
        <x:patternFill patternType="solid">
          <x:bgColor rgb="FFEEF1F3"/>
        </x:patternFill>
      </x:fill>
    </x:dxf>
    <x:dxf>
      <x:font>
        <x:b/>
      </x:font>
      <x:fill>
        <x:patternFill patternType="solid">
          <x:bgColor rgb="FFDDF3E4"/>
        </x:patternFill>
      </x:fill>
    </x:dxf>
    <x:dxf>
      <x:fill>
        <x:patternFill patternType="solid">
          <x:bgColor rgb="FFE8F1F7"/>
        </x:patternFill>
      </x:fill>
    </x:dxf>
    <x:dxf>
      <x:fill>
        <x:patternFill patternType="solid">
          <x:bgColor rgb="FFFCE8C3"/>
        </x:patternFill>
      </x:fill>
    </x:dxf>
    <x:dxf>
      <x:fill>
        <x:patternFill patternType="solid">
          <x:bgColor rgb="FFEEF1F3"/>
        </x:patternFill>
      </x:fill>
    </x:dxf>
    <x:dxf>
      <x:font>
        <x:b/>
      </x:font>
      <x:fill>
        <x:patternFill patternType="solid">
          <x:bgColor rgb="FFFDE2E2"/>
        </x:patternFill>
      </x:fill>
    </x:dxf>
    <x:dxf>
      <x:fill>
        <x:patternFill patternType="solid">
          <x:bgColor rgb="FFDDF3E4"/>
        </x:patternFill>
      </x:fill>
    </x:dxf>
    <x:dxf>
      <x:fill>
        <x:patternFill patternType="solid">
          <x:bgColor rgb="FFFDE2E2"/>
        </x:patternFill>
      </x:fill>
    </x:dxf>
    <x:dxf>
      <x:fill>
        <x:patternFill patternType="solid">
          <x:bgColor rgb="FFFCE8C3"/>
        </x:patternFill>
      </x:fill>
    </x:dxf>
    <x:dxf>
      <x:fill>
        <x:patternFill patternType="solid">
          <x:bgColor rgb="FFDDF3E4"/>
        </x:patternFill>
      </x:fill>
    </x:dxf>
    <x:dxf>
      <x:font>
        <x:b/>
      </x:font>
      <x:fill>
        <x:patternFill patternType="solid">
          <x:bgColor rgb="FFFCE8C3"/>
        </x:patternFill>
      </x:fill>
    </x:dxf>
    <x:dxf>
      <x:font>
        <x:b/>
      </x:font>
      <x:fill>
        <x:patternFill patternType="solid">
          <x:bgColor rgb="FFFDE2E2"/>
        </x:patternFill>
      </x:fill>
    </x:dxf>
    <x:dxf>
      <x:fill>
        <x:patternFill patternType="solid">
          <x:bgColor rgb="FFFCE8C3"/>
        </x:patternFill>
      </x:fill>
    </x:dxf>
    <x:dxf>
      <x:fill>
        <x:patternFill patternType="solid">
          <x:bgColor rgb="FFDDF3E4"/>
        </x:patternFill>
      </x:fill>
    </x:dxf>
    <x:dxf>
      <x:fill>
        <x:patternFill patternType="solid">
          <x:bgColor rgb="FFDDF3E4"/>
        </x:patternFill>
      </x:fill>
    </x:dxf>
    <x:dxf>
      <x:fill>
        <x:patternFill patternType="solid">
          <x:bgColor rgb="FFFDE2E2"/>
        </x:patternFill>
      </x:fill>
    </x:dxf>
    <x:dxf>
      <x:fill>
        <x:patternFill patternType="solid">
          <x:bgColor rgb="FFFCE8C3"/>
        </x:patternFill>
      </x:fill>
    </x:dxf>
    <x:dxf>
      <x:font>
        <x:b/>
      </x:font>
      <x:fill>
        <x:patternFill patternType="solid">
          <x:bgColor rgb="FFFCE8C3"/>
        </x:patternFill>
      </x:fill>
    </x:dxf>
    <x:dxf>
      <x:fill>
        <x:patternFill patternType="solid">
          <x:bgColor rgb="FFDDF3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194459cf6fe4e1f" /><Relationship Type="http://schemas.openxmlformats.org/officeDocument/2006/relationships/theme" Target="/xl/theme/theme1.xml" Id="R56fde67def70481d" /><Relationship Type="http://schemas.openxmlformats.org/officeDocument/2006/relationships/sharedStrings" Target="/xl/sharedStrings.xml" Id="R276cc57db64845e1" /><Relationship Type="http://schemas.openxmlformats.org/officeDocument/2006/relationships/worksheet" Target="/xl/worksheets/sheet1.xml" Id="Ra8bc03f4c9c54d1c" /><Relationship Type="http://schemas.openxmlformats.org/officeDocument/2006/relationships/worksheet" Target="/xl/worksheets/sheet2.xml" Id="R7ffdff2706364a6e" /><Relationship Type="http://schemas.openxmlformats.org/officeDocument/2006/relationships/worksheet" Target="/xl/worksheets/sheet3.xml" Id="R72b2de63ac524481" /><Relationship Type="http://schemas.openxmlformats.org/officeDocument/2006/relationships/worksheet" Target="/xl/worksheets/sheet4.xml" Id="Rb8bdc0161a324c6f" /></Relationships>
</file>

<file path=xl/tables/table1.xml><?xml version="1.0" encoding="utf-8"?>
<x:table xmlns:x="http://schemas.openxmlformats.org/spreadsheetml/2006/main" id="1" name="AssessmentReviewTable" displayName="AssessmentReviewTable" ref="A4:R640" headerRowCount="1" totalsRowCount="0" totalsRowShown="0">
  <x:autoFilter ref="A4:R640"/>
  <x:tableColumns count="18">
    <x:tableColumn id="1" name="Action ID"/>
    <x:tableColumn id="2" name="Action"/>
    <x:tableColumn id="3" name="Sector"/>
    <x:tableColumn id="4" name="Component"/>
    <x:tableColumn id="5" name="ICare decision"/>
    <x:tableColumn id="6" name="ICare feedback"/>
    <x:tableColumn id="7" name="Eligibility"/>
    <x:tableColumn id="8" name="Effectiveness"/>
    <x:tableColumn id="9" name="Evidence coverage"/>
    <x:tableColumn id="10" name="Source sufficiency"/>
    <x:tableColumn id="11" name="Maladaptation signal"/>
    <x:tableColumn id="12" name="Time horizon"/>
    <x:tableColumn id="13" name="Evidence lines"/>
    <x:tableColumn id="14" name="Screened sources"/>
    <x:tableColumn id="15" name="Review flag"/>
    <x:tableColumn id="16" name="Linked indicators"/>
    <x:tableColumn id="17" name="Eligibility rationale"/>
    <x:tableColumn id="18" name="Action definition"/>
  </x:tableColumns>
  <x:tableStyleInfo name="TableStyleMedium2" showFirstColumn="0" showLastColumn="0" showRowStripes="1" showColumnStripes="0"/>
</x:table>
</file>

<file path=xl/tables/table2.xml><?xml version="1.0" encoding="utf-8"?>
<x:table xmlns:x="http://schemas.openxmlformats.org/spreadsheetml/2006/main" id="2" name="EvidenceReviewTable" displayName="EvidenceReviewTable" ref="A4:S277" headerRowCount="1" totalsRowCount="0" totalsRowShown="0">
  <x:autoFilter ref="A4:S277"/>
  <x:tableColumns count="19">
    <x:tableColumn id="1" name="Action ID"/>
    <x:tableColumn id="2" name="Action"/>
    <x:tableColumn id="3" name="Sector"/>
    <x:tableColumn id="4" name="Component"/>
    <x:tableColumn id="5" name="ICare decision"/>
    <x:tableColumn id="6" name="ICare feedback"/>
    <x:tableColumn id="7" name="Evidence source"/>
    <x:tableColumn id="8" name="Source URL"/>
    <x:tableColumn id="9" name="PDF page"/>
    <x:tableColumn id="10" name="Printed page"/>
    <x:tableColumn id="11" name="Grounding"/>
    <x:tableColumn id="12" name="Grounding note"/>
    <x:tableColumn id="13" name="Direction"/>
    <x:tableColumn id="14" name="Coverage scope"/>
    <x:tableColumn id="15" name="Maladaptation signal"/>
    <x:tableColumn id="16" name="Indicators addressed"/>
    <x:tableColumn id="17" name="Evidence quote"/>
    <x:tableColumn id="18" name="Quantified result (when reported)"/>
    <x:tableColumn id="19" name="Proposed effectiveness"/>
  </x:tableColumns>
  <x:tableStyleInfo name="TableStyleMedium2" showFirstColumn="0" showLastColumn="0" showRowStripes="1" showColumnStripes="0"/>
</x:table>
</file>

<file path=xl/tables/table3.xml><?xml version="1.0" encoding="utf-8"?>
<x:table xmlns:x="http://schemas.openxmlformats.org/spreadsheetml/2006/main" id="3" name="SourceReviewTable" displayName="SourceReviewTable" ref="A4:K56" headerRowCount="1" totalsRowCount="0" totalsRowShown="0">
  <x:autoFilter ref="A4:K56"/>
  <x:tableColumns count="11">
    <x:tableColumn id="1" name="Sector"/>
    <x:tableColumn id="2" name="Source title"/>
    <x:tableColumn id="3" name="Publisher"/>
    <x:tableColumn id="4" name="Publication year"/>
    <x:tableColumn id="5" name="Tier"/>
    <x:tableColumn id="6" name="Scope"/>
    <x:tableColumn id="7" name="Source URL"/>
    <x:tableColumn id="8" name="Access"/>
    <x:tableColumn id="9" name="Current review flag"/>
    <x:tableColumn id="10" name="ICare decision"/>
    <x:tableColumn id="11" name="ICare feedbac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87d74bbcf12410c" /></Relationships>
</file>

<file path=xl/worksheets/_rels/sheet3.xml.rels>&#65279;<?xml version="1.0" encoding="utf-8"?><Relationships xmlns="http://schemas.openxmlformats.org/package/2006/relationships"><Relationship Type="http://schemas.openxmlformats.org/officeDocument/2006/relationships/table" Target="/xl/tables/table2.xml" Id="Rc7a6f98333c34717" /></Relationships>
</file>

<file path=xl/worksheets/_rels/sheet4.xml.rels>&#65279;<?xml version="1.0" encoding="utf-8"?><Relationships xmlns="http://schemas.openxmlformats.org/package/2006/relationships"><Relationship Type="http://schemas.openxmlformats.org/officeDocument/2006/relationships/table" Target="/xl/tables/table3.xml" Id="R62ab254e9bde49ee"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32" hidden="0" customWidth="1"/>
    <x:col min="3" max="3" width="75"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s>
  <x:sheetData>
    <x:row r="1" ht="32" customHeight="1">
      <x:c r="A1" s="83" t="str">
        <x:v>ICare review — adaptation action-to-risk assessment</x:v>
      </x:c>
      <x:c r="B1" s="83"/>
      <x:c r="C1" s="83"/>
      <x:c r="D1" s="83"/>
      <x:c r="E1" s="83"/>
      <x:c r="F1" s="83"/>
      <x:c r="G1" s="83"/>
      <x:c r="H1" s="83"/>
      <x:c r="I1" s="83"/>
      <x:c r="J1" s="83"/>
      <x:c r="K1" s="83"/>
    </x:row>
    <x:row r="2" ht="32" customHeight="1">
      <x:c r="A2" s="84" t="str">
        <x:v>Review the proposed eligibility, evidence and component-level effectiveness across all six sectors. Source action IDs are retained; generated technical IDs are omitted.</x:v>
      </x:c>
      <x:c r="B2" s="84"/>
      <x:c r="C2" s="84"/>
      <x:c r="D2" s="84"/>
      <x:c r="E2" s="84"/>
      <x:c r="F2" s="84"/>
      <x:c r="G2" s="84"/>
      <x:c r="H2" s="84"/>
      <x:c r="I2" s="84"/>
      <x:c r="J2" s="84"/>
      <x:c r="K2" s="84"/>
    </x:row>
    <x:row r="3">
      <x:c r="A3" s="85"/>
      <x:c r="B3" s="85"/>
      <x:c r="C3" s="85"/>
      <x:c r="D3" s="85"/>
      <x:c r="E3" s="85"/>
      <x:c r="F3" s="85"/>
      <x:c r="G3" s="85"/>
      <x:c r="H3" s="85"/>
      <x:c r="I3" s="85"/>
      <x:c r="J3" s="85"/>
      <x:c r="K3" s="85"/>
    </x:row>
    <x:row r="4">
      <x:c r="A4" s="86" t="str">
        <x:v>Component assessments</x:v>
      </x:c>
      <x:c r="B4" s="86"/>
      <x:c r="C4" s="85"/>
      <x:c r="D4" s="86" t="str">
        <x:v>Eligible assessments</x:v>
      </x:c>
      <x:c r="E4" s="86"/>
      <x:c r="F4" s="85"/>
      <x:c r="G4" s="86" t="str">
        <x:v>Evidence quotes</x:v>
      </x:c>
      <x:c r="H4" s="86"/>
      <x:c r="I4" s="85"/>
      <x:c r="J4" s="86" t="str">
        <x:v>Items to check</x:v>
      </x:c>
      <x:c r="K4" s="86"/>
    </x:row>
    <x:row r="5">
      <x:c r="A5" s="87" t="n">
        <x:f>COUNTA('Assessment Review'!$A$5:$A$640)</x:f>
        <x:v>636</x:v>
      </x:c>
      <x:c r="B5" s="88"/>
      <x:c r="C5" s="85"/>
      <x:c r="D5" s="87" t="n">
        <x:f>COUNTIF('Assessment Review'!$G$5:$G$640,"Eligible")</x:f>
        <x:v>219</x:v>
      </x:c>
      <x:c r="E5" s="88"/>
      <x:c r="F5" s="85"/>
      <x:c r="G5" s="87" t="n">
        <x:f>COUNTA('Evidence Review'!$A$5:$A$277)</x:f>
        <x:v>273</x:v>
      </x:c>
      <x:c r="H5" s="88"/>
      <x:c r="I5" s="85"/>
      <x:c r="J5" s="87" t="n">
        <x:f>COUNTIF('Assessment Review'!$O$5:$O$640,"Needs review")+COUNTIF('Evidence Review'!$K$5:$K$277,"Check layout")</x:f>
        <x:v>20</x:v>
      </x:c>
      <x:c r="K5" s="88"/>
    </x:row>
    <x:row r="6">
      <x:c r="A6" s="89"/>
      <x:c r="B6" s="90"/>
      <x:c r="C6" s="85"/>
      <x:c r="D6" s="89"/>
      <x:c r="E6" s="90"/>
      <x:c r="F6" s="85"/>
      <x:c r="G6" s="89"/>
      <x:c r="H6" s="90"/>
      <x:c r="I6" s="85"/>
      <x:c r="J6" s="89"/>
      <x:c r="K6" s="90"/>
    </x:row>
    <x:row r="7">
      <x:c r="A7" s="85"/>
      <x:c r="B7" s="85"/>
      <x:c r="C7" s="85"/>
      <x:c r="D7" s="85"/>
      <x:c r="E7" s="85"/>
      <x:c r="F7" s="85"/>
      <x:c r="G7" s="85"/>
      <x:c r="H7" s="85"/>
      <x:c r="I7" s="85"/>
      <x:c r="J7" s="85"/>
      <x:c r="K7" s="85"/>
    </x:row>
    <x:row r="8">
      <x:c r="A8" s="91" t="str">
        <x:v>None demonstrated</x:v>
      </x:c>
      <x:c r="B8" s="91"/>
      <x:c r="C8" s="85"/>
      <x:c r="D8" s="91" t="str">
        <x:v>Low</x:v>
      </x:c>
      <x:c r="E8" s="91"/>
      <x:c r="F8" s="85"/>
      <x:c r="G8" s="91" t="str">
        <x:v>Medium</x:v>
      </x:c>
      <x:c r="H8" s="91"/>
      <x:c r="I8" s="85"/>
      <x:c r="J8" s="91" t="str">
        <x:v>High</x:v>
      </x:c>
      <x:c r="K8" s="91"/>
    </x:row>
    <x:row r="9">
      <x:c r="A9" s="92" t="n">
        <x:f>COUNTIF('Assessment Review'!$H$5:$H$640,"None demonstrated")</x:f>
        <x:v>43</x:v>
      </x:c>
      <x:c r="B9" s="93"/>
      <x:c r="C9" s="85"/>
      <x:c r="D9" s="92" t="n">
        <x:f>COUNTIF('Assessment Review'!$H$5:$H$640,"Low")</x:f>
        <x:v>77</x:v>
      </x:c>
      <x:c r="E9" s="93"/>
      <x:c r="F9" s="85"/>
      <x:c r="G9" s="92" t="n">
        <x:f>COUNTIF('Assessment Review'!$H$5:$H$640,"Medium")</x:f>
        <x:v>83</x:v>
      </x:c>
      <x:c r="H9" s="93"/>
      <x:c r="I9" s="85"/>
      <x:c r="J9" s="92" t="n">
        <x:f>COUNTIF('Assessment Review'!$H$5:$H$640,"High")</x:f>
        <x:v>16</x:v>
      </x:c>
      <x:c r="K9" s="93"/>
    </x:row>
    <x:row r="10">
      <x:c r="A10" s="94"/>
      <x:c r="B10" s="95"/>
      <x:c r="C10" s="85"/>
      <x:c r="D10" s="94"/>
      <x:c r="E10" s="95"/>
      <x:c r="F10" s="85"/>
      <x:c r="G10" s="94"/>
      <x:c r="H10" s="95"/>
      <x:c r="I10" s="85"/>
      <x:c r="J10" s="94"/>
      <x:c r="K10" s="95"/>
    </x:row>
    <x:row r="11">
      <x:c r="A11" s="85"/>
      <x:c r="B11" s="85"/>
      <x:c r="C11" s="85"/>
      <x:c r="D11" s="85"/>
      <x:c r="E11" s="85"/>
      <x:c r="F11" s="85"/>
      <x:c r="G11" s="85"/>
      <x:c r="H11" s="85"/>
      <x:c r="I11" s="85"/>
      <x:c r="J11" s="85"/>
      <x:c r="K11" s="85"/>
    </x:row>
    <x:row r="12">
      <x:c r="A12" s="96" t="str">
        <x:v>Reviewer details</x:v>
      </x:c>
      <x:c r="B12" s="96"/>
      <x:c r="C12" s="96"/>
      <x:c r="D12" s="96"/>
      <x:c r="E12" s="96"/>
      <x:c r="F12" s="96"/>
      <x:c r="G12" s="96"/>
      <x:c r="H12" s="96"/>
      <x:c r="I12" s="96"/>
      <x:c r="J12" s="96"/>
      <x:c r="K12" s="96"/>
    </x:row>
    <x:row r="13">
      <x:c r="A13" s="97" t="str">
        <x:v>Reviewer name</x:v>
      </x:c>
      <x:c r="B13" s="97"/>
      <x:c r="C13" s="98" t="str"/>
      <x:c r="D13" s="99"/>
      <x:c r="E13" s="99"/>
      <x:c r="F13" s="100"/>
      <x:c r="G13" s="97" t="str">
        <x:v>Review date</x:v>
      </x:c>
      <x:c r="H13" s="97"/>
      <x:c r="I13" s="101" t="str"/>
      <x:c r="J13" s="102"/>
      <x:c r="K13" s="103"/>
    </x:row>
    <x:row r="14">
      <x:c r="A14" s="85"/>
      <x:c r="B14" s="85"/>
      <x:c r="C14" s="85"/>
      <x:c r="D14" s="85"/>
      <x:c r="E14" s="85"/>
      <x:c r="F14" s="85"/>
      <x:c r="G14" s="85"/>
      <x:c r="H14" s="85"/>
      <x:c r="I14" s="85"/>
      <x:c r="J14" s="85"/>
      <x:c r="K14" s="85"/>
    </x:row>
    <x:row r="15">
      <x:c r="A15" s="96" t="str">
        <x:v>How to review</x:v>
      </x:c>
      <x:c r="B15" s="96"/>
      <x:c r="C15" s="96"/>
      <x:c r="D15" s="96"/>
      <x:c r="E15" s="96"/>
      <x:c r="F15" s="96"/>
      <x:c r="G15" s="96"/>
      <x:c r="H15" s="96"/>
      <x:c r="I15" s="96"/>
      <x:c r="J15" s="96"/>
      <x:c r="K15" s="96"/>
    </x:row>
    <x:row r="16" ht="42" customHeight="1">
      <x:c r="A16" s="104" t="str">
        <x:v>1</x:v>
      </x:c>
      <x:c r="B16" s="105" t="str">
        <x:v>Start with Source Review</x:v>
      </x:c>
      <x:c r="C16" s="106" t="str">
        <x:v>Confirm that the title, publisher, year, tier and PDF link are appropriate for use.</x:v>
      </x:c>
      <x:c r="D16" s="85"/>
      <x:c r="E16" s="85"/>
      <x:c r="F16" s="85"/>
      <x:c r="G16" s="85"/>
      <x:c r="H16" s="85"/>
      <x:c r="I16" s="85"/>
      <x:c r="J16" s="85"/>
      <x:c r="K16" s="85"/>
    </x:row>
    <x:row r="17" ht="42" customHeight="1">
      <x:c r="A17" s="107" t="str">
        <x:v>2</x:v>
      </x:c>
      <x:c r="B17" s="108" t="str">
        <x:v>Review component assessments</x:v>
      </x:c>
      <x:c r="C17" s="109" t="str">
        <x:v>Check eligibility, linked terminal indicators and the proposed component-level effectiveness.</x:v>
      </x:c>
      <x:c r="D17" s="85"/>
      <x:c r="E17" s="85"/>
      <x:c r="F17" s="85"/>
      <x:c r="G17" s="85"/>
      <x:c r="H17" s="85"/>
      <x:c r="I17" s="85"/>
      <x:c r="J17" s="85"/>
      <x:c r="K17" s="85"/>
    </x:row>
    <x:row r="18" ht="42" customHeight="1">
      <x:c r="A18" s="107" t="str">
        <x:v>3</x:v>
      </x:c>
      <x:c r="B18" s="108" t="str">
        <x:v>Review every evidence quote</x:v>
      </x:c>
      <x:c r="C18" s="109" t="str">
        <x:v>Check grounding, page, direction, action coverage, indicators and any maladaptation signal. Confirm every Check layout row against the PDF.</x:v>
      </x:c>
      <x:c r="D18" s="85"/>
      <x:c r="E18" s="85"/>
      <x:c r="F18" s="85"/>
      <x:c r="G18" s="85"/>
      <x:c r="H18" s="85"/>
      <x:c r="I18" s="85"/>
      <x:c r="J18" s="85"/>
      <x:c r="K18" s="85"/>
    </x:row>
    <x:row r="19" ht="42" customHeight="1">
      <x:c r="A19" s="110" t="str">
        <x:v>4</x:v>
      </x:c>
      <x:c r="B19" s="111" t="str">
        <x:v>Record feedback</x:v>
      </x:c>
      <x:c r="C19" s="112" t="str">
        <x:v>Use the yellow ICare decision and feedback columns. Choose Accept, Needs change or Discuss.</x:v>
      </x:c>
      <x:c r="D19" s="85"/>
      <x:c r="E19" s="85"/>
      <x:c r="F19" s="85"/>
      <x:c r="G19" s="85"/>
      <x:c r="H19" s="85"/>
      <x:c r="I19" s="85"/>
      <x:c r="J19" s="85"/>
      <x:c r="K19" s="85"/>
    </x:row>
    <x:row r="20">
      <x:c r="A20" s="85"/>
      <x:c r="B20" s="85"/>
      <x:c r="C20" s="85"/>
      <x:c r="D20" s="85"/>
      <x:c r="E20" s="85"/>
      <x:c r="F20" s="85"/>
      <x:c r="G20" s="85"/>
      <x:c r="H20" s="85"/>
      <x:c r="I20" s="85"/>
      <x:c r="J20" s="85"/>
      <x:c r="K20" s="85"/>
    </x:row>
    <x:row r="21">
      <x:c r="A21" s="96" t="str">
        <x:v>Interpretation notes</x:v>
      </x:c>
      <x:c r="B21" s="96"/>
      <x:c r="C21" s="96"/>
      <x:c r="D21" s="96"/>
      <x:c r="E21" s="96"/>
      <x:c r="F21" s="96"/>
      <x:c r="G21" s="96"/>
      <x:c r="H21" s="96"/>
      <x:c r="I21" s="96"/>
      <x:c r="J21" s="96"/>
      <x:c r="K21" s="96"/>
    </x:row>
    <x:row r="22" ht="38" customHeight="1">
      <x:c r="A22" s="113" t="str">
        <x:v>Eligible</x:v>
      </x:c>
      <x:c r="B22" s="114" t="str">
        <x:v>The action has a plausible direct pathway to at least one named terminal indicator. It is not yet a claim that the action is effective.</x:v>
      </x:c>
      <x:c r="C22" s="114"/>
      <x:c r="D22" s="114"/>
      <x:c r="E22" s="114"/>
      <x:c r="F22" s="114"/>
      <x:c r="G22" s="114"/>
      <x:c r="H22" s="114"/>
      <x:c r="I22" s="114"/>
      <x:c r="J22" s="114"/>
      <x:c r="K22" s="115"/>
    </x:row>
    <x:row r="23" ht="38" customHeight="1">
      <x:c r="A23" s="116" t="str">
        <x:v>None demonstrated</x:v>
      </x:c>
      <x:c r="B23" s="117" t="str">
        <x:v>All candidate sources were screened, but no positive page-located evidence was found. This does not prove that the action is ineffective.</x:v>
      </x:c>
      <x:c r="C23" s="117"/>
      <x:c r="D23" s="117"/>
      <x:c r="E23" s="117"/>
      <x:c r="F23" s="117"/>
      <x:c r="G23" s="117"/>
      <x:c r="H23" s="117"/>
      <x:c r="I23" s="117"/>
      <x:c r="J23" s="117"/>
      <x:c r="K23" s="118"/>
    </x:row>
    <x:row r="24" ht="38" customHeight="1">
      <x:c r="A24" s="116" t="str">
        <x:v>Low / Medium / High</x:v>
      </x:c>
      <x:c r="B24" s="117" t="str">
        <x:v>A deterministic component-level preference class based on evidence direction, action coverage and the number of supporting sources—not a scientific effect size.</x:v>
      </x:c>
      <x:c r="C24" s="117"/>
      <x:c r="D24" s="117"/>
      <x:c r="E24" s="117"/>
      <x:c r="F24" s="117"/>
      <x:c r="G24" s="117"/>
      <x:c r="H24" s="117"/>
      <x:c r="I24" s="117"/>
      <x:c r="J24" s="117"/>
      <x:c r="K24" s="118"/>
    </x:row>
    <x:row r="25" ht="38" customHeight="1">
      <x:c r="A25" s="116" t="str">
        <x:v>Needs review</x:v>
      </x:c>
      <x:c r="B25" s="117" t="str">
        <x:v>A contradiction, trade-off or layout-sensitive quote match should be confirmed by a reviewer.</x:v>
      </x:c>
      <x:c r="C25" s="117"/>
      <x:c r="D25" s="117"/>
      <x:c r="E25" s="117"/>
      <x:c r="F25" s="117"/>
      <x:c r="G25" s="117"/>
      <x:c r="H25" s="117"/>
      <x:c r="I25" s="117"/>
      <x:c r="J25" s="117"/>
      <x:c r="K25" s="118"/>
    </x:row>
    <x:row r="26" ht="38" customHeight="1">
      <x:c r="A26" s="119" t="str">
        <x:v>Identifiers</x:v>
      </x:c>
      <x:c r="B26" s="120" t="str">
        <x:v>Use Action ID + Sector + Component when giving feedback. Generated mapping, eligibility, evidence, source and document IDs are omitted.</x:v>
      </x:c>
      <x:c r="C26" s="120"/>
      <x:c r="D26" s="120"/>
      <x:c r="E26" s="120"/>
      <x:c r="F26" s="120"/>
      <x:c r="G26" s="120"/>
      <x:c r="H26" s="120"/>
      <x:c r="I26" s="120"/>
      <x:c r="J26" s="120"/>
      <x:c r="K26" s="121"/>
    </x:row>
  </x:sheetData>
  <x:mergeCells>
    <x:mergeCell ref="A1:K1"/>
    <x:mergeCell ref="A2:K2"/>
    <x:mergeCell ref="A4:B4"/>
    <x:mergeCell ref="D4:E4"/>
    <x:mergeCell ref="G4:H4"/>
    <x:mergeCell ref="J4:K4"/>
    <x:mergeCell ref="A5:B6"/>
    <x:mergeCell ref="D5:E6"/>
    <x:mergeCell ref="G5:H6"/>
    <x:mergeCell ref="J5:K6"/>
    <x:mergeCell ref="A8:B8"/>
    <x:mergeCell ref="D8:E8"/>
    <x:mergeCell ref="G8:H8"/>
    <x:mergeCell ref="J8:K8"/>
    <x:mergeCell ref="A9:B10"/>
    <x:mergeCell ref="D9:E10"/>
    <x:mergeCell ref="G9:H10"/>
    <x:mergeCell ref="J9:K10"/>
    <x:mergeCell ref="A12:K12"/>
    <x:mergeCell ref="A13:B13"/>
    <x:mergeCell ref="C13:F13"/>
    <x:mergeCell ref="G13:H13"/>
    <x:mergeCell ref="I13:K13"/>
    <x:mergeCell ref="A15:K15"/>
    <x:mergeCell ref="A21:K21"/>
    <x:mergeCell ref="B22:K22"/>
    <x:mergeCell ref="B23:K23"/>
    <x:mergeCell ref="B24:K24"/>
    <x:mergeCell ref="B25:K25"/>
    <x:mergeCell ref="B26:K2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34" hidden="0" customWidth="1"/>
    <x:col min="3" max="3" width="24" hidden="0" customWidth="1"/>
    <x:col min="4" max="4" width="16" hidden="0" customWidth="1"/>
    <x:col min="5" max="5" width="18" hidden="0" customWidth="1"/>
    <x:col min="6" max="6" width="34" hidden="0" customWidth="1"/>
    <x:col min="7" max="7" width="15" hidden="0" customWidth="1"/>
    <x:col min="8" max="8" width="18" hidden="0" customWidth="1"/>
    <x:col min="9" max="9" width="30" hidden="0" customWidth="1"/>
    <x:col min="10" max="10" width="18" hidden="0" customWidth="1"/>
    <x:col min="11" max="11" width="17" hidden="0" customWidth="1"/>
    <x:col min="12" max="12" width="15" hidden="0" customWidth="1"/>
    <x:col min="13" max="13" width="12" hidden="0" customWidth="1"/>
    <x:col min="14" max="14" width="14" hidden="0" customWidth="1"/>
    <x:col min="15" max="15" width="16" hidden="0" customWidth="1"/>
    <x:col min="16" max="16" width="42" hidden="0" customWidth="1"/>
    <x:col min="17" max="17" width="52" hidden="0" customWidth="1"/>
    <x:col min="18" max="18" width="58" hidden="0" customWidth="1"/>
  </x:cols>
  <x:sheetData>
    <x:row r="1" ht="32" customHeight="1">
      <x:c r="A1" s="3" t="str">
        <x:v>Assessment review</x:v>
      </x:c>
      <x:c r="B1" s="3"/>
      <x:c r="C1" s="3"/>
      <x:c r="D1" s="3"/>
      <x:c r="E1" s="3"/>
      <x:c r="F1" s="3"/>
      <x:c r="G1" s="3"/>
      <x:c r="H1" s="3"/>
      <x:c r="I1" s="3"/>
      <x:c r="J1" s="3"/>
      <x:c r="K1" s="3"/>
      <x:c r="L1" s="3"/>
      <x:c r="M1" s="3"/>
      <x:c r="N1" s="3"/>
      <x:c r="O1" s="3"/>
      <x:c r="P1" s="3"/>
      <x:c r="Q1" s="3"/>
      <x:c r="R1" s="3"/>
    </x:row>
    <x:row r="2" ht="32" customHeight="1">
      <x:c r="A2" s="7" t="str">
        <x:v>One row per action × sector × component. Source action IDs are retained. Yellow columns are for ICare feedback; all other fields are generated from the proposed assessment.</x:v>
      </x:c>
      <x:c r="B2" s="7"/>
      <x:c r="C2" s="7"/>
      <x:c r="D2" s="7"/>
      <x:c r="E2" s="7"/>
      <x:c r="F2" s="7"/>
      <x:c r="G2" s="7"/>
      <x:c r="H2" s="7"/>
      <x:c r="I2" s="7"/>
      <x:c r="J2" s="7"/>
      <x:c r="K2" s="7"/>
      <x:c r="L2" s="7"/>
      <x:c r="M2" s="7"/>
      <x:c r="N2" s="7"/>
      <x:c r="O2" s="7"/>
      <x:c r="P2" s="7"/>
      <x:c r="Q2" s="7"/>
      <x:c r="R2" s="7"/>
    </x:row>
    <x:row r="4" ht="36" customHeight="1">
      <x:c r="A4" s="128" t="str">
        <x:v>Action ID</x:v>
      </x:c>
      <x:c r="B4" s="129" t="str">
        <x:v>Action</x:v>
      </x:c>
      <x:c r="C4" s="129" t="str">
        <x:v>Sector</x:v>
      </x:c>
      <x:c r="D4" s="129" t="str">
        <x:v>Component</x:v>
      </x:c>
      <x:c r="E4" s="129" t="str">
        <x:v>ICare decision</x:v>
      </x:c>
      <x:c r="F4" s="129" t="str">
        <x:v>ICare feedback</x:v>
      </x:c>
      <x:c r="G4" s="129" t="str">
        <x:v>Eligibility</x:v>
      </x:c>
      <x:c r="H4" s="129" t="str">
        <x:v>Effectiveness</x:v>
      </x:c>
      <x:c r="I4" s="129" t="str">
        <x:v>Evidence coverage</x:v>
      </x:c>
      <x:c r="J4" s="129" t="str">
        <x:v>Source sufficiency</x:v>
      </x:c>
      <x:c r="K4" s="129" t="str">
        <x:v>Maladaptation signal</x:v>
      </x:c>
      <x:c r="L4" s="129" t="str">
        <x:v>Time horizon</x:v>
      </x:c>
      <x:c r="M4" s="129" t="str">
        <x:v>Evidence lines</x:v>
      </x:c>
      <x:c r="N4" s="129" t="str">
        <x:v>Screened sources</x:v>
      </x:c>
      <x:c r="O4" s="129" t="str">
        <x:v>Review flag</x:v>
      </x:c>
      <x:c r="P4" s="129" t="str">
        <x:v>Linked indicators</x:v>
      </x:c>
      <x:c r="Q4" s="129" t="str">
        <x:v>Eligibility rationale</x:v>
      </x:c>
      <x:c r="R4" s="130" t="str">
        <x:v>Action definition</x:v>
      </x:c>
    </x:row>
    <x:row r="5" ht="66" customHeight="1">
      <x:c r="A5" s="164" t="str">
        <x:v>ipcc_0090</x:v>
      </x:c>
      <x:c r="B5" s="156" t="str">
        <x:v>Expand climate risk insurance coverage</x:v>
      </x:c>
      <x:c r="C5" s="156" t="str">
        <x:v>Energy security</x:v>
      </x:c>
      <x:c r="D5" s="156" t="str">
        <x:v>Vulnerability</x:v>
      </x:c>
      <x:c r="E5" s="152" t="str"/>
      <x:c r="F5" s="152" t="str"/>
      <x:c r="G5" s="156" t="str">
        <x:v>Eligible</x:v>
      </x:c>
      <x:c r="H5" s="156" t="str">
        <x:v>Low</x:v>
      </x:c>
      <x:c r="I5" s="156" t="str">
        <x:v>Partial (2/3)</x:v>
      </x:c>
      <x:c r="J5" s="156" t="str">
        <x:v>Moderate</x:v>
      </x:c>
      <x:c r="K5" s="156" t="str">
        <x:v>Yes</x:v>
      </x:c>
      <x:c r="L5" s="156" t="str">
        <x:v>&lt;5 years</x:v>
      </x:c>
      <x:c r="M5" s="167" t="n">
        <x:v>2</x:v>
      </x:c>
      <x:c r="N5" s="167" t="n">
        <x:v>10</x:v>
      </x:c>
      <x:c r="O5" s="156" t="str">
        <x:v>Needs review</x:v>
      </x:c>
      <x:c r="P5" s="156" t="str">
        <x:v>Energy poverty | Municipal GDP per capita | Income greater than two minimum wages</x:v>
      </x:c>
      <x:c r="Q5" s="156" t="str">
        <x:v>Climate-risk insurance can protect energy affordability and household or local economic capacity, directly addressing energy poverty and income-related adaptive-capacity indicators.</x:v>
      </x:c>
      <x:c r="R5" s="157" t="str">
        <x:v>Insurance provides financial risk management tools tailored to climate-induced challenges. This includes traditional agricultural insurance to protect farmers from weather-related losses and innovative index-based insurance solutions. Index-based insurance leverages measurable weather indices, such as rainfall or temperature, to trigger payouts automatically when thresholds are reached, bypassing the need for loss verification. These tools help stabilize incomes, encourage investment in climate-resilient practices, and reduce the economic vulnerability of stakeholders in agriculture, aquaculture, and energy sectors. Furthermore, bundled insurance products with additional services like fertilizer or seed access enhance overall resilience, particularly in underserved and rural communities. By mitigating risks associated with droughts, floods, and storms, insurance supports sustainable development and adaptation goals</x:v>
      </x:c>
    </x:row>
    <x:row r="6" ht="66" customHeight="1">
      <x:c r="A6" s="165" t="str">
        <x:v>ipcc_0099</x:v>
      </x:c>
      <x:c r="B6" s="159" t="str">
        <x:v>Increase Water Capture and Storage</x:v>
      </x:c>
      <x:c r="C6" s="159" t="str">
        <x:v>Water resources</x:v>
      </x:c>
      <x:c r="D6" s="159" t="str">
        <x:v>Vulnerability</x:v>
      </x:c>
      <x:c r="E6" s="153" t="str"/>
      <x:c r="F6" s="153" t="str"/>
      <x:c r="G6" s="159" t="str">
        <x:v>Eligible</x:v>
      </x:c>
      <x:c r="H6" s="159" t="str">
        <x:v>Low</x:v>
      </x:c>
      <x:c r="I6" s="159" t="str">
        <x:v>Partial (2/4)</x:v>
      </x:c>
      <x:c r="J6" s="159" t="str">
        <x:v>Broad</x:v>
      </x:c>
      <x:c r="K6" s="159" t="str">
        <x:v>Yes</x:v>
      </x:c>
      <x:c r="L6" s="159" t="str">
        <x:v>5-10 years</x:v>
      </x:c>
      <x:c r="M6" s="168" t="n">
        <x:v>3</x:v>
      </x:c>
      <x:c r="N6" s="168" t="n">
        <x:v>8</x:v>
      </x:c>
      <x:c r="O6" s="159" t="str">
        <x:v>Needs review</x:v>
      </x:c>
      <x:c r="P6" s="159" t="str">
        <x:v>Alternatives to water supply | Cisterns program: water for consumption | Artificial reserve | Underground storage potential</x:v>
      </x:c>
      <x:c r="Q6" s="159" t="str">
        <x:v>Water capture and storage directly creates alternative supplies, household storage options, artificial reserves, and groundwater storage potential.</x:v>
      </x:c>
      <x:c r="R6" s="160" t="str">
        <x:v>Implementation of water harvesting and storage solutions, such as on-farm ponds, water body revitalization, rain gardens, bioswales, retention ponds, pumped storage, and water storage tanks. These measures aim to mitigate climate-induced impacts by improving water management, reducing stormwater runoff, improving water quality, and supporting agriculture and energy production in changing climate scenarios. Water reservoirs and multipurpose dams offer additional benefits by addressing water scarcity and managing risks associated with natural disasters. These adaptation strategies contribute to sustainable water use and resilience to climate-related challenges.</x:v>
      </x:c>
    </x:row>
    <x:row r="7" ht="66" customHeight="1">
      <x:c r="A7" s="165" t="str">
        <x:v>ipcc_0104</x:v>
      </x:c>
      <x:c r="B7" s="159" t="str">
        <x:v>Plan and support permanent climate‑related migration</x:v>
      </x:c>
      <x:c r="C7" s="159" t="str">
        <x:v>Water resources</x:v>
      </x:c>
      <x:c r="D7" s="159" t="str">
        <x:v>Exposure</x:v>
      </x:c>
      <x:c r="E7" s="153" t="str"/>
      <x:c r="F7" s="153" t="str"/>
      <x:c r="G7" s="159" t="str">
        <x:v>Eligible</x:v>
      </x:c>
      <x:c r="H7" s="159" t="str">
        <x:v>Medium</x:v>
      </x:c>
      <x:c r="I7" s="159" t="str">
        <x:v>Complete (3/3)</x:v>
      </x:c>
      <x:c r="J7" s="159" t="str">
        <x:v>Broad</x:v>
      </x:c>
      <x:c r="K7" s="159" t="str">
        <x:v>Yes</x:v>
      </x:c>
      <x:c r="L7" s="159" t="str">
        <x:v>5-10 years</x:v>
      </x:c>
      <x:c r="M7" s="168" t="n">
        <x:v>5</x:v>
      </x:c>
      <x:c r="N7" s="168" t="n">
        <x:v>8</x:v>
      </x:c>
      <x:c r="O7" s="159" t="str">
        <x:v>Needs review</x:v>
      </x:c>
      <x:c r="P7" s="159" t="str">
        <x:v>Population density | Urban users exposed | Exposed rural users</x:v>
      </x:c>
      <x:c r="Q7" s="159" t="str">
        <x:v>Permanent migration and resettlement change where people live, directly altering population density and the number of urban and rural users exposed to water stress. Whether exposure decreases depends on the destination and is assessed through evidence.</x:v>
      </x:c>
      <x:c r="R7" s="160" t="str">
        <x:v>Resettlement of communities from flood-prone areas and rural–urban migration as a strategy to mitigate vulnerabilities caused by climate change. This includes addressing urbanization challenges, such as unplanned development, water insecurity, and socioeconomic disparities, while providing equitable opportunities for migrants in urban centers. Measures include enhancing urban planning, water resource management, and social support systems for displaced populations.</x:v>
      </x:c>
    </x:row>
    <x:row r="8" ht="66" customHeight="1">
      <x:c r="A8" s="165" t="str">
        <x:v>icare_0165</x:v>
      </x:c>
      <x:c r="B8" s="159" t="str">
        <x:v>Develop an Environmental Education Plan</x:v>
      </x:c>
      <x:c r="C8" s="159" t="str">
        <x:v>Biodiversity</x:v>
      </x:c>
      <x:c r="D8" s="159" t="str">
        <x:v>Vulnerability</x:v>
      </x:c>
      <x:c r="E8" s="153" t="str"/>
      <x:c r="F8" s="153" t="str"/>
      <x:c r="G8" s="159" t="str">
        <x:v>Eligible</x:v>
      </x:c>
      <x:c r="H8" s="159" t="str">
        <x:v>None demonstrated</x:v>
      </x:c>
      <x:c r="I8" s="159" t="str">
        <x:v>None (0/2)</x:v>
      </x:c>
      <x:c r="J8" s="159" t="str">
        <x:v>None</x:v>
      </x:c>
      <x:c r="K8" s="159" t="str">
        <x:v>No</x:v>
      </x:c>
      <x:c r="L8" s="159" t="str">
        <x:v>&lt;5 years</x:v>
      </x:c>
      <x:c r="M8" s="168" t="n">
        <x:v>0</x:v>
      </x:c>
      <x:c r="N8" s="168" t="n">
        <x:v>7</x:v>
      </x:c>
      <x:c r="O8" s="159" t="str"/>
      <x:c r="P8" s="159" t="str">
        <x:v>Vegetation loss | Technical guidance</x:v>
      </x:c>
      <x:c r="Q8" s="159" t="str">
        <x:v>Conservative eligibility screen: the action's stated mechanism has a plausible direct pathway to Vegetation loss, Technical guidance. Evidence determines whether the effect is demonstrated and in which direction.</x:v>
      </x:c>
      <x:c r="R8" s="160" t="str">
        <x:v>Design and implement a comprehensive environmental education plan that fosters climate literacy and awareness across schools, communities, and the media. Municipal governments can organize workshops, awareness campaigns, and nature-based activities such as tree planting to reconnect residents with their environment. The plan should integrate themes of climate change, adaptation, mitigation, and climate justice, with particular attention to youth, women, and vulnerable groups. By embedding equity and inclusion, cities can strengthen long-term engagement and empower communities to take part in climate action.</x:v>
      </x:c>
    </x:row>
    <x:row r="9" ht="66" customHeight="1">
      <x:c r="A9" s="165" t="str">
        <x:v>icare_0182</x:v>
      </x:c>
      <x:c r="B9" s="159" t="str">
        <x:v>Develop an Urban Afforestation Plan</x:v>
      </x:c>
      <x:c r="C9" s="159" t="str">
        <x:v>Biodiversity</x:v>
      </x:c>
      <x:c r="D9" s="159" t="str">
        <x:v>Exposure</x:v>
      </x:c>
      <x:c r="E9" s="153" t="str"/>
      <x:c r="F9" s="153" t="str"/>
      <x:c r="G9" s="159" t="str">
        <x:v>Eligible</x:v>
      </x:c>
      <x:c r="H9" s="159" t="str">
        <x:v>Medium</x:v>
      </x:c>
      <x:c r="I9" s="159" t="str">
        <x:v>Complete (2/2)</x:v>
      </x:c>
      <x:c r="J9" s="159" t="str">
        <x:v>Broad</x:v>
      </x:c>
      <x:c r="K9" s="159" t="str">
        <x:v>No</x:v>
      </x:c>
      <x:c r="L9" s="159" t="str">
        <x:v>5-10 years</x:v>
      </x:c>
      <x:c r="M9" s="168" t="n">
        <x:v>2</x:v>
      </x:c>
      <x:c r="N9" s="168" t="n">
        <x:v>7</x:v>
      </x:c>
      <x:c r="O9" s="159" t="str"/>
      <x:c r="P9" s="159" t="str">
        <x:v>Natural coverage | Area for conservation</x:v>
      </x:c>
      <x:c r="Q9" s="159" t="str">
        <x:v>Conservative eligibility screen: the action's stated mechanism has a plausible direct pathway to Natural coverage, Area for conservation. Evidence determines whether the effect is demonstrated and in which direction.</x:v>
      </x:c>
      <x:c r="R9" s="160" t="str">
        <x:v>This action focuses on expanding green areas in the city through urban afforestation. This includes planting trees in sidewalks, squares, public buildings, and schools, as well as creating ecological parks to revitalize watercourses and/or restore forests.</x:v>
      </x:c>
    </x:row>
    <x:row r="10" ht="66" customHeight="1">
      <x:c r="A10" s="165" t="str">
        <x:v>icare_0182</x:v>
      </x:c>
      <x:c r="B10" s="159" t="str">
        <x:v>Develop an Urban Afforestation Plan</x:v>
      </x:c>
      <x:c r="C10" s="159" t="str">
        <x:v>Biodiversity</x:v>
      </x:c>
      <x:c r="D10" s="159" t="str">
        <x:v>Vulnerability</x:v>
      </x:c>
      <x:c r="E10" s="153" t="str"/>
      <x:c r="F10" s="153" t="str"/>
      <x:c r="G10" s="159" t="str">
        <x:v>Eligible</x:v>
      </x:c>
      <x:c r="H10" s="159" t="str">
        <x:v>Medium</x:v>
      </x:c>
      <x:c r="I10" s="159" t="str">
        <x:v>Complete (2/2)</x:v>
      </x:c>
      <x:c r="J10" s="159" t="str">
        <x:v>Broad</x:v>
      </x:c>
      <x:c r="K10" s="159" t="str">
        <x:v>No</x:v>
      </x:c>
      <x:c r="L10" s="159" t="str">
        <x:v>5-10 years</x:v>
      </x:c>
      <x:c r="M10" s="168" t="n">
        <x:v>2</x:v>
      </x:c>
      <x:c r="N10" s="168" t="n">
        <x:v>7</x:v>
      </x:c>
      <x:c r="O10" s="159" t="str"/>
      <x:c r="P10" s="159" t="str">
        <x:v>Environmental liabilities | Vegetation loss</x:v>
      </x:c>
      <x:c r="Q10" s="159" t="str">
        <x:v>Conservative eligibility screen: the action's stated mechanism has a plausible direct pathway to Environmental liabilities, Vegetation loss. Evidence determines whether the effect is demonstrated and in which direction.</x:v>
      </x:c>
      <x:c r="R10" s="160" t="str">
        <x:v>This action focuses on expanding green areas in the city through urban afforestation. This includes planting trees in sidewalks, squares, public buildings, and schools, as well as creating ecological parks to revitalize watercourses and/or restore forests.</x:v>
      </x:c>
    </x:row>
    <x:row r="11" ht="66" customHeight="1">
      <x:c r="A11" s="165" t="str">
        <x:v>icare_0163</x:v>
      </x:c>
      <x:c r="B11" s="159" t="str">
        <x:v>Establish a first‑response firefighting brigade</x:v>
      </x:c>
      <x:c r="C11" s="159" t="str">
        <x:v>Biodiversity</x:v>
      </x:c>
      <x:c r="D11" s="159" t="str">
        <x:v>Vulnerability</x:v>
      </x:c>
      <x:c r="E11" s="153" t="str"/>
      <x:c r="F11" s="153" t="str"/>
      <x:c r="G11" s="159" t="str">
        <x:v>Eligible</x:v>
      </x:c>
      <x:c r="H11" s="159" t="str">
        <x:v>None demonstrated</x:v>
      </x:c>
      <x:c r="I11" s="159" t="str">
        <x:v>None (0/2)</x:v>
      </x:c>
      <x:c r="J11" s="159" t="str">
        <x:v>None</x:v>
      </x:c>
      <x:c r="K11" s="159" t="str">
        <x:v>No</x:v>
      </x:c>
      <x:c r="L11" s="159" t="str">
        <x:v>&lt;5 years</x:v>
      </x:c>
      <x:c r="M11" s="168" t="n">
        <x:v>0</x:v>
      </x:c>
      <x:c r="N11" s="168" t="n">
        <x:v>7</x:v>
      </x:c>
      <x:c r="O11" s="159" t="str"/>
      <x:c r="P11" s="159" t="str">
        <x:v>Fire | Vegetation loss</x:v>
      </x:c>
      <x:c r="Q11" s="159" t="str">
        <x:v>Conservative eligibility screen: the action's stated mechanism has a plausible direct pathway to Fire, Vegetation loss. Evidence determines whether the effect is demonstrated and in which direction.</x:v>
      </x:c>
      <x:c r="R11" s="160" t="str">
        <x:v>Creation of a First Response Brigade in rural communities to provide them with training and equipment for fire prevention and firefighting.</x:v>
      </x:c>
    </x:row>
    <x:row r="12" ht="66" customHeight="1">
      <x:c r="A12" s="165" t="str">
        <x:v>icare_0160</x:v>
      </x:c>
      <x:c r="B12" s="159" t="str">
        <x:v>Establish mechanisms for intersectoral coordination and public participation in climate policy</x:v>
      </x:c>
      <x:c r="C12" s="159" t="str">
        <x:v>Biodiversity</x:v>
      </x:c>
      <x:c r="D12" s="159" t="str">
        <x:v>Vulnerability</x:v>
      </x:c>
      <x:c r="E12" s="153" t="str"/>
      <x:c r="F12" s="153" t="str"/>
      <x:c r="G12" s="159" t="str">
        <x:v>Eligible</x:v>
      </x:c>
      <x:c r="H12" s="159" t="str">
        <x:v>None demonstrated</x:v>
      </x:c>
      <x:c r="I12" s="159" t="str">
        <x:v>None (0/1)</x:v>
      </x:c>
      <x:c r="J12" s="159" t="str">
        <x:v>None</x:v>
      </x:c>
      <x:c r="K12" s="159" t="str">
        <x:v>No</x:v>
      </x:c>
      <x:c r="L12" s="159" t="str">
        <x:v>&lt;5 years</x:v>
      </x:c>
      <x:c r="M12" s="168" t="n">
        <x:v>0</x:v>
      </x:c>
      <x:c r="N12" s="168" t="n">
        <x:v>7</x:v>
      </x:c>
      <x:c r="O12" s="159" t="str"/>
      <x:c r="P12" s="159" t="str">
        <x:v>Steering committee and management plan</x:v>
      </x:c>
      <x:c r="Q12" s="159" t="str">
        <x:v>Conservative eligibility screen: the action's stated mechanism has a plausible direct pathway to Steering committee and management plan. Evidence determines whether the effect is demonstrated and in which direction.</x:v>
      </x:c>
      <x:c r="R12" s="160" t="str">
        <x:v>Establish more mechanisms that enable better intersectoral coordination and public participation in climate policy, including the creation of working groups with neighboring municipalities to discuss a common climate agenda.</x:v>
      </x:c>
    </x:row>
    <x:row r="13" ht="66" customHeight="1">
      <x:c r="A13" s="165" t="str">
        <x:v>icare_0180</x:v>
      </x:c>
      <x:c r="B13" s="159" t="str">
        <x:v>Expand urban green-blue networks and corridors</x:v>
      </x:c>
      <x:c r="C13" s="159" t="str">
        <x:v>Biodiversity</x:v>
      </x:c>
      <x:c r="D13" s="159" t="str">
        <x:v>Exposure</x:v>
      </x:c>
      <x:c r="E13" s="153" t="str"/>
      <x:c r="F13" s="153" t="str"/>
      <x:c r="G13" s="159" t="str">
        <x:v>Eligible</x:v>
      </x:c>
      <x:c r="H13" s="159" t="str">
        <x:v>Medium</x:v>
      </x:c>
      <x:c r="I13" s="159" t="str">
        <x:v>Complete (2/2)</x:v>
      </x:c>
      <x:c r="J13" s="159" t="str">
        <x:v>Broad</x:v>
      </x:c>
      <x:c r="K13" s="159" t="str">
        <x:v>No</x:v>
      </x:c>
      <x:c r="L13" s="159" t="str">
        <x:v>&lt;5 years</x:v>
      </x:c>
      <x:c r="M13" s="168" t="n">
        <x:v>2</x:v>
      </x:c>
      <x:c r="N13" s="168" t="n">
        <x:v>7</x:v>
      </x:c>
      <x:c r="O13" s="159" t="str"/>
      <x:c r="P13" s="159" t="str">
        <x:v>Natural coverage | Area for conservation</x:v>
      </x:c>
      <x:c r="Q13" s="159" t="str">
        <x:v>Conservative eligibility screen: the action's stated mechanism has a plausible direct pathway to Natural coverage, Area for conservation. Evidence determines whether the effect is demonstrated and in which direction.</x:v>
      </x:c>
      <x:c r="R13" s="160" t="str">
        <x:v>Expand and connect urban green spaces and blue-green infrastructure (BGI) in the public realm. Actions include street tree planting, establishing green corridors/greenways, pocket and large parks, and green-blue features (bioswales, rain gardens, permeable surfaces) to manage stormwater, reduce urban heat, enhance biodiversity, and support carbon sequestration. Embedding these measures in urban planning strengthens ecosystem services, resilience, and livability.</x:v>
      </x:c>
    </x:row>
    <x:row r="14" ht="66" customHeight="1">
      <x:c r="A14" s="165" t="str">
        <x:v>icare_0180</x:v>
      </x:c>
      <x:c r="B14" s="159" t="str">
        <x:v>Expand urban green-blue networks and corridors</x:v>
      </x:c>
      <x:c r="C14" s="159" t="str">
        <x:v>Biodiversity</x:v>
      </x:c>
      <x:c r="D14" s="159" t="str">
        <x:v>Vulnerability</x:v>
      </x:c>
      <x:c r="E14" s="153" t="str"/>
      <x:c r="F14" s="153" t="str"/>
      <x:c r="G14" s="159" t="str">
        <x:v>Eligible</x:v>
      </x:c>
      <x:c r="H14" s="159" t="str">
        <x:v>Medium</x:v>
      </x:c>
      <x:c r="I14" s="159" t="str">
        <x:v>Partial (2/3)</x:v>
      </x:c>
      <x:c r="J14" s="159" t="str">
        <x:v>Broad</x:v>
      </x:c>
      <x:c r="K14" s="159" t="str">
        <x:v>No</x:v>
      </x:c>
      <x:c r="L14" s="159" t="str">
        <x:v>&lt;5 years</x:v>
      </x:c>
      <x:c r="M14" s="168" t="n">
        <x:v>2</x:v>
      </x:c>
      <x:c r="N14" s="168" t="n">
        <x:v>7</x:v>
      </x:c>
      <x:c r="O14" s="159" t="str"/>
      <x:c r="P14" s="159" t="str">
        <x:v>Environmental liabilities | Vegetation loss | Steering committee and management plan</x:v>
      </x:c>
      <x:c r="Q14" s="159" t="str">
        <x:v>Conservative eligibility screen: the action's stated mechanism has a plausible direct pathway to Environmental liabilities, Vegetation loss, Steering committee and management plan. Evidence determines whether the effect is demonstrated and in which direction.</x:v>
      </x:c>
      <x:c r="R14" s="160" t="str">
        <x:v>Expand and connect urban green spaces and blue-green infrastructure (BGI) in the public realm. Actions include street tree planting, establishing green corridors/greenways, pocket and large parks, and green-blue features (bioswales, rain gardens, permeable surfaces) to manage stormwater, reduce urban heat, enhance biodiversity, and support carbon sequestration. Embedding these measures in urban planning strengthens ecosystem services, resilience, and livability.</x:v>
      </x:c>
    </x:row>
    <x:row r="15" ht="66" customHeight="1">
      <x:c r="A15" s="165" t="str">
        <x:v>ipcc_0086</x:v>
      </x:c>
      <x:c r="B15" s="159" t="str">
        <x:v>Implement ecosystem‑based adaptation measures</x:v>
      </x:c>
      <x:c r="C15" s="159" t="str">
        <x:v>Biodiversity</x:v>
      </x:c>
      <x:c r="D15" s="159" t="str">
        <x:v>Exposure</x:v>
      </x:c>
      <x:c r="E15" s="153" t="str"/>
      <x:c r="F15" s="153" t="str"/>
      <x:c r="G15" s="159" t="str">
        <x:v>Eligible</x:v>
      </x:c>
      <x:c r="H15" s="159" t="str">
        <x:v>Medium</x:v>
      </x:c>
      <x:c r="I15" s="159" t="str">
        <x:v>Complete (3/3)</x:v>
      </x:c>
      <x:c r="J15" s="159" t="str">
        <x:v>Broad</x:v>
      </x:c>
      <x:c r="K15" s="159" t="str">
        <x:v>No</x:v>
      </x:c>
      <x:c r="L15" s="159" t="str">
        <x:v>5-10 years</x:v>
      </x:c>
      <x:c r="M15" s="168" t="n">
        <x:v>2</x:v>
      </x:c>
      <x:c r="N15" s="168" t="n">
        <x:v>7</x:v>
      </x:c>
      <x:c r="O15" s="159" t="str"/>
      <x:c r="P15" s="159" t="str">
        <x:v>Natural coverage | Protected area | Area for conservation</x:v>
      </x:c>
      <x:c r="Q15" s="159" t="str">
        <x:v>Conservative eligibility screen: the action's stated mechanism has a plausible direct pathway to Natural coverage, Protected area, Area for conservation. Evidence determines whether the effect is demonstrated and in which direction.</x:v>
      </x:c>
      <x:c r="R15" s="160" t="str">
        <x:v>Restoring and sustainably managing marine, coastal, urban, riverine, and wetland ecosystems to protect against climate hazards such as storm surges, floods, and heatwaves. Efforts include agroecology, coastal and marine vegetation and reefs, vegetation corridors, mangrove habitat restoration, urban green space to reduce temperatures. These actions improve biodiversity, store carbon, enhance water quality, and provide socio-economic and cultural co-benefits.</x:v>
      </x:c>
    </x:row>
    <x:row r="16" ht="66" customHeight="1">
      <x:c r="A16" s="165" t="str">
        <x:v>ipcc_0086</x:v>
      </x:c>
      <x:c r="B16" s="159" t="str">
        <x:v>Implement ecosystem‑based adaptation measures</x:v>
      </x:c>
      <x:c r="C16" s="159" t="str">
        <x:v>Biodiversity</x:v>
      </x:c>
      <x:c r="D16" s="159" t="str">
        <x:v>Vulnerability</x:v>
      </x:c>
      <x:c r="E16" s="153" t="str"/>
      <x:c r="F16" s="153" t="str"/>
      <x:c r="G16" s="159" t="str">
        <x:v>Eligible</x:v>
      </x:c>
      <x:c r="H16" s="159" t="str">
        <x:v>Medium</x:v>
      </x:c>
      <x:c r="I16" s="159" t="str">
        <x:v>Partial (3/6)</x:v>
      </x:c>
      <x:c r="J16" s="159" t="str">
        <x:v>Broad</x:v>
      </x:c>
      <x:c r="K16" s="159" t="str">
        <x:v>No</x:v>
      </x:c>
      <x:c r="L16" s="159" t="str">
        <x:v>5-10 years</x:v>
      </x:c>
      <x:c r="M16" s="168" t="n">
        <x:v>2</x:v>
      </x:c>
      <x:c r="N16" s="168" t="n">
        <x:v>7</x:v>
      </x:c>
      <x:c r="O16" s="159" t="str"/>
      <x:c r="P16" s="159" t="str">
        <x:v>No sustainable agricultural practice | Environmental liabilities | Vegetation loss | Degraded pasture | Technical guidance | Steering committee and management plan</x:v>
      </x:c>
      <x:c r="Q16" s="159" t="str">
        <x:v>Conservative eligibility screen: the action's stated mechanism has a plausible direct pathway to No sustainable agricultural practice, Environmental liabilities, Vegetation loss, Degraded pasture, Technical guidance, Steering committee and management plan. Evidence determines whether the effect is demonstrated and in which direction.</x:v>
      </x:c>
      <x:c r="R16" s="160" t="str">
        <x:v>Restoring and sustainably managing marine, coastal, urban, riverine, and wetland ecosystems to protect against climate hazards such as storm surges, floods, and heatwaves. Efforts include agroecology, coastal and marine vegetation and reefs, vegetation corridors, mangrove habitat restoration, urban green space to reduce temperatures. These actions improve biodiversity, store carbon, enhance water quality, and provide socio-economic and cultural co-benefits.</x:v>
      </x:c>
    </x:row>
    <x:row r="17" ht="66" customHeight="1">
      <x:c r="A17" s="165" t="str">
        <x:v>ipcc_0078</x:v>
      </x:c>
      <x:c r="B17" s="159" t="str">
        <x:v>Implement green roofs and walls</x:v>
      </x:c>
      <x:c r="C17" s="159" t="str">
        <x:v>Biodiversity</x:v>
      </x:c>
      <x:c r="D17" s="159" t="str">
        <x:v>Exposure</x:v>
      </x:c>
      <x:c r="E17" s="153" t="str"/>
      <x:c r="F17" s="153" t="str"/>
      <x:c r="G17" s="159" t="str">
        <x:v>Eligible</x:v>
      </x:c>
      <x:c r="H17" s="159" t="str">
        <x:v>Low</x:v>
      </x:c>
      <x:c r="I17" s="159" t="str">
        <x:v>Complete (1/1)</x:v>
      </x:c>
      <x:c r="J17" s="159" t="str">
        <x:v>Moderate</x:v>
      </x:c>
      <x:c r="K17" s="159" t="str">
        <x:v>No</x:v>
      </x:c>
      <x:c r="L17" s="159" t="str">
        <x:v>5-10 years</x:v>
      </x:c>
      <x:c r="M17" s="168" t="n">
        <x:v>1</x:v>
      </x:c>
      <x:c r="N17" s="168" t="n">
        <x:v>7</x:v>
      </x:c>
      <x:c r="O17" s="159" t="str"/>
      <x:c r="P17" s="159" t="str">
        <x:v>Natural coverage</x:v>
      </x:c>
      <x:c r="Q17" s="159" t="str">
        <x:v>Conservative eligibility screen: the action's stated mechanism has a plausible direct pathway to Natural coverage. Evidence determines whether the effect is demonstrated and in which direction.</x:v>
      </x:c>
      <x:c r="R17" s="160" t="str">
        <x:v>The implementation of green roofs and green walls mitigates urban heat island effects, improves thermal comfort, reduces energy demand in buildings, manages stormwater, and enhances urban livability and biodiversity.</x:v>
      </x:c>
    </x:row>
    <x:row r="18" ht="66" customHeight="1">
      <x:c r="A18" s="165" t="str">
        <x:v>ipcc_0078</x:v>
      </x:c>
      <x:c r="B18" s="159" t="str">
        <x:v>Implement green roofs and walls</x:v>
      </x:c>
      <x:c r="C18" s="159" t="str">
        <x:v>Biodiversity</x:v>
      </x:c>
      <x:c r="D18" s="159" t="str">
        <x:v>Vulnerability</x:v>
      </x:c>
      <x:c r="E18" s="153" t="str"/>
      <x:c r="F18" s="153" t="str"/>
      <x:c r="G18" s="159" t="str">
        <x:v>Eligible</x:v>
      </x:c>
      <x:c r="H18" s="159" t="str">
        <x:v>Low</x:v>
      </x:c>
      <x:c r="I18" s="159" t="str">
        <x:v>Complete (1/1)</x:v>
      </x:c>
      <x:c r="J18" s="159" t="str">
        <x:v>Moderate</x:v>
      </x:c>
      <x:c r="K18" s="159" t="str">
        <x:v>No</x:v>
      </x:c>
      <x:c r="L18" s="159" t="str">
        <x:v>5-10 years</x:v>
      </x:c>
      <x:c r="M18" s="168" t="n">
        <x:v>1</x:v>
      </x:c>
      <x:c r="N18" s="168" t="n">
        <x:v>7</x:v>
      </x:c>
      <x:c r="O18" s="159" t="str"/>
      <x:c r="P18" s="159" t="str">
        <x:v>Vegetation loss</x:v>
      </x:c>
      <x:c r="Q18" s="159" t="str">
        <x:v>Conservative eligibility screen: the action's stated mechanism has a plausible direct pathway to Vegetation loss. Evidence determines whether the effect is demonstrated and in which direction.</x:v>
      </x:c>
      <x:c r="R18" s="160" t="str">
        <x:v>The implementation of green roofs and green walls mitigates urban heat island effects, improves thermal comfort, reduces energy demand in buildings, manages stormwater, and enhances urban livability and biodiversity.</x:v>
      </x:c>
    </x:row>
    <x:row r="19" ht="66" customHeight="1">
      <x:c r="A19" s="165" t="str">
        <x:v>icare_0186</x:v>
      </x:c>
      <x:c r="B19" s="159" t="str">
        <x:v>Implement integrated coastal zone management</x:v>
      </x:c>
      <x:c r="C19" s="159" t="str">
        <x:v>Biodiversity</x:v>
      </x:c>
      <x:c r="D19" s="159" t="str">
        <x:v>Exposure</x:v>
      </x:c>
      <x:c r="E19" s="153" t="str"/>
      <x:c r="F19" s="153" t="str"/>
      <x:c r="G19" s="159" t="str">
        <x:v>Eligible</x:v>
      </x:c>
      <x:c r="H19" s="159" t="str">
        <x:v>Medium</x:v>
      </x:c>
      <x:c r="I19" s="159" t="str">
        <x:v>Complete (3/3)</x:v>
      </x:c>
      <x:c r="J19" s="159" t="str">
        <x:v>Moderate</x:v>
      </x:c>
      <x:c r="K19" s="159" t="str">
        <x:v>No</x:v>
      </x:c>
      <x:c r="L19" s="159" t="str">
        <x:v>5-10 years</x:v>
      </x:c>
      <x:c r="M19" s="168" t="n">
        <x:v>1</x:v>
      </x:c>
      <x:c r="N19" s="168" t="n">
        <x:v>7</x:v>
      </x:c>
      <x:c r="O19" s="159" t="str"/>
      <x:c r="P19" s="159" t="str">
        <x:v>Natural coverage | Protected area | Area for conservation</x:v>
      </x:c>
      <x:c r="Q19" s="159" t="str">
        <x:v>Conservative eligibility screen: the action's stated mechanism has a plausible direct pathway to Natural coverage, Protected area, Area for conservation. Evidence determines whether the effect is demonstrated and in which direction.</x:v>
      </x:c>
      <x:c r="R19" s="160" t="str">
        <x:v>This action describes the implementation of an integrated coastal zone management plan to promote sustainable development and address the impacts of climate change in coastal areas. It includes measures to mitigate the impacts of sea-level rise and coastal erosion.</x:v>
      </x:c>
    </x:row>
    <x:row r="20" ht="66" customHeight="1">
      <x:c r="A20" s="165" t="str">
        <x:v>icare_0186</x:v>
      </x:c>
      <x:c r="B20" s="159" t="str">
        <x:v>Implement integrated coastal zone management</x:v>
      </x:c>
      <x:c r="C20" s="159" t="str">
        <x:v>Biodiversity</x:v>
      </x:c>
      <x:c r="D20" s="159" t="str">
        <x:v>Vulnerability</x:v>
      </x:c>
      <x:c r="E20" s="153" t="str"/>
      <x:c r="F20" s="153" t="str"/>
      <x:c r="G20" s="159" t="str">
        <x:v>Eligible</x:v>
      </x:c>
      <x:c r="H20" s="159" t="str">
        <x:v>Medium</x:v>
      </x:c>
      <x:c r="I20" s="159" t="str">
        <x:v>Complete (3/3)</x:v>
      </x:c>
      <x:c r="J20" s="159" t="str">
        <x:v>Moderate</x:v>
      </x:c>
      <x:c r="K20" s="159" t="str">
        <x:v>No</x:v>
      </x:c>
      <x:c r="L20" s="159" t="str">
        <x:v>5-10 years</x:v>
      </x:c>
      <x:c r="M20" s="168" t="n">
        <x:v>1</x:v>
      </x:c>
      <x:c r="N20" s="168" t="n">
        <x:v>7</x:v>
      </x:c>
      <x:c r="O20" s="159" t="str"/>
      <x:c r="P20" s="159" t="str">
        <x:v>Environmental liabilities | Vegetation loss | Steering committee and management plan</x:v>
      </x:c>
      <x:c r="Q20" s="159" t="str">
        <x:v>Conservative eligibility screen: the action's stated mechanism has a plausible direct pathway to Environmental liabilities, Vegetation loss, Steering committee and management plan. Evidence determines whether the effect is demonstrated and in which direction.</x:v>
      </x:c>
      <x:c r="R20" s="160" t="str">
        <x:v>This action describes the implementation of an integrated coastal zone management plan to promote sustainable development and address the impacts of climate change in coastal areas. It includes measures to mitigate the impacts of sea-level rise and coastal erosion.</x:v>
      </x:c>
    </x:row>
    <x:row r="21" ht="66" customHeight="1">
      <x:c r="A21" s="165" t="str">
        <x:v>ipcc_0100</x:v>
      </x:c>
      <x:c r="B21" s="159" t="str">
        <x:v>Improve Efficient water use/demand</x:v>
      </x:c>
      <x:c r="C21" s="159" t="str">
        <x:v>Biodiversity</x:v>
      </x:c>
      <x:c r="D21" s="159" t="str">
        <x:v>Vulnerability</x:v>
      </x:c>
      <x:c r="E21" s="153" t="str"/>
      <x:c r="F21" s="153" t="str"/>
      <x:c r="G21" s="159" t="str">
        <x:v>Eligible</x:v>
      </x:c>
      <x:c r="H21" s="159" t="str">
        <x:v>None demonstrated</x:v>
      </x:c>
      <x:c r="I21" s="159" t="str">
        <x:v>None (0/3)</x:v>
      </x:c>
      <x:c r="J21" s="159" t="str">
        <x:v>None</x:v>
      </x:c>
      <x:c r="K21" s="159" t="str">
        <x:v>No</x:v>
      </x:c>
      <x:c r="L21" s="159" t="str">
        <x:v>5-10 years</x:v>
      </x:c>
      <x:c r="M21" s="168" t="n">
        <x:v>0</x:v>
      </x:c>
      <x:c r="N21" s="168" t="n">
        <x:v>7</x:v>
      </x:c>
      <x:c r="O21" s="159" t="str"/>
      <x:c r="P21" s="159" t="str">
        <x:v>No sustainable agricultural practice | Agricultural establishment | Technical guidance</x:v>
      </x:c>
      <x:c r="Q21" s="159" t="str">
        <x:v>Conservative eligibility screen: the action's stated mechanism has a plausible direct pathway to No sustainable agricultural practice, Agricultural establishment, Technical guidance. Evidence determines whether the effect is demonstrated and in which direction.</x:v>
      </x:c>
      <x:c r="R21" s="160" t="str">
        <x:v>Implementing advanced irrigation techniques such as precision and drip irrigation to enhance water use efficiency in agriculture. Managed Aquifer Recharge (MAR) is applied to replenish groundwater supplies using stormwater, treated wastewater, or other sources. These actions are complemented by cooperative policies across multiple sectors to ensure sustainable water resource management, equitable access, and regional collaboration. Additionally, promoting changes in water consumption patterns, such as reducing waste and improving efficiency in urban and agricultural water use, supports resilience against water scarcity and enhances adaptive capacity in vulnerable regions. These efforts collectively aim to address the growing demand for freshwater in the face of climate change and ensure long-term sustainability.</x:v>
      </x:c>
    </x:row>
    <x:row r="22" ht="66" customHeight="1">
      <x:c r="A22" s="165" t="str">
        <x:v>icare_0156</x:v>
      </x:c>
      <x:c r="B22" s="159" t="str">
        <x:v>Improve Implementation of urban gardens</x:v>
      </x:c>
      <x:c r="C22" s="159" t="str">
        <x:v>Biodiversity</x:v>
      </x:c>
      <x:c r="D22" s="159" t="str">
        <x:v>Vulnerability</x:v>
      </x:c>
      <x:c r="E22" s="153" t="str"/>
      <x:c r="F22" s="153" t="str"/>
      <x:c r="G22" s="159" t="str">
        <x:v>Eligible</x:v>
      </x:c>
      <x:c r="H22" s="159" t="str">
        <x:v>Low</x:v>
      </x:c>
      <x:c r="I22" s="159" t="str">
        <x:v>Complete (4/4)</x:v>
      </x:c>
      <x:c r="J22" s="159" t="str">
        <x:v>Moderate</x:v>
      </x:c>
      <x:c r="K22" s="159" t="str">
        <x:v>No</x:v>
      </x:c>
      <x:c r="L22" s="159" t="str">
        <x:v>&lt;5 years</x:v>
      </x:c>
      <x:c r="M22" s="168" t="n">
        <x:v>1</x:v>
      </x:c>
      <x:c r="N22" s="168" t="n">
        <x:v>7</x:v>
      </x:c>
      <x:c r="O22" s="159" t="str"/>
      <x:c r="P22" s="159" t="str">
        <x:v>No family farming | No sustainable agricultural practice | Agricultural establishment | Technical guidance</x:v>
      </x:c>
      <x:c r="Q22" s="159" t="str">
        <x:v>Conservative eligibility screen: the action's stated mechanism has a plausible direct pathway to No family farming, No sustainable agricultural practice, Agricultural establishment, Technical guidance. Evidence determines whether the effect is demonstrated and in which direction.</x:v>
      </x:c>
      <x:c r="R22" s="160" t="str">
        <x:v>Identify and assess the feasibility of suitable areas for the installation of urban gardens and ensure that the sites chosen meet the expectations of the community.</x:v>
      </x:c>
    </x:row>
    <x:row r="23" ht="66" customHeight="1">
      <x:c r="A23" s="165" t="str">
        <x:v>c40_0056</x:v>
      </x:c>
      <x:c r="B23" s="159" t="str">
        <x:v>Improve Watershed Protection and Management</x:v>
      </x:c>
      <x:c r="C23" s="159" t="str">
        <x:v>Biodiversity</x:v>
      </x:c>
      <x:c r="D23" s="159" t="str">
        <x:v>Exposure</x:v>
      </x:c>
      <x:c r="E23" s="153" t="str"/>
      <x:c r="F23" s="153" t="str"/>
      <x:c r="G23" s="159" t="str">
        <x:v>Eligible</x:v>
      </x:c>
      <x:c r="H23" s="159" t="str">
        <x:v>Medium</x:v>
      </x:c>
      <x:c r="I23" s="159" t="str">
        <x:v>Complete (2/2)</x:v>
      </x:c>
      <x:c r="J23" s="159" t="str">
        <x:v>Broad</x:v>
      </x:c>
      <x:c r="K23" s="159" t="str">
        <x:v>No</x:v>
      </x:c>
      <x:c r="L23" s="159" t="str">
        <x:v>&lt;5 years</x:v>
      </x:c>
      <x:c r="M23" s="168" t="n">
        <x:v>2</x:v>
      </x:c>
      <x:c r="N23" s="168" t="n">
        <x:v>7</x:v>
      </x:c>
      <x:c r="O23" s="159" t="str"/>
      <x:c r="P23" s="159" t="str">
        <x:v>Natural coverage | Area for conservation</x:v>
      </x:c>
      <x:c r="Q23" s="159" t="str">
        <x:v>Conservative eligibility screen: the action's stated mechanism has a plausible direct pathway to Natural coverage, Area for conservation. Evidence determines whether the effect is demonstrated and in which direction.</x:v>
      </x:c>
      <x:c r="R23" s="160" t="str">
        <x:v>"Watershed Protection and Management" involves the protection and conservation of natural watershed areas to safeguard water quality, biodiversity, and ecosystem services, including measures such as preventing pollution and encrouchment. This initiative aims to ensure sustainable water management and resilience to the impacts of climate change.</x:v>
      </x:c>
    </x:row>
    <x:row r="24" ht="66" customHeight="1">
      <x:c r="A24" s="165" t="str">
        <x:v>c40_0056</x:v>
      </x:c>
      <x:c r="B24" s="159" t="str">
        <x:v>Improve Watershed Protection and Management</x:v>
      </x:c>
      <x:c r="C24" s="159" t="str">
        <x:v>Biodiversity</x:v>
      </x:c>
      <x:c r="D24" s="159" t="str">
        <x:v>Vulnerability</x:v>
      </x:c>
      <x:c r="E24" s="153" t="str"/>
      <x:c r="F24" s="153" t="str"/>
      <x:c r="G24" s="159" t="str">
        <x:v>Eligible</x:v>
      </x:c>
      <x:c r="H24" s="159" t="str">
        <x:v>Medium</x:v>
      </x:c>
      <x:c r="I24" s="159" t="str">
        <x:v>Partial (2/3)</x:v>
      </x:c>
      <x:c r="J24" s="159" t="str">
        <x:v>Broad</x:v>
      </x:c>
      <x:c r="K24" s="159" t="str">
        <x:v>No</x:v>
      </x:c>
      <x:c r="L24" s="159" t="str">
        <x:v>&lt;5 years</x:v>
      </x:c>
      <x:c r="M24" s="168" t="n">
        <x:v>2</x:v>
      </x:c>
      <x:c r="N24" s="168" t="n">
        <x:v>7</x:v>
      </x:c>
      <x:c r="O24" s="159" t="str"/>
      <x:c r="P24" s="159" t="str">
        <x:v>Environmental liabilities | Vegetation loss | Steering committee and management plan</x:v>
      </x:c>
      <x:c r="Q24" s="159" t="str">
        <x:v>Conservative eligibility screen: the action's stated mechanism has a plausible direct pathway to Environmental liabilities, Vegetation loss, Steering committee and management plan. Evidence determines whether the effect is demonstrated and in which direction.</x:v>
      </x:c>
      <x:c r="R24" s="160" t="str">
        <x:v>"Watershed Protection and Management" involves the protection and conservation of natural watershed areas to safeguard water quality, biodiversity, and ecosystem services, including measures such as preventing pollution and encrouchment. This initiative aims to ensure sustainable water management and resilience to the impacts of climate change.</x:v>
      </x:c>
    </x:row>
    <x:row r="25" ht="66" customHeight="1">
      <x:c r="A25" s="165" t="str">
        <x:v>ipcc_0098</x:v>
      </x:c>
      <x:c r="B25" s="159" t="str">
        <x:v>Increase resilience by improving access to food, improving livelihoods and promoting dietary shifts and food waste reduction</x:v>
      </x:c>
      <x:c r="C25" s="159" t="str">
        <x:v>Biodiversity</x:v>
      </x:c>
      <x:c r="D25" s="159" t="str">
        <x:v>Vulnerability</x:v>
      </x:c>
      <x:c r="E25" s="153" t="str"/>
      <x:c r="F25" s="153" t="str"/>
      <x:c r="G25" s="159" t="str">
        <x:v>Eligible</x:v>
      </x:c>
      <x:c r="H25" s="159" t="str">
        <x:v>None demonstrated</x:v>
      </x:c>
      <x:c r="I25" s="159" t="str">
        <x:v>None (0/6)</x:v>
      </x:c>
      <x:c r="J25" s="159" t="str">
        <x:v>None</x:v>
      </x:c>
      <x:c r="K25" s="159" t="str">
        <x:v>No</x:v>
      </x:c>
      <x:c r="L25" s="159" t="str">
        <x:v>5-10 years</x:v>
      </x:c>
      <x:c r="M25" s="168" t="n">
        <x:v>0</x:v>
      </x:c>
      <x:c r="N25" s="168" t="n">
        <x:v>7</x:v>
      </x:c>
      <x:c r="O25" s="159" t="str"/>
      <x:c r="P25" s="159" t="str">
        <x:v>Pesticides | No family farming | No sustainable agricultural practice | Degraded pasture | Agricultural establishment | Technical guidance</x:v>
      </x:c>
      <x:c r="Q25" s="159" t="str">
        <x:v>Conservative eligibility screen: the action's stated mechanism has a plausible direct pathway to Pesticides, No family farming, No sustainable agricultural practice, Degraded pasture, Agricultural establishment, Technical guidance. Evidence determines whether the effect is demonstrated and in which direction.</x:v>
      </x:c>
      <x:c r="R25" s="160" t="str">
        <x:v>Increase resilience through improved food production, distribution, and consumption practices. Actions include enhancing agricultural techniques, adopting water-saving technologies, implementing low-cost storage solutions, and promoting plant-based diets. Policymakers can encourage these behaviors with appropriate pricing policies, sustainable agriculture initiatives, and support for disadvantaged groups. The action emphasizes shifting to healthier diets, reducing overconsumption, and supporting local food systems to mitigate greenhouse gas emissions and ensure food security under climate change.</x:v>
      </x:c>
    </x:row>
    <x:row r="26" ht="66" customHeight="1">
      <x:c r="A26" s="165" t="str">
        <x:v>ipcc_0099</x:v>
      </x:c>
      <x:c r="B26" s="159" t="str">
        <x:v>Increase Water Capture and Storage</x:v>
      </x:c>
      <x:c r="C26" s="159" t="str">
        <x:v>Biodiversity</x:v>
      </x:c>
      <x:c r="D26" s="159" t="str">
        <x:v>Vulnerability</x:v>
      </x:c>
      <x:c r="E26" s="153" t="str"/>
      <x:c r="F26" s="153" t="str"/>
      <x:c r="G26" s="159" t="str">
        <x:v>Eligible</x:v>
      </x:c>
      <x:c r="H26" s="159" t="str">
        <x:v>None demonstrated</x:v>
      </x:c>
      <x:c r="I26" s="159" t="str">
        <x:v>None (0/1)</x:v>
      </x:c>
      <x:c r="J26" s="159" t="str">
        <x:v>None</x:v>
      </x:c>
      <x:c r="K26" s="159" t="str">
        <x:v>No</x:v>
      </x:c>
      <x:c r="L26" s="159" t="str">
        <x:v>5-10 years</x:v>
      </x:c>
      <x:c r="M26" s="168" t="n">
        <x:v>0</x:v>
      </x:c>
      <x:c r="N26" s="168" t="n">
        <x:v>7</x:v>
      </x:c>
      <x:c r="O26" s="159" t="str"/>
      <x:c r="P26" s="159" t="str">
        <x:v>Hydroelectric</x:v>
      </x:c>
      <x:c r="Q26" s="159" t="str">
        <x:v>Conservative eligibility screen: the action's stated mechanism has a plausible direct pathway to Hydroelectric. Evidence determines whether the effect is demonstrated and in which direction.</x:v>
      </x:c>
      <x:c r="R26" s="160" t="str">
        <x:v>Implementation of water harvesting and storage solutions, such as on-farm ponds, water body revitalization, rain gardens, bioswales, retention ponds, pumped storage, and water storage tanks. These measures aim to mitigate climate-induced impacts by improving water management, reducing stormwater runoff, improving water quality, and supporting agriculture and energy production in changing climate scenarios. Water reservoirs and multipurpose dams offer additional benefits by addressing water scarcity and managing risks associated with natural disasters. These adaptation strategies contribute to sustainable water use and resilience to climate-related challenges.</x:v>
      </x:c>
    </x:row>
    <x:row r="27" ht="66" customHeight="1">
      <x:c r="A27" s="165" t="str">
        <x:v>ipcc_0085</x:v>
      </x:c>
      <x:c r="B27" s="159" t="str">
        <x:v>Reduce pressures on ecosystems to build resilience</x:v>
      </x:c>
      <x:c r="C27" s="159" t="str">
        <x:v>Biodiversity</x:v>
      </x:c>
      <x:c r="D27" s="159" t="str">
        <x:v>Exposure</x:v>
      </x:c>
      <x:c r="E27" s="153" t="str"/>
      <x:c r="F27" s="153" t="str"/>
      <x:c r="G27" s="159" t="str">
        <x:v>Eligible</x:v>
      </x:c>
      <x:c r="H27" s="159" t="str">
        <x:v>Low</x:v>
      </x:c>
      <x:c r="I27" s="159" t="str">
        <x:v>Complete (3/3)</x:v>
      </x:c>
      <x:c r="J27" s="159" t="str">
        <x:v>Broad</x:v>
      </x:c>
      <x:c r="K27" s="159" t="str">
        <x:v>No</x:v>
      </x:c>
      <x:c r="L27" s="159" t="str">
        <x:v>5-10 years</x:v>
      </x:c>
      <x:c r="M27" s="168" t="n">
        <x:v>2</x:v>
      </x:c>
      <x:c r="N27" s="168" t="n">
        <x:v>7</x:v>
      </x:c>
      <x:c r="O27" s="159" t="str"/>
      <x:c r="P27" s="159" t="str">
        <x:v>Natural coverage | Protected area | Area for conservation</x:v>
      </x:c>
      <x:c r="Q27" s="159" t="str">
        <x:v>Conservative eligibility screen: the action's stated mechanism has a plausible direct pathway to Natural coverage, Protected area, Area for conservation. Evidence determines whether the effect is demonstrated and in which direction.</x:v>
      </x:c>
      <x:c r="R27" s="160" t="str">
        <x:v>Reduce pollution, eutrophication, and anthropogenic pressures on natural systems, including marine and terrestrial ecosystems. Efforts include managing runoff, protecting sensitive habitats like the Great Barrier Reef, addressing non-climate drivers, promoting sustainable fisheries harvest, and increasing connectivity between natural areas to enhance ecosystem resilience.</x:v>
      </x:c>
    </x:row>
    <x:row r="28" ht="66" customHeight="1">
      <x:c r="A28" s="165" t="str">
        <x:v>ipcc_0085</x:v>
      </x:c>
      <x:c r="B28" s="159" t="str">
        <x:v>Reduce pressures on ecosystems to build resilience</x:v>
      </x:c>
      <x:c r="C28" s="159" t="str">
        <x:v>Biodiversity</x:v>
      </x:c>
      <x:c r="D28" s="159" t="str">
        <x:v>Vulnerability</x:v>
      </x:c>
      <x:c r="E28" s="153" t="str"/>
      <x:c r="F28" s="153" t="str"/>
      <x:c r="G28" s="159" t="str">
        <x:v>Eligible</x:v>
      </x:c>
      <x:c r="H28" s="159" t="str">
        <x:v>Low</x:v>
      </x:c>
      <x:c r="I28" s="159" t="str">
        <x:v>Complete (3/3)</x:v>
      </x:c>
      <x:c r="J28" s="159" t="str">
        <x:v>Broad</x:v>
      </x:c>
      <x:c r="K28" s="159" t="str">
        <x:v>No</x:v>
      </x:c>
      <x:c r="L28" s="159" t="str">
        <x:v>5-10 years</x:v>
      </x:c>
      <x:c r="M28" s="168" t="n">
        <x:v>2</x:v>
      </x:c>
      <x:c r="N28" s="168" t="n">
        <x:v>7</x:v>
      </x:c>
      <x:c r="O28" s="159" t="str"/>
      <x:c r="P28" s="159" t="str">
        <x:v>Environmental liabilities | Vegetation loss | Steering committee and management plan</x:v>
      </x:c>
      <x:c r="Q28" s="159" t="str">
        <x:v>Conservative eligibility screen: the action's stated mechanism has a plausible direct pathway to Environmental liabilities, Vegetation loss, Steering committee and management plan. Evidence determines whether the effect is demonstrated and in which direction.</x:v>
      </x:c>
      <x:c r="R28" s="160" t="str">
        <x:v>Reduce pollution, eutrophication, and anthropogenic pressures on natural systems, including marine and terrestrial ecosystems. Efforts include managing runoff, protecting sensitive habitats like the Great Barrier Reef, addressing non-climate drivers, promoting sustainable fisheries harvest, and increasing connectivity between natural areas to enhance ecosystem resilience.</x:v>
      </x:c>
    </x:row>
    <x:row r="29" ht="66" customHeight="1">
      <x:c r="A29" s="165" t="str">
        <x:v>ipcc_0084</x:v>
      </x:c>
      <x:c r="B29" s="159" t="str">
        <x:v>Restore/create natural areas</x:v>
      </x:c>
      <x:c r="C29" s="159" t="str">
        <x:v>Biodiversity</x:v>
      </x:c>
      <x:c r="D29" s="159" t="str">
        <x:v>Exposure</x:v>
      </x:c>
      <x:c r="E29" s="153" t="str"/>
      <x:c r="F29" s="153" t="str"/>
      <x:c r="G29" s="159" t="str">
        <x:v>Eligible</x:v>
      </x:c>
      <x:c r="H29" s="159" t="str">
        <x:v>High</x:v>
      </x:c>
      <x:c r="I29" s="159" t="str">
        <x:v>Complete (3/3)</x:v>
      </x:c>
      <x:c r="J29" s="159" t="str">
        <x:v>Broad</x:v>
      </x:c>
      <x:c r="K29" s="159" t="str">
        <x:v>No</x:v>
      </x:c>
      <x:c r="L29" s="159" t="str">
        <x:v>5-10 years</x:v>
      </x:c>
      <x:c r="M29" s="168" t="n">
        <x:v>3</x:v>
      </x:c>
      <x:c r="N29" s="168" t="n">
        <x:v>7</x:v>
      </x:c>
      <x:c r="O29" s="159" t="str"/>
      <x:c r="P29" s="159" t="str">
        <x:v>Natural coverage | Protected area | Area for conservation</x:v>
      </x:c>
      <x:c r="Q29" s="159" t="str">
        <x:v>Conservative eligibility screen: the action's stated mechanism has a plausible direct pathway to Natural coverage, Protected area, Area for conservation. Evidence determines whether the effect is demonstrated and in which direction.</x:v>
      </x:c>
      <x:c r="R29" s="160" t="str">
        <x:v>Restoration and conservation of marine and coastal habitats, such as mangroves, vegetated dunes, seagrasses, coral reefs, and kelp forests, to protect coastal communities, support biodiversity, sequester carbon, and mitigate climate change. Efforts include creating marine protected areas, active restoration of coral reefs, ridge-to-reef management, restoring dunes, planting salinity-tolerant trees, increasing forest cover, detect and manage forest pests.</x:v>
      </x:c>
    </x:row>
    <x:row r="30" ht="66" customHeight="1">
      <x:c r="A30" s="165" t="str">
        <x:v>ipcc_0084</x:v>
      </x:c>
      <x:c r="B30" s="159" t="str">
        <x:v>Restore/create natural areas</x:v>
      </x:c>
      <x:c r="C30" s="159" t="str">
        <x:v>Biodiversity</x:v>
      </x:c>
      <x:c r="D30" s="159" t="str">
        <x:v>Vulnerability</x:v>
      </x:c>
      <x:c r="E30" s="153" t="str"/>
      <x:c r="F30" s="153" t="str"/>
      <x:c r="G30" s="159" t="str">
        <x:v>Eligible</x:v>
      </x:c>
      <x:c r="H30" s="159" t="str">
        <x:v>High</x:v>
      </x:c>
      <x:c r="I30" s="159" t="str">
        <x:v>Complete (3/3)</x:v>
      </x:c>
      <x:c r="J30" s="159" t="str">
        <x:v>Broad</x:v>
      </x:c>
      <x:c r="K30" s="159" t="str">
        <x:v>No</x:v>
      </x:c>
      <x:c r="L30" s="159" t="str">
        <x:v>5-10 years</x:v>
      </x:c>
      <x:c r="M30" s="168" t="n">
        <x:v>3</x:v>
      </x:c>
      <x:c r="N30" s="168" t="n">
        <x:v>7</x:v>
      </x:c>
      <x:c r="O30" s="159" t="str"/>
      <x:c r="P30" s="159" t="str">
        <x:v>Environmental liabilities | Vegetation loss | Steering committee and management plan</x:v>
      </x:c>
      <x:c r="Q30" s="159" t="str">
        <x:v>Conservative eligibility screen: the action's stated mechanism has a plausible direct pathway to Environmental liabilities, Vegetation loss, Steering committee and management plan. Evidence determines whether the effect is demonstrated and in which direction.</x:v>
      </x:c>
      <x:c r="R30" s="160" t="str">
        <x:v>Restoration and conservation of marine and coastal habitats, such as mangroves, vegetated dunes, seagrasses, coral reefs, and kelp forests, to protect coastal communities, support biodiversity, sequester carbon, and mitigate climate change. Efforts include creating marine protected areas, active restoration of coral reefs, ridge-to-reef management, restoring dunes, planting salinity-tolerant trees, increasing forest cover, detect and manage forest pests.</x:v>
      </x:c>
    </x:row>
    <x:row r="31" ht="66" customHeight="1">
      <x:c r="A31" s="165" t="str">
        <x:v>ipcc_0089</x:v>
      </x:c>
      <x:c r="B31" s="159" t="str">
        <x:v>Spatially redirect development</x:v>
      </x:c>
      <x:c r="C31" s="159" t="str">
        <x:v>Biodiversity</x:v>
      </x:c>
      <x:c r="D31" s="159" t="str">
        <x:v>Exposure</x:v>
      </x:c>
      <x:c r="E31" s="153" t="str"/>
      <x:c r="F31" s="153" t="str"/>
      <x:c r="G31" s="159" t="str">
        <x:v>Eligible</x:v>
      </x:c>
      <x:c r="H31" s="159" t="str">
        <x:v>Medium</x:v>
      </x:c>
      <x:c r="I31" s="159" t="str">
        <x:v>Complete (3/3)</x:v>
      </x:c>
      <x:c r="J31" s="159" t="str">
        <x:v>Moderate</x:v>
      </x:c>
      <x:c r="K31" s="159" t="str">
        <x:v>No</x:v>
      </x:c>
      <x:c r="L31" s="159" t="str">
        <x:v>5-10 years</x:v>
      </x:c>
      <x:c r="M31" s="168" t="n">
        <x:v>1</x:v>
      </x:c>
      <x:c r="N31" s="168" t="n">
        <x:v>7</x:v>
      </x:c>
      <x:c r="O31" s="159" t="str"/>
      <x:c r="P31" s="159" t="str">
        <x:v>Natural coverage | Protected area | Area for conservation</x:v>
      </x:c>
      <x:c r="Q31" s="159" t="str">
        <x:v>Conservative eligibility screen: the action's stated mechanism has a plausible direct pathway to Natural coverage, Protected area, Area for conservation. Evidence determines whether the effect is demonstrated and in which direction.</x:v>
      </x:c>
      <x:c r="R31" s="160" t="str">
        <x:v>Use zoning and land-use planning to regulate coastal development by implementing spatial development strategies that consider environmental vulnerabilities, protect ecosystems, and mitigate risks from flooding, heatwaves, and sea-level rise. This includes ensuring that development is directed away from high-risk areas, integrating climate adaptation considerations into urban planning, and promoting sustainable practices to close adaptation gaps while addressing urban inequality.</x:v>
      </x:c>
    </x:row>
    <x:row r="32" ht="66" customHeight="1">
      <x:c r="A32" s="165" t="str">
        <x:v>ipcc_0089</x:v>
      </x:c>
      <x:c r="B32" s="159" t="str">
        <x:v>Spatially redirect development</x:v>
      </x:c>
      <x:c r="C32" s="159" t="str">
        <x:v>Biodiversity</x:v>
      </x:c>
      <x:c r="D32" s="159" t="str">
        <x:v>Vulnerability</x:v>
      </x:c>
      <x:c r="E32" s="153" t="str"/>
      <x:c r="F32" s="153" t="str"/>
      <x:c r="G32" s="159" t="str">
        <x:v>Eligible</x:v>
      </x:c>
      <x:c r="H32" s="159" t="str">
        <x:v>Medium</x:v>
      </x:c>
      <x:c r="I32" s="159" t="str">
        <x:v>Complete (6/6)</x:v>
      </x:c>
      <x:c r="J32" s="159" t="str">
        <x:v>Moderate</x:v>
      </x:c>
      <x:c r="K32" s="159" t="str">
        <x:v>No</x:v>
      </x:c>
      <x:c r="L32" s="159" t="str">
        <x:v>5-10 years</x:v>
      </x:c>
      <x:c r="M32" s="168" t="n">
        <x:v>1</x:v>
      </x:c>
      <x:c r="N32" s="168" t="n">
        <x:v>7</x:v>
      </x:c>
      <x:c r="O32" s="159" t="str"/>
      <x:c r="P32" s="159" t="str">
        <x:v>Environmental liabilities | Vegetation loss | Population | Agricultural establishment | Road network | Steering committee and management plan</x:v>
      </x:c>
      <x:c r="Q32" s="159" t="str">
        <x:v>Conservative eligibility screen: the action's stated mechanism has a plausible direct pathway to Environmental liabilities, Vegetation loss, Population, Agricultural establishment, Road network, Steering committee and management plan. Evidence determines whether the effect is demonstrated and in which direction.</x:v>
      </x:c>
      <x:c r="R32" s="160" t="str">
        <x:v>Use zoning and land-use planning to regulate coastal development by implementing spatial development strategies that consider environmental vulnerabilities, protect ecosystems, and mitigate risks from flooding, heatwaves, and sea-level rise. This includes ensuring that development is directed away from high-risk areas, integrating climate adaptation considerations into urban planning, and promoting sustainable practices to close adaptation gaps while addressing urban inequality.</x:v>
      </x:c>
    </x:row>
    <x:row r="33" ht="66" customHeight="1">
      <x:c r="A33" s="165" t="str">
        <x:v>ipcc_0096</x:v>
      </x:c>
      <x:c r="B33" s="159" t="str">
        <x:v>Strengthen climate resilience in farming and fisheries</x:v>
      </x:c>
      <x:c r="C33" s="159" t="str">
        <x:v>Biodiversity</x:v>
      </x:c>
      <x:c r="D33" s="159" t="str">
        <x:v>Vulnerability</x:v>
      </x:c>
      <x:c r="E33" s="153" t="str"/>
      <x:c r="F33" s="153" t="str"/>
      <x:c r="G33" s="159" t="str">
        <x:v>Eligible</x:v>
      </x:c>
      <x:c r="H33" s="159" t="str">
        <x:v>Low</x:v>
      </x:c>
      <x:c r="I33" s="159" t="str">
        <x:v>Complete (6/6)</x:v>
      </x:c>
      <x:c r="J33" s="159" t="str">
        <x:v>Broad</x:v>
      </x:c>
      <x:c r="K33" s="159" t="str">
        <x:v>No</x:v>
      </x:c>
      <x:c r="L33" s="159" t="str">
        <x:v>5-10 years</x:v>
      </x:c>
      <x:c r="M33" s="168" t="n">
        <x:v>2</x:v>
      </x:c>
      <x:c r="N33" s="168" t="n">
        <x:v>7</x:v>
      </x:c>
      <x:c r="O33" s="159" t="str"/>
      <x:c r="P33" s="159" t="str">
        <x:v>Pesticides | No family farming | No sustainable agricultural practice | Degraded pasture | Agricultural establishment | Technical guidance</x:v>
      </x:c>
      <x:c r="Q33" s="159" t="str">
        <x:v>Conservative eligibility screen: the action's stated mechanism has a plausible direct pathway to Pesticides, No family farming, No sustainable agricultural practice, Degraded pasture, Agricultural establishment, Technical guidance. Evidence determines whether the effect is demonstrated and in which direction.</x:v>
      </x:c>
      <x:c r="R33" s="160" t="str">
        <x:v>Support the adoption of climate-smart agricultural and aquaculture practices by creating enabling conditions for farmers and fishers. Municipal governments can promote improved breeds, feed, and fertilizers, enhance irrigation efficiency, and foster aquaculture resilience through extension services, research partnerships, and targeted procurement. By offering incentives, technical assistance, and facilitating access to innovation and finance, cities can help producers adopt agroecological systems, diversify crops, and strengthen sustainable practices that build resilience to climate impacts.</x:v>
      </x:c>
    </x:row>
    <x:row r="34" ht="66" customHeight="1">
      <x:c r="A34" s="165" t="str">
        <x:v>c40_0046</x:v>
      </x:c>
      <x:c r="B34" s="159" t="str">
        <x:v>Strengthen coastal protection infrastructure</x:v>
      </x:c>
      <x:c r="C34" s="159" t="str">
        <x:v>Biodiversity</x:v>
      </x:c>
      <x:c r="D34" s="159" t="str">
        <x:v>Vulnerability</x:v>
      </x:c>
      <x:c r="E34" s="153" t="str"/>
      <x:c r="F34" s="153" t="str"/>
      <x:c r="G34" s="159" t="str">
        <x:v>Eligible</x:v>
      </x:c>
      <x:c r="H34" s="159" t="str">
        <x:v>None demonstrated</x:v>
      </x:c>
      <x:c r="I34" s="159" t="str">
        <x:v>None (0/2)</x:v>
      </x:c>
      <x:c r="J34" s="159" t="str">
        <x:v>None</x:v>
      </x:c>
      <x:c r="K34" s="159" t="str">
        <x:v>No</x:v>
      </x:c>
      <x:c r="L34" s="159" t="str">
        <x:v>5-10 years</x:v>
      </x:c>
      <x:c r="M34" s="168" t="n">
        <x:v>0</x:v>
      </x:c>
      <x:c r="N34" s="168" t="n">
        <x:v>7</x:v>
      </x:c>
      <x:c r="O34" s="159" t="str"/>
      <x:c r="P34" s="159" t="str">
        <x:v>Environmental liabilities | Vegetation loss</x:v>
      </x:c>
      <x:c r="Q34" s="159" t="str">
        <x:v>Conservative eligibility screen: the action's stated mechanism has a plausible direct pathway to Environmental liabilities, Vegetation loss. Evidence determines whether the effect is demonstrated and in which direction.</x:v>
      </x:c>
      <x:c r="R34" s="160" t="str">
        <x:v>Strengthen coastal protection infrastructure strategies include the construction of sea walls and protective structures to mitigate the impact of rising sea levels and coastal erosion. This adaptation measure enhances the resilience of coastal areas and protects communities from the impacts of climate change. Crucially, these interventions must be developed through an integrated coastal management framework, prioritizing nature-based solutions where feasible, to avoid negative downstream effects and ensure equitable protection for all vulnerable communities.</x:v>
      </x:c>
    </x:row>
    <x:row r="35" ht="66" customHeight="1">
      <x:c r="A35" s="165" t="str">
        <x:v>ipcc_0103</x:v>
      </x:c>
      <x:c r="B35" s="159" t="str">
        <x:v>Strengthen cooperative climate governance</x:v>
      </x:c>
      <x:c r="C35" s="159" t="str">
        <x:v>Biodiversity</x:v>
      </x:c>
      <x:c r="D35" s="159" t="str">
        <x:v>Exposure</x:v>
      </x:c>
      <x:c r="E35" s="153" t="str"/>
      <x:c r="F35" s="153" t="str"/>
      <x:c r="G35" s="159" t="str">
        <x:v>Eligible</x:v>
      </x:c>
      <x:c r="H35" s="159" t="str">
        <x:v>None demonstrated</x:v>
      </x:c>
      <x:c r="I35" s="159" t="str">
        <x:v>None (0/2)</x:v>
      </x:c>
      <x:c r="J35" s="159" t="str">
        <x:v>None</x:v>
      </x:c>
      <x:c r="K35" s="159" t="str">
        <x:v>No</x:v>
      </x:c>
      <x:c r="L35" s="159" t="str">
        <x:v>5-10 years</x:v>
      </x:c>
      <x:c r="M35" s="168" t="n">
        <x:v>0</x:v>
      </x:c>
      <x:c r="N35" s="168" t="n">
        <x:v>7</x:v>
      </x:c>
      <x:c r="O35" s="159" t="str"/>
      <x:c r="P35" s="159" t="str">
        <x:v>Protected area | Area for conservation</x:v>
      </x:c>
      <x:c r="Q35" s="159" t="str">
        <x:v>Conservative eligibility screen: the action's stated mechanism has a plausible direct pathway to Protected area, Area for conservation. Evidence determines whether the effect is demonstrated and in which direction.</x:v>
      </x:c>
      <x:c r="R35" s="160" t="str">
        <x:v>Enhancing cooperative governance through transboundary fishing agreements and inclusive ocean governance. This involves participatory approaches, structured decision-making tools, and decentralized frameworks that couple top-down management with community-driven initiatives. Additional strategies include collective water management systems to optimize resource use under climate-induced variability, indigenous water-sharing systems rooted in traditional practices to ensure sustainable and equitable resource allocation, and enforcing the land rights of Indigenous populations to protect biodiversity and cultural heritage. Adaptive co-management in Arctic fisheries integrates local and scientific knowledge to address climate impacts on marine resources. The international compact on migration fosters orderly and safe migration as an adaptive response to climate risks, and policies for adaptive governance promote ecosystem-based solutions, legal frameworks, and institutional adaptations to enhance resilience to climate change. These combined measures address geopolitical complexities, ensure equitable resource distribution, and strengthen resilience to climate-induced hazards.</x:v>
      </x:c>
    </x:row>
    <x:row r="36" ht="66" customHeight="1">
      <x:c r="A36" s="165" t="str">
        <x:v>ipcc_0103</x:v>
      </x:c>
      <x:c r="B36" s="159" t="str">
        <x:v>Strengthen cooperative climate governance</x:v>
      </x:c>
      <x:c r="C36" s="159" t="str">
        <x:v>Biodiversity</x:v>
      </x:c>
      <x:c r="D36" s="159" t="str">
        <x:v>Vulnerability</x:v>
      </x:c>
      <x:c r="E36" s="153" t="str"/>
      <x:c r="F36" s="153" t="str"/>
      <x:c r="G36" s="159" t="str">
        <x:v>Eligible</x:v>
      </x:c>
      <x:c r="H36" s="159" t="str">
        <x:v>None demonstrated</x:v>
      </x:c>
      <x:c r="I36" s="159" t="str">
        <x:v>None (0/2)</x:v>
      </x:c>
      <x:c r="J36" s="159" t="str">
        <x:v>None</x:v>
      </x:c>
      <x:c r="K36" s="159" t="str">
        <x:v>No</x:v>
      </x:c>
      <x:c r="L36" s="159" t="str">
        <x:v>5-10 years</x:v>
      </x:c>
      <x:c r="M36" s="168" t="n">
        <x:v>0</x:v>
      </x:c>
      <x:c r="N36" s="168" t="n">
        <x:v>7</x:v>
      </x:c>
      <x:c r="O36" s="159" t="str"/>
      <x:c r="P36" s="159" t="str">
        <x:v>Technical guidance | Steering committee and management plan</x:v>
      </x:c>
      <x:c r="Q36" s="159" t="str">
        <x:v>Conservative eligibility screen: the action's stated mechanism has a plausible direct pathway to Technical guidance, Steering committee and management plan. Evidence determines whether the effect is demonstrated and in which direction.</x:v>
      </x:c>
      <x:c r="R36" s="160" t="str">
        <x:v>Enhancing cooperative governance through transboundary fishing agreements and inclusive ocean governance. This involves participatory approaches, structured decision-making tools, and decentralized frameworks that couple top-down management with community-driven initiatives. Additional strategies include collective water management systems to optimize resource use under climate-induced variability, indigenous water-sharing systems rooted in traditional practices to ensure sustainable and equitable resource allocation, and enforcing the land rights of Indigenous populations to protect biodiversity and cultural heritage. Adaptive co-management in Arctic fisheries integrates local and scientific knowledge to address climate impacts on marine resources. The international compact on migration fosters orderly and safe migration as an adaptive response to climate risks, and policies for adaptive governance promote ecosystem-based solutions, legal frameworks, and institutional adaptations to enhance resilience to climate change. These combined measures address geopolitical complexities, ensure equitable resource distribution, and strengthen resilience to climate-induced hazards.</x:v>
      </x:c>
    </x:row>
    <x:row r="37" ht="66" customHeight="1">
      <x:c r="A37" s="165" t="str">
        <x:v>icare_0162</x:v>
      </x:c>
      <x:c r="B37" s="159" t="str">
        <x:v>Strengthen programs for control and conservation of protected areas</x:v>
      </x:c>
      <x:c r="C37" s="159" t="str">
        <x:v>Biodiversity</x:v>
      </x:c>
      <x:c r="D37" s="159" t="str">
        <x:v>Exposure</x:v>
      </x:c>
      <x:c r="E37" s="153" t="str"/>
      <x:c r="F37" s="153" t="str"/>
      <x:c r="G37" s="159" t="str">
        <x:v>Eligible</x:v>
      </x:c>
      <x:c r="H37" s="159" t="str">
        <x:v>High</x:v>
      </x:c>
      <x:c r="I37" s="159" t="str">
        <x:v>Complete (3/3)</x:v>
      </x:c>
      <x:c r="J37" s="159" t="str">
        <x:v>Broad</x:v>
      </x:c>
      <x:c r="K37" s="159" t="str">
        <x:v>No</x:v>
      </x:c>
      <x:c r="L37" s="159" t="str">
        <x:v>5-10 years</x:v>
      </x:c>
      <x:c r="M37" s="168" t="n">
        <x:v>2</x:v>
      </x:c>
      <x:c r="N37" s="168" t="n">
        <x:v>7</x:v>
      </x:c>
      <x:c r="O37" s="159" t="str"/>
      <x:c r="P37" s="159" t="str">
        <x:v>Natural coverage | Protected area | Area for conservation</x:v>
      </x:c>
      <x:c r="Q37" s="159" t="str">
        <x:v>Conservative eligibility screen: the action's stated mechanism has a plausible direct pathway to Natural coverage, Protected area, Area for conservation. Evidence determines whether the effect is demonstrated and in which direction.</x:v>
      </x:c>
      <x:c r="R37" s="160" t="str">
        <x:v>This action focuses on implementing a series of integrated strategies to enhance environmental conservation and maximize its benefits, such as expanding protected areas, developing management plans for conservation units, and training ecotourism guides to strengthen sustainable tourism.</x:v>
      </x:c>
    </x:row>
    <x:row r="38" ht="66" customHeight="1">
      <x:c r="A38" s="165" t="str">
        <x:v>icare_0162</x:v>
      </x:c>
      <x:c r="B38" s="159" t="str">
        <x:v>Strengthen programs for control and conservation of protected areas</x:v>
      </x:c>
      <x:c r="C38" s="159" t="str">
        <x:v>Biodiversity</x:v>
      </x:c>
      <x:c r="D38" s="159" t="str">
        <x:v>Vulnerability</x:v>
      </x:c>
      <x:c r="E38" s="153" t="str"/>
      <x:c r="F38" s="153" t="str"/>
      <x:c r="G38" s="159" t="str">
        <x:v>Eligible</x:v>
      </x:c>
      <x:c r="H38" s="159" t="str">
        <x:v>High</x:v>
      </x:c>
      <x:c r="I38" s="159" t="str">
        <x:v>Complete (3/3)</x:v>
      </x:c>
      <x:c r="J38" s="159" t="str">
        <x:v>Broad</x:v>
      </x:c>
      <x:c r="K38" s="159" t="str">
        <x:v>No</x:v>
      </x:c>
      <x:c r="L38" s="159" t="str">
        <x:v>5-10 years</x:v>
      </x:c>
      <x:c r="M38" s="168" t="n">
        <x:v>2</x:v>
      </x:c>
      <x:c r="N38" s="168" t="n">
        <x:v>7</x:v>
      </x:c>
      <x:c r="O38" s="159" t="str"/>
      <x:c r="P38" s="159" t="str">
        <x:v>Environmental liabilities | Vegetation loss | Steering committee and management plan</x:v>
      </x:c>
      <x:c r="Q38" s="159" t="str">
        <x:v>Conservative eligibility screen: the action's stated mechanism has a plausible direct pathway to Environmental liabilities, Vegetation loss, Steering committee and management plan. Evidence determines whether the effect is demonstrated and in which direction.</x:v>
      </x:c>
      <x:c r="R38" s="160" t="str">
        <x:v>This action focuses on implementing a series of integrated strategies to enhance environmental conservation and maximize its benefits, such as expanding protected areas, developing management plans for conservation units, and training ecotourism guides to strengthen sustainable tourism.</x:v>
      </x:c>
    </x:row>
    <x:row r="39" ht="66" customHeight="1">
      <x:c r="A39" s="165" t="str">
        <x:v>icare_0170</x:v>
      </x:c>
      <x:c r="B39" s="159" t="str">
        <x:v>Build safe housing and implement urban rehabilitation projects for populations living in high-risk areas</x:v>
      </x:c>
      <x:c r="C39" s="159" t="str">
        <x:v>Energy security</x:v>
      </x:c>
      <x:c r="D39" s="159" t="str">
        <x:v>Exposure</x:v>
      </x:c>
      <x:c r="E39" s="153" t="str"/>
      <x:c r="F39" s="153" t="str"/>
      <x:c r="G39" s="159" t="str">
        <x:v>Eligible</x:v>
      </x:c>
      <x:c r="H39" s="159" t="str">
        <x:v>Medium</x:v>
      </x:c>
      <x:c r="I39" s="159" t="str">
        <x:v>Complete (1/1)</x:v>
      </x:c>
      <x:c r="J39" s="159" t="str">
        <x:v>Moderate</x:v>
      </x:c>
      <x:c r="K39" s="159" t="str">
        <x:v>Yes</x:v>
      </x:c>
      <x:c r="L39" s="159" t="str">
        <x:v>&gt;10 years</x:v>
      </x:c>
      <x:c r="M39" s="168" t="n">
        <x:v>2</x:v>
      </x:c>
      <x:c r="N39" s="168" t="n">
        <x:v>10</x:v>
      </x:c>
      <x:c r="O39" s="159" t="str"/>
      <x:c r="P39" s="159" t="str">
        <x:v>Population density</x:v>
      </x:c>
      <x:c r="Q39" s="159" t="str">
        <x:v>Safe-site resettlement directly changes where residents live and therefore changes population-density exposure.</x:v>
      </x:c>
      <x:c r="R39" s="160" t="str">
        <x:v>The priority of this action is to build safe housing and implement urban rehabilitation projects for the population living in areas prone to landslides and flooding, as the housing deficit is one of the main factors related to these threats. This will be implemented through the construction of new housing units in safe locations for family resettlement, and infrastructure upgrades like slope stabilization and improved drainage systems within vulnerable communities.</x:v>
      </x:c>
    </x:row>
    <x:row r="40" ht="66" customHeight="1">
      <x:c r="A40" s="165" t="str">
        <x:v>c40_0052</x:v>
      </x:c>
      <x:c r="B40" s="159" t="str">
        <x:v>Deploy cool pavements and cool roofs on heat‑exposed streets and buildings</x:v>
      </x:c>
      <x:c r="C40" s="159" t="str">
        <x:v>Energy security</x:v>
      </x:c>
      <x:c r="D40" s="159" t="str">
        <x:v>Vulnerability</x:v>
      </x:c>
      <x:c r="E40" s="153" t="str"/>
      <x:c r="F40" s="153" t="str"/>
      <x:c r="G40" s="159" t="str">
        <x:v>Eligible</x:v>
      </x:c>
      <x:c r="H40" s="159" t="str">
        <x:v>Medium</x:v>
      </x:c>
      <x:c r="I40" s="159" t="str">
        <x:v>Complete (2/2)</x:v>
      </x:c>
      <x:c r="J40" s="159" t="str">
        <x:v>Broad</x:v>
      </x:c>
      <x:c r="K40" s="159" t="str">
        <x:v>No</x:v>
      </x:c>
      <x:c r="L40" s="159" t="str">
        <x:v>5-10 years</x:v>
      </x:c>
      <x:c r="M40" s="168" t="n">
        <x:v>3</x:v>
      </x:c>
      <x:c r="N40" s="168" t="n">
        <x:v>10</x:v>
      </x:c>
      <x:c r="O40" s="159" t="str"/>
      <x:c r="P40" s="159" t="str">
        <x:v>Residential electrical consumption | Electrical energy intensity</x:v>
      </x:c>
      <x:c r="Q40" s="159" t="str">
        <x:v>Cool roofs and pavements reduce cooling demand, directly affecting residential electricity consumption and electrical energy intensity.</x:v>
      </x:c>
      <x:c r="R40" s="160" t="str">
        <x:v>Introduce reflective coatings, light-colored materials, permeable surfaces and cool roofs in street paving and buildings to reduce heat absorption and mitigate the urban heat island effect. Municipal governments can pilot these approaches in the most heat-exposed areas, integrate them into routine street upgrades and public building refrofits, and assess cost–benefit outcomes to guide broader implementation. These measures improve thermal comfort, reduce energy demand for cooling, and enhance urban resilience to rising temperatures.</x:v>
      </x:c>
    </x:row>
    <x:row r="41" ht="66" customHeight="1">
      <x:c r="A41" s="165" t="str">
        <x:v>icare_0176</x:v>
      </x:c>
      <x:c r="B41" s="159" t="str">
        <x:v>Develop a Climate Action Plan</x:v>
      </x:c>
      <x:c r="C41" s="159" t="str">
        <x:v>Energy security</x:v>
      </x:c>
      <x:c r="D41" s="159" t="str">
        <x:v>Vulnerability</x:v>
      </x:c>
      <x:c r="E41" s="153" t="str"/>
      <x:c r="F41" s="153" t="str"/>
      <x:c r="G41" s="159" t="str">
        <x:v>Eligible</x:v>
      </x:c>
      <x:c r="H41" s="159" t="str">
        <x:v>Low</x:v>
      </x:c>
      <x:c r="I41" s="159" t="str">
        <x:v>Complete (1/1)</x:v>
      </x:c>
      <x:c r="J41" s="159" t="str">
        <x:v>Broad</x:v>
      </x:c>
      <x:c r="K41" s="159" t="str">
        <x:v>No</x:v>
      </x:c>
      <x:c r="L41" s="159" t="str">
        <x:v>&lt;5 years</x:v>
      </x:c>
      <x:c r="M41" s="168" t="n">
        <x:v>2</x:v>
      </x:c>
      <x:c r="N41" s="168" t="n">
        <x:v>10</x:v>
      </x:c>
      <x:c r="O41" s="159" t="str"/>
      <x:c r="P41" s="159" t="str">
        <x:v>Resilient cities</x:v>
      </x:c>
      <x:c r="Q41" s="159" t="str">
        <x:v>A climate action plan directly strengthens municipal climate-risk planning represented by the resilient-cities indicator.</x:v>
      </x:c>
      <x:c r="R41" s="160" t="str">
        <x:v>A comprehensive plan outlining a city's strategies and actions to mitigate greenhouse gas emissions and adapt to the impacts of climate change which typically includes an assessment of the city's climate risks and vulnerabilities, setting emission reduction targets, and implementation of actions across various sectors such as energy, transportation, waste management, and urban planning.</x:v>
      </x:c>
    </x:row>
    <x:row r="42" ht="66" customHeight="1">
      <x:c r="A42" s="165" t="str">
        <x:v>icare_0182</x:v>
      </x:c>
      <x:c r="B42" s="159" t="str">
        <x:v>Develop an Urban Afforestation Plan</x:v>
      </x:c>
      <x:c r="C42" s="159" t="str">
        <x:v>Energy security</x:v>
      </x:c>
      <x:c r="D42" s="159" t="str">
        <x:v>Vulnerability</x:v>
      </x:c>
      <x:c r="E42" s="153" t="str"/>
      <x:c r="F42" s="153" t="str"/>
      <x:c r="G42" s="159" t="str">
        <x:v>Eligible</x:v>
      </x:c>
      <x:c r="H42" s="159" t="str">
        <x:v>Medium</x:v>
      </x:c>
      <x:c r="I42" s="159" t="str">
        <x:v>Complete (2/2)</x:v>
      </x:c>
      <x:c r="J42" s="159" t="str">
        <x:v>Moderate</x:v>
      </x:c>
      <x:c r="K42" s="159" t="str">
        <x:v>No</x:v>
      </x:c>
      <x:c r="L42" s="159" t="str">
        <x:v>5-10 years</x:v>
      </x:c>
      <x:c r="M42" s="168" t="n">
        <x:v>1</x:v>
      </x:c>
      <x:c r="N42" s="168" t="n">
        <x:v>10</x:v>
      </x:c>
      <x:c r="O42" s="159" t="str"/>
      <x:c r="P42" s="159" t="str">
        <x:v>Residential electrical consumption | Electrical energy intensity</x:v>
      </x:c>
      <x:c r="Q42" s="159" t="str">
        <x:v>Urban afforestation reduces heat exposure and cooling demand, plausibly affecting residential electricity consumption and electrical energy intensity.</x:v>
      </x:c>
      <x:c r="R42" s="160" t="str">
        <x:v>This action focuses on expanding green areas in the city through urban afforestation. This includes planting trees in sidewalks, squares, public buildings, and schools, as well as creating ecological parks to revitalize watercourses and/or restore forests.</x:v>
      </x:c>
    </x:row>
    <x:row r="43" ht="66" customHeight="1">
      <x:c r="A43" s="165" t="str">
        <x:v>icare_0172</x:v>
      </x:c>
      <x:c r="B43" s="159" t="str">
        <x:v>Develop and implement the Municipal Risk Reduction Plan (PMRR) and identify population groups vulnerable to climate risks.</x:v>
      </x:c>
      <x:c r="C43" s="159" t="str">
        <x:v>Energy security</x:v>
      </x:c>
      <x:c r="D43" s="159" t="str">
        <x:v>Vulnerability</x:v>
      </x:c>
      <x:c r="E43" s="153" t="str"/>
      <x:c r="F43" s="153" t="str"/>
      <x:c r="G43" s="159" t="str">
        <x:v>Eligible</x:v>
      </x:c>
      <x:c r="H43" s="159" t="str">
        <x:v>Low</x:v>
      </x:c>
      <x:c r="I43" s="159" t="str">
        <x:v>Complete (1/1)</x:v>
      </x:c>
      <x:c r="J43" s="159" t="str">
        <x:v>Broad</x:v>
      </x:c>
      <x:c r="K43" s="159" t="str">
        <x:v>No</x:v>
      </x:c>
      <x:c r="L43" s="159" t="str">
        <x:v>&lt;5 years</x:v>
      </x:c>
      <x:c r="M43" s="168" t="n">
        <x:v>2</x:v>
      </x:c>
      <x:c r="N43" s="168" t="n">
        <x:v>10</x:v>
      </x:c>
      <x:c r="O43" s="159" t="str"/>
      <x:c r="P43" s="159" t="str">
        <x:v>Resilient cities</x:v>
      </x:c>
      <x:c r="Q43" s="159" t="str">
        <x:v>A municipal risk-reduction plan directly strengthens municipal climate-risk governance represented by the resilient-cities indicator.</x:v>
      </x:c>
      <x:c r="R43" s="160" t="str">
        <x:v>This action aims to strengthen the development of the Municipal Risk Reduction Plan (PMRR) in the municipality, as it is a highly relevant tool for managing climate risks, especially river floods and landslides.</x:v>
      </x:c>
    </x:row>
    <x:row r="44" ht="66" customHeight="1">
      <x:c r="A44" s="165" t="str">
        <x:v>icare_0169</x:v>
      </x:c>
      <x:c r="B44" s="159" t="str">
        <x:v>Establish a Plan for Preparation and Emergency Response Measures in the event of extreme weather events</x:v>
      </x:c>
      <x:c r="C44" s="159" t="str">
        <x:v>Energy security</x:v>
      </x:c>
      <x:c r="D44" s="159" t="str">
        <x:v>Vulnerability</x:v>
      </x:c>
      <x:c r="E44" s="153" t="str"/>
      <x:c r="F44" s="153" t="str"/>
      <x:c r="G44" s="159" t="str">
        <x:v>Eligible</x:v>
      </x:c>
      <x:c r="H44" s="159" t="str">
        <x:v>High</x:v>
      </x:c>
      <x:c r="I44" s="159" t="str">
        <x:v>Complete (1/1)</x:v>
      </x:c>
      <x:c r="J44" s="159" t="str">
        <x:v>Broad</x:v>
      </x:c>
      <x:c r="K44" s="159" t="str">
        <x:v>No</x:v>
      </x:c>
      <x:c r="L44" s="159" t="str">
        <x:v>5-10 years</x:v>
      </x:c>
      <x:c r="M44" s="168" t="n">
        <x:v>2</x:v>
      </x:c>
      <x:c r="N44" s="168" t="n">
        <x:v>10</x:v>
      </x:c>
      <x:c r="O44" s="159" t="str"/>
      <x:c r="P44" s="159" t="str">
        <x:v>Resilient cities</x:v>
      </x:c>
      <x:c r="Q44" s="159" t="str">
        <x:v>A municipal preparedness and emergency-response plan directly strengthens the governance capacity represented by the resilient-cities indicator.</x:v>
      </x:c>
      <x:c r="R44" s="160" t="str">
        <x:v>This action focuses on preparing the municipality to respond to extreme events, aiming to provide a rapid response that minimizes the impacts on the population.</x:v>
      </x:c>
    </x:row>
    <x:row r="45" ht="66" customHeight="1">
      <x:c r="A45" s="165" t="str">
        <x:v>icare_0160</x:v>
      </x:c>
      <x:c r="B45" s="159" t="str">
        <x:v>Establish mechanisms for intersectoral coordination and public participation in climate policy</x:v>
      </x:c>
      <x:c r="C45" s="159" t="str">
        <x:v>Energy security</x:v>
      </x:c>
      <x:c r="D45" s="159" t="str">
        <x:v>Vulnerability</x:v>
      </x:c>
      <x:c r="E45" s="153" t="str"/>
      <x:c r="F45" s="153" t="str"/>
      <x:c r="G45" s="159" t="str">
        <x:v>Eligible</x:v>
      </x:c>
      <x:c r="H45" s="159" t="str">
        <x:v>Low</x:v>
      </x:c>
      <x:c r="I45" s="159" t="str">
        <x:v>Complete (1/1)</x:v>
      </x:c>
      <x:c r="J45" s="159" t="str">
        <x:v>Broad</x:v>
      </x:c>
      <x:c r="K45" s="159" t="str">
        <x:v>No</x:v>
      </x:c>
      <x:c r="L45" s="159" t="str">
        <x:v>&lt;5 years</x:v>
      </x:c>
      <x:c r="M45" s="168" t="n">
        <x:v>2</x:v>
      </x:c>
      <x:c r="N45" s="168" t="n">
        <x:v>10</x:v>
      </x:c>
      <x:c r="O45" s="159" t="str"/>
      <x:c r="P45" s="159" t="str">
        <x:v>Resilient cities</x:v>
      </x:c>
      <x:c r="Q45" s="159" t="str">
        <x:v>Intersectoral coordination and public participation directly strengthen municipal climate-risk governance represented by the resilient-cities indicator.</x:v>
      </x:c>
      <x:c r="R45" s="160" t="str">
        <x:v>Establish more mechanisms that enable better intersectoral coordination and public participation in climate policy, including the creation of working groups with neighboring municipalities to discuss a common climate agenda.</x:v>
      </x:c>
    </x:row>
    <x:row r="46" ht="66" customHeight="1">
      <x:c r="A46" s="165" t="str">
        <x:v>ipcc_0092</x:v>
      </x:c>
      <x:c r="B46" s="159" t="str">
        <x:v>Expand climate‑responsive social safety nets</x:v>
      </x:c>
      <x:c r="C46" s="159" t="str">
        <x:v>Energy security</x:v>
      </x:c>
      <x:c r="D46" s="159" t="str">
        <x:v>Vulnerability</x:v>
      </x:c>
      <x:c r="E46" s="153" t="str"/>
      <x:c r="F46" s="153" t="str"/>
      <x:c r="G46" s="159" t="str">
        <x:v>Eligible</x:v>
      </x:c>
      <x:c r="H46" s="159" t="str">
        <x:v>Low</x:v>
      </x:c>
      <x:c r="I46" s="159" t="str">
        <x:v>Partial (1/2)</x:v>
      </x:c>
      <x:c r="J46" s="159" t="str">
        <x:v>Moderate</x:v>
      </x:c>
      <x:c r="K46" s="159" t="str">
        <x:v>No</x:v>
      </x:c>
      <x:c r="L46" s="159" t="str">
        <x:v>5-10 years</x:v>
      </x:c>
      <x:c r="M46" s="168" t="n">
        <x:v>1</x:v>
      </x:c>
      <x:c r="N46" s="168" t="n">
        <x:v>10</x:v>
      </x:c>
      <x:c r="O46" s="159" t="str"/>
      <x:c r="P46" s="159" t="str">
        <x:v>Energy poverty | Income greater than two minimum wages</x:v>
      </x:c>
      <x:c r="Q46" s="159" t="str">
        <x:v>Cash transfers and other social protection measures directly affect energy affordability and household income capacity.</x:v>
      </x:c>
      <x:c r="R46" s="160" t="str">
        <x:v>Social safety nets encompass adaptive social protection mechanisms to reduce food insecurity and malnutrition, especially for vulnerable populations. These include cash transfers, school feeding programs, public work initiatives, unemployment compensation, land reforms, credit and insurance schemes. Integrated approaches combine climate risk assessments with disaster risk reduction, education, and social equity to enhance resilience to climate stresses.</x:v>
      </x:c>
    </x:row>
    <x:row r="47" ht="66" customHeight="1">
      <x:c r="A47" s="165" t="str">
        <x:v>icare_0180</x:v>
      </x:c>
      <x:c r="B47" s="159" t="str">
        <x:v>Expand urban green-blue networks and corridors</x:v>
      </x:c>
      <x:c r="C47" s="159" t="str">
        <x:v>Energy security</x:v>
      </x:c>
      <x:c r="D47" s="159" t="str">
        <x:v>Vulnerability</x:v>
      </x:c>
      <x:c r="E47" s="153" t="str"/>
      <x:c r="F47" s="153" t="str"/>
      <x:c r="G47" s="159" t="str">
        <x:v>Eligible</x:v>
      </x:c>
      <x:c r="H47" s="159" t="str">
        <x:v>Low</x:v>
      </x:c>
      <x:c r="I47" s="159" t="str">
        <x:v>Complete (2/2)</x:v>
      </x:c>
      <x:c r="J47" s="159" t="str">
        <x:v>Moderate</x:v>
      </x:c>
      <x:c r="K47" s="159" t="str">
        <x:v>No</x:v>
      </x:c>
      <x:c r="L47" s="159" t="str">
        <x:v>&lt;5 years</x:v>
      </x:c>
      <x:c r="M47" s="168" t="n">
        <x:v>1</x:v>
      </x:c>
      <x:c r="N47" s="168" t="n">
        <x:v>10</x:v>
      </x:c>
      <x:c r="O47" s="159" t="str"/>
      <x:c r="P47" s="159" t="str">
        <x:v>Residential electrical consumption | Electrical energy intensity</x:v>
      </x:c>
      <x:c r="Q47" s="159" t="str">
        <x:v>Urban green-blue infrastructure reduces heat and cooling demand, plausibly affecting residential electricity consumption and electrical energy intensity.</x:v>
      </x:c>
      <x:c r="R47" s="160" t="str">
        <x:v>Expand and connect urban green spaces and blue-green infrastructure (BGI) in the public realm. Actions include street tree planting, establishing green corridors/greenways, pocket and large parks, and green-blue features (bioswales, rain gardens, permeable surfaces) to manage stormwater, reduce urban heat, enhance biodiversity, and support carbon sequestration. Embedding these measures in urban planning strengthens ecosystem services, resilience, and livability.</x:v>
      </x:c>
    </x:row>
    <x:row r="48" ht="66" customHeight="1">
      <x:c r="A48" s="165" t="str">
        <x:v>ipcc_0102</x:v>
      </x:c>
      <x:c r="B48" s="159" t="str">
        <x:v>Facilitate seasonal and temporary mobility strategies</x:v>
      </x:c>
      <x:c r="C48" s="159" t="str">
        <x:v>Energy security</x:v>
      </x:c>
      <x:c r="D48" s="159" t="str">
        <x:v>Exposure</x:v>
      </x:c>
      <x:c r="E48" s="153" t="str"/>
      <x:c r="F48" s="153" t="str"/>
      <x:c r="G48" s="159" t="str">
        <x:v>Eligible</x:v>
      </x:c>
      <x:c r="H48" s="159" t="str">
        <x:v>Low</x:v>
      </x:c>
      <x:c r="I48" s="159" t="str">
        <x:v>Complete (1/1)</x:v>
      </x:c>
      <x:c r="J48" s="159" t="str">
        <x:v>Moderate</x:v>
      </x:c>
      <x:c r="K48" s="159" t="str">
        <x:v>Yes</x:v>
      </x:c>
      <x:c r="L48" s="159" t="str">
        <x:v>5-10 years</x:v>
      </x:c>
      <x:c r="M48" s="168" t="n">
        <x:v>1</x:v>
      </x:c>
      <x:c r="N48" s="168" t="n">
        <x:v>10</x:v>
      </x:c>
      <x:c r="O48" s="159" t="str"/>
      <x:c r="P48" s="159" t="str">
        <x:v>Population density</x:v>
      </x:c>
      <x:c r="Q48" s="159" t="str">
        <x:v>Seasonal and temporary worker mobility changes where people are present and can therefore change population-density exposure.</x:v>
      </x:c>
      <x:c r="R48" s="160" t="str">
        <x:v>Facilitating mobility of fishing fleets and workers to adapt to shifting marine species distributions caused by climate change. This includes enabling seasonal or temporary migration to align with the availability of resources, improving infrastructure and technology to support mobility, and fostering flexible governance to manage transboundary resources sustainably. These actions aim to maintain livelihoods and reduce economic impacts of climate variability.</x:v>
      </x:c>
    </x:row>
    <x:row r="49" ht="66" customHeight="1">
      <x:c r="A49" s="165" t="str">
        <x:v>ipcc_0086</x:v>
      </x:c>
      <x:c r="B49" s="159" t="str">
        <x:v>Implement ecosystem‑based adaptation measures</x:v>
      </x:c>
      <x:c r="C49" s="159" t="str">
        <x:v>Energy security</x:v>
      </x:c>
      <x:c r="D49" s="159" t="str">
        <x:v>Vulnerability</x:v>
      </x:c>
      <x:c r="E49" s="153" t="str"/>
      <x:c r="F49" s="153" t="str"/>
      <x:c r="G49" s="159" t="str">
        <x:v>Eligible</x:v>
      </x:c>
      <x:c r="H49" s="159" t="str">
        <x:v>Low</x:v>
      </x:c>
      <x:c r="I49" s="159" t="str">
        <x:v>Complete (2/2)</x:v>
      </x:c>
      <x:c r="J49" s="159" t="str">
        <x:v>Moderate</x:v>
      </x:c>
      <x:c r="K49" s="159" t="str">
        <x:v>No</x:v>
      </x:c>
      <x:c r="L49" s="159" t="str">
        <x:v>5-10 years</x:v>
      </x:c>
      <x:c r="M49" s="168" t="n">
        <x:v>1</x:v>
      </x:c>
      <x:c r="N49" s="168" t="n">
        <x:v>10</x:v>
      </x:c>
      <x:c r="O49" s="159" t="str"/>
      <x:c r="P49" s="159" t="str">
        <x:v>Residential electrical consumption | Electrical energy intensity</x:v>
      </x:c>
      <x:c r="Q49" s="159" t="str">
        <x:v>Urban ecosystem-based measures reduce temperatures and cooling demand, plausibly affecting residential electricity consumption and electrical energy intensity.</x:v>
      </x:c>
      <x:c r="R49" s="160" t="str">
        <x:v>Restoring and sustainably managing marine, coastal, urban, riverine, and wetland ecosystems to protect against climate hazards such as storm surges, floods, and heatwaves. Efforts include agroecology, coastal and marine vegetation and reefs, vegetation corridors, mangrove habitat restoration, urban green space to reduce temperatures. These actions improve biodiversity, store carbon, enhance water quality, and provide socio-economic and cultural co-benefits.</x:v>
      </x:c>
    </x:row>
    <x:row r="50" ht="66" customHeight="1">
      <x:c r="A50" s="165" t="str">
        <x:v>ipcc_0078</x:v>
      </x:c>
      <x:c r="B50" s="159" t="str">
        <x:v>Implement green roofs and walls</x:v>
      </x:c>
      <x:c r="C50" s="159" t="str">
        <x:v>Energy security</x:v>
      </x:c>
      <x:c r="D50" s="159" t="str">
        <x:v>Vulnerability</x:v>
      </x:c>
      <x:c r="E50" s="153" t="str"/>
      <x:c r="F50" s="153" t="str"/>
      <x:c r="G50" s="159" t="str">
        <x:v>Eligible</x:v>
      </x:c>
      <x:c r="H50" s="159" t="str">
        <x:v>Medium</x:v>
      </x:c>
      <x:c r="I50" s="159" t="str">
        <x:v>Complete (2/2)</x:v>
      </x:c>
      <x:c r="J50" s="159" t="str">
        <x:v>Broad</x:v>
      </x:c>
      <x:c r="K50" s="159" t="str">
        <x:v>No</x:v>
      </x:c>
      <x:c r="L50" s="159" t="str">
        <x:v>5-10 years</x:v>
      </x:c>
      <x:c r="M50" s="168" t="n">
        <x:v>2</x:v>
      </x:c>
      <x:c r="N50" s="168" t="n">
        <x:v>10</x:v>
      </x:c>
      <x:c r="O50" s="159" t="str"/>
      <x:c r="P50" s="159" t="str">
        <x:v>Residential electrical consumption | Electrical energy intensity</x:v>
      </x:c>
      <x:c r="Q50" s="159" t="str">
        <x:v>Green roofs and walls reduce building cooling demand, directly affecting residential electricity consumption and electrical energy intensity.</x:v>
      </x:c>
      <x:c r="R50" s="160" t="str">
        <x:v>The implementation of green roofs and green walls mitigates urban heat island effects, improves thermal comfort, reduces energy demand in buildings, manages stormwater, and enhances urban livability and biodiversity.</x:v>
      </x:c>
    </x:row>
    <x:row r="51" ht="66" customHeight="1">
      <x:c r="A51" s="165" t="str">
        <x:v>icare_0183</x:v>
      </x:c>
      <x:c r="B51" s="159" t="str">
        <x:v>Implement Multi-hazard Early Warning Systems (MH-EWS)</x:v>
      </x:c>
      <x:c r="C51" s="159" t="str">
        <x:v>Energy security</x:v>
      </x:c>
      <x:c r="D51" s="159" t="str">
        <x:v>Vulnerability</x:v>
      </x:c>
      <x:c r="E51" s="153" t="str"/>
      <x:c r="F51" s="153" t="str"/>
      <x:c r="G51" s="159" t="str">
        <x:v>Eligible</x:v>
      </x:c>
      <x:c r="H51" s="159" t="str">
        <x:v>Low</x:v>
      </x:c>
      <x:c r="I51" s="159" t="str">
        <x:v>Complete (1/1)</x:v>
      </x:c>
      <x:c r="J51" s="159" t="str">
        <x:v>Broad</x:v>
      </x:c>
      <x:c r="K51" s="159" t="str">
        <x:v>No</x:v>
      </x:c>
      <x:c r="L51" s="159" t="str">
        <x:v>5-10 years</x:v>
      </x:c>
      <x:c r="M51" s="168" t="n">
        <x:v>2</x:v>
      </x:c>
      <x:c r="N51" s="168" t="n">
        <x:v>10</x:v>
      </x:c>
      <x:c r="O51" s="159" t="str"/>
      <x:c r="P51" s="159" t="str">
        <x:v>Resilient cities</x:v>
      </x:c>
      <x:c r="Q51" s="159" t="str">
        <x:v>A multi-hazard early-warning system directly strengthens municipal preparedness represented by the resilient-cities indicator.</x:v>
      </x:c>
      <x:c r="R51" s="160" t="str">
        <x:v>Early Warning systems involve the timely detection and communication of potential climate-related hazards, enabling proactive responses to mitigate risks and enhancing community preparedness. This includes intense rains and landslides, using a network of telemetry stations to monitor rainfall and other weather conditions, with clear trigger thresholds to issue public alerts (sirens/alarms, SMS/cell broadcast, radio/PA) in case of potential flooding or landslides.</x:v>
      </x:c>
    </x:row>
    <x:row r="52" ht="66" customHeight="1">
      <x:c r="A52" s="165" t="str">
        <x:v>ipcc_0100</x:v>
      </x:c>
      <x:c r="B52" s="159" t="str">
        <x:v>Improve Efficient water use/demand</x:v>
      </x:c>
      <x:c r="C52" s="159" t="str">
        <x:v>Energy security</x:v>
      </x:c>
      <x:c r="D52" s="159" t="str">
        <x:v>Vulnerability</x:v>
      </x:c>
      <x:c r="E52" s="153" t="str"/>
      <x:c r="F52" s="153" t="str"/>
      <x:c r="G52" s="159" t="str">
        <x:v>Eligible</x:v>
      </x:c>
      <x:c r="H52" s="159" t="str">
        <x:v>Medium</x:v>
      </x:c>
      <x:c r="I52" s="159" t="str">
        <x:v>Complete (1/1)</x:v>
      </x:c>
      <x:c r="J52" s="159" t="str">
        <x:v>Moderate</x:v>
      </x:c>
      <x:c r="K52" s="159" t="str">
        <x:v>No</x:v>
      </x:c>
      <x:c r="L52" s="159" t="str">
        <x:v>5-10 years</x:v>
      </x:c>
      <x:c r="M52" s="168" t="n">
        <x:v>1</x:v>
      </x:c>
      <x:c r="N52" s="168" t="n">
        <x:v>10</x:v>
      </x:c>
      <x:c r="O52" s="159" t="str"/>
      <x:c r="P52" s="159" t="str">
        <x:v>Energy stored in hydroelectric reservoirs</x:v>
      </x:c>
      <x:c r="Q52" s="159" t="str">
        <x:v>Efficient water demand and allocation can preserve water available for hydroelectric reservoir storage.</x:v>
      </x:c>
      <x:c r="R52" s="160" t="str">
        <x:v>Implementing advanced irrigation techniques such as precision and drip irrigation to enhance water use efficiency in agriculture. Managed Aquifer Recharge (MAR) is applied to replenish groundwater supplies using stormwater, treated wastewater, or other sources. These actions are complemented by cooperative policies across multiple sectors to ensure sustainable water resource management, equitable access, and regional collaboration. Additionally, promoting changes in water consumption patterns, such as reducing waste and improving efficiency in urban and agricultural water use, supports resilience against water scarcity and enhances adaptive capacity in vulnerable regions. These efforts collectively aim to address the growing demand for freshwater in the face of climate change and ensure long-term sustainability.</x:v>
      </x:c>
    </x:row>
    <x:row r="53" ht="66" customHeight="1">
      <x:c r="A53" s="165" t="str">
        <x:v>icare_0164</x:v>
      </x:c>
      <x:c r="B53" s="159" t="str">
        <x:v>Improve Hydrological Monitoring System with Telemetry Stations</x:v>
      </x:c>
      <x:c r="C53" s="159" t="str">
        <x:v>Energy security</x:v>
      </x:c>
      <x:c r="D53" s="159" t="str">
        <x:v>Vulnerability</x:v>
      </x:c>
      <x:c r="E53" s="153" t="str"/>
      <x:c r="F53" s="153" t="str"/>
      <x:c r="G53" s="159" t="str">
        <x:v>Eligible</x:v>
      </x:c>
      <x:c r="H53" s="159" t="str">
        <x:v>None demonstrated</x:v>
      </x:c>
      <x:c r="I53" s="159" t="str">
        <x:v>None (0/1)</x:v>
      </x:c>
      <x:c r="J53" s="159" t="str">
        <x:v>None</x:v>
      </x:c>
      <x:c r="K53" s="159" t="str">
        <x:v>No</x:v>
      </x:c>
      <x:c r="L53" s="159" t="str">
        <x:v>&lt;5 years</x:v>
      </x:c>
      <x:c r="M53" s="168" t="n">
        <x:v>0</x:v>
      </x:c>
      <x:c r="N53" s="168" t="n">
        <x:v>10</x:v>
      </x:c>
      <x:c r="O53" s="159" t="str"/>
      <x:c r="P53" s="159" t="str">
        <x:v>Energy stored in hydroelectric reservoirs</x:v>
      </x:c>
      <x:c r="Q53" s="159" t="str">
        <x:v>Hydrological telemetry can directly support management of inflows and stored energy in hydroelectric reservoirs.</x:v>
      </x:c>
      <x:c r="R53" s="160" t="str">
        <x:v>Implementation of a hydrological monitoring system with telemetry stations to monitor rainfall, water levels, and meteorological variables in real-time.</x:v>
      </x:c>
    </x:row>
    <x:row r="54" ht="66" customHeight="1">
      <x:c r="A54" s="165" t="str">
        <x:v>ipcc_0087</x:v>
      </x:c>
      <x:c r="B54" s="159" t="str">
        <x:v>Improve Infrastructure retrofitting</x:v>
      </x:c>
      <x:c r="C54" s="159" t="str">
        <x:v>Energy security</x:v>
      </x:c>
      <x:c r="D54" s="159" t="str">
        <x:v>Vulnerability</x:v>
      </x:c>
      <x:c r="E54" s="153" t="str"/>
      <x:c r="F54" s="153" t="str"/>
      <x:c r="G54" s="159" t="str">
        <x:v>Eligible</x:v>
      </x:c>
      <x:c r="H54" s="159" t="str">
        <x:v>Medium</x:v>
      </x:c>
      <x:c r="I54" s="159" t="str">
        <x:v>Complete (1/1)</x:v>
      </x:c>
      <x:c r="J54" s="159" t="str">
        <x:v>Broad</x:v>
      </x:c>
      <x:c r="K54" s="159" t="str">
        <x:v>No</x:v>
      </x:c>
      <x:c r="L54" s="159" t="str">
        <x:v>5-10 years</x:v>
      </x:c>
      <x:c r="M54" s="168" t="n">
        <x:v>2</x:v>
      </x:c>
      <x:c r="N54" s="168" t="n">
        <x:v>10</x:v>
      </x:c>
      <x:c r="O54" s="159" t="str"/>
      <x:c r="P54" s="159" t="str">
        <x:v>Electricity interruption</x:v>
      </x:c>
      <x:c r="Q54" s="159" t="str">
        <x:v>Retrofitting energy systems for climate resilience directly reduces the risk of electricity interruption.</x:v>
      </x:c>
      <x:c r="R54" s="160" t="str">
        <x:v>Strengthen and upgrade existing infrastructure, including roads, housing, and energy systems, to improve resilience against climate risks such as floods, droughts, and heatwaves. Efforts include using thermosiphons for permafrost degradation, increasing rooftop albedo (for reflectivity) and shading</x:v>
      </x:c>
    </x:row>
    <x:row r="55" ht="66" customHeight="1">
      <x:c r="A55" s="165" t="str">
        <x:v>icare_0171</x:v>
      </x:c>
      <x:c r="B55" s="159" t="str">
        <x:v>Improve the hydrometeorological forecasting, monitoring, and alert system for climate risks</x:v>
      </x:c>
      <x:c r="C55" s="159" t="str">
        <x:v>Energy security</x:v>
      </x:c>
      <x:c r="D55" s="159" t="str">
        <x:v>Vulnerability</x:v>
      </x:c>
      <x:c r="E55" s="153" t="str"/>
      <x:c r="F55" s="153" t="str"/>
      <x:c r="G55" s="159" t="str">
        <x:v>Eligible</x:v>
      </x:c>
      <x:c r="H55" s="159" t="str">
        <x:v>Low</x:v>
      </x:c>
      <x:c r="I55" s="159" t="str">
        <x:v>Complete (1/1)</x:v>
      </x:c>
      <x:c r="J55" s="159" t="str">
        <x:v>Broad</x:v>
      </x:c>
      <x:c r="K55" s="159" t="str">
        <x:v>No</x:v>
      </x:c>
      <x:c r="L55" s="159" t="str">
        <x:v>5-10 years</x:v>
      </x:c>
      <x:c r="M55" s="168" t="n">
        <x:v>2</x:v>
      </x:c>
      <x:c r="N55" s="168" t="n">
        <x:v>10</x:v>
      </x:c>
      <x:c r="O55" s="159" t="str"/>
      <x:c r="P55" s="159" t="str">
        <x:v>Resilient cities</x:v>
      </x:c>
      <x:c r="Q55" s="159" t="str">
        <x:v>Climate-risk forecasting, monitoring and alerts directly strengthen municipal preparedness represented by the resilient-cities indicator.</x:v>
      </x:c>
      <x:c r="R55" s="160" t="str">
        <x:v>This action aims to expand the procedures related to the existing climate risk forecasting, monitoring, and alert system in the municipality.</x:v>
      </x:c>
    </x:row>
    <x:row r="56" ht="66" customHeight="1">
      <x:c r="A56" s="165" t="str">
        <x:v>ipcc_0101</x:v>
      </x:c>
      <x:c r="B56" s="159" t="str">
        <x:v>Improve urban water management</x:v>
      </x:c>
      <x:c r="C56" s="159" t="str">
        <x:v>Energy security</x:v>
      </x:c>
      <x:c r="D56" s="159" t="str">
        <x:v>Vulnerability</x:v>
      </x:c>
      <x:c r="E56" s="153" t="str"/>
      <x:c r="F56" s="153" t="str"/>
      <x:c r="G56" s="159" t="str">
        <x:v>Eligible</x:v>
      </x:c>
      <x:c r="H56" s="159" t="str">
        <x:v>None demonstrated</x:v>
      </x:c>
      <x:c r="I56" s="159" t="str">
        <x:v>None (0/1)</x:v>
      </x:c>
      <x:c r="J56" s="159" t="str">
        <x:v>None</x:v>
      </x:c>
      <x:c r="K56" s="159" t="str">
        <x:v>No</x:v>
      </x:c>
      <x:c r="L56" s="159" t="str">
        <x:v>5-10 years</x:v>
      </x:c>
      <x:c r="M56" s="168" t="n">
        <x:v>0</x:v>
      </x:c>
      <x:c r="N56" s="168" t="n">
        <x:v>10</x:v>
      </x:c>
      <x:c r="O56" s="159" t="str"/>
      <x:c r="P56" s="159" t="str">
        <x:v>Electrical energy intensity</x:v>
      </x:c>
      <x:c r="Q56" s="159" t="str">
        <x:v>Energy-efficient urban water systems can directly reduce electrical energy intensity.</x:v>
      </x:c>
      <x:c r="R56" s="160" t="str">
        <x:v>Implementing sustainable water supply systems by constructing irrigation infrastructure, promoting inter-basin water transfers, utilizing nature-based solutions (NBS) such as rain gardens, bioswales, and wetlands, and integrating advanced techniques like water reuse and water upgrading. Water reuse involves treating and recycling wastewater for non-potable or potable purposes, while water upgrading focuses on improving the quality of available water for diverse uses. These approaches enhance stormwater infiltration, improve urban water management, increase drought resilience, and support groundwater recharge. They provide energy-efficient and economical water solutions while maintaining sustainable urban development.</x:v>
      </x:c>
    </x:row>
    <x:row r="57" ht="66" customHeight="1">
      <x:c r="A57" s="165" t="str">
        <x:v>c40_0056</x:v>
      </x:c>
      <x:c r="B57" s="159" t="str">
        <x:v>Improve Watershed Protection and Management</x:v>
      </x:c>
      <x:c r="C57" s="159" t="str">
        <x:v>Energy security</x:v>
      </x:c>
      <x:c r="D57" s="159" t="str">
        <x:v>Vulnerability</x:v>
      </x:c>
      <x:c r="E57" s="153" t="str"/>
      <x:c r="F57" s="153" t="str"/>
      <x:c r="G57" s="159" t="str">
        <x:v>Eligible</x:v>
      </x:c>
      <x:c r="H57" s="159" t="str">
        <x:v>None demonstrated</x:v>
      </x:c>
      <x:c r="I57" s="159" t="str">
        <x:v>None (0/1)</x:v>
      </x:c>
      <x:c r="J57" s="159" t="str">
        <x:v>None</x:v>
      </x:c>
      <x:c r="K57" s="159" t="str">
        <x:v>No</x:v>
      </x:c>
      <x:c r="L57" s="159" t="str">
        <x:v>&lt;5 years</x:v>
      </x:c>
      <x:c r="M57" s="168" t="n">
        <x:v>0</x:v>
      </x:c>
      <x:c r="N57" s="168" t="n">
        <x:v>10</x:v>
      </x:c>
      <x:c r="O57" s="159" t="str"/>
      <x:c r="P57" s="159" t="str">
        <x:v>Energy stored in hydroelectric reservoirs</x:v>
      </x:c>
      <x:c r="Q57" s="159" t="str">
        <x:v>Watershed protection can preserve inflows and water availability for hydroelectric reservoirs.</x:v>
      </x:c>
      <x:c r="R57" s="160" t="str">
        <x:v>"Watershed Protection and Management" involves the protection and conservation of natural watershed areas to safeguard water quality, biodiversity, and ecosystem services, including measures such as preventing pollution and encrouchment. This initiative aims to ensure sustainable water management and resilience to the impacts of climate change.</x:v>
      </x:c>
    </x:row>
    <x:row r="58" ht="66" customHeight="1">
      <x:c r="A58" s="165" t="str">
        <x:v>ipcc_0099</x:v>
      </x:c>
      <x:c r="B58" s="159" t="str">
        <x:v>Increase Water Capture and Storage</x:v>
      </x:c>
      <x:c r="C58" s="159" t="str">
        <x:v>Energy security</x:v>
      </x:c>
      <x:c r="D58" s="159" t="str">
        <x:v>Vulnerability</x:v>
      </x:c>
      <x:c r="E58" s="153" t="str"/>
      <x:c r="F58" s="153" t="str"/>
      <x:c r="G58" s="159" t="str">
        <x:v>Eligible</x:v>
      </x:c>
      <x:c r="H58" s="159" t="str">
        <x:v>Medium</x:v>
      </x:c>
      <x:c r="I58" s="159" t="str">
        <x:v>Complete (1/1)</x:v>
      </x:c>
      <x:c r="J58" s="159" t="str">
        <x:v>Limited</x:v>
      </x:c>
      <x:c r="K58" s="159" t="str">
        <x:v>No</x:v>
      </x:c>
      <x:c r="L58" s="159" t="str">
        <x:v>5-10 years</x:v>
      </x:c>
      <x:c r="M58" s="168" t="n">
        <x:v>1</x:v>
      </x:c>
      <x:c r="N58" s="168" t="n">
        <x:v>10</x:v>
      </x:c>
      <x:c r="O58" s="159" t="str"/>
      <x:c r="P58" s="159" t="str">
        <x:v>Energy stored in hydroelectric reservoirs</x:v>
      </x:c>
      <x:c r="Q58" s="159" t="str">
        <x:v>Reservoirs, multipurpose dams and pumped storage directly affect energy stored in hydroelectric reservoirs.</x:v>
      </x:c>
      <x:c r="R58" s="160" t="str">
        <x:v>Implementation of water harvesting and storage solutions, such as on-farm ponds, water body revitalization, rain gardens, bioswales, retention ponds, pumped storage, and water storage tanks. These measures aim to mitigate climate-induced impacts by improving water management, reducing stormwater runoff, improving water quality, and supporting agriculture and energy production in changing climate scenarios. Water reservoirs and multipurpose dams offer additional benefits by addressing water scarcity and managing risks associated with natural disasters. These adaptation strategies contribute to sustainable water use and resilience to climate-related challenges.</x:v>
      </x:c>
    </x:row>
    <x:row r="59" ht="66" customHeight="1">
      <x:c r="A59" s="165" t="str">
        <x:v>ipcc_0104</x:v>
      </x:c>
      <x:c r="B59" s="159" t="str">
        <x:v>Plan and support permanent climate‑related migration</x:v>
      </x:c>
      <x:c r="C59" s="159" t="str">
        <x:v>Energy security</x:v>
      </x:c>
      <x:c r="D59" s="159" t="str">
        <x:v>Exposure</x:v>
      </x:c>
      <x:c r="E59" s="153" t="str"/>
      <x:c r="F59" s="153" t="str"/>
      <x:c r="G59" s="159" t="str">
        <x:v>Eligible</x:v>
      </x:c>
      <x:c r="H59" s="159" t="str">
        <x:v>Medium</x:v>
      </x:c>
      <x:c r="I59" s="159" t="str">
        <x:v>Complete (1/1)</x:v>
      </x:c>
      <x:c r="J59" s="159" t="str">
        <x:v>Moderate</x:v>
      </x:c>
      <x:c r="K59" s="159" t="str">
        <x:v>Yes</x:v>
      </x:c>
      <x:c r="L59" s="159" t="str">
        <x:v>5-10 years</x:v>
      </x:c>
      <x:c r="M59" s="168" t="n">
        <x:v>2</x:v>
      </x:c>
      <x:c r="N59" s="168" t="n">
        <x:v>10</x:v>
      </x:c>
      <x:c r="O59" s="159" t="str"/>
      <x:c r="P59" s="159" t="str">
        <x:v>Population density</x:v>
      </x:c>
      <x:c r="Q59" s="159" t="str">
        <x:v>Permanent migration and resettlement directly change where people live and therefore change population-density exposure.</x:v>
      </x:c>
      <x:c r="R59" s="160" t="str">
        <x:v>Resettlement of communities from flood-prone areas and rural–urban migration as a strategy to mitigate vulnerabilities caused by climate change. This includes addressing urbanization challenges, such as unplanned development, water insecurity, and socioeconomic disparities, while providing equitable opportunities for migrants in urban centers. Measures include enhancing urban planning, water resource management, and social support systems for displaced populations.</x:v>
      </x:c>
    </x:row>
    <x:row r="60" ht="66" customHeight="1">
      <x:c r="A60" s="165" t="str">
        <x:v>ipcc_0083</x:v>
      </x:c>
      <x:c r="B60" s="159" t="str">
        <x:v>Plan strategic coastal retreat for vulnerable communities</x:v>
      </x:c>
      <x:c r="C60" s="159" t="str">
        <x:v>Energy security</x:v>
      </x:c>
      <x:c r="D60" s="159" t="str">
        <x:v>Exposure</x:v>
      </x:c>
      <x:c r="E60" s="153" t="str"/>
      <x:c r="F60" s="153" t="str"/>
      <x:c r="G60" s="159" t="str">
        <x:v>Eligible</x:v>
      </x:c>
      <x:c r="H60" s="159" t="str">
        <x:v>Medium</x:v>
      </x:c>
      <x:c r="I60" s="159" t="str">
        <x:v>Complete (1/1)</x:v>
      </x:c>
      <x:c r="J60" s="159" t="str">
        <x:v>Moderate</x:v>
      </x:c>
      <x:c r="K60" s="159" t="str">
        <x:v>Yes</x:v>
      </x:c>
      <x:c r="L60" s="159" t="str">
        <x:v>&gt;10 years</x:v>
      </x:c>
      <x:c r="M60" s="168" t="n">
        <x:v>2</x:v>
      </x:c>
      <x:c r="N60" s="168" t="n">
        <x:v>10</x:v>
      </x:c>
      <x:c r="O60" s="159" t="str"/>
      <x:c r="P60" s="159" t="str">
        <x:v>Population density</x:v>
      </x:c>
      <x:c r="Q60" s="159" t="str">
        <x:v>Strategic coastal retreat directly changes the location and density of exposed population.</x:v>
      </x:c>
      <x:c r="R60" s="160" t="str">
        <x:v>Planned relocation and retreat of people, assets, and activities from coastal hazard zones to reduce exposure and risks caused by sea-level rise and associated coastal hazards.</x:v>
      </x:c>
    </x:row>
    <x:row r="61" ht="66" customHeight="1">
      <x:c r="A61" s="165" t="str">
        <x:v>icare_0173</x:v>
      </x:c>
      <x:c r="B61" s="159" t="str">
        <x:v>Preventive maintenance of drainage systems</x:v>
      </x:c>
      <x:c r="C61" s="159" t="str">
        <x:v>Energy security</x:v>
      </x:c>
      <x:c r="D61" s="159" t="str">
        <x:v>Vulnerability</x:v>
      </x:c>
      <x:c r="E61" s="153" t="str"/>
      <x:c r="F61" s="153" t="str"/>
      <x:c r="G61" s="159" t="str">
        <x:v>Eligible</x:v>
      </x:c>
      <x:c r="H61" s="159" t="str">
        <x:v>Low</x:v>
      </x:c>
      <x:c r="I61" s="159" t="str">
        <x:v>Complete (1/1)</x:v>
      </x:c>
      <x:c r="J61" s="159" t="str">
        <x:v>Broad</x:v>
      </x:c>
      <x:c r="K61" s="159" t="str">
        <x:v>No</x:v>
      </x:c>
      <x:c r="L61" s="159" t="str">
        <x:v>5-10 years</x:v>
      </x:c>
      <x:c r="M61" s="168" t="n">
        <x:v>2</x:v>
      </x:c>
      <x:c r="N61" s="168" t="n">
        <x:v>10</x:v>
      </x:c>
      <x:c r="O61" s="159" t="str"/>
      <x:c r="P61" s="159" t="str">
        <x:v>Electricity interruption</x:v>
      </x:c>
      <x:c r="Q61" s="159" t="str">
        <x:v>Preventive drainage maintenance reduces flood-related infrastructure disruption that can interrupt electricity supply.</x:v>
      </x:c>
      <x:c r="R61" s="160" t="str">
        <x:v>Regular upkeep and cleaning of urban drainage systems, including storm drains, sewers, and retention basins, to ensure efficient water flow and prevent blockages that can lead to flooding during heavy rainfall events.</x:v>
      </x:c>
    </x:row>
    <x:row r="62" ht="66" customHeight="1">
      <x:c r="A62" s="165" t="str">
        <x:v>c40_0053</x:v>
      </x:c>
      <x:c r="B62" s="159" t="str">
        <x:v>Promote water-saving technologies and practices</x:v>
      </x:c>
      <x:c r="C62" s="159" t="str">
        <x:v>Energy security</x:v>
      </x:c>
      <x:c r="D62" s="159" t="str">
        <x:v>Vulnerability</x:v>
      </x:c>
      <x:c r="E62" s="153" t="str"/>
      <x:c r="F62" s="153" t="str"/>
      <x:c r="G62" s="159" t="str">
        <x:v>Eligible</x:v>
      </x:c>
      <x:c r="H62" s="159" t="str">
        <x:v>None demonstrated</x:v>
      </x:c>
      <x:c r="I62" s="159" t="str">
        <x:v>None (0/1)</x:v>
      </x:c>
      <x:c r="J62" s="159" t="str">
        <x:v>None</x:v>
      </x:c>
      <x:c r="K62" s="159" t="str">
        <x:v>No</x:v>
      </x:c>
      <x:c r="L62" s="159" t="str">
        <x:v>5-10 years</x:v>
      </x:c>
      <x:c r="M62" s="168" t="n">
        <x:v>0</x:v>
      </x:c>
      <x:c r="N62" s="168" t="n">
        <x:v>10</x:v>
      </x:c>
      <x:c r="O62" s="159" t="str"/>
      <x:c r="P62" s="159" t="str">
        <x:v>Residential electrical consumption</x:v>
      </x:c>
      <x:c r="Q62" s="159" t="str">
        <x:v>Household water-efficiency measures, particularly reduced hot-water use, can directly reduce residential electricity consumption.</x:v>
      </x:c>
      <x:c r="R62" s="160" t="str">
        <x:v>Encourages the adoption of water-saving technologies and practices to conserve water resources and strengthen resilience to climate change. This includes measures such as rainwater harvesting, low-flow appliances, leak detection systems, and municipal incentive programs that support households and businesses in reducing consumption. These actions enhance sustainable water use and complement broader eco-engineering and adaptation efforts.</x:v>
      </x:c>
    </x:row>
    <x:row r="63" ht="66" customHeight="1">
      <x:c r="A63" s="165" t="str">
        <x:v>icare_0178</x:v>
      </x:c>
      <x:c r="B63" s="159" t="str">
        <x:v>Redirect urban development through climate‑risk spatial planning</x:v>
      </x:c>
      <x:c r="C63" s="159" t="str">
        <x:v>Energy security</x:v>
      </x:c>
      <x:c r="D63" s="159" t="str">
        <x:v>Exposure</x:v>
      </x:c>
      <x:c r="E63" s="153" t="str"/>
      <x:c r="F63" s="153" t="str"/>
      <x:c r="G63" s="159" t="str">
        <x:v>Eligible</x:v>
      </x:c>
      <x:c r="H63" s="159" t="str">
        <x:v>Medium</x:v>
      </x:c>
      <x:c r="I63" s="159" t="str">
        <x:v>Complete (1/1)</x:v>
      </x:c>
      <x:c r="J63" s="159" t="str">
        <x:v>Moderate</x:v>
      </x:c>
      <x:c r="K63" s="159" t="str">
        <x:v>No</x:v>
      </x:c>
      <x:c r="L63" s="159" t="str">
        <x:v>&lt;5 years</x:v>
      </x:c>
      <x:c r="M63" s="168" t="n">
        <x:v>1</x:v>
      </x:c>
      <x:c r="N63" s="168" t="n">
        <x:v>10</x:v>
      </x:c>
      <x:c r="O63" s="159" t="str"/>
      <x:c r="P63" s="159" t="str">
        <x:v>Population density</x:v>
      </x:c>
      <x:c r="Q63" s="159" t="str">
        <x:v>Climate-risk spatial planning redirects future development and therefore changes the location and density of exposed population.</x:v>
      </x:c>
      <x:c r="R63" s="160" t="str">
        <x:v>Mapping of critical flood-prone areas with the aim of revising and harmonizing legislation related to land use, given the intensification of the impacts of extreme weather events.</x:v>
      </x:c>
    </x:row>
    <x:row r="64" ht="66" customHeight="1">
      <x:c r="A64" s="165" t="str">
        <x:v>icare_0181</x:v>
      </x:c>
      <x:c r="B64" s="159" t="str">
        <x:v>Restore in Vulnerable Areas</x:v>
      </x:c>
      <x:c r="C64" s="159" t="str">
        <x:v>Energy security</x:v>
      </x:c>
      <x:c r="D64" s="159" t="str">
        <x:v>Exposure</x:v>
      </x:c>
      <x:c r="E64" s="153" t="str"/>
      <x:c r="F64" s="153" t="str"/>
      <x:c r="G64" s="159" t="str">
        <x:v>Eligible</x:v>
      </x:c>
      <x:c r="H64" s="159" t="str">
        <x:v>Medium</x:v>
      </x:c>
      <x:c r="I64" s="159" t="str">
        <x:v>Complete (1/1)</x:v>
      </x:c>
      <x:c r="J64" s="159" t="str">
        <x:v>Moderate</x:v>
      </x:c>
      <x:c r="K64" s="159" t="str">
        <x:v>Yes</x:v>
      </x:c>
      <x:c r="L64" s="159" t="str">
        <x:v>5-10 years</x:v>
      </x:c>
      <x:c r="M64" s="168" t="n">
        <x:v>2</x:v>
      </x:c>
      <x:c r="N64" s="168" t="n">
        <x:v>10</x:v>
      </x:c>
      <x:c r="O64" s="159" t="str"/>
      <x:c r="P64" s="159" t="str">
        <x:v>Population density</x:v>
      </x:c>
      <x:c r="Q64" s="159" t="str">
        <x:v>Relocating residents from flood-prone areas directly changes population location and density exposure.</x:v>
      </x:c>
      <x:c r="R64" s="160" t="str">
        <x:v>A comprehensive project addressing the socio-environmental vulnerability of an informal settlement. It includes relocating residents from flood-prone areas, restoring the environment, and providing infrastructure and social services.</x:v>
      </x:c>
    </x:row>
    <x:row r="65" ht="66" customHeight="1">
      <x:c r="A65" s="165" t="str">
        <x:v>ipcc_0089</x:v>
      </x:c>
      <x:c r="B65" s="159" t="str">
        <x:v>Spatially redirect development</x:v>
      </x:c>
      <x:c r="C65" s="159" t="str">
        <x:v>Energy security</x:v>
      </x:c>
      <x:c r="D65" s="159" t="str">
        <x:v>Exposure</x:v>
      </x:c>
      <x:c r="E65" s="153" t="str"/>
      <x:c r="F65" s="153" t="str"/>
      <x:c r="G65" s="159" t="str">
        <x:v>Eligible</x:v>
      </x:c>
      <x:c r="H65" s="159" t="str">
        <x:v>Medium</x:v>
      </x:c>
      <x:c r="I65" s="159" t="str">
        <x:v>Complete (1/1)</x:v>
      </x:c>
      <x:c r="J65" s="159" t="str">
        <x:v>Moderate</x:v>
      </x:c>
      <x:c r="K65" s="159" t="str">
        <x:v>No</x:v>
      </x:c>
      <x:c r="L65" s="159" t="str">
        <x:v>5-10 years</x:v>
      </x:c>
      <x:c r="M65" s="168" t="n">
        <x:v>1</x:v>
      </x:c>
      <x:c r="N65" s="168" t="n">
        <x:v>10</x:v>
      </x:c>
      <x:c r="O65" s="159" t="str"/>
      <x:c r="P65" s="159" t="str">
        <x:v>Population density</x:v>
      </x:c>
      <x:c r="Q65" s="159" t="str">
        <x:v>Redirecting development away from high-risk areas directly changes the location and density of exposed population.</x:v>
      </x:c>
      <x:c r="R65" s="160" t="str">
        <x:v>Use zoning and land-use planning to regulate coastal development by implementing spatial development strategies that consider environmental vulnerabilities, protect ecosystems, and mitigate risks from flooding, heatwaves, and sea-level rise. This includes ensuring that development is directed away from high-risk areas, integrating climate adaptation considerations into urban planning, and promoting sustainable practices to close adaptation gaps while addressing urban inequality.</x:v>
      </x:c>
    </x:row>
    <x:row r="66" ht="66" customHeight="1">
      <x:c r="A66" s="165" t="str">
        <x:v>ipcc_0089</x:v>
      </x:c>
      <x:c r="B66" s="159" t="str">
        <x:v>Spatially redirect development</x:v>
      </x:c>
      <x:c r="C66" s="159" t="str">
        <x:v>Energy security</x:v>
      </x:c>
      <x:c r="D66" s="159" t="str">
        <x:v>Vulnerability</x:v>
      </x:c>
      <x:c r="E66" s="153" t="str"/>
      <x:c r="F66" s="153" t="str"/>
      <x:c r="G66" s="159" t="str">
        <x:v>Eligible</x:v>
      </x:c>
      <x:c r="H66" s="159" t="str">
        <x:v>None demonstrated</x:v>
      </x:c>
      <x:c r="I66" s="159" t="str">
        <x:v>None (0/1)</x:v>
      </x:c>
      <x:c r="J66" s="159" t="str">
        <x:v>None</x:v>
      </x:c>
      <x:c r="K66" s="159" t="str">
        <x:v>No</x:v>
      </x:c>
      <x:c r="L66" s="159" t="str">
        <x:v>5-10 years</x:v>
      </x:c>
      <x:c r="M66" s="168" t="n">
        <x:v>0</x:v>
      </x:c>
      <x:c r="N66" s="168" t="n">
        <x:v>10</x:v>
      </x:c>
      <x:c r="O66" s="159" t="str"/>
      <x:c r="P66" s="159" t="str">
        <x:v>Resilient cities</x:v>
      </x:c>
      <x:c r="Q66" s="159" t="str">
        <x:v>Climate-risk zoning and land-use planning directly strengthen municipal resilience planning represented by the resilient-cities indicator.</x:v>
      </x:c>
      <x:c r="R66" s="160" t="str">
        <x:v>Use zoning and land-use planning to regulate coastal development by implementing spatial development strategies that consider environmental vulnerabilities, protect ecosystems, and mitigate risks from flooding, heatwaves, and sea-level rise. This includes ensuring that development is directed away from high-risk areas, integrating climate adaptation considerations into urban planning, and promoting sustainable practices to close adaptation gaps while addressing urban inequality.</x:v>
      </x:c>
    </x:row>
    <x:row r="67" ht="66" customHeight="1">
      <x:c r="A67" s="165" t="str">
        <x:v>ipcc_0103</x:v>
      </x:c>
      <x:c r="B67" s="159" t="str">
        <x:v>Strengthen cooperative climate governance</x:v>
      </x:c>
      <x:c r="C67" s="159" t="str">
        <x:v>Energy security</x:v>
      </x:c>
      <x:c r="D67" s="159" t="str">
        <x:v>Vulnerability</x:v>
      </x:c>
      <x:c r="E67" s="153" t="str"/>
      <x:c r="F67" s="153" t="str"/>
      <x:c r="G67" s="159" t="str">
        <x:v>Eligible</x:v>
      </x:c>
      <x:c r="H67" s="159" t="str">
        <x:v>High</x:v>
      </x:c>
      <x:c r="I67" s="159" t="str">
        <x:v>Complete (1/1)</x:v>
      </x:c>
      <x:c r="J67" s="159" t="str">
        <x:v>Broad</x:v>
      </x:c>
      <x:c r="K67" s="159" t="str">
        <x:v>No</x:v>
      </x:c>
      <x:c r="L67" s="159" t="str">
        <x:v>5-10 years</x:v>
      </x:c>
      <x:c r="M67" s="168" t="n">
        <x:v>2</x:v>
      </x:c>
      <x:c r="N67" s="168" t="n">
        <x:v>10</x:v>
      </x:c>
      <x:c r="O67" s="159" t="str"/>
      <x:c r="P67" s="159" t="str">
        <x:v>Resilient cities</x:v>
      </x:c>
      <x:c r="Q67" s="159" t="str">
        <x:v>Cooperative and adaptive climate governance directly strengthens municipal resilience governance represented by the resilient-cities indicator.</x:v>
      </x:c>
      <x:c r="R67" s="160" t="str">
        <x:v>Enhancing cooperative governance through transboundary fishing agreements and inclusive ocean governance. This involves participatory approaches, structured decision-making tools, and decentralized frameworks that couple top-down management with community-driven initiatives. Additional strategies include collective water management systems to optimize resource use under climate-induced variability, indigenous water-sharing systems rooted in traditional practices to ensure sustainable and equitable resource allocation, and enforcing the land rights of Indigenous populations to protect biodiversity and cultural heritage. Adaptive co-management in Arctic fisheries integrates local and scientific knowledge to address climate impacts on marine resources. The international compact on migration fosters orderly and safe migration as an adaptive response to climate risks, and policies for adaptive governance promote ecosystem-based solutions, legal frameworks, and institutional adaptations to enhance resilience to climate change. These combined measures address geopolitical complexities, ensure equitable resource distribution, and strengthen resilience to climate-induced hazards.</x:v>
      </x:c>
    </x:row>
    <x:row r="68" ht="66" customHeight="1">
      <x:c r="A68" s="165" t="str">
        <x:v>ipcc_0091</x:v>
      </x:c>
      <x:c r="B68" s="159" t="str">
        <x:v>Support livelihood diversification for climate resilience</x:v>
      </x:c>
      <x:c r="C68" s="159" t="str">
        <x:v>Energy security</x:v>
      </x:c>
      <x:c r="D68" s="159" t="str">
        <x:v>Vulnerability</x:v>
      </x:c>
      <x:c r="E68" s="153" t="str"/>
      <x:c r="F68" s="153" t="str"/>
      <x:c r="G68" s="159" t="str">
        <x:v>Eligible</x:v>
      </x:c>
      <x:c r="H68" s="159" t="str">
        <x:v>Low</x:v>
      </x:c>
      <x:c r="I68" s="159" t="str">
        <x:v>Complete (2/2)</x:v>
      </x:c>
      <x:c r="J68" s="159" t="str">
        <x:v>Moderate</x:v>
      </x:c>
      <x:c r="K68" s="159" t="str">
        <x:v>No</x:v>
      </x:c>
      <x:c r="L68" s="159" t="str">
        <x:v>&lt;5 years</x:v>
      </x:c>
      <x:c r="M68" s="168" t="n">
        <x:v>1</x:v>
      </x:c>
      <x:c r="N68" s="168" t="n">
        <x:v>10</x:v>
      </x:c>
      <x:c r="O68" s="159" t="str"/>
      <x:c r="P68" s="159" t="str">
        <x:v>Municipal GDP per capita | Income greater than two minimum wages</x:v>
      </x:c>
      <x:c r="Q68" s="159" t="str">
        <x:v>Livelihood diversification directly affects income and local economic capacity represented by the GDP and household-income indicators.</x:v>
      </x:c>
      <x:c r="R68" s="160" t="str">
        <x:v>Promote alternative income opportunities to reduce the vulnerability of communities dependent on fisheries and mariculture. Municipal governments can facilitate training, microcredit programs, and connections to value chains that enable diversification into eco-tourism, agro-processing, crafts, and service sectors. By supporting infrastructure upgrades, skills development, and access to finance, cities can help stabilize incomes, strengthen local economies, and protect livelihoods from the impacts of shifting marine species distributions and climate variability.</x:v>
      </x:c>
    </x:row>
    <x:row r="69" ht="66" customHeight="1">
      <x:c r="A69" s="165" t="str">
        <x:v>ipcc_0088</x:v>
      </x:c>
      <x:c r="B69" s="159" t="str">
        <x:v>Update and enforce climate‑resilient building codes</x:v>
      </x:c>
      <x:c r="C69" s="159" t="str">
        <x:v>Energy security</x:v>
      </x:c>
      <x:c r="D69" s="159" t="str">
        <x:v>Vulnerability</x:v>
      </x:c>
      <x:c r="E69" s="153" t="str"/>
      <x:c r="F69" s="153" t="str"/>
      <x:c r="G69" s="159" t="str">
        <x:v>Eligible</x:v>
      </x:c>
      <x:c r="H69" s="159" t="str">
        <x:v>Medium</x:v>
      </x:c>
      <x:c r="I69" s="159" t="str">
        <x:v>Complete (1/1)</x:v>
      </x:c>
      <x:c r="J69" s="159" t="str">
        <x:v>Broad</x:v>
      </x:c>
      <x:c r="K69" s="159" t="str">
        <x:v>No</x:v>
      </x:c>
      <x:c r="L69" s="159" t="str">
        <x:v>5-10 years</x:v>
      </x:c>
      <x:c r="M69" s="168" t="n">
        <x:v>2</x:v>
      </x:c>
      <x:c r="N69" s="168" t="n">
        <x:v>10</x:v>
      </x:c>
      <x:c r="O69" s="159" t="str"/>
      <x:c r="P69" s="159" t="str">
        <x:v>Resilient cities</x:v>
      </x:c>
      <x:c r="Q69" s="159" t="str">
        <x:v>Climate-resilient building codes and coordinated long-term urban planning directly strengthen the governance capacity represented by the resilient-cities indicator.</x:v>
      </x:c>
      <x:c r="R69" s="160" t="str">
        <x:v>The development and implementation of building codes and architectural design regulations aimed at integrating climate adaptation parameters. These codes are focused on reducing risks from climate-induced hazards like floods and landslides. They also support climate-resilient urban development by guiding land use, construction practices, and infrastructure standards. The initiative fosters strategic long-term urban planning to coordinate public and private investments in adaptation, including the creation of safe zones and the transformation of precarious settlements. It ensures that new infrastructure is resilient to climate risks and that urban spaces are safe and sustainable for current and future populations.</x:v>
      </x:c>
    </x:row>
    <x:row r="70" ht="66" customHeight="1">
      <x:c r="A70" s="165" t="str">
        <x:v>icare_0184</x:v>
      </x:c>
      <x:c r="B70" s="159" t="str">
        <x:v>Upgrade Slope stabilization and drainage</x:v>
      </x:c>
      <x:c r="C70" s="159" t="str">
        <x:v>Energy security</x:v>
      </x:c>
      <x:c r="D70" s="159" t="str">
        <x:v>Vulnerability</x:v>
      </x:c>
      <x:c r="E70" s="153" t="str"/>
      <x:c r="F70" s="153" t="str"/>
      <x:c r="G70" s="159" t="str">
        <x:v>Eligible</x:v>
      </x:c>
      <x:c r="H70" s="159" t="str">
        <x:v>Low</x:v>
      </x:c>
      <x:c r="I70" s="159" t="str">
        <x:v>Complete (1/1)</x:v>
      </x:c>
      <x:c r="J70" s="159" t="str">
        <x:v>Broad</x:v>
      </x:c>
      <x:c r="K70" s="159" t="str">
        <x:v>No</x:v>
      </x:c>
      <x:c r="L70" s="159" t="str">
        <x:v>5-10 years</x:v>
      </x:c>
      <x:c r="M70" s="168" t="n">
        <x:v>2</x:v>
      </x:c>
      <x:c r="N70" s="168" t="n">
        <x:v>10</x:v>
      </x:c>
      <x:c r="O70" s="159" t="str"/>
      <x:c r="P70" s="159" t="str">
        <x:v>Electricity interruption</x:v>
      </x:c>
      <x:c r="Q70" s="159" t="str">
        <x:v>Slope stabilization and restored drainage reduce hazard damage that can interrupt electricity infrastructure and supply.</x:v>
      </x:c>
      <x:c r="R70" s="160" t="str">
        <x:v>This action involves stabilizing slopes and maintaining or restoring drainage systems in hillside areas. This helps to prevent landslides and erosion, reducing the risk of disasters.</x:v>
      </x:c>
    </x:row>
    <x:row r="71" ht="66" customHeight="1">
      <x:c r="A71" s="165" t="str">
        <x:v>c40_0048</x:v>
      </x:c>
      <x:c r="B71" s="159" t="str">
        <x:v>Upgrade urban drainage systems</x:v>
      </x:c>
      <x:c r="C71" s="159" t="str">
        <x:v>Energy security</x:v>
      </x:c>
      <x:c r="D71" s="159" t="str">
        <x:v>Vulnerability</x:v>
      </x:c>
      <x:c r="E71" s="153" t="str"/>
      <x:c r="F71" s="153" t="str"/>
      <x:c r="G71" s="159" t="str">
        <x:v>Eligible</x:v>
      </x:c>
      <x:c r="H71" s="159" t="str">
        <x:v>Low</x:v>
      </x:c>
      <x:c r="I71" s="159" t="str">
        <x:v>Complete (1/1)</x:v>
      </x:c>
      <x:c r="J71" s="159" t="str">
        <x:v>Broad</x:v>
      </x:c>
      <x:c r="K71" s="159" t="str">
        <x:v>No</x:v>
      </x:c>
      <x:c r="L71" s="159" t="str">
        <x:v>5-10 years</x:v>
      </x:c>
      <x:c r="M71" s="168" t="n">
        <x:v>2</x:v>
      </x:c>
      <x:c r="N71" s="168" t="n">
        <x:v>10</x:v>
      </x:c>
      <x:c r="O71" s="159" t="str"/>
      <x:c r="P71" s="159" t="str">
        <x:v>Electricity interruption</x:v>
      </x:c>
      <x:c r="Q71" s="159" t="str">
        <x:v>Urban drainage upgrades reduce flood-related damage and service disruption that can interrupt electricity supply.</x:v>
      </x:c>
      <x:c r="R71" s="160" t="str">
        <x:v>"Upgrade urban drainage systems" involves eco-engineering solutions to enhance drainage systems, through capacity upgrade and network expansion. This adaptation measure aims to improve urban resilience by minimizing the impact of extreme weather events such as flooding.</x:v>
      </x:c>
    </x:row>
    <x:row r="72" ht="66" customHeight="1">
      <x:c r="A72" s="165" t="str">
        <x:v>icare_0170</x:v>
      </x:c>
      <x:c r="B72" s="159" t="str">
        <x:v>Build safe housing and implement urban rehabilitation projects for populations living in high-risk areas</x:v>
      </x:c>
      <x:c r="C72" s="159" t="str">
        <x:v>Food security</x:v>
      </x:c>
      <x:c r="D72" s="159" t="str">
        <x:v>Exposure</x:v>
      </x:c>
      <x:c r="E72" s="153" t="str"/>
      <x:c r="F72" s="153" t="str"/>
      <x:c r="G72" s="159" t="str">
        <x:v>Eligible</x:v>
      </x:c>
      <x:c r="H72" s="159" t="str">
        <x:v>None demonstrated</x:v>
      </x:c>
      <x:c r="I72" s="159" t="str">
        <x:v>None (0/2)</x:v>
      </x:c>
      <x:c r="J72" s="159" t="str">
        <x:v>None</x:v>
      </x:c>
      <x:c r="K72" s="159" t="str">
        <x:v>No</x:v>
      </x:c>
      <x:c r="L72" s="159" t="str">
        <x:v>&gt;10 years</x:v>
      </x:c>
      <x:c r="M72" s="168" t="n">
        <x:v>0</x:v>
      </x:c>
      <x:c r="N72" s="168" t="n">
        <x:v>11</x:v>
      </x:c>
      <x:c r="O72" s="159" t="str"/>
      <x:c r="P72" s="159" t="str">
        <x:v>Population density | Total population</x:v>
      </x:c>
      <x:c r="Q72" s="159" t="str">
        <x:v>Conservative eligibility screen: the action's stated mechanism has a plausible direct pathway to Population density, Total population. Evidence determines whether the effect is demonstrated and in which direction.</x:v>
      </x:c>
      <x:c r="R72" s="160" t="str">
        <x:v>The priority of this action is to build safe housing and implement urban rehabilitation projects for the population living in areas prone to landslides and flooding, as the housing deficit is one of the main factors related to these threats. This will be implemented through the construction of new housing units in safe locations for family resettlement, and infrastructure upgrades like slope stabilization and improved drainage systems within vulnerable communities.</x:v>
      </x:c>
    </x:row>
    <x:row r="73" ht="66" customHeight="1">
      <x:c r="A73" s="165" t="str">
        <x:v>icare_0188</x:v>
      </x:c>
      <x:c r="B73" s="159" t="str">
        <x:v>Create an Environmental Health Surveillance Program related to Populations Exposed to Air Pollution, Noise Pollution, Water Pollution, and Soil Pollution.</x:v>
      </x:c>
      <x:c r="C73" s="159" t="str">
        <x:v>Food security</x:v>
      </x:c>
      <x:c r="D73" s="159" t="str">
        <x:v>Vulnerability</x:v>
      </x:c>
      <x:c r="E73" s="153" t="str"/>
      <x:c r="F73" s="153" t="str"/>
      <x:c r="G73" s="159" t="str">
        <x:v>Eligible</x:v>
      </x:c>
      <x:c r="H73" s="159" t="str">
        <x:v>None demonstrated</x:v>
      </x:c>
      <x:c r="I73" s="159" t="str">
        <x:v>None (0/2)</x:v>
      </x:c>
      <x:c r="J73" s="159" t="str">
        <x:v>None</x:v>
      </x:c>
      <x:c r="K73" s="159" t="str">
        <x:v>No</x:v>
      </x:c>
      <x:c r="L73" s="159" t="str">
        <x:v>5-10 years</x:v>
      </x:c>
      <x:c r="M73" s="168" t="n">
        <x:v>0</x:v>
      </x:c>
      <x:c r="N73" s="168" t="n">
        <x:v>11</x:v>
      </x:c>
      <x:c r="O73" s="159" t="str"/>
      <x:c r="P73" s="159" t="str">
        <x:v>Compromised water quality | Occurrence of diseases related to inadequate environmental sanitation</x:v>
      </x:c>
      <x:c r="Q73" s="159" t="str">
        <x:v>Conservative eligibility screen: the action's stated mechanism has a plausible direct pathway to Compromised water quality, Occurrence of diseases related to inadequate environmental sanitation. Evidence determines whether the effect is demonstrated and in which direction.</x:v>
      </x:c>
      <x:c r="R73" s="160" t="str">
        <x:v>Develop actions aimed at promoting the health of the population exposed to environmental factors related to atmospheric, noise, and sanitation pollutants. Identify and evaluate the acute and chronic risks and effects of exposure to fixed and mobile sources of air, noise, water, and soil pollution, and act in the surveillance of diseases derived from these pollutants through physical units and work groups, especially among the most vulnerable people.</x:v>
      </x:c>
    </x:row>
    <x:row r="74" ht="66" customHeight="1">
      <x:c r="A74" s="165" t="str">
        <x:v>icare_0176</x:v>
      </x:c>
      <x:c r="B74" s="159" t="str">
        <x:v>Develop a Climate Action Plan</x:v>
      </x:c>
      <x:c r="C74" s="159" t="str">
        <x:v>Food security</x:v>
      </x:c>
      <x:c r="D74" s="159" t="str">
        <x:v>Vulnerability</x:v>
      </x:c>
      <x:c r="E74" s="153" t="str"/>
      <x:c r="F74" s="153" t="str"/>
      <x:c r="G74" s="159" t="str">
        <x:v>Eligible</x:v>
      </x:c>
      <x:c r="H74" s="159" t="str">
        <x:v>Low</x:v>
      </x:c>
      <x:c r="I74" s="159" t="str">
        <x:v>Complete (3/3)</x:v>
      </x:c>
      <x:c r="J74" s="159" t="str">
        <x:v>Moderate</x:v>
      </x:c>
      <x:c r="K74" s="159" t="str">
        <x:v>No</x:v>
      </x:c>
      <x:c r="L74" s="159" t="str">
        <x:v>&lt;5 years</x:v>
      </x:c>
      <x:c r="M74" s="168" t="n">
        <x:v>1</x:v>
      </x:c>
      <x:c r="N74" s="168" t="n">
        <x:v>11</x:v>
      </x:c>
      <x:c r="O74" s="159" t="str"/>
      <x:c r="P74" s="159" t="str">
        <x:v>Investment in agrarian and environmental management policies | Federal investment per capita | Food safety instruments</x:v>
      </x:c>
      <x:c r="Q74" s="159" t="str">
        <x:v>Conservative eligibility screen: the action's stated mechanism has a plausible direct pathway to Investment in agrarian and environmental management policies, Federal investment per capita, Food safety instruments. Evidence determines whether the effect is demonstrated and in which direction.</x:v>
      </x:c>
      <x:c r="R74" s="160" t="str">
        <x:v>A comprehensive plan outlining a city's strategies and actions to mitigate greenhouse gas emissions and adapt to the impacts of climate change which typically includes an assessment of the city's climate risks and vulnerabilities, setting emission reduction targets, and implementation of actions across various sectors such as energy, transportation, waste management, and urban planning.</x:v>
      </x:c>
    </x:row>
    <x:row r="75" ht="66" customHeight="1">
      <x:c r="A75" s="165" t="str">
        <x:v>icare_0182</x:v>
      </x:c>
      <x:c r="B75" s="159" t="str">
        <x:v>Develop an Urban Afforestation Plan</x:v>
      </x:c>
      <x:c r="C75" s="159" t="str">
        <x:v>Food security</x:v>
      </x:c>
      <x:c r="D75" s="159" t="str">
        <x:v>Vulnerability</x:v>
      </x:c>
      <x:c r="E75" s="153" t="str"/>
      <x:c r="F75" s="153" t="str"/>
      <x:c r="G75" s="159" t="str">
        <x:v>Eligible</x:v>
      </x:c>
      <x:c r="H75" s="159" t="str">
        <x:v>Low</x:v>
      </x:c>
      <x:c r="I75" s="159" t="str">
        <x:v>Complete (2/2)</x:v>
      </x:c>
      <x:c r="J75" s="159" t="str">
        <x:v>Moderate</x:v>
      </x:c>
      <x:c r="K75" s="159" t="str">
        <x:v>No</x:v>
      </x:c>
      <x:c r="L75" s="159" t="str">
        <x:v>5-10 years</x:v>
      </x:c>
      <x:c r="M75" s="168" t="n">
        <x:v>1</x:v>
      </x:c>
      <x:c r="N75" s="168" t="n">
        <x:v>11</x:v>
      </x:c>
      <x:c r="O75" s="159" t="str"/>
      <x:c r="P75" s="159" t="str">
        <x:v>Agricultural areas with soil susceptible to erosion | Vegetation cover losses</x:v>
      </x:c>
      <x:c r="Q75" s="159" t="str">
        <x:v>Conservative eligibility screen: the action's stated mechanism has a plausible direct pathway to Agricultural areas with soil susceptible to erosion, Vegetation cover losses. Evidence determines whether the effect is demonstrated and in which direction.</x:v>
      </x:c>
      <x:c r="R75" s="160" t="str">
        <x:v>This action focuses on expanding green areas in the city through urban afforestation. This includes planting trees in sidewalks, squares, public buildings, and schools, as well as creating ecological parks to revitalize watercourses and/or restore forests.</x:v>
      </x:c>
    </x:row>
    <x:row r="76" ht="66" customHeight="1">
      <x:c r="A76" s="165" t="str">
        <x:v>icare_0144</x:v>
      </x:c>
      <x:c r="B76" s="159" t="str">
        <x:v>Establish a financial support program for extreme weather events</x:v>
      </x:c>
      <x:c r="C76" s="159" t="str">
        <x:v>Food security</x:v>
      </x:c>
      <x:c r="D76" s="159" t="str">
        <x:v>Vulnerability</x:v>
      </x:c>
      <x:c r="E76" s="153" t="str"/>
      <x:c r="F76" s="153" t="str"/>
      <x:c r="G76" s="159" t="str">
        <x:v>Eligible</x:v>
      </x:c>
      <x:c r="H76" s="159" t="str">
        <x:v>Medium</x:v>
      </x:c>
      <x:c r="I76" s="159" t="str">
        <x:v>Complete (8/8)</x:v>
      </x:c>
      <x:c r="J76" s="159" t="str">
        <x:v>Broad</x:v>
      </x:c>
      <x:c r="K76" s="159" t="str">
        <x:v>No</x:v>
      </x:c>
      <x:c r="L76" s="159" t="str">
        <x:v>&lt;5 years</x:v>
      </x:c>
      <x:c r="M76" s="168" t="n">
        <x:v>2</x:v>
      </x:c>
      <x:c r="N76" s="168" t="n">
        <x:v>11</x:v>
      </x:c>
      <x:c r="O76" s="159" t="str"/>
      <x:c r="P76" s="159" t="str">
        <x:v>Investment in agrarian and environmental management policies | Harvest guarantee program | PRONAF coverage | Proagro coverage plus | PSR coverage | Federal investment per capita | Scope of the family allowance program | Households with high per capita income</x:v>
      </x:c>
      <x:c r="Q76" s="159" t="str">
        <x:v>Conservative eligibility screen: the action's stated mechanism has a plausible direct pathway to Investment in agrarian and environmental management policies, Harvest guarantee program, PRONAF coverage, Proagro coverage plus, PSR coverage, Federal investment per capita, Scope of the family allowance program, Households with high per capita income. Evidence determines whether the effect is demonstrated and in which direction.</x:v>
      </x:c>
      <x:c r="R76" s="160" t="str">
        <x:v>Creation of a program to mitigate the effects of climate tragedies, including financial assistance to affected families, efforts to increase access to affordable hazard insurance, and efforts to secure additional resources for recovery and reconstruction, including partnerships with state and federal government bodies. Recovery and reconstruction measures should include adaptive measures with the emphasis on build back better to withstand future hazards and helping residents retrofit buildings.</x:v>
      </x:c>
    </x:row>
    <x:row r="77" ht="66" customHeight="1">
      <x:c r="A77" s="165" t="str">
        <x:v>icare_0163</x:v>
      </x:c>
      <x:c r="B77" s="159" t="str">
        <x:v>Establish a first‑response firefighting brigade</x:v>
      </x:c>
      <x:c r="C77" s="159" t="str">
        <x:v>Food security</x:v>
      </x:c>
      <x:c r="D77" s="159" t="str">
        <x:v>Vulnerability</x:v>
      </x:c>
      <x:c r="E77" s="153" t="str"/>
      <x:c r="F77" s="153" t="str"/>
      <x:c r="G77" s="159" t="str">
        <x:v>Eligible</x:v>
      </x:c>
      <x:c r="H77" s="159" t="str">
        <x:v>None demonstrated</x:v>
      </x:c>
      <x:c r="I77" s="159" t="str">
        <x:v>None (0/2)</x:v>
      </x:c>
      <x:c r="J77" s="159" t="str">
        <x:v>None</x:v>
      </x:c>
      <x:c r="K77" s="159" t="str">
        <x:v>No</x:v>
      </x:c>
      <x:c r="L77" s="159" t="str">
        <x:v>&lt;5 years</x:v>
      </x:c>
      <x:c r="M77" s="168" t="n">
        <x:v>0</x:v>
      </x:c>
      <x:c r="N77" s="168" t="n">
        <x:v>11</x:v>
      </x:c>
      <x:c r="O77" s="159" t="str"/>
      <x:c r="P77" s="159" t="str">
        <x:v>Fire hotspots | Vegetation cover losses</x:v>
      </x:c>
      <x:c r="Q77" s="159" t="str">
        <x:v>Conservative eligibility screen: the action's stated mechanism has a plausible direct pathway to Fire hotspots, Vegetation cover losses. Evidence determines whether the effect is demonstrated and in which direction.</x:v>
      </x:c>
      <x:c r="R77" s="160" t="str">
        <x:v>Creation of a First Response Brigade in rural communities to provide them with training and equipment for fire prevention and firefighting.</x:v>
      </x:c>
    </x:row>
    <x:row r="78" ht="66" customHeight="1">
      <x:c r="A78" s="165" t="str">
        <x:v>icare_0160</x:v>
      </x:c>
      <x:c r="B78" s="159" t="str">
        <x:v>Establish mechanisms for intersectoral coordination and public participation in climate policy</x:v>
      </x:c>
      <x:c r="C78" s="159" t="str">
        <x:v>Food security</x:v>
      </x:c>
      <x:c r="D78" s="159" t="str">
        <x:v>Vulnerability</x:v>
      </x:c>
      <x:c r="E78" s="153" t="str"/>
      <x:c r="F78" s="153" t="str"/>
      <x:c r="G78" s="159" t="str">
        <x:v>Eligible</x:v>
      </x:c>
      <x:c r="H78" s="159" t="str">
        <x:v>Low</x:v>
      </x:c>
      <x:c r="I78" s="159" t="str">
        <x:v>Complete (4/4)</x:v>
      </x:c>
      <x:c r="J78" s="159" t="str">
        <x:v>Moderate</x:v>
      </x:c>
      <x:c r="K78" s="159" t="str">
        <x:v>No</x:v>
      </x:c>
      <x:c r="L78" s="159" t="str">
        <x:v>&lt;5 years</x:v>
      </x:c>
      <x:c r="M78" s="168" t="n">
        <x:v>1</x:v>
      </x:c>
      <x:c r="N78" s="168" t="n">
        <x:v>11</x:v>
      </x:c>
      <x:c r="O78" s="159" t="str"/>
      <x:c r="P78" s="159" t="str">
        <x:v>Investment in agrarian and environmental management policies | Associativism | Federal investment per capita | Food safety instruments</x:v>
      </x:c>
      <x:c r="Q78" s="159" t="str">
        <x:v>Conservative eligibility screen: the action's stated mechanism has a plausible direct pathway to Investment in agrarian and environmental management policies, Associativism, Federal investment per capita, Food safety instruments. Evidence determines whether the effect is demonstrated and in which direction.</x:v>
      </x:c>
      <x:c r="R78" s="160" t="str">
        <x:v>Establish more mechanisms that enable better intersectoral coordination and public participation in climate policy, including the creation of working groups with neighboring municipalities to discuss a common climate agenda.</x:v>
      </x:c>
    </x:row>
    <x:row r="79" ht="66" customHeight="1">
      <x:c r="A79" s="165" t="str">
        <x:v>ipcc_0090</x:v>
      </x:c>
      <x:c r="B79" s="159" t="str">
        <x:v>Expand climate risk insurance coverage</x:v>
      </x:c>
      <x:c r="C79" s="159" t="str">
        <x:v>Food security</x:v>
      </x:c>
      <x:c r="D79" s="159" t="str">
        <x:v>Vulnerability</x:v>
      </x:c>
      <x:c r="E79" s="153" t="str"/>
      <x:c r="F79" s="153" t="str"/>
      <x:c r="G79" s="159" t="str">
        <x:v>Eligible</x:v>
      </x:c>
      <x:c r="H79" s="159" t="str">
        <x:v>Medium</x:v>
      </x:c>
      <x:c r="I79" s="159" t="str">
        <x:v>Complete (8/8)</x:v>
      </x:c>
      <x:c r="J79" s="159" t="str">
        <x:v>Broad</x:v>
      </x:c>
      <x:c r="K79" s="159" t="str">
        <x:v>No</x:v>
      </x:c>
      <x:c r="L79" s="159" t="str">
        <x:v>&lt;5 years</x:v>
      </x:c>
      <x:c r="M79" s="168" t="n">
        <x:v>2</x:v>
      </x:c>
      <x:c r="N79" s="168" t="n">
        <x:v>11</x:v>
      </x:c>
      <x:c r="O79" s="159" t="str"/>
      <x:c r="P79" s="159" t="str">
        <x:v>Harvest guarantee program | PRONAF coverage | Proagro coverage plus | PSR coverage | Diversity of revenues | Food safety instruments | Scope of the family allowance program | Households with high per capita income</x:v>
      </x:c>
      <x:c r="Q79" s="159" t="str">
        <x:v>Conservative eligibility screen: the action's stated mechanism has a plausible direct pathway to Harvest guarantee program, PRONAF coverage, Proagro coverage plus, PSR coverage, Diversity of revenues, Food safety instruments, Scope of the family allowance program, Households with high per capita income. Evidence determines whether the effect is demonstrated and in which direction.</x:v>
      </x:c>
      <x:c r="R79" s="160" t="str">
        <x:v>Insurance provides financial risk management tools tailored to climate-induced challenges. This includes traditional agricultural insurance to protect farmers from weather-related losses and innovative index-based insurance solutions. Index-based insurance leverages measurable weather indices, such as rainfall or temperature, to trigger payouts automatically when thresholds are reached, bypassing the need for loss verification. These tools help stabilize incomes, encourage investment in climate-resilient practices, and reduce the economic vulnerability of stakeholders in agriculture, aquaculture, and energy sectors. Furthermore, bundled insurance products with additional services like fertilizer or seed access enhance overall resilience, particularly in underserved and rural communities. By mitigating risks associated with droughts, floods, and storms, insurance supports sustainable development and adaptation goals</x:v>
      </x:c>
    </x:row>
    <x:row r="80" ht="66" customHeight="1">
      <x:c r="A80" s="165" t="str">
        <x:v>ipcc_0092</x:v>
      </x:c>
      <x:c r="B80" s="159" t="str">
        <x:v>Expand climate‑responsive social safety nets</x:v>
      </x:c>
      <x:c r="C80" s="159" t="str">
        <x:v>Food security</x:v>
      </x:c>
      <x:c r="D80" s="159" t="str">
        <x:v>Vulnerability</x:v>
      </x:c>
      <x:c r="E80" s="153" t="str"/>
      <x:c r="F80" s="153" t="str"/>
      <x:c r="G80" s="159" t="str">
        <x:v>Eligible</x:v>
      </x:c>
      <x:c r="H80" s="159" t="str">
        <x:v>High</x:v>
      </x:c>
      <x:c r="I80" s="159" t="str">
        <x:v>Complete (9/9)</x:v>
      </x:c>
      <x:c r="J80" s="159" t="str">
        <x:v>Broad</x:v>
      </x:c>
      <x:c r="K80" s="159" t="str">
        <x:v>No</x:v>
      </x:c>
      <x:c r="L80" s="159" t="str">
        <x:v>5-10 years</x:v>
      </x:c>
      <x:c r="M80" s="168" t="n">
        <x:v>3</x:v>
      </x:c>
      <x:c r="N80" s="168" t="n">
        <x:v>11</x:v>
      </x:c>
      <x:c r="O80" s="159" t="str"/>
      <x:c r="P80" s="159" t="str">
        <x:v>Food and nutritional insecurity | Child malnutrition | Federal investment per capita | Food safety instruments | National school feeding program (PNAE) | Food Acquisition Program (PAA) | Scope of the family allowance program | Equality in intra-household income distribution | Households with high per capita income</x:v>
      </x:c>
      <x:c r="Q80" s="159" t="str">
        <x:v>Conservative eligibility screen: the action's stated mechanism has a plausible direct pathway to Food and nutritional insecurity, Child malnutrition, Federal investment per capita, Food safety instruments, National school feeding program (PNAE), Food Acquisition Program (PAA), Scope of the family allowance program, Equality in intra-household income distribution, Households with high per capita income. Evidence determines whether the effect is demonstrated and in which direction.</x:v>
      </x:c>
      <x:c r="R80" s="160" t="str">
        <x:v>Social safety nets encompass adaptive social protection mechanisms to reduce food insecurity and malnutrition, especially for vulnerable populations. These include cash transfers, school feeding programs, public work initiatives, unemployment compensation, land reforms, credit and insurance schemes. Integrated approaches combine climate risk assessments with disaster risk reduction, education, and social equity to enhance resilience to climate stresses.</x:v>
      </x:c>
    </x:row>
    <x:row r="81" ht="66" customHeight="1">
      <x:c r="A81" s="165" t="str">
        <x:v>ipcc_0102</x:v>
      </x:c>
      <x:c r="B81" s="159" t="str">
        <x:v>Facilitate seasonal and temporary mobility strategies</x:v>
      </x:c>
      <x:c r="C81" s="159" t="str">
        <x:v>Food security</x:v>
      </x:c>
      <x:c r="D81" s="159" t="str">
        <x:v>Exposure</x:v>
      </x:c>
      <x:c r="E81" s="153" t="str"/>
      <x:c r="F81" s="153" t="str"/>
      <x:c r="G81" s="159" t="str">
        <x:v>Eligible</x:v>
      </x:c>
      <x:c r="H81" s="159" t="str">
        <x:v>None demonstrated</x:v>
      </x:c>
      <x:c r="I81" s="159" t="str">
        <x:v>None (0/2)</x:v>
      </x:c>
      <x:c r="J81" s="159" t="str">
        <x:v>None</x:v>
      </x:c>
      <x:c r="K81" s="159" t="str">
        <x:v>No</x:v>
      </x:c>
      <x:c r="L81" s="159" t="str">
        <x:v>5-10 years</x:v>
      </x:c>
      <x:c r="M81" s="168" t="n">
        <x:v>0</x:v>
      </x:c>
      <x:c r="N81" s="168" t="n">
        <x:v>11</x:v>
      </x:c>
      <x:c r="O81" s="159" t="str"/>
      <x:c r="P81" s="159" t="str">
        <x:v>Population density | Total population</x:v>
      </x:c>
      <x:c r="Q81" s="159" t="str">
        <x:v>Conservative eligibility screen: the action's stated mechanism has a plausible direct pathway to Population density, Total population. Evidence determines whether the effect is demonstrated and in which direction.</x:v>
      </x:c>
      <x:c r="R81" s="160" t="str">
        <x:v>Facilitating mobility of fishing fleets and workers to adapt to shifting marine species distributions caused by climate change. This includes enabling seasonal or temporary migration to align with the availability of resources, improving infrastructure and technology to support mobility, and fostering flexible governance to manage transboundary resources sustainably. These actions aim to maintain livelihoods and reduce economic impacts of climate variability.</x:v>
      </x:c>
    </x:row>
    <x:row r="82" ht="66" customHeight="1">
      <x:c r="A82" s="165" t="str">
        <x:v>ipcc_0086</x:v>
      </x:c>
      <x:c r="B82" s="159" t="str">
        <x:v>Implement ecosystem‑based adaptation measures</x:v>
      </x:c>
      <x:c r="C82" s="159" t="str">
        <x:v>Food security</x:v>
      </x:c>
      <x:c r="D82" s="159" t="str">
        <x:v>Vulnerability</x:v>
      </x:c>
      <x:c r="E82" s="153" t="str"/>
      <x:c r="F82" s="153" t="str"/>
      <x:c r="G82" s="159" t="str">
        <x:v>Eligible</x:v>
      </x:c>
      <x:c r="H82" s="159" t="str">
        <x:v>Low</x:v>
      </x:c>
      <x:c r="I82" s="159" t="str">
        <x:v>Partial (7/10)</x:v>
      </x:c>
      <x:c r="J82" s="159" t="str">
        <x:v>Moderate</x:v>
      </x:c>
      <x:c r="K82" s="159" t="str">
        <x:v>No</x:v>
      </x:c>
      <x:c r="L82" s="159" t="str">
        <x:v>5-10 years</x:v>
      </x:c>
      <x:c r="M82" s="168" t="n">
        <x:v>1</x:v>
      </x:c>
      <x:c r="N82" s="168" t="n">
        <x:v>11</x:v>
      </x:c>
      <x:c r="O82" s="159" t="str"/>
      <x:c r="P82" s="159" t="str">
        <x:v>Susceptibility of agricultural productivity | Susceptibility of livestock productivity | Homogeneity of agricultural production | Irrigation susceptibility | Agriculture and water availability | Agricultural areas with low agricultural potential | Agricultural areas with soil susceptible to erosion | Water deficit | Vegetation cover losses | Technical guidance</x:v>
      </x:c>
      <x:c r="Q82" s="159" t="str">
        <x:v>Conservative eligibility screen: the action's stated mechanism has a plausible direct pathway to Susceptibility of agricultural productivity, Susceptibility of livestock productivity, Homogeneity of agricultural production, Irrigation susceptibility, Agriculture and water availability, Agricultural areas with low agricultural potential, Agricultural areas with soil susceptible to erosion, Water deficit, Vegetation cover losses, Technical guidance. Evidence determines whether the effect is demonstrated and in which direction.</x:v>
      </x:c>
      <x:c r="R82" s="160" t="str">
        <x:v>Restoring and sustainably managing marine, coastal, urban, riverine, and wetland ecosystems to protect against climate hazards such as storm surges, floods, and heatwaves. Efforts include agroecology, coastal and marine vegetation and reefs, vegetation corridors, mangrove habitat restoration, urban green space to reduce temperatures. These actions improve biodiversity, store carbon, enhance water quality, and provide socio-economic and cultural co-benefits.</x:v>
      </x:c>
    </x:row>
    <x:row r="83" ht="66" customHeight="1">
      <x:c r="A83" s="165" t="str">
        <x:v>icare_0183</x:v>
      </x:c>
      <x:c r="B83" s="159" t="str">
        <x:v>Implement Multi-hazard Early Warning Systems (MH-EWS)</x:v>
      </x:c>
      <x:c r="C83" s="159" t="str">
        <x:v>Food security</x:v>
      </x:c>
      <x:c r="D83" s="159" t="str">
        <x:v>Vulnerability</x:v>
      </x:c>
      <x:c r="E83" s="153" t="str"/>
      <x:c r="F83" s="153" t="str"/>
      <x:c r="G83" s="159" t="str">
        <x:v>Eligible</x:v>
      </x:c>
      <x:c r="H83" s="159" t="str">
        <x:v>Medium</x:v>
      </x:c>
      <x:c r="I83" s="159" t="str">
        <x:v>Complete (6/6)</x:v>
      </x:c>
      <x:c r="J83" s="159" t="str">
        <x:v>Moderate</x:v>
      </x:c>
      <x:c r="K83" s="159" t="str">
        <x:v>No</x:v>
      </x:c>
      <x:c r="L83" s="159" t="str">
        <x:v>5-10 years</x:v>
      </x:c>
      <x:c r="M83" s="168" t="n">
        <x:v>1</x:v>
      </x:c>
      <x:c r="N83" s="168" t="n">
        <x:v>11</x:v>
      </x:c>
      <x:c r="O83" s="159" t="str"/>
      <x:c r="P83" s="159" t="str">
        <x:v>Susceptibility of agricultural productivity | Susceptibility of livestock productivity | Irrigation susceptibility | Fire hotspots | Agriculture and water availability | Water deficit</x:v>
      </x:c>
      <x:c r="Q83" s="159" t="str">
        <x:v>Conservative eligibility screen: the action's stated mechanism has a plausible direct pathway to Susceptibility of agricultural productivity, Susceptibility of livestock productivity, Irrigation susceptibility, Fire hotspots, Agriculture and water availability, Water deficit. Evidence determines whether the effect is demonstrated and in which direction.</x:v>
      </x:c>
      <x:c r="R83" s="160" t="str">
        <x:v>Early Warning systems involve the timely detection and communication of potential climate-related hazards, enabling proactive responses to mitigate risks and enhancing community preparedness. This includes intense rains and landslides, using a network of telemetry stations to monitor rainfall and other weather conditions, with clear trigger thresholds to issue public alerts (sirens/alarms, SMS/cell broadcast, radio/PA) in case of potential flooding or landslides.</x:v>
      </x:c>
    </x:row>
    <x:row r="84" ht="66" customHeight="1">
      <x:c r="A84" s="165" t="str">
        <x:v>ipcc_0100</x:v>
      </x:c>
      <x:c r="B84" s="159" t="str">
        <x:v>Improve Efficient water use/demand</x:v>
      </x:c>
      <x:c r="C84" s="159" t="str">
        <x:v>Food security</x:v>
      </x:c>
      <x:c r="D84" s="159" t="str">
        <x:v>Vulnerability</x:v>
      </x:c>
      <x:c r="E84" s="153" t="str"/>
      <x:c r="F84" s="153" t="str"/>
      <x:c r="G84" s="159" t="str">
        <x:v>Eligible</x:v>
      </x:c>
      <x:c r="H84" s="159" t="str">
        <x:v>Medium</x:v>
      </x:c>
      <x:c r="I84" s="159" t="str">
        <x:v>Complete (5/5)</x:v>
      </x:c>
      <x:c r="J84" s="159" t="str">
        <x:v>Moderate</x:v>
      </x:c>
      <x:c r="K84" s="159" t="str">
        <x:v>No</x:v>
      </x:c>
      <x:c r="L84" s="159" t="str">
        <x:v>5-10 years</x:v>
      </x:c>
      <x:c r="M84" s="168" t="n">
        <x:v>1</x:v>
      </x:c>
      <x:c r="N84" s="168" t="n">
        <x:v>11</x:v>
      </x:c>
      <x:c r="O84" s="159" t="str"/>
      <x:c r="P84" s="159" t="str">
        <x:v>Irrigation susceptibility | Agriculture and water availability | Water deficit | Technical guidance | Direct source water shortage</x:v>
      </x:c>
      <x:c r="Q84" s="159" t="str">
        <x:v>Conservative eligibility screen: the action's stated mechanism has a plausible direct pathway to Irrigation susceptibility, Agriculture and water availability, Water deficit, Technical guidance, Direct source water shortage. Evidence determines whether the effect is demonstrated and in which direction.</x:v>
      </x:c>
      <x:c r="R84" s="160" t="str">
        <x:v>Implementing advanced irrigation techniques such as precision and drip irrigation to enhance water use efficiency in agriculture. Managed Aquifer Recharge (MAR) is applied to replenish groundwater supplies using stormwater, treated wastewater, or other sources. These actions are complemented by cooperative policies across multiple sectors to ensure sustainable water resource management, equitable access, and regional collaboration. Additionally, promoting changes in water consumption patterns, such as reducing waste and improving efficiency in urban and agricultural water use, supports resilience against water scarcity and enhances adaptive capacity in vulnerable regions. These efforts collectively aim to address the growing demand for freshwater in the face of climate change and ensure long-term sustainability.</x:v>
      </x:c>
    </x:row>
    <x:row r="85" ht="66" customHeight="1">
      <x:c r="A85" s="165" t="str">
        <x:v>icare_0164</x:v>
      </x:c>
      <x:c r="B85" s="159" t="str">
        <x:v>Improve Hydrological Monitoring System with Telemetry Stations</x:v>
      </x:c>
      <x:c r="C85" s="159" t="str">
        <x:v>Food security</x:v>
      </x:c>
      <x:c r="D85" s="159" t="str">
        <x:v>Vulnerability</x:v>
      </x:c>
      <x:c r="E85" s="153" t="str"/>
      <x:c r="F85" s="153" t="str"/>
      <x:c r="G85" s="159" t="str">
        <x:v>Eligible</x:v>
      </x:c>
      <x:c r="H85" s="159" t="str">
        <x:v>Medium</x:v>
      </x:c>
      <x:c r="I85" s="159" t="str">
        <x:v>Partial (3/4)</x:v>
      </x:c>
      <x:c r="J85" s="159" t="str">
        <x:v>Moderate</x:v>
      </x:c>
      <x:c r="K85" s="159" t="str">
        <x:v>No</x:v>
      </x:c>
      <x:c r="L85" s="159" t="str">
        <x:v>&lt;5 years</x:v>
      </x:c>
      <x:c r="M85" s="168" t="n">
        <x:v>1</x:v>
      </x:c>
      <x:c r="N85" s="168" t="n">
        <x:v>11</x:v>
      </x:c>
      <x:c r="O85" s="159" t="str"/>
      <x:c r="P85" s="159" t="str">
        <x:v>Irrigation susceptibility | Agriculture and water availability | Water deficit | Direct source water shortage</x:v>
      </x:c>
      <x:c r="Q85" s="159" t="str">
        <x:v>Conservative eligibility screen: the action's stated mechanism has a plausible direct pathway to Irrigation susceptibility, Agriculture and water availability, Water deficit, Direct source water shortage. Evidence determines whether the effect is demonstrated and in which direction.</x:v>
      </x:c>
      <x:c r="R85" s="160" t="str">
        <x:v>Implementation of a hydrological monitoring system with telemetry stations to monitor rainfall, water levels, and meteorological variables in real-time.</x:v>
      </x:c>
    </x:row>
    <x:row r="86" ht="66" customHeight="1">
      <x:c r="A86" s="165" t="str">
        <x:v>icare_0156</x:v>
      </x:c>
      <x:c r="B86" s="159" t="str">
        <x:v>Improve Implementation of urban gardens</x:v>
      </x:c>
      <x:c r="C86" s="159" t="str">
        <x:v>Food security</x:v>
      </x:c>
      <x:c r="D86" s="159" t="str">
        <x:v>Exposure</x:v>
      </x:c>
      <x:c r="E86" s="153" t="str"/>
      <x:c r="F86" s="153" t="str"/>
      <x:c r="G86" s="159" t="str">
        <x:v>Eligible</x:v>
      </x:c>
      <x:c r="H86" s="159" t="str">
        <x:v>None demonstrated</x:v>
      </x:c>
      <x:c r="I86" s="159" t="str">
        <x:v>None (0/2)</x:v>
      </x:c>
      <x:c r="J86" s="159" t="str">
        <x:v>None</x:v>
      </x:c>
      <x:c r="K86" s="159" t="str">
        <x:v>No</x:v>
      </x:c>
      <x:c r="L86" s="159" t="str">
        <x:v>&lt;5 years</x:v>
      </x:c>
      <x:c r="M86" s="168" t="n">
        <x:v>0</x:v>
      </x:c>
      <x:c r="N86" s="168" t="n">
        <x:v>11</x:v>
      </x:c>
      <x:c r="O86" s="159" t="str"/>
      <x:c r="P86" s="159" t="str">
        <x:v>Area planted with agricultural crops | Density of agricultural establishments</x:v>
      </x:c>
      <x:c r="Q86" s="159" t="str">
        <x:v>Conservative eligibility screen: the action's stated mechanism has a plausible direct pathway to Area planted with agricultural crops, Density of agricultural establishments. Evidence determines whether the effect is demonstrated and in which direction.</x:v>
      </x:c>
      <x:c r="R86" s="160" t="str">
        <x:v>Identify and assess the feasibility of suitable areas for the installation of urban gardens and ensure that the sites chosen meet the expectations of the community.</x:v>
      </x:c>
    </x:row>
    <x:row r="87" ht="66" customHeight="1">
      <x:c r="A87" s="165" t="str">
        <x:v>icare_0156</x:v>
      </x:c>
      <x:c r="B87" s="159" t="str">
        <x:v>Improve Implementation of urban gardens</x:v>
      </x:c>
      <x:c r="C87" s="159" t="str">
        <x:v>Food security</x:v>
      </x:c>
      <x:c r="D87" s="159" t="str">
        <x:v>Vulnerability</x:v>
      </x:c>
      <x:c r="E87" s="153" t="str"/>
      <x:c r="F87" s="153" t="str"/>
      <x:c r="G87" s="159" t="str">
        <x:v>Eligible</x:v>
      </x:c>
      <x:c r="H87" s="159" t="str">
        <x:v>Low</x:v>
      </x:c>
      <x:c r="I87" s="159" t="str">
        <x:v>Partial (4/6)</x:v>
      </x:c>
      <x:c r="J87" s="159" t="str">
        <x:v>Moderate</x:v>
      </x:c>
      <x:c r="K87" s="159" t="str">
        <x:v>No</x:v>
      </x:c>
      <x:c r="L87" s="159" t="str">
        <x:v>&lt;5 years</x:v>
      </x:c>
      <x:c r="M87" s="168" t="n">
        <x:v>1</x:v>
      </x:c>
      <x:c r="N87" s="168" t="n">
        <x:v>11</x:v>
      </x:c>
      <x:c r="O87" s="159" t="str"/>
      <x:c r="P87" s="159" t="str">
        <x:v>Susceptibility of agricultural productivity | Homogeneity of agricultural production | Agricultural areas with low agricultural potential | Technical guidance | Municipalities without a basic food supply network | Food and nutritional insecurity</x:v>
      </x:c>
      <x:c r="Q87" s="159" t="str">
        <x:v>Conservative eligibility screen: the action's stated mechanism has a plausible direct pathway to Susceptibility of agricultural productivity, Homogeneity of agricultural production, Agricultural areas with low agricultural potential, Technical guidance, Municipalities without a basic food supply network, Food and nutritional insecurity. Evidence determines whether the effect is demonstrated and in which direction.</x:v>
      </x:c>
      <x:c r="R87" s="160" t="str">
        <x:v>Identify and assess the feasibility of suitable areas for the installation of urban gardens and ensure that the sites chosen meet the expectations of the community.</x:v>
      </x:c>
    </x:row>
    <x:row r="88" ht="66" customHeight="1">
      <x:c r="A88" s="165" t="str">
        <x:v>icare_0171</x:v>
      </x:c>
      <x:c r="B88" s="159" t="str">
        <x:v>Improve the hydrometeorological forecasting, monitoring, and alert system for climate risks</x:v>
      </x:c>
      <x:c r="C88" s="159" t="str">
        <x:v>Food security</x:v>
      </x:c>
      <x:c r="D88" s="159" t="str">
        <x:v>Vulnerability</x:v>
      </x:c>
      <x:c r="E88" s="153" t="str"/>
      <x:c r="F88" s="153" t="str"/>
      <x:c r="G88" s="159" t="str">
        <x:v>Eligible</x:v>
      </x:c>
      <x:c r="H88" s="159" t="str">
        <x:v>Medium</x:v>
      </x:c>
      <x:c r="I88" s="159" t="str">
        <x:v>Complete (6/6)</x:v>
      </x:c>
      <x:c r="J88" s="159" t="str">
        <x:v>Moderate</x:v>
      </x:c>
      <x:c r="K88" s="159" t="str">
        <x:v>No</x:v>
      </x:c>
      <x:c r="L88" s="159" t="str">
        <x:v>5-10 years</x:v>
      </x:c>
      <x:c r="M88" s="168" t="n">
        <x:v>1</x:v>
      </x:c>
      <x:c r="N88" s="168" t="n">
        <x:v>11</x:v>
      </x:c>
      <x:c r="O88" s="159" t="str"/>
      <x:c r="P88" s="159" t="str">
        <x:v>Susceptibility of agricultural productivity | Susceptibility of livestock productivity | Irrigation susceptibility | Fire hotspots | Agriculture and water availability | Water deficit</x:v>
      </x:c>
      <x:c r="Q88" s="159" t="str">
        <x:v>Conservative eligibility screen: the action's stated mechanism has a plausible direct pathway to Susceptibility of agricultural productivity, Susceptibility of livestock productivity, Irrigation susceptibility, Fire hotspots, Agriculture and water availability, Water deficit. Evidence determines whether the effect is demonstrated and in which direction.</x:v>
      </x:c>
      <x:c r="R88" s="160" t="str">
        <x:v>This action aims to expand the procedures related to the existing climate risk forecasting, monitoring, and alert system in the municipality.</x:v>
      </x:c>
    </x:row>
    <x:row r="89" ht="66" customHeight="1">
      <x:c r="A89" s="165" t="str">
        <x:v>ipcc_0101</x:v>
      </x:c>
      <x:c r="B89" s="159" t="str">
        <x:v>Improve urban water management</x:v>
      </x:c>
      <x:c r="C89" s="159" t="str">
        <x:v>Food security</x:v>
      </x:c>
      <x:c r="D89" s="159" t="str">
        <x:v>Vulnerability</x:v>
      </x:c>
      <x:c r="E89" s="153" t="str"/>
      <x:c r="F89" s="153" t="str"/>
      <x:c r="G89" s="159" t="str">
        <x:v>Eligible</x:v>
      </x:c>
      <x:c r="H89" s="159" t="str">
        <x:v>Low</x:v>
      </x:c>
      <x:c r="I89" s="159" t="str">
        <x:v>Partial (3/4)</x:v>
      </x:c>
      <x:c r="J89" s="159" t="str">
        <x:v>Moderate</x:v>
      </x:c>
      <x:c r="K89" s="159" t="str">
        <x:v>No</x:v>
      </x:c>
      <x:c r="L89" s="159" t="str">
        <x:v>5-10 years</x:v>
      </x:c>
      <x:c r="M89" s="168" t="n">
        <x:v>1</x:v>
      </x:c>
      <x:c r="N89" s="168" t="n">
        <x:v>11</x:v>
      </x:c>
      <x:c r="O89" s="159" t="str"/>
      <x:c r="P89" s="159" t="str">
        <x:v>Direct source water shortage | Compromised water quality | Occurrence of diseases related to inadequate environmental sanitation | Cistern program service</x:v>
      </x:c>
      <x:c r="Q89" s="159" t="str">
        <x:v>Conservative eligibility screen: the action's stated mechanism has a plausible direct pathway to Direct source water shortage, Compromised water quality, Occurrence of diseases related to inadequate environmental sanitation, Cistern program service. Evidence determines whether the effect is demonstrated and in which direction.</x:v>
      </x:c>
      <x:c r="R89" s="160" t="str">
        <x:v>Implementing sustainable water supply systems by constructing irrigation infrastructure, promoting inter-basin water transfers, utilizing nature-based solutions (NBS) such as rain gardens, bioswales, and wetlands, and integrating advanced techniques like water reuse and water upgrading. Water reuse involves treating and recycling wastewater for non-potable or potable purposes, while water upgrading focuses on improving the quality of available water for diverse uses. These approaches enhance stormwater infiltration, improve urban water management, increase drought resilience, and support groundwater recharge. They provide energy-efficient and economical water solutions while maintaining sustainable urban development.</x:v>
      </x:c>
    </x:row>
    <x:row r="90" ht="66" customHeight="1">
      <x:c r="A90" s="165" t="str">
        <x:v>c40_0056</x:v>
      </x:c>
      <x:c r="B90" s="159" t="str">
        <x:v>Improve Watershed Protection and Management</x:v>
      </x:c>
      <x:c r="C90" s="159" t="str">
        <x:v>Food security</x:v>
      </x:c>
      <x:c r="D90" s="159" t="str">
        <x:v>Vulnerability</x:v>
      </x:c>
      <x:c r="E90" s="153" t="str"/>
      <x:c r="F90" s="153" t="str"/>
      <x:c r="G90" s="159" t="str">
        <x:v>Eligible</x:v>
      </x:c>
      <x:c r="H90" s="159" t="str">
        <x:v>Low</x:v>
      </x:c>
      <x:c r="I90" s="159" t="str">
        <x:v>Complete (5/5)</x:v>
      </x:c>
      <x:c r="J90" s="159" t="str">
        <x:v>Moderate</x:v>
      </x:c>
      <x:c r="K90" s="159" t="str">
        <x:v>No</x:v>
      </x:c>
      <x:c r="L90" s="159" t="str">
        <x:v>&lt;5 years</x:v>
      </x:c>
      <x:c r="M90" s="168" t="n">
        <x:v>1</x:v>
      </x:c>
      <x:c r="N90" s="168" t="n">
        <x:v>11</x:v>
      </x:c>
      <x:c r="O90" s="159" t="str"/>
      <x:c r="P90" s="159" t="str">
        <x:v>Agriculture and water availability | Agricultural areas with soil susceptible to erosion | Water deficit | Vegetation cover losses | Compromised water quality</x:v>
      </x:c>
      <x:c r="Q90" s="159" t="str">
        <x:v>Conservative eligibility screen: the action's stated mechanism has a plausible direct pathway to Agriculture and water availability, Agricultural areas with soil susceptible to erosion, Water deficit, Vegetation cover losses, Compromised water quality. Evidence determines whether the effect is demonstrated and in which direction.</x:v>
      </x:c>
      <x:c r="R90" s="160" t="str">
        <x:v>"Watershed Protection and Management" involves the protection and conservation of natural watershed areas to safeguard water quality, biodiversity, and ecosystem services, including measures such as preventing pollution and encrouchment. This initiative aims to ensure sustainable water management and resilience to the impacts of climate change.</x:v>
      </x:c>
    </x:row>
    <x:row r="91" ht="66" customHeight="1">
      <x:c r="A91" s="165" t="str">
        <x:v>ipcc_0098</x:v>
      </x:c>
      <x:c r="B91" s="159" t="str">
        <x:v>Increase resilience by improving access to food, improving livelihoods and promoting dietary shifts and food waste reduction</x:v>
      </x:c>
      <x:c r="C91" s="159" t="str">
        <x:v>Food security</x:v>
      </x:c>
      <x:c r="D91" s="159" t="str">
        <x:v>Vulnerability</x:v>
      </x:c>
      <x:c r="E91" s="153" t="str"/>
      <x:c r="F91" s="153" t="str"/>
      <x:c r="G91" s="159" t="str">
        <x:v>Eligible</x:v>
      </x:c>
      <x:c r="H91" s="159" t="str">
        <x:v>Medium</x:v>
      </x:c>
      <x:c r="I91" s="159" t="str">
        <x:v>Partial (11/20)</x:v>
      </x:c>
      <x:c r="J91" s="159" t="str">
        <x:v>Broad</x:v>
      </x:c>
      <x:c r="K91" s="159" t="str">
        <x:v>No</x:v>
      </x:c>
      <x:c r="L91" s="159" t="str">
        <x:v>5-10 years</x:v>
      </x:c>
      <x:c r="M91" s="168" t="n">
        <x:v>2</x:v>
      </x:c>
      <x:c r="N91" s="168" t="n">
        <x:v>11</x:v>
      </x:c>
      <x:c r="O91" s="159" t="str"/>
      <x:c r="P91" s="159" t="str">
        <x:v>Susceptibility of agricultural productivity | Homogeneity of agricultural production | Irrigation susceptibility | Agriculture and water availability | Agricultural areas with low agricultural potential | Agricultural areas with soil susceptible to erosion | Water deficit | Vegetation cover losses | Storage capacity | Diversity of revenues | Ultra-processed food commercial establishments | Municipalities without a basic food supply network | Food and nutritional insecurity | Child malnutrition | Overweight and obesity | Food safety instruments | National school feeding program (PNAE) | Food Acquisition Program (PAA) | Scope of the family allowance program | Households with high per capita income</x:v>
      </x:c>
      <x:c r="Q91" s="159" t="str">
        <x:v>Conservative eligibility screen: the action's stated mechanism has a plausible direct pathway to Susceptibility of agricultural productivity, Homogeneity of agricultural production, Irrigation susceptibility, Agriculture and water availability, Agricultural areas with low agricultural potential, Agricultural areas with soil susceptible to erosion, Water deficit, Vegetation cover losses, Storage capacity, Diversity of revenues, Ultra-processed food commercial establishments, Municipalities without a basic food supply network, Food and nutritional insecurity, Child malnutrition, Overweight and obesity, Food safety instruments, National school feeding program (PNAE), Food Acquisition Program (PAA), Scope of the family allowance program, Households with high per capita income. Evidence determines whether the effect is demonstrated and in which direction.</x:v>
      </x:c>
      <x:c r="R91" s="160" t="str">
        <x:v>Increase resilience through improved food production, distribution, and consumption practices. Actions include enhancing agricultural techniques, adopting water-saving technologies, implementing low-cost storage solutions, and promoting plant-based diets. Policymakers can encourage these behaviors with appropriate pricing policies, sustainable agriculture initiatives, and support for disadvantaged groups. The action emphasizes shifting to healthier diets, reducing overconsumption, and supporting local food systems to mitigate greenhouse gas emissions and ensure food security under climate change.</x:v>
      </x:c>
    </x:row>
    <x:row r="92" ht="66" customHeight="1">
      <x:c r="A92" s="165" t="str">
        <x:v>ipcc_0099</x:v>
      </x:c>
      <x:c r="B92" s="159" t="str">
        <x:v>Increase Water Capture and Storage</x:v>
      </x:c>
      <x:c r="C92" s="159" t="str">
        <x:v>Food security</x:v>
      </x:c>
      <x:c r="D92" s="159" t="str">
        <x:v>Vulnerability</x:v>
      </x:c>
      <x:c r="E92" s="153" t="str"/>
      <x:c r="F92" s="153" t="str"/>
      <x:c r="G92" s="159" t="str">
        <x:v>Eligible</x:v>
      </x:c>
      <x:c r="H92" s="159" t="str">
        <x:v>Low</x:v>
      </x:c>
      <x:c r="I92" s="159" t="str">
        <x:v>Complete (5/5)</x:v>
      </x:c>
      <x:c r="J92" s="159" t="str">
        <x:v>Moderate</x:v>
      </x:c>
      <x:c r="K92" s="159" t="str">
        <x:v>No</x:v>
      </x:c>
      <x:c r="L92" s="159" t="str">
        <x:v>5-10 years</x:v>
      </x:c>
      <x:c r="M92" s="168" t="n">
        <x:v>1</x:v>
      </x:c>
      <x:c r="N92" s="168" t="n">
        <x:v>11</x:v>
      </x:c>
      <x:c r="O92" s="159" t="str"/>
      <x:c r="P92" s="159" t="str">
        <x:v>Irrigation susceptibility | Agriculture and water availability | Water deficit | cistern program | Cistern program service</x:v>
      </x:c>
      <x:c r="Q92" s="159" t="str">
        <x:v>Conservative eligibility screen: the action's stated mechanism has a plausible direct pathway to Irrigation susceptibility, Agriculture and water availability, Water deficit, cistern program, Cistern program service. Evidence determines whether the effect is demonstrated and in which direction.</x:v>
      </x:c>
      <x:c r="R92" s="160" t="str">
        <x:v>Implementation of water harvesting and storage solutions, such as on-farm ponds, water body revitalization, rain gardens, bioswales, retention ponds, pumped storage, and water storage tanks. These measures aim to mitigate climate-induced impacts by improving water management, reducing stormwater runoff, improving water quality, and supporting agriculture and energy production in changing climate scenarios. Water reservoirs and multipurpose dams offer additional benefits by addressing water scarcity and managing risks associated with natural disasters. These adaptation strategies contribute to sustainable water use and resilience to climate-related challenges.</x:v>
      </x:c>
    </x:row>
    <x:row r="93" ht="66" customHeight="1">
      <x:c r="A93" s="165" t="str">
        <x:v>ipcc_0104</x:v>
      </x:c>
      <x:c r="B93" s="159" t="str">
        <x:v>Plan and support permanent climate‑related migration</x:v>
      </x:c>
      <x:c r="C93" s="159" t="str">
        <x:v>Food security</x:v>
      </x:c>
      <x:c r="D93" s="159" t="str">
        <x:v>Exposure</x:v>
      </x:c>
      <x:c r="E93" s="153" t="str"/>
      <x:c r="F93" s="153" t="str"/>
      <x:c r="G93" s="159" t="str">
        <x:v>Eligible</x:v>
      </x:c>
      <x:c r="H93" s="159" t="str">
        <x:v>None demonstrated</x:v>
      </x:c>
      <x:c r="I93" s="159" t="str">
        <x:v>None (0/2)</x:v>
      </x:c>
      <x:c r="J93" s="159" t="str">
        <x:v>None</x:v>
      </x:c>
      <x:c r="K93" s="159" t="str">
        <x:v>No</x:v>
      </x:c>
      <x:c r="L93" s="159" t="str">
        <x:v>5-10 years</x:v>
      </x:c>
      <x:c r="M93" s="168" t="n">
        <x:v>0</x:v>
      </x:c>
      <x:c r="N93" s="168" t="n">
        <x:v>11</x:v>
      </x:c>
      <x:c r="O93" s="159" t="str"/>
      <x:c r="P93" s="159" t="str">
        <x:v>Population density | Total population</x:v>
      </x:c>
      <x:c r="Q93" s="159" t="str">
        <x:v>Conservative eligibility screen: the action's stated mechanism has a plausible direct pathway to Population density, Total population. Evidence determines whether the effect is demonstrated and in which direction.</x:v>
      </x:c>
      <x:c r="R93" s="160" t="str">
        <x:v>Resettlement of communities from flood-prone areas and rural–urban migration as a strategy to mitigate vulnerabilities caused by climate change. This includes addressing urbanization challenges, such as unplanned development, water insecurity, and socioeconomic disparities, while providing equitable opportunities for migrants in urban centers. Measures include enhancing urban planning, water resource management, and social support systems for displaced populations.</x:v>
      </x:c>
    </x:row>
    <x:row r="94" ht="66" customHeight="1">
      <x:c r="A94" s="165" t="str">
        <x:v>ipcc_0083</x:v>
      </x:c>
      <x:c r="B94" s="159" t="str">
        <x:v>Plan strategic coastal retreat for vulnerable communities</x:v>
      </x:c>
      <x:c r="C94" s="159" t="str">
        <x:v>Food security</x:v>
      </x:c>
      <x:c r="D94" s="159" t="str">
        <x:v>Exposure</x:v>
      </x:c>
      <x:c r="E94" s="153" t="str"/>
      <x:c r="F94" s="153" t="str"/>
      <x:c r="G94" s="159" t="str">
        <x:v>Eligible</x:v>
      </x:c>
      <x:c r="H94" s="159" t="str">
        <x:v>None demonstrated</x:v>
      </x:c>
      <x:c r="I94" s="159" t="str">
        <x:v>None (0/2)</x:v>
      </x:c>
      <x:c r="J94" s="159" t="str">
        <x:v>None</x:v>
      </x:c>
      <x:c r="K94" s="159" t="str">
        <x:v>No</x:v>
      </x:c>
      <x:c r="L94" s="159" t="str">
        <x:v>&gt;10 years</x:v>
      </x:c>
      <x:c r="M94" s="168" t="n">
        <x:v>0</x:v>
      </x:c>
      <x:c r="N94" s="168" t="n">
        <x:v>11</x:v>
      </x:c>
      <x:c r="O94" s="159" t="str"/>
      <x:c r="P94" s="159" t="str">
        <x:v>Population density | Total population</x:v>
      </x:c>
      <x:c r="Q94" s="159" t="str">
        <x:v>Conservative eligibility screen: the action's stated mechanism has a plausible direct pathway to Population density, Total population. Evidence determines whether the effect is demonstrated and in which direction.</x:v>
      </x:c>
      <x:c r="R94" s="160" t="str">
        <x:v>Planned relocation and retreat of people, assets, and activities from coastal hazard zones to reduce exposure and risks caused by sea-level rise and associated coastal hazards.</x:v>
      </x:c>
    </x:row>
    <x:row r="95" ht="66" customHeight="1">
      <x:c r="A95" s="165" t="str">
        <x:v>c40_0053</x:v>
      </x:c>
      <x:c r="B95" s="159" t="str">
        <x:v>Promote water-saving technologies and practices</x:v>
      </x:c>
      <x:c r="C95" s="159" t="str">
        <x:v>Food security</x:v>
      </x:c>
      <x:c r="D95" s="159" t="str">
        <x:v>Vulnerability</x:v>
      </x:c>
      <x:c r="E95" s="153" t="str"/>
      <x:c r="F95" s="153" t="str"/>
      <x:c r="G95" s="159" t="str">
        <x:v>Eligible</x:v>
      </x:c>
      <x:c r="H95" s="159" t="str">
        <x:v>Medium</x:v>
      </x:c>
      <x:c r="I95" s="159" t="str">
        <x:v>Complete (4/4)</x:v>
      </x:c>
      <x:c r="J95" s="159" t="str">
        <x:v>Moderate</x:v>
      </x:c>
      <x:c r="K95" s="159" t="str">
        <x:v>No</x:v>
      </x:c>
      <x:c r="L95" s="159" t="str">
        <x:v>5-10 years</x:v>
      </x:c>
      <x:c r="M95" s="168" t="n">
        <x:v>1</x:v>
      </x:c>
      <x:c r="N95" s="168" t="n">
        <x:v>11</x:v>
      </x:c>
      <x:c r="O95" s="159" t="str"/>
      <x:c r="P95" s="159" t="str">
        <x:v>Irrigation susceptibility | Agriculture and water availability | Water deficit | Direct source water shortage</x:v>
      </x:c>
      <x:c r="Q95" s="159" t="str">
        <x:v>Conservative eligibility screen: the action's stated mechanism has a plausible direct pathway to Irrigation susceptibility, Agriculture and water availability, Water deficit, Direct source water shortage. Evidence determines whether the effect is demonstrated and in which direction.</x:v>
      </x:c>
      <x:c r="R95" s="160" t="str">
        <x:v>Encourages the adoption of water-saving technologies and practices to conserve water resources and strengthen resilience to climate change. This includes measures such as rainwater harvesting, low-flow appliances, leak detection systems, and municipal incentive programs that support households and businesses in reducing consumption. These actions enhance sustainable water use and complement broader eco-engineering and adaptation efforts.</x:v>
      </x:c>
    </x:row>
    <x:row r="96" ht="66" customHeight="1">
      <x:c r="A96" s="165" t="str">
        <x:v>icare_0178</x:v>
      </x:c>
      <x:c r="B96" s="159" t="str">
        <x:v>Redirect urban development through climate‑risk spatial planning</x:v>
      </x:c>
      <x:c r="C96" s="159" t="str">
        <x:v>Food security</x:v>
      </x:c>
      <x:c r="D96" s="159" t="str">
        <x:v>Exposure</x:v>
      </x:c>
      <x:c r="E96" s="153" t="str"/>
      <x:c r="F96" s="153" t="str"/>
      <x:c r="G96" s="159" t="str">
        <x:v>Eligible</x:v>
      </x:c>
      <x:c r="H96" s="159" t="str">
        <x:v>None demonstrated</x:v>
      </x:c>
      <x:c r="I96" s="159" t="str">
        <x:v>None (0/2)</x:v>
      </x:c>
      <x:c r="J96" s="159" t="str">
        <x:v>None</x:v>
      </x:c>
      <x:c r="K96" s="159" t="str">
        <x:v>No</x:v>
      </x:c>
      <x:c r="L96" s="159" t="str">
        <x:v>&lt;5 years</x:v>
      </x:c>
      <x:c r="M96" s="168" t="n">
        <x:v>0</x:v>
      </x:c>
      <x:c r="N96" s="168" t="n">
        <x:v>11</x:v>
      </x:c>
      <x:c r="O96" s="159" t="str"/>
      <x:c r="P96" s="159" t="str">
        <x:v>Population density | Total population</x:v>
      </x:c>
      <x:c r="Q96" s="159" t="str">
        <x:v>Conservative eligibility screen: the action's stated mechanism has a plausible direct pathway to Population density, Total population. Evidence determines whether the effect is demonstrated and in which direction.</x:v>
      </x:c>
      <x:c r="R96" s="160" t="str">
        <x:v>Mapping of critical flood-prone areas with the aim of revising and harmonizing legislation related to land use, given the intensification of the impacts of extreme weather events.</x:v>
      </x:c>
    </x:row>
    <x:row r="97" ht="66" customHeight="1">
      <x:c r="A97" s="165" t="str">
        <x:v>ipcc_0085</x:v>
      </x:c>
      <x:c r="B97" s="159" t="str">
        <x:v>Reduce pressures on ecosystems to build resilience</x:v>
      </x:c>
      <x:c r="C97" s="159" t="str">
        <x:v>Food security</x:v>
      </x:c>
      <x:c r="D97" s="159" t="str">
        <x:v>Vulnerability</x:v>
      </x:c>
      <x:c r="E97" s="153" t="str"/>
      <x:c r="F97" s="153" t="str"/>
      <x:c r="G97" s="159" t="str">
        <x:v>Eligible</x:v>
      </x:c>
      <x:c r="H97" s="159" t="str">
        <x:v>Low</x:v>
      </x:c>
      <x:c r="I97" s="159" t="str">
        <x:v>Complete (2/2)</x:v>
      </x:c>
      <x:c r="J97" s="159" t="str">
        <x:v>Moderate</x:v>
      </x:c>
      <x:c r="K97" s="159" t="str">
        <x:v>No</x:v>
      </x:c>
      <x:c r="L97" s="159" t="str">
        <x:v>5-10 years</x:v>
      </x:c>
      <x:c r="M97" s="168" t="n">
        <x:v>1</x:v>
      </x:c>
      <x:c r="N97" s="168" t="n">
        <x:v>11</x:v>
      </x:c>
      <x:c r="O97" s="159" t="str"/>
      <x:c r="P97" s="159" t="str">
        <x:v>Vegetation cover losses | Compromised water quality</x:v>
      </x:c>
      <x:c r="Q97" s="159" t="str">
        <x:v>Conservative eligibility screen: the action's stated mechanism has a plausible direct pathway to Vegetation cover losses, Compromised water quality. Evidence determines whether the effect is demonstrated and in which direction.</x:v>
      </x:c>
      <x:c r="R97" s="160" t="str">
        <x:v>Reduce pollution, eutrophication, and anthropogenic pressures on natural systems, including marine and terrestrial ecosystems. Efforts include managing runoff, protecting sensitive habitats like the Great Barrier Reef, addressing non-climate drivers, promoting sustainable fisheries harvest, and increasing connectivity between natural areas to enhance ecosystem resilience.</x:v>
      </x:c>
    </x:row>
    <x:row r="98" ht="66" customHeight="1">
      <x:c r="A98" s="165" t="str">
        <x:v>icare_0181</x:v>
      </x:c>
      <x:c r="B98" s="159" t="str">
        <x:v>Restore in Vulnerable Areas</x:v>
      </x:c>
      <x:c r="C98" s="159" t="str">
        <x:v>Food security</x:v>
      </x:c>
      <x:c r="D98" s="159" t="str">
        <x:v>Exposure</x:v>
      </x:c>
      <x:c r="E98" s="153" t="str"/>
      <x:c r="F98" s="153" t="str"/>
      <x:c r="G98" s="159" t="str">
        <x:v>Eligible</x:v>
      </x:c>
      <x:c r="H98" s="159" t="str">
        <x:v>None demonstrated</x:v>
      </x:c>
      <x:c r="I98" s="159" t="str">
        <x:v>None (0/2)</x:v>
      </x:c>
      <x:c r="J98" s="159" t="str">
        <x:v>None</x:v>
      </x:c>
      <x:c r="K98" s="159" t="str">
        <x:v>No</x:v>
      </x:c>
      <x:c r="L98" s="159" t="str">
        <x:v>5-10 years</x:v>
      </x:c>
      <x:c r="M98" s="168" t="n">
        <x:v>0</x:v>
      </x:c>
      <x:c r="N98" s="168" t="n">
        <x:v>11</x:v>
      </x:c>
      <x:c r="O98" s="159" t="str"/>
      <x:c r="P98" s="159" t="str">
        <x:v>Population density | Total population</x:v>
      </x:c>
      <x:c r="Q98" s="159" t="str">
        <x:v>Conservative eligibility screen: the action's stated mechanism has a plausible direct pathway to Population density, Total population. Evidence determines whether the effect is demonstrated and in which direction.</x:v>
      </x:c>
      <x:c r="R98" s="160" t="str">
        <x:v>A comprehensive project addressing the socio-environmental vulnerability of an informal settlement. It includes relocating residents from flood-prone areas, restoring the environment, and providing infrastructure and social services.</x:v>
      </x:c>
    </x:row>
    <x:row r="99" ht="66" customHeight="1">
      <x:c r="A99" s="165" t="str">
        <x:v>ipcc_0084</x:v>
      </x:c>
      <x:c r="B99" s="159" t="str">
        <x:v>Restore/create natural areas</x:v>
      </x:c>
      <x:c r="C99" s="159" t="str">
        <x:v>Food security</x:v>
      </x:c>
      <x:c r="D99" s="159" t="str">
        <x:v>Vulnerability</x:v>
      </x:c>
      <x:c r="E99" s="153" t="str"/>
      <x:c r="F99" s="153" t="str"/>
      <x:c r="G99" s="159" t="str">
        <x:v>Eligible</x:v>
      </x:c>
      <x:c r="H99" s="159" t="str">
        <x:v>Low</x:v>
      </x:c>
      <x:c r="I99" s="159" t="str">
        <x:v>Complete (1/1)</x:v>
      </x:c>
      <x:c r="J99" s="159" t="str">
        <x:v>Moderate</x:v>
      </x:c>
      <x:c r="K99" s="159" t="str">
        <x:v>No</x:v>
      </x:c>
      <x:c r="L99" s="159" t="str">
        <x:v>5-10 years</x:v>
      </x:c>
      <x:c r="M99" s="168" t="n">
        <x:v>1</x:v>
      </x:c>
      <x:c r="N99" s="168" t="n">
        <x:v>11</x:v>
      </x:c>
      <x:c r="O99" s="159" t="str"/>
      <x:c r="P99" s="159" t="str">
        <x:v>Vegetation cover losses</x:v>
      </x:c>
      <x:c r="Q99" s="159" t="str">
        <x:v>Conservative eligibility screen: the action's stated mechanism has a plausible direct pathway to Vegetation cover losses. Evidence determines whether the effect is demonstrated and in which direction.</x:v>
      </x:c>
      <x:c r="R99" s="160" t="str">
        <x:v>Restoration and conservation of marine and coastal habitats, such as mangroves, vegetated dunes, seagrasses, coral reefs, and kelp forests, to protect coastal communities, support biodiversity, sequester carbon, and mitigate climate change. Efforts include creating marine protected areas, active restoration of coral reefs, ridge-to-reef management, restoring dunes, planting salinity-tolerant trees, increasing forest cover, detect and manage forest pests.</x:v>
      </x:c>
    </x:row>
    <x:row r="100" ht="66" customHeight="1">
      <x:c r="A100" s="165" t="str">
        <x:v>ipcc_0089</x:v>
      </x:c>
      <x:c r="B100" s="159" t="str">
        <x:v>Spatially redirect development</x:v>
      </x:c>
      <x:c r="C100" s="159" t="str">
        <x:v>Food security</x:v>
      </x:c>
      <x:c r="D100" s="159" t="str">
        <x:v>Exposure</x:v>
      </x:c>
      <x:c r="E100" s="153" t="str"/>
      <x:c r="F100" s="153" t="str"/>
      <x:c r="G100" s="159" t="str">
        <x:v>Eligible</x:v>
      </x:c>
      <x:c r="H100" s="159" t="str">
        <x:v>None demonstrated</x:v>
      </x:c>
      <x:c r="I100" s="159" t="str">
        <x:v>None (0/2)</x:v>
      </x:c>
      <x:c r="J100" s="159" t="str">
        <x:v>None</x:v>
      </x:c>
      <x:c r="K100" s="159" t="str">
        <x:v>No</x:v>
      </x:c>
      <x:c r="L100" s="159" t="str">
        <x:v>5-10 years</x:v>
      </x:c>
      <x:c r="M100" s="168" t="n">
        <x:v>0</x:v>
      </x:c>
      <x:c r="N100" s="168" t="n">
        <x:v>11</x:v>
      </x:c>
      <x:c r="O100" s="159" t="str"/>
      <x:c r="P100" s="159" t="str">
        <x:v>Population density | Total population</x:v>
      </x:c>
      <x:c r="Q100" s="159" t="str">
        <x:v>Conservative eligibility screen: the action's stated mechanism has a plausible direct pathway to Population density, Total population. Evidence determines whether the effect is demonstrated and in which direction.</x:v>
      </x:c>
      <x:c r="R100" s="160" t="str">
        <x:v>Use zoning and land-use planning to regulate coastal development by implementing spatial development strategies that consider environmental vulnerabilities, protect ecosystems, and mitigate risks from flooding, heatwaves, and sea-level rise. This includes ensuring that development is directed away from high-risk areas, integrating climate adaptation considerations into urban planning, and promoting sustainable practices to close adaptation gaps while addressing urban inequality.</x:v>
      </x:c>
    </x:row>
    <x:row r="101" ht="66" customHeight="1">
      <x:c r="A101" s="165" t="str">
        <x:v>ipcc_0096</x:v>
      </x:c>
      <x:c r="B101" s="159" t="str">
        <x:v>Strengthen climate resilience in farming and fisheries</x:v>
      </x:c>
      <x:c r="C101" s="159" t="str">
        <x:v>Food security</x:v>
      </x:c>
      <x:c r="D101" s="159" t="str">
        <x:v>Vulnerability</x:v>
      </x:c>
      <x:c r="E101" s="153" t="str"/>
      <x:c r="F101" s="153" t="str"/>
      <x:c r="G101" s="159" t="str">
        <x:v>Eligible</x:v>
      </x:c>
      <x:c r="H101" s="159" t="str">
        <x:v>Medium</x:v>
      </x:c>
      <x:c r="I101" s="159" t="str">
        <x:v>Partial (9/12)</x:v>
      </x:c>
      <x:c r="J101" s="159" t="str">
        <x:v>Broad</x:v>
      </x:c>
      <x:c r="K101" s="159" t="str">
        <x:v>No</x:v>
      </x:c>
      <x:c r="L101" s="159" t="str">
        <x:v>5-10 years</x:v>
      </x:c>
      <x:c r="M101" s="168" t="n">
        <x:v>2</x:v>
      </x:c>
      <x:c r="N101" s="168" t="n">
        <x:v>11</x:v>
      </x:c>
      <x:c r="O101" s="159" t="str"/>
      <x:c r="P101" s="159" t="str">
        <x:v>Susceptibility of agricultural productivity | Susceptibility of livestock productivity | Homogeneity of agricultural production | Irrigation susceptibility | Agriculture and water availability | Agricultural areas with low agricultural potential | Agricultural areas with soil susceptible to erosion | Water deficit | Vegetation cover losses | Investment in agrarian and environmental management policies | Technical guidance | Associativism</x:v>
      </x:c>
      <x:c r="Q101" s="159" t="str">
        <x:v>Conservative eligibility screen: the action's stated mechanism has a plausible direct pathway to Susceptibility of agricultural productivity, Susceptibility of livestock productivity, Homogeneity of agricultural production, Irrigation susceptibility, Agriculture and water availability, Agricultural areas with low agricultural potential, Agricultural areas with soil susceptible to erosion, Water deficit, Vegetation cover losses, Investment in agrarian and environmental management policies, Technical guidance, Associativism. Evidence determines whether the effect is demonstrated and in which direction.</x:v>
      </x:c>
      <x:c r="R101" s="160" t="str">
        <x:v>Support the adoption of climate-smart agricultural and aquaculture practices by creating enabling conditions for farmers and fishers. Municipal governments can promote improved breeds, feed, and fertilizers, enhance irrigation efficiency, and foster aquaculture resilience through extension services, research partnerships, and targeted procurement. By offering incentives, technical assistance, and facilitating access to innovation and finance, cities can help producers adopt agroecological systems, diversify crops, and strengthen sustainable practices that build resilience to climate impacts.</x:v>
      </x:c>
    </x:row>
    <x:row r="102" ht="66" customHeight="1">
      <x:c r="A102" s="165" t="str">
        <x:v>ipcc_0094</x:v>
      </x:c>
      <x:c r="B102" s="159" t="str">
        <x:v>Strengthen climate‑resilient health services</x:v>
      </x:c>
      <x:c r="C102" s="159" t="str">
        <x:v>Food security</x:v>
      </x:c>
      <x:c r="D102" s="159" t="str">
        <x:v>Vulnerability</x:v>
      </x:c>
      <x:c r="E102" s="153" t="str"/>
      <x:c r="F102" s="153" t="str"/>
      <x:c r="G102" s="159" t="str">
        <x:v>Eligible</x:v>
      </x:c>
      <x:c r="H102" s="159" t="str">
        <x:v>None demonstrated</x:v>
      </x:c>
      <x:c r="I102" s="159" t="str">
        <x:v>None (0/2)</x:v>
      </x:c>
      <x:c r="J102" s="159" t="str">
        <x:v>None</x:v>
      </x:c>
      <x:c r="K102" s="159" t="str">
        <x:v>No</x:v>
      </x:c>
      <x:c r="L102" s="159" t="str">
        <x:v>5-10 years</x:v>
      </x:c>
      <x:c r="M102" s="168" t="n">
        <x:v>0</x:v>
      </x:c>
      <x:c r="N102" s="168" t="n">
        <x:v>11</x:v>
      </x:c>
      <x:c r="O102" s="159" t="str"/>
      <x:c r="P102" s="159" t="str">
        <x:v>Child malnutrition | Occurrence of diseases related to inadequate environmental sanitation</x:v>
      </x:c>
      <x:c r="Q102" s="159" t="str">
        <x:v>Conservative eligibility screen: the action's stated mechanism has a plausible direct pathway to Child malnutrition, Occurrence of diseases related to inadequate environmental sanitation. Evidence determines whether the effect is demonstrated and in which direction.</x:v>
      </x:c>
      <x:c r="R102" s="160" t="str">
        <x:v>Enhancing access to health care services, including health and nutrition services, clean water, sanitation, and culturally appropriate mental health resources. Expanding telemedicine capabilities enables efficient health service delivery, particularly for remote and underserved populations. Strengthening basic public health systems and disaster preparedness can rapidly reduce vulnerability to climate-related health risks.</x:v>
      </x:c>
    </x:row>
    <x:row r="103" ht="66" customHeight="1">
      <x:c r="A103" s="165" t="str">
        <x:v>ipcc_0103</x:v>
      </x:c>
      <x:c r="B103" s="159" t="str">
        <x:v>Strengthen cooperative climate governance</x:v>
      </x:c>
      <x:c r="C103" s="159" t="str">
        <x:v>Food security</x:v>
      </x:c>
      <x:c r="D103" s="159" t="str">
        <x:v>Vulnerability</x:v>
      </x:c>
      <x:c r="E103" s="153" t="str"/>
      <x:c r="F103" s="153" t="str"/>
      <x:c r="G103" s="159" t="str">
        <x:v>Eligible</x:v>
      </x:c>
      <x:c r="H103" s="159" t="str">
        <x:v>Low</x:v>
      </x:c>
      <x:c r="I103" s="159" t="str">
        <x:v>Partial (4/6)</x:v>
      </x:c>
      <x:c r="J103" s="159" t="str">
        <x:v>Moderate</x:v>
      </x:c>
      <x:c r="K103" s="159" t="str">
        <x:v>No</x:v>
      </x:c>
      <x:c r="L103" s="159" t="str">
        <x:v>5-10 years</x:v>
      </x:c>
      <x:c r="M103" s="168" t="n">
        <x:v>1</x:v>
      </x:c>
      <x:c r="N103" s="168" t="n">
        <x:v>11</x:v>
      </x:c>
      <x:c r="O103" s="159" t="str"/>
      <x:c r="P103" s="159" t="str">
        <x:v>Investment in agrarian and environmental management policies | Associativism | Stability of agrarian conflicts | Federal investment per capita | Food safety instruments | PAA suppliers classified as “traditional peoples and communities”</x:v>
      </x:c>
      <x:c r="Q103" s="159" t="str">
        <x:v>Conservative eligibility screen: the action's stated mechanism has a plausible direct pathway to Investment in agrarian and environmental management policies, Associativism, Stability of agrarian conflicts, Federal investment per capita, Food safety instruments, PAA suppliers classified as “traditional peoples and communities”. Evidence determines whether the effect is demonstrated and in which direction.</x:v>
      </x:c>
      <x:c r="R103" s="160" t="str">
        <x:v>Enhancing cooperative governance through transboundary fishing agreements and inclusive ocean governance. This involves participatory approaches, structured decision-making tools, and decentralized frameworks that couple top-down management with community-driven initiatives. Additional strategies include collective water management systems to optimize resource use under climate-induced variability, indigenous water-sharing systems rooted in traditional practices to ensure sustainable and equitable resource allocation, and enforcing the land rights of Indigenous populations to protect biodiversity and cultural heritage. Adaptive co-management in Arctic fisheries integrates local and scientific knowledge to address climate impacts on marine resources. The international compact on migration fosters orderly and safe migration as an adaptive response to climate risks, and policies for adaptive governance promote ecosystem-based solutions, legal frameworks, and institutional adaptations to enhance resilience to climate change. These combined measures address geopolitical complexities, ensure equitable resource distribution, and strengthen resilience to climate-induced hazards.</x:v>
      </x:c>
    </x:row>
    <x:row r="104" ht="66" customHeight="1">
      <x:c r="A104" s="165" t="str">
        <x:v>ipcc_0091</x:v>
      </x:c>
      <x:c r="B104" s="159" t="str">
        <x:v>Support livelihood diversification for climate resilience</x:v>
      </x:c>
      <x:c r="C104" s="159" t="str">
        <x:v>Food security</x:v>
      </x:c>
      <x:c r="D104" s="159" t="str">
        <x:v>Vulnerability</x:v>
      </x:c>
      <x:c r="E104" s="153" t="str"/>
      <x:c r="F104" s="153" t="str"/>
      <x:c r="G104" s="159" t="str">
        <x:v>Eligible</x:v>
      </x:c>
      <x:c r="H104" s="159" t="str">
        <x:v>Medium</x:v>
      </x:c>
      <x:c r="I104" s="159" t="str">
        <x:v>Complete (3/3)</x:v>
      </x:c>
      <x:c r="J104" s="159" t="str">
        <x:v>Moderate</x:v>
      </x:c>
      <x:c r="K104" s="159" t="str">
        <x:v>No</x:v>
      </x:c>
      <x:c r="L104" s="159" t="str">
        <x:v>&lt;5 years</x:v>
      </x:c>
      <x:c r="M104" s="168" t="n">
        <x:v>1</x:v>
      </x:c>
      <x:c r="N104" s="168" t="n">
        <x:v>11</x:v>
      </x:c>
      <x:c r="O104" s="159" t="str"/>
      <x:c r="P104" s="159" t="str">
        <x:v>Diversity of revenues | Food and nutritional insecurity | Households with high per capita income</x:v>
      </x:c>
      <x:c r="Q104" s="159" t="str">
        <x:v>Conservative eligibility screen: the action's stated mechanism has a plausible direct pathway to Diversity of revenues, Food and nutritional insecurity, Households with high per capita income. Evidence determines whether the effect is demonstrated and in which direction.</x:v>
      </x:c>
      <x:c r="R104" s="160" t="str">
        <x:v>Promote alternative income opportunities to reduce the vulnerability of communities dependent on fisheries and mariculture. Municipal governments can facilitate training, microcredit programs, and connections to value chains that enable diversification into eco-tourism, agro-processing, crafts, and service sectors. By supporting infrastructure upgrades, skills development, and access to finance, cities can help stabilize incomes, strengthen local economies, and protect livelihoods from the impacts of shifting marine species distributions and climate variability.</x:v>
      </x:c>
    </x:row>
    <x:row r="105" ht="66" customHeight="1">
      <x:c r="A105" s="165" t="str">
        <x:v>ipcc_0097</x:v>
      </x:c>
      <x:c r="B105" s="159" t="str">
        <x:v>Upgrade food storage and distribution for climate resilience</x:v>
      </x:c>
      <x:c r="C105" s="159" t="str">
        <x:v>Food security</x:v>
      </x:c>
      <x:c r="D105" s="159" t="str">
        <x:v>Vulnerability</x:v>
      </x:c>
      <x:c r="E105" s="153" t="str"/>
      <x:c r="F105" s="153" t="str"/>
      <x:c r="G105" s="159" t="str">
        <x:v>Eligible</x:v>
      </x:c>
      <x:c r="H105" s="159" t="str">
        <x:v>Low</x:v>
      </x:c>
      <x:c r="I105" s="159" t="str">
        <x:v>Complete (5/5)</x:v>
      </x:c>
      <x:c r="J105" s="159" t="str">
        <x:v>Moderate</x:v>
      </x:c>
      <x:c r="K105" s="159" t="str">
        <x:v>No</x:v>
      </x:c>
      <x:c r="L105" s="159" t="str">
        <x:v>5-10 years</x:v>
      </x:c>
      <x:c r="M105" s="168" t="n">
        <x:v>1</x:v>
      </x:c>
      <x:c r="N105" s="168" t="n">
        <x:v>11</x:v>
      </x:c>
      <x:c r="O105" s="159" t="str"/>
      <x:c r="P105" s="159" t="str">
        <x:v>Storage capacity | Distance from warehouses | Municipalities without a basic food supply network | Food and nutritional insecurity | Food safety instruments</x:v>
      </x:c>
      <x:c r="Q105" s="159" t="str">
        <x:v>Conservative eligibility screen: the action's stated mechanism has a plausible direct pathway to Storage capacity, Distance from warehouses, Municipalities without a basic food supply network, Food and nutritional insecurity, Food safety instruments. Evidence determines whether the effect is demonstrated and in which direction.</x:v>
      </x:c>
      <x:c r="R105" s="160" t="str">
        <x:v>Strengthen local food systems by improving storage and distribution infrastructure to reduce losses and enhance resilience to climate impacts. Municipal governments can invest in public facilities such as cool storage units, silos, and warehouses, while upgrading logistics to handle perishable goods more efficiently. By supporting local markets, optimizing distribution networks, and facilitating access to reliable storage for producers and vendors, cities can improve food security, reduce waste, and ensure stable food availability during crises and extreme events.</x:v>
      </x:c>
    </x:row>
    <x:row r="106" ht="66" customHeight="1">
      <x:c r="A106" s="165" t="str">
        <x:v>icare_0184</x:v>
      </x:c>
      <x:c r="B106" s="159" t="str">
        <x:v>Upgrade Slope stabilization and drainage</x:v>
      </x:c>
      <x:c r="C106" s="159" t="str">
        <x:v>Food security</x:v>
      </x:c>
      <x:c r="D106" s="159" t="str">
        <x:v>Vulnerability</x:v>
      </x:c>
      <x:c r="E106" s="153" t="str"/>
      <x:c r="F106" s="153" t="str"/>
      <x:c r="G106" s="159" t="str">
        <x:v>Eligible</x:v>
      </x:c>
      <x:c r="H106" s="159" t="str">
        <x:v>Low</x:v>
      </x:c>
      <x:c r="I106" s="159" t="str">
        <x:v>Complete (1/1)</x:v>
      </x:c>
      <x:c r="J106" s="159" t="str">
        <x:v>Moderate</x:v>
      </x:c>
      <x:c r="K106" s="159" t="str">
        <x:v>No</x:v>
      </x:c>
      <x:c r="L106" s="159" t="str">
        <x:v>5-10 years</x:v>
      </x:c>
      <x:c r="M106" s="168" t="n">
        <x:v>1</x:v>
      </x:c>
      <x:c r="N106" s="168" t="n">
        <x:v>11</x:v>
      </x:c>
      <x:c r="O106" s="159" t="str"/>
      <x:c r="P106" s="159" t="str">
        <x:v>Agricultural areas with soil susceptible to erosion</x:v>
      </x:c>
      <x:c r="Q106" s="159" t="str">
        <x:v>Conservative eligibility screen: the action's stated mechanism has a plausible direct pathway to Agricultural areas with soil susceptible to erosion. Evidence determines whether the effect is demonstrated and in which direction.</x:v>
      </x:c>
      <x:c r="R106" s="160" t="str">
        <x:v>This action involves stabilizing slopes and maintaining or restoring drainage systems in hillside areas. This helps to prevent landslides and erosion, reducing the risk of disasters.</x:v>
      </x:c>
    </x:row>
    <x:row r="107" ht="66" customHeight="1">
      <x:c r="A107" s="165" t="str">
        <x:v>c40_0049</x:v>
      </x:c>
      <x:c r="B107" s="159" t="str">
        <x:v>Build and maintain shelters for critical climate hazards</x:v>
      </x:c>
      <x:c r="C107" s="159" t="str">
        <x:v>Geohydrological disasters</x:v>
      </x:c>
      <x:c r="D107" s="159" t="str">
        <x:v>Vulnerability</x:v>
      </x:c>
      <x:c r="E107" s="153" t="str"/>
      <x:c r="F107" s="153" t="str"/>
      <x:c r="G107" s="159" t="str">
        <x:v>Eligible</x:v>
      </x:c>
      <x:c r="H107" s="159" t="str">
        <x:v>Low</x:v>
      </x:c>
      <x:c r="I107" s="159" t="str">
        <x:v>Partial (2/4)</x:v>
      </x:c>
      <x:c r="J107" s="159" t="str">
        <x:v>Moderate</x:v>
      </x:c>
      <x:c r="K107" s="159" t="str">
        <x:v>No</x:v>
      </x:c>
      <x:c r="L107" s="159" t="str">
        <x:v>&lt;5 years</x:v>
      </x:c>
      <x:c r="M107" s="168" t="n">
        <x:v>1</x:v>
      </x:c>
      <x:c r="N107" s="168" t="n">
        <x:v>10</x:v>
      </x:c>
      <x:c r="O107" s="159" t="str"/>
      <x:c r="P107" s="159" t="str">
        <x:v>Actions to reduce risk | Contingency plan | Actions to reduce risk | Contingency plan</x:v>
      </x:c>
      <x:c r="Q107" s="159" t="str">
        <x:v>Conservative eligibility screen: the action's stated mechanism has a plausible direct pathway to Actions to reduce risk, Contingency plan, Actions to reduce risk, Contingency plan. Evidence determines whether the effect is demonstrated and in which direction.</x:v>
      </x:c>
      <x:c r="R107" s="160" t="str">
        <x:v>"Build and maintain shelters for critical climate hazards" involves building and maintaining shelters in high-risk areas to protect residents during extreme weather events such as floods, cyclones, storms, landslides, extreme heat events or other critical climate hazards. Shelters should meet resilient design standards, including wind- and flood-resistant construction, and be strategically located to maximize accessibility for vulnerable populations. Where possible, shelters can serve multipurpose roles as schools or community centers. Clear funding mechanisms and defined responsibilities for operations and maintenance are essential to ensure long-term reliability and effectiveness.</x:v>
      </x:c>
    </x:row>
    <x:row r="108" ht="66" customHeight="1">
      <x:c r="A108" s="165" t="str">
        <x:v>icare_0170</x:v>
      </x:c>
      <x:c r="B108" s="159" t="str">
        <x:v>Build safe housing and implement urban rehabilitation projects for populations living in high-risk areas</x:v>
      </x:c>
      <x:c r="C108" s="159" t="str">
        <x:v>Geohydrological disasters</x:v>
      </x:c>
      <x:c r="D108" s="159" t="str">
        <x:v>Exposure</x:v>
      </x:c>
      <x:c r="E108" s="153" t="str"/>
      <x:c r="F108" s="153" t="str"/>
      <x:c r="G108" s="159" t="str">
        <x:v>Eligible</x:v>
      </x:c>
      <x:c r="H108" s="159" t="str">
        <x:v>Medium</x:v>
      </x:c>
      <x:c r="I108" s="159" t="str">
        <x:v>Complete (4/4)</x:v>
      </x:c>
      <x:c r="J108" s="159" t="str">
        <x:v>Moderate</x:v>
      </x:c>
      <x:c r="K108" s="159" t="str">
        <x:v>No</x:v>
      </x:c>
      <x:c r="L108" s="159" t="str">
        <x:v>&gt;10 years</x:v>
      </x:c>
      <x:c r="M108" s="168" t="n">
        <x:v>1</x:v>
      </x:c>
      <x:c r="N108" s="168" t="n">
        <x:v>10</x:v>
      </x:c>
      <x:c r="O108" s="159" t="str"/>
      <x:c r="P108" s="159" t="str">
        <x:v>Households in risk areas | Urban population density | Households in risk areas | Urban population density</x:v>
      </x:c>
      <x:c r="Q108" s="159" t="str">
        <x:v>Conservative eligibility screen: the action's stated mechanism has a plausible direct pathway to Households in risk areas, Urban population density, Households in risk areas, Urban population density. Evidence determines whether the effect is demonstrated and in which direction.</x:v>
      </x:c>
      <x:c r="R108" s="160" t="str">
        <x:v>The priority of this action is to build safe housing and implement urban rehabilitation projects for the population living in areas prone to landslides and flooding, as the housing deficit is one of the main factors related to these threats. This will be implemented through the construction of new housing units in safe locations for family resettlement, and infrastructure upgrades like slope stabilization and improved drainage systems within vulnerable communities.</x:v>
      </x:c>
    </x:row>
    <x:row r="109" ht="66" customHeight="1">
      <x:c r="A109" s="165" t="str">
        <x:v>icare_0170</x:v>
      </x:c>
      <x:c r="B109" s="159" t="str">
        <x:v>Build safe housing and implement urban rehabilitation projects for populations living in high-risk areas</x:v>
      </x:c>
      <x:c r="C109" s="159" t="str">
        <x:v>Geohydrological disasters</x:v>
      </x:c>
      <x:c r="D109" s="159" t="str">
        <x:v>Vulnerability</x:v>
      </x:c>
      <x:c r="E109" s="153" t="str"/>
      <x:c r="F109" s="153" t="str"/>
      <x:c r="G109" s="159" t="str">
        <x:v>Eligible</x:v>
      </x:c>
      <x:c r="H109" s="159" t="str">
        <x:v>Medium</x:v>
      </x:c>
      <x:c r="I109" s="159" t="str">
        <x:v>Complete (10/10)</x:v>
      </x:c>
      <x:c r="J109" s="159" t="str">
        <x:v>Broad</x:v>
      </x:c>
      <x:c r="K109" s="159" t="str">
        <x:v>No</x:v>
      </x:c>
      <x:c r="L109" s="159" t="str">
        <x:v>&gt;10 years</x:v>
      </x:c>
      <x:c r="M109" s="168" t="n">
        <x:v>3</x:v>
      </x:c>
      <x:c r="N109" s="168" t="n">
        <x:v>10</x:v>
      </x:c>
      <x:c r="O109" s="159" t="str"/>
      <x:c r="P109" s="159" t="str">
        <x:v>Urban occupation management in risk areas | Actions to reduce risk | Housing governance | Inappropriate households | Drainage | Urban occupation management in risk areas | Actions to reduce risk | Housing governance | Inappropriate households | Drainage</x:v>
      </x:c>
      <x:c r="Q109" s="159" t="str">
        <x:v>Conservative eligibility screen: the action's stated mechanism has a plausible direct pathway to Urban occupation management in risk areas, Actions to reduce risk, Housing governance, Inappropriate households, Drainage, Urban occupation management in risk areas, Actions to reduce risk, Housing governance, Inappropriate households, Drainage. Evidence determines whether the effect is demonstrated and in which direction.</x:v>
      </x:c>
      <x:c r="R109" s="160" t="str">
        <x:v>The priority of this action is to build safe housing and implement urban rehabilitation projects for the population living in areas prone to landslides and flooding, as the housing deficit is one of the main factors related to these threats. This will be implemented through the construction of new housing units in safe locations for family resettlement, and infrastructure upgrades like slope stabilization and improved drainage systems within vulnerable communities.</x:v>
      </x:c>
    </x:row>
    <x:row r="110" ht="66" customHeight="1">
      <x:c r="A110" s="165" t="str">
        <x:v>icare_0154</x:v>
      </x:c>
      <x:c r="B110" s="159" t="str">
        <x:v>Clean and unclog drainage channels and install eco-barriers</x:v>
      </x:c>
      <x:c r="C110" s="159" t="str">
        <x:v>Geohydrological disasters</x:v>
      </x:c>
      <x:c r="D110" s="159" t="str">
        <x:v>Vulnerability</x:v>
      </x:c>
      <x:c r="E110" s="153" t="str"/>
      <x:c r="F110" s="153" t="str"/>
      <x:c r="G110" s="159" t="str">
        <x:v>Eligible</x:v>
      </x:c>
      <x:c r="H110" s="159" t="str">
        <x:v>Medium</x:v>
      </x:c>
      <x:c r="I110" s="159" t="str">
        <x:v>Complete (5/5)</x:v>
      </x:c>
      <x:c r="J110" s="159" t="str">
        <x:v>Limited</x:v>
      </x:c>
      <x:c r="K110" s="159" t="str">
        <x:v>No</x:v>
      </x:c>
      <x:c r="L110" s="159" t="str">
        <x:v>&lt;5 years</x:v>
      </x:c>
      <x:c r="M110" s="168" t="n">
        <x:v>2</x:v>
      </x:c>
      <x:c r="N110" s="168" t="n">
        <x:v>10</x:v>
      </x:c>
      <x:c r="O110" s="159" t="str"/>
      <x:c r="P110" s="159" t="str">
        <x:v>Waste management and public cleaning | Actions to reduce risk | Municipal basic sanitation plan | Basic sanitation | Drainage</x:v>
      </x:c>
      <x:c r="Q110" s="159" t="str">
        <x:v>Conservative eligibility screen: the action's stated mechanism has a plausible direct pathway to Waste management and public cleaning, Actions to reduce risk, Municipal basic sanitation plan, Basic sanitation, Drainage. Evidence determines whether the effect is demonstrated and in which direction.</x:v>
      </x:c>
      <x:c r="R110" s="160" t="str">
        <x:v>Cleaning and unclogging channels in the city to reduce the risk of flooding caused by extreme rainfall events. Installation of eco-barriers to assist in cleaning efforts and raise awareness about solid waste.</x:v>
      </x:c>
    </x:row>
    <x:row r="111" ht="66" customHeight="1">
      <x:c r="A111" s="165" t="str">
        <x:v>icare_0176</x:v>
      </x:c>
      <x:c r="B111" s="159" t="str">
        <x:v>Develop a Climate Action Plan</x:v>
      </x:c>
      <x:c r="C111" s="159" t="str">
        <x:v>Geohydrological disasters</x:v>
      </x:c>
      <x:c r="D111" s="159" t="str">
        <x:v>Vulnerability</x:v>
      </x:c>
      <x:c r="E111" s="153" t="str"/>
      <x:c r="F111" s="153" t="str"/>
      <x:c r="G111" s="159" t="str">
        <x:v>Eligible</x:v>
      </x:c>
      <x:c r="H111" s="159" t="str">
        <x:v>Low</x:v>
      </x:c>
      <x:c r="I111" s="159" t="str">
        <x:v>Partial (8/10)</x:v>
      </x:c>
      <x:c r="J111" s="159" t="str">
        <x:v>Moderate</x:v>
      </x:c>
      <x:c r="K111" s="159" t="str">
        <x:v>No</x:v>
      </x:c>
      <x:c r="L111" s="159" t="str">
        <x:v>&lt;5 years</x:v>
      </x:c>
      <x:c r="M111" s="168" t="n">
        <x:v>1</x:v>
      </x:c>
      <x:c r="N111" s="168" t="n">
        <x:v>10</x:v>
      </x:c>
      <x:c r="O111" s="159" t="str"/>
      <x:c r="P111" s="159" t="str">
        <x:v>Investment in adaptation policies | Resilient cities program | Institutions for risk management | Actions to reduce risk | Environmental governance | Investment in adaptation policies | Resilient cities program | Institutions for risk management | Actions to reduce risk | Environmental governance</x:v>
      </x:c>
      <x:c r="Q111" s="159" t="str">
        <x:v>Conservative eligibility screen: the action's stated mechanism has a plausible direct pathway to Investment in adaptation policies, Resilient cities program, Institutions for risk management, Actions to reduce risk, Environmental governance, Investment in adaptation policies, Resilient cities program, Institutions for risk management, Actions to reduce risk, Environmental governance. Evidence determines whether the effect is demonstrated and in which direction.</x:v>
      </x:c>
      <x:c r="R111" s="160" t="str">
        <x:v>A comprehensive plan outlining a city's strategies and actions to mitigate greenhouse gas emissions and adapt to the impacts of climate change which typically includes an assessment of the city's climate risks and vulnerabilities, setting emission reduction targets, and implementation of actions across various sectors such as energy, transportation, waste management, and urban planning.</x:v>
      </x:c>
    </x:row>
    <x:row r="112" ht="66" customHeight="1">
      <x:c r="A112" s="165" t="str">
        <x:v>icare_0182</x:v>
      </x:c>
      <x:c r="B112" s="159" t="str">
        <x:v>Develop an Urban Afforestation Plan</x:v>
      </x:c>
      <x:c r="C112" s="159" t="str">
        <x:v>Geohydrological disasters</x:v>
      </x:c>
      <x:c r="D112" s="159" t="str">
        <x:v>Vulnerability</x:v>
      </x:c>
      <x:c r="E112" s="153" t="str"/>
      <x:c r="F112" s="153" t="str"/>
      <x:c r="G112" s="159" t="str">
        <x:v>Eligible</x:v>
      </x:c>
      <x:c r="H112" s="159" t="str">
        <x:v>Low</x:v>
      </x:c>
      <x:c r="I112" s="159" t="str">
        <x:v>Complete (6/6)</x:v>
      </x:c>
      <x:c r="J112" s="159" t="str">
        <x:v>Moderate</x:v>
      </x:c>
      <x:c r="K112" s="159" t="str">
        <x:v>No</x:v>
      </x:c>
      <x:c r="L112" s="159" t="str">
        <x:v>5-10 years</x:v>
      </x:c>
      <x:c r="M112" s="168" t="n">
        <x:v>2</x:v>
      </x:c>
      <x:c r="N112" s="168" t="n">
        <x:v>10</x:v>
      </x:c>
      <x:c r="O112" s="159" t="str"/>
      <x:c r="P112" s="159" t="str">
        <x:v>Actions to reduce risk | Land use and occupation | Environmental governance | Actions to reduce risk | Land use and occupation | Environmental governance</x:v>
      </x:c>
      <x:c r="Q112" s="159" t="str">
        <x:v>Conservative eligibility screen: the action's stated mechanism has a plausible direct pathway to Actions to reduce risk, Land use and occupation, Environmental governance, Actions to reduce risk, Land use and occupation, Environmental governance. Evidence determines whether the effect is demonstrated and in which direction.</x:v>
      </x:c>
      <x:c r="R112" s="160" t="str">
        <x:v>This action focuses on expanding green areas in the city through urban afforestation. This includes planting trees in sidewalks, squares, public buildings, and schools, as well as creating ecological parks to revitalize watercourses and/or restore forests.</x:v>
      </x:c>
    </x:row>
    <x:row r="113" ht="66" customHeight="1">
      <x:c r="A113" s="165" t="str">
        <x:v>icare_0172</x:v>
      </x:c>
      <x:c r="B113" s="159" t="str">
        <x:v>Develop and implement the Municipal Risk Reduction Plan (PMRR) and identify population groups vulnerable to climate risks.</x:v>
      </x:c>
      <x:c r="C113" s="159" t="str">
        <x:v>Geohydrological disasters</x:v>
      </x:c>
      <x:c r="D113" s="159" t="str">
        <x:v>Vulnerability</x:v>
      </x:c>
      <x:c r="E113" s="153" t="str"/>
      <x:c r="F113" s="153" t="str"/>
      <x:c r="G113" s="159" t="str">
        <x:v>Eligible</x:v>
      </x:c>
      <x:c r="H113" s="159" t="str">
        <x:v>Low</x:v>
      </x:c>
      <x:c r="I113" s="159" t="str">
        <x:v>Complete (14/14)</x:v>
      </x:c>
      <x:c r="J113" s="159" t="str">
        <x:v>Broad</x:v>
      </x:c>
      <x:c r="K113" s="159" t="str">
        <x:v>No</x:v>
      </x:c>
      <x:c r="L113" s="159" t="str">
        <x:v>&lt;5 years</x:v>
      </x:c>
      <x:c r="M113" s="168" t="n">
        <x:v>2</x:v>
      </x:c>
      <x:c r="N113" s="168" t="n">
        <x:v>10</x:v>
      </x:c>
      <x:c r="O113" s="159" t="str"/>
      <x:c r="P113" s="159" t="str">
        <x:v>Resilient cities program | Institutions for risk management | Urban occupation management in risk areas | Actions to reduce risk | Early warning systems | Contingency plan | Land use and occupation | Resilient cities program | Institutions for risk management | Urban occupation management in risk areas | Actions to reduce risk | Early warning systems | Contingency plan | Land use and occupation</x:v>
      </x:c>
      <x:c r="Q113" s="159" t="str">
        <x:v>Conservative eligibility screen: the action's stated mechanism has a plausible direct pathway to Resilient cities program, Institutions for risk management, Urban occupation management in risk areas, Actions to reduce risk, Early warning systems, Contingency plan, Land use and occupation, Resilient cities program, Institutions for risk management, Urban occupation management in risk areas, Actions to reduce risk, Early warning systems, Contingency plan, Land use and occupation. Evidence determines whether the effect is demonstrated and in which direction.</x:v>
      </x:c>
      <x:c r="R113" s="160" t="str">
        <x:v>This action aims to strengthen the development of the Municipal Risk Reduction Plan (PMRR) in the municipality, as it is a highly relevant tool for managing climate risks, especially river floods and landslides.</x:v>
      </x:c>
    </x:row>
    <x:row r="114" ht="66" customHeight="1">
      <x:c r="A114" s="165" t="str">
        <x:v>icare_0144</x:v>
      </x:c>
      <x:c r="B114" s="159" t="str">
        <x:v>Establish a financial support program for extreme weather events</x:v>
      </x:c>
      <x:c r="C114" s="159" t="str">
        <x:v>Geohydrological disasters</x:v>
      </x:c>
      <x:c r="D114" s="159" t="str">
        <x:v>Vulnerability</x:v>
      </x:c>
      <x:c r="E114" s="153" t="str"/>
      <x:c r="F114" s="153" t="str"/>
      <x:c r="G114" s="159" t="str">
        <x:v>Eligible</x:v>
      </x:c>
      <x:c r="H114" s="159" t="str">
        <x:v>Low</x:v>
      </x:c>
      <x:c r="I114" s="159" t="str">
        <x:v>Complete (10/10)</x:v>
      </x:c>
      <x:c r="J114" s="159" t="str">
        <x:v>Moderate</x:v>
      </x:c>
      <x:c r="K114" s="159" t="str">
        <x:v>No</x:v>
      </x:c>
      <x:c r="L114" s="159" t="str">
        <x:v>&lt;5 years</x:v>
      </x:c>
      <x:c r="M114" s="168" t="n">
        <x:v>1</x:v>
      </x:c>
      <x:c r="N114" s="168" t="n">
        <x:v>10</x:v>
      </x:c>
      <x:c r="O114" s="159" t="str"/>
      <x:c r="P114" s="159" t="str">
        <x:v>Investment in adaptation policies | Employment and income | Gross domestic product by urban area | Actions to reduce risk | Housing governance | Investment in adaptation policies | Employment and income | Gross domestic product by urban area | Actions to reduce risk | Housing governance</x:v>
      </x:c>
      <x:c r="Q114" s="159" t="str">
        <x:v>Conservative eligibility screen: the action's stated mechanism has a plausible direct pathway to Investment in adaptation policies, Employment and income, Gross domestic product by urban area, Actions to reduce risk, Housing governance, Investment in adaptation policies, Employment and income, Gross domestic product by urban area, Actions to reduce risk, Housing governance. Evidence determines whether the effect is demonstrated and in which direction.</x:v>
      </x:c>
      <x:c r="R114" s="160" t="str">
        <x:v>Creation of a program to mitigate the effects of climate tragedies, including financial assistance to affected families, efforts to increase access to affordable hazard insurance, and efforts to secure additional resources for recovery and reconstruction, including partnerships with state and federal government bodies. Recovery and reconstruction measures should include adaptive measures with the emphasis on build back better to withstand future hazards and helping residents retrofit buildings.</x:v>
      </x:c>
    </x:row>
    <x:row r="115" ht="66" customHeight="1">
      <x:c r="A115" s="165" t="str">
        <x:v>icare_0169</x:v>
      </x:c>
      <x:c r="B115" s="159" t="str">
        <x:v>Establish a Plan for Preparation and Emergency Response Measures in the event of extreme weather events</x:v>
      </x:c>
      <x:c r="C115" s="159" t="str">
        <x:v>Geohydrological disasters</x:v>
      </x:c>
      <x:c r="D115" s="159" t="str">
        <x:v>Vulnerability</x:v>
      </x:c>
      <x:c r="E115" s="153" t="str"/>
      <x:c r="F115" s="153" t="str"/>
      <x:c r="G115" s="159" t="str">
        <x:v>Eligible</x:v>
      </x:c>
      <x:c r="H115" s="159" t="str">
        <x:v>Low</x:v>
      </x:c>
      <x:c r="I115" s="159" t="str">
        <x:v>Complete (6/6)</x:v>
      </x:c>
      <x:c r="J115" s="159" t="str">
        <x:v>Moderate</x:v>
      </x:c>
      <x:c r="K115" s="159" t="str">
        <x:v>No</x:v>
      </x:c>
      <x:c r="L115" s="159" t="str">
        <x:v>5-10 years</x:v>
      </x:c>
      <x:c r="M115" s="168" t="n">
        <x:v>1</x:v>
      </x:c>
      <x:c r="N115" s="168" t="n">
        <x:v>10</x:v>
      </x:c>
      <x:c r="O115" s="159" t="str"/>
      <x:c r="P115" s="159" t="str">
        <x:v>Institutions for risk management | Actions to reduce risk | Contingency plan | Institutions for risk management | Actions to reduce risk | Contingency plan</x:v>
      </x:c>
      <x:c r="Q115" s="159" t="str">
        <x:v>Conservative eligibility screen: the action's stated mechanism has a plausible direct pathway to Institutions for risk management, Actions to reduce risk, Contingency plan, Institutions for risk management, Actions to reduce risk, Contingency plan. Evidence determines whether the effect is demonstrated and in which direction.</x:v>
      </x:c>
      <x:c r="R115" s="160" t="str">
        <x:v>This action focuses on preparing the municipality to respond to extreme events, aiming to provide a rapid response that minimizes the impacts on the population.</x:v>
      </x:c>
    </x:row>
    <x:row r="116" ht="66" customHeight="1">
      <x:c r="A116" s="165" t="str">
        <x:v>icare_0160</x:v>
      </x:c>
      <x:c r="B116" s="159" t="str">
        <x:v>Establish mechanisms for intersectoral coordination and public participation in climate policy</x:v>
      </x:c>
      <x:c r="C116" s="159" t="str">
        <x:v>Geohydrological disasters</x:v>
      </x:c>
      <x:c r="D116" s="159" t="str">
        <x:v>Vulnerability</x:v>
      </x:c>
      <x:c r="E116" s="153" t="str"/>
      <x:c r="F116" s="153" t="str"/>
      <x:c r="G116" s="159" t="str">
        <x:v>Eligible</x:v>
      </x:c>
      <x:c r="H116" s="159" t="str">
        <x:v>Low</x:v>
      </x:c>
      <x:c r="I116" s="159" t="str">
        <x:v>Complete (4/4)</x:v>
      </x:c>
      <x:c r="J116" s="159" t="str">
        <x:v>Moderate</x:v>
      </x:c>
      <x:c r="K116" s="159" t="str">
        <x:v>No</x:v>
      </x:c>
      <x:c r="L116" s="159" t="str">
        <x:v>&lt;5 years</x:v>
      </x:c>
      <x:c r="M116" s="168" t="n">
        <x:v>1</x:v>
      </x:c>
      <x:c r="N116" s="168" t="n">
        <x:v>10</x:v>
      </x:c>
      <x:c r="O116" s="159" t="str"/>
      <x:c r="P116" s="159" t="str">
        <x:v>Institutions for risk management | Environmental governance | Institutions for risk management | Environmental governance</x:v>
      </x:c>
      <x:c r="Q116" s="159" t="str">
        <x:v>Conservative eligibility screen: the action's stated mechanism has a plausible direct pathway to Institutions for risk management, Environmental governance, Institutions for risk management, Environmental governance. Evidence determines whether the effect is demonstrated and in which direction.</x:v>
      </x:c>
      <x:c r="R116" s="160" t="str">
        <x:v>Establish more mechanisms that enable better intersectoral coordination and public participation in climate policy, including the creation of working groups with neighboring municipalities to discuss a common climate agenda.</x:v>
      </x:c>
    </x:row>
    <x:row r="117" ht="66" customHeight="1">
      <x:c r="A117" s="165" t="str">
        <x:v>ipcc_0090</x:v>
      </x:c>
      <x:c r="B117" s="159" t="str">
        <x:v>Expand climate risk insurance coverage</x:v>
      </x:c>
      <x:c r="C117" s="159" t="str">
        <x:v>Geohydrological disasters</x:v>
      </x:c>
      <x:c r="D117" s="159" t="str">
        <x:v>Vulnerability</x:v>
      </x:c>
      <x:c r="E117" s="153" t="str"/>
      <x:c r="F117" s="153" t="str"/>
      <x:c r="G117" s="159" t="str">
        <x:v>Eligible</x:v>
      </x:c>
      <x:c r="H117" s="159" t="str">
        <x:v>Medium</x:v>
      </x:c>
      <x:c r="I117" s="159" t="str">
        <x:v>Complete (8/8)</x:v>
      </x:c>
      <x:c r="J117" s="159" t="str">
        <x:v>Broad</x:v>
      </x:c>
      <x:c r="K117" s="159" t="str">
        <x:v>No</x:v>
      </x:c>
      <x:c r="L117" s="159" t="str">
        <x:v>&lt;5 years</x:v>
      </x:c>
      <x:c r="M117" s="168" t="n">
        <x:v>2</x:v>
      </x:c>
      <x:c r="N117" s="168" t="n">
        <x:v>10</x:v>
      </x:c>
      <x:c r="O117" s="159" t="str"/>
      <x:c r="P117" s="159" t="str">
        <x:v>Investment in adaptation policies | Tax management | Employment and income | Gross domestic product by urban area | Investment in adaptation policies | Tax management | Employment and income | Gross domestic product by urban area</x:v>
      </x:c>
      <x:c r="Q117" s="159" t="str">
        <x:v>Conservative eligibility screen: the action's stated mechanism has a plausible direct pathway to Investment in adaptation policies, Tax management, Employment and income, Gross domestic product by urban area, Investment in adaptation policies, Tax management, Employment and income, Gross domestic product by urban area. Evidence determines whether the effect is demonstrated and in which direction.</x:v>
      </x:c>
      <x:c r="R117" s="160" t="str">
        <x:v>Insurance provides financial risk management tools tailored to climate-induced challenges. This includes traditional agricultural insurance to protect farmers from weather-related losses and innovative index-based insurance solutions. Index-based insurance leverages measurable weather indices, such as rainfall or temperature, to trigger payouts automatically when thresholds are reached, bypassing the need for loss verification. These tools help stabilize incomes, encourage investment in climate-resilient practices, and reduce the economic vulnerability of stakeholders in agriculture, aquaculture, and energy sectors. Furthermore, bundled insurance products with additional services like fertilizer or seed access enhance overall resilience, particularly in underserved and rural communities. By mitigating risks associated with droughts, floods, and storms, insurance supports sustainable development and adaptation goals</x:v>
      </x:c>
    </x:row>
    <x:row r="118" ht="66" customHeight="1">
      <x:c r="A118" s="165" t="str">
        <x:v>ipcc_0092</x:v>
      </x:c>
      <x:c r="B118" s="159" t="str">
        <x:v>Expand climate‑responsive social safety nets</x:v>
      </x:c>
      <x:c r="C118" s="159" t="str">
        <x:v>Geohydrological disasters</x:v>
      </x:c>
      <x:c r="D118" s="159" t="str">
        <x:v>Vulnerability</x:v>
      </x:c>
      <x:c r="E118" s="153" t="str"/>
      <x:c r="F118" s="153" t="str"/>
      <x:c r="G118" s="159" t="str">
        <x:v>Eligible</x:v>
      </x:c>
      <x:c r="H118" s="159" t="str">
        <x:v>Medium</x:v>
      </x:c>
      <x:c r="I118" s="159" t="str">
        <x:v>Complete (6/6)</x:v>
      </x:c>
      <x:c r="J118" s="159" t="str">
        <x:v>Moderate</x:v>
      </x:c>
      <x:c r="K118" s="159" t="str">
        <x:v>No</x:v>
      </x:c>
      <x:c r="L118" s="159" t="str">
        <x:v>5-10 years</x:v>
      </x:c>
      <x:c r="M118" s="168" t="n">
        <x:v>1</x:v>
      </x:c>
      <x:c r="N118" s="168" t="n">
        <x:v>10</x:v>
      </x:c>
      <x:c r="O118" s="159" t="str"/>
      <x:c r="P118" s="159" t="str">
        <x:v>Employment and income | Population with special demands | Income inequality | Employment and income | Population with special demands | Income inequality</x:v>
      </x:c>
      <x:c r="Q118" s="159" t="str">
        <x:v>Conservative eligibility screen: the action's stated mechanism has a plausible direct pathway to Employment and income, Population with special demands, Income inequality, Employment and income, Population with special demands, Income inequality. Evidence determines whether the effect is demonstrated and in which direction.</x:v>
      </x:c>
      <x:c r="R118" s="160" t="str">
        <x:v>Social safety nets encompass adaptive social protection mechanisms to reduce food insecurity and malnutrition, especially for vulnerable populations. These include cash transfers, school feeding programs, public work initiatives, unemployment compensation, land reforms, credit and insurance schemes. Integrated approaches combine climate risk assessments with disaster risk reduction, education, and social equity to enhance resilience to climate stresses.</x:v>
      </x:c>
    </x:row>
    <x:row r="119" ht="66" customHeight="1">
      <x:c r="A119" s="165" t="str">
        <x:v>icare_0180</x:v>
      </x:c>
      <x:c r="B119" s="159" t="str">
        <x:v>Expand urban green-blue networks and corridors</x:v>
      </x:c>
      <x:c r="C119" s="159" t="str">
        <x:v>Geohydrological disasters</x:v>
      </x:c>
      <x:c r="D119" s="159" t="str">
        <x:v>Vulnerability</x:v>
      </x:c>
      <x:c r="E119" s="153" t="str"/>
      <x:c r="F119" s="153" t="str"/>
      <x:c r="G119" s="159" t="str">
        <x:v>Eligible</x:v>
      </x:c>
      <x:c r="H119" s="159" t="str">
        <x:v>Low</x:v>
      </x:c>
      <x:c r="I119" s="159" t="str">
        <x:v>Complete (3/3)</x:v>
      </x:c>
      <x:c r="J119" s="159" t="str">
        <x:v>Moderate</x:v>
      </x:c>
      <x:c r="K119" s="159" t="str">
        <x:v>No</x:v>
      </x:c>
      <x:c r="L119" s="159" t="str">
        <x:v>&lt;5 years</x:v>
      </x:c>
      <x:c r="M119" s="168" t="n">
        <x:v>2</x:v>
      </x:c>
      <x:c r="N119" s="168" t="n">
        <x:v>10</x:v>
      </x:c>
      <x:c r="O119" s="159" t="str"/>
      <x:c r="P119" s="159" t="str">
        <x:v>Actions to reduce risk | Land use and occupation | Drainage</x:v>
      </x:c>
      <x:c r="Q119" s="159" t="str">
        <x:v>Conservative eligibility screen: the action's stated mechanism has a plausible direct pathway to Actions to reduce risk, Land use and occupation, Drainage. Evidence determines whether the effect is demonstrated and in which direction.</x:v>
      </x:c>
      <x:c r="R119" s="160" t="str">
        <x:v>Expand and connect urban green spaces and blue-green infrastructure (BGI) in the public realm. Actions include street tree planting, establishing green corridors/greenways, pocket and large parks, and green-blue features (bioswales, rain gardens, permeable surfaces) to manage stormwater, reduce urban heat, enhance biodiversity, and support carbon sequestration. Embedding these measures in urban planning strengthens ecosystem services, resilience, and livability.</x:v>
      </x:c>
    </x:row>
    <x:row r="120" ht="66" customHeight="1">
      <x:c r="A120" s="165" t="str">
        <x:v>icare_0183</x:v>
      </x:c>
      <x:c r="B120" s="159" t="str">
        <x:v>Implement Multi-hazard Early Warning Systems (MH-EWS)</x:v>
      </x:c>
      <x:c r="C120" s="159" t="str">
        <x:v>Geohydrological disasters</x:v>
      </x:c>
      <x:c r="D120" s="159" t="str">
        <x:v>Vulnerability</x:v>
      </x:c>
      <x:c r="E120" s="153" t="str"/>
      <x:c r="F120" s="153" t="str"/>
      <x:c r="G120" s="159" t="str">
        <x:v>Eligible</x:v>
      </x:c>
      <x:c r="H120" s="159" t="str">
        <x:v>Medium</x:v>
      </x:c>
      <x:c r="I120" s="159" t="str">
        <x:v>Complete (2/2)</x:v>
      </x:c>
      <x:c r="J120" s="159" t="str">
        <x:v>Moderate</x:v>
      </x:c>
      <x:c r="K120" s="159" t="str">
        <x:v>No</x:v>
      </x:c>
      <x:c r="L120" s="159" t="str">
        <x:v>5-10 years</x:v>
      </x:c>
      <x:c r="M120" s="168" t="n">
        <x:v>1</x:v>
      </x:c>
      <x:c r="N120" s="168" t="n">
        <x:v>10</x:v>
      </x:c>
      <x:c r="O120" s="159" t="str"/>
      <x:c r="P120" s="159" t="str">
        <x:v>Early warning systems | Early warning systems</x:v>
      </x:c>
      <x:c r="Q120" s="159" t="str">
        <x:v>Conservative eligibility screen: the action's stated mechanism has a plausible direct pathway to Early warning systems, Early warning systems. Evidence determines whether the effect is demonstrated and in which direction.</x:v>
      </x:c>
      <x:c r="R120" s="160" t="str">
        <x:v>Early Warning systems involve the timely detection and communication of potential climate-related hazards, enabling proactive responses to mitigate risks and enhancing community preparedness. This includes intense rains and landslides, using a network of telemetry stations to monitor rainfall and other weather conditions, with clear trigger thresholds to issue public alerts (sirens/alarms, SMS/cell broadcast, radio/PA) in case of potential flooding or landslides.</x:v>
      </x:c>
    </x:row>
    <x:row r="121" ht="66" customHeight="1">
      <x:c r="A121" s="165" t="str">
        <x:v>icare_0164</x:v>
      </x:c>
      <x:c r="B121" s="159" t="str">
        <x:v>Improve Hydrological Monitoring System with Telemetry Stations</x:v>
      </x:c>
      <x:c r="C121" s="159" t="str">
        <x:v>Geohydrological disasters</x:v>
      </x:c>
      <x:c r="D121" s="159" t="str">
        <x:v>Vulnerability</x:v>
      </x:c>
      <x:c r="E121" s="153" t="str"/>
      <x:c r="F121" s="153" t="str"/>
      <x:c r="G121" s="159" t="str">
        <x:v>Eligible</x:v>
      </x:c>
      <x:c r="H121" s="159" t="str">
        <x:v>Medium</x:v>
      </x:c>
      <x:c r="I121" s="159" t="str">
        <x:v>Complete (2/2)</x:v>
      </x:c>
      <x:c r="J121" s="159" t="str">
        <x:v>Moderate</x:v>
      </x:c>
      <x:c r="K121" s="159" t="str">
        <x:v>No</x:v>
      </x:c>
      <x:c r="L121" s="159" t="str">
        <x:v>&lt;5 years</x:v>
      </x:c>
      <x:c r="M121" s="168" t="n">
        <x:v>1</x:v>
      </x:c>
      <x:c r="N121" s="168" t="n">
        <x:v>10</x:v>
      </x:c>
      <x:c r="O121" s="159" t="str"/>
      <x:c r="P121" s="159" t="str">
        <x:v>Early warning systems | Early warning systems</x:v>
      </x:c>
      <x:c r="Q121" s="159" t="str">
        <x:v>Conservative eligibility screen: the action's stated mechanism has a plausible direct pathway to Early warning systems, Early warning systems. Evidence determines whether the effect is demonstrated and in which direction.</x:v>
      </x:c>
      <x:c r="R121" s="160" t="str">
        <x:v>Implementation of a hydrological monitoring system with telemetry stations to monitor rainfall, water levels, and meteorological variables in real-time.</x:v>
      </x:c>
    </x:row>
    <x:row r="122" ht="66" customHeight="1">
      <x:c r="A122" s="165" t="str">
        <x:v>ipcc_0087</x:v>
      </x:c>
      <x:c r="B122" s="159" t="str">
        <x:v>Improve Infrastructure retrofitting</x:v>
      </x:c>
      <x:c r="C122" s="159" t="str">
        <x:v>Geohydrological disasters</x:v>
      </x:c>
      <x:c r="D122" s="159" t="str">
        <x:v>Vulnerability</x:v>
      </x:c>
      <x:c r="E122" s="153" t="str"/>
      <x:c r="F122" s="153" t="str"/>
      <x:c r="G122" s="159" t="str">
        <x:v>Eligible</x:v>
      </x:c>
      <x:c r="H122" s="159" t="str">
        <x:v>Medium</x:v>
      </x:c>
      <x:c r="I122" s="159" t="str">
        <x:v>Complete (16/16)</x:v>
      </x:c>
      <x:c r="J122" s="159" t="str">
        <x:v>Broad</x:v>
      </x:c>
      <x:c r="K122" s="159" t="str">
        <x:v>No</x:v>
      </x:c>
      <x:c r="L122" s="159" t="str">
        <x:v>5-10 years</x:v>
      </x:c>
      <x:c r="M122" s="168" t="n">
        <x:v>2</x:v>
      </x:c>
      <x:c r="N122" s="168" t="n">
        <x:v>10</x:v>
      </x:c>
      <x:c r="O122" s="159" t="str"/>
      <x:c r="P122" s="159" t="str">
        <x:v>Actions to reduce risk | Housing governance | Transport governance | Inappropriate households | Lack of urban mobility | Inaccessibility to cities | Basic sanitation | Drainage | Actions to reduce risk | Housing governance | Transport governance | Inappropriate households | Lack of urban mobility | Inaccessibility to cities | Basic sanitation | Drainage</x:v>
      </x:c>
      <x:c r="Q122" s="159" t="str">
        <x:v>Conservative eligibility screen: the action's stated mechanism has a plausible direct pathway to Actions to reduce risk, Housing governance, Transport governance, Inappropriate households, Lack of urban mobility, Inaccessibility to cities, Basic sanitation, Drainage, Actions to reduce risk, Housing governance, Transport governance, Inappropriate households, Lack of urban mobility, Inaccessibility to cities, Basic sanitation, Drainage. Evidence determines whether the effect is demonstrated and in which direction.</x:v>
      </x:c>
      <x:c r="R122" s="160" t="str">
        <x:v>Strengthen and upgrade existing infrastructure, including roads, housing, and energy systems, to improve resilience against climate risks such as floods, droughts, and heatwaves. Efforts include using thermosiphons for permafrost degradation, increasing rooftop albedo (for reflectivity) and shading</x:v>
      </x:c>
    </x:row>
    <x:row r="123" ht="66" customHeight="1">
      <x:c r="A123" s="165" t="str">
        <x:v>icare_0171</x:v>
      </x:c>
      <x:c r="B123" s="159" t="str">
        <x:v>Improve the hydrometeorological forecasting, monitoring, and alert system for climate risks</x:v>
      </x:c>
      <x:c r="C123" s="159" t="str">
        <x:v>Geohydrological disasters</x:v>
      </x:c>
      <x:c r="D123" s="159" t="str">
        <x:v>Vulnerability</x:v>
      </x:c>
      <x:c r="E123" s="153" t="str"/>
      <x:c r="F123" s="153" t="str"/>
      <x:c r="G123" s="159" t="str">
        <x:v>Eligible</x:v>
      </x:c>
      <x:c r="H123" s="159" t="str">
        <x:v>Medium</x:v>
      </x:c>
      <x:c r="I123" s="159" t="str">
        <x:v>Complete (2/2)</x:v>
      </x:c>
      <x:c r="J123" s="159" t="str">
        <x:v>Moderate</x:v>
      </x:c>
      <x:c r="K123" s="159" t="str">
        <x:v>No</x:v>
      </x:c>
      <x:c r="L123" s="159" t="str">
        <x:v>5-10 years</x:v>
      </x:c>
      <x:c r="M123" s="168" t="n">
        <x:v>1</x:v>
      </x:c>
      <x:c r="N123" s="168" t="n">
        <x:v>10</x:v>
      </x:c>
      <x:c r="O123" s="159" t="str"/>
      <x:c r="P123" s="159" t="str">
        <x:v>Early warning systems | Early warning systems</x:v>
      </x:c>
      <x:c r="Q123" s="159" t="str">
        <x:v>Conservative eligibility screen: the action's stated mechanism has a plausible direct pathway to Early warning systems, Early warning systems. Evidence determines whether the effect is demonstrated and in which direction.</x:v>
      </x:c>
      <x:c r="R123" s="160" t="str">
        <x:v>This action aims to expand the procedures related to the existing climate risk forecasting, monitoring, and alert system in the municipality.</x:v>
      </x:c>
    </x:row>
    <x:row r="124" ht="66" customHeight="1">
      <x:c r="A124" s="165" t="str">
        <x:v>ipcc_0101</x:v>
      </x:c>
      <x:c r="B124" s="159" t="str">
        <x:v>Improve urban water management</x:v>
      </x:c>
      <x:c r="C124" s="159" t="str">
        <x:v>Geohydrological disasters</x:v>
      </x:c>
      <x:c r="D124" s="159" t="str">
        <x:v>Vulnerability</x:v>
      </x:c>
      <x:c r="E124" s="153" t="str"/>
      <x:c r="F124" s="153" t="str"/>
      <x:c r="G124" s="159" t="str">
        <x:v>Eligible</x:v>
      </x:c>
      <x:c r="H124" s="159" t="str">
        <x:v>Medium</x:v>
      </x:c>
      <x:c r="I124" s="159" t="str">
        <x:v>Partial (6/7)</x:v>
      </x:c>
      <x:c r="J124" s="159" t="str">
        <x:v>Limited</x:v>
      </x:c>
      <x:c r="K124" s="159" t="str">
        <x:v>No</x:v>
      </x:c>
      <x:c r="L124" s="159" t="str">
        <x:v>5-10 years</x:v>
      </x:c>
      <x:c r="M124" s="168" t="n">
        <x:v>2</x:v>
      </x:c>
      <x:c r="N124" s="168" t="n">
        <x:v>10</x:v>
      </x:c>
      <x:c r="O124" s="159" t="str"/>
      <x:c r="P124" s="159" t="str">
        <x:v>Municipal basic sanitation plan | Basic sanitation | Drainage | Actions to reduce risk | Municipal basic sanitation plan | Basic sanitation | Drainage</x:v>
      </x:c>
      <x:c r="Q124" s="159" t="str">
        <x:v>Conservative eligibility screen: the action's stated mechanism has a plausible direct pathway to Municipal basic sanitation plan, Basic sanitation, Drainage, Actions to reduce risk, Municipal basic sanitation plan, Basic sanitation, Drainage. Evidence determines whether the effect is demonstrated and in which direction.</x:v>
      </x:c>
      <x:c r="R124" s="160" t="str">
        <x:v>Implementing sustainable water supply systems by constructing irrigation infrastructure, promoting inter-basin water transfers, utilizing nature-based solutions (NBS) such as rain gardens, bioswales, and wetlands, and integrating advanced techniques like water reuse and water upgrading. Water reuse involves treating and recycling wastewater for non-potable or potable purposes, while water upgrading focuses on improving the quality of available water for diverse uses. These approaches enhance stormwater infiltration, improve urban water management, increase drought resilience, and support groundwater recharge. They provide energy-efficient and economical water solutions while maintaining sustainable urban development.</x:v>
      </x:c>
    </x:row>
    <x:row r="125" ht="66" customHeight="1">
      <x:c r="A125" s="165" t="str">
        <x:v>c40_0056</x:v>
      </x:c>
      <x:c r="B125" s="159" t="str">
        <x:v>Improve Watershed Protection and Management</x:v>
      </x:c>
      <x:c r="C125" s="159" t="str">
        <x:v>Geohydrological disasters</x:v>
      </x:c>
      <x:c r="D125" s="159" t="str">
        <x:v>Vulnerability</x:v>
      </x:c>
      <x:c r="E125" s="153" t="str"/>
      <x:c r="F125" s="153" t="str"/>
      <x:c r="G125" s="159" t="str">
        <x:v>Eligible</x:v>
      </x:c>
      <x:c r="H125" s="159" t="str">
        <x:v>Low</x:v>
      </x:c>
      <x:c r="I125" s="159" t="str">
        <x:v>Complete (6/6)</x:v>
      </x:c>
      <x:c r="J125" s="159" t="str">
        <x:v>Broad</x:v>
      </x:c>
      <x:c r="K125" s="159" t="str">
        <x:v>No</x:v>
      </x:c>
      <x:c r="L125" s="159" t="str">
        <x:v>&lt;5 years</x:v>
      </x:c>
      <x:c r="M125" s="168" t="n">
        <x:v>3</x:v>
      </x:c>
      <x:c r="N125" s="168" t="n">
        <x:v>10</x:v>
      </x:c>
      <x:c r="O125" s="159" t="str"/>
      <x:c r="P125" s="159" t="str">
        <x:v>Actions to reduce risk | Land use and occupation | Environmental governance | Actions to reduce risk | Land use and occupation | Environmental governance</x:v>
      </x:c>
      <x:c r="Q125" s="159" t="str">
        <x:v>Conservative eligibility screen: the action's stated mechanism has a plausible direct pathway to Actions to reduce risk, Land use and occupation, Environmental governance, Actions to reduce risk, Land use and occupation, Environmental governance. Evidence determines whether the effect is demonstrated and in which direction.</x:v>
      </x:c>
      <x:c r="R125" s="160" t="str">
        <x:v>"Watershed Protection and Management" involves the protection and conservation of natural watershed areas to safeguard water quality, biodiversity, and ecosystem services, including measures such as preventing pollution and encrouchment. This initiative aims to ensure sustainable water management and resilience to the impacts of climate change.</x:v>
      </x:c>
    </x:row>
    <x:row r="126" ht="66" customHeight="1">
      <x:c r="A126" s="165" t="str">
        <x:v>ipcc_0099</x:v>
      </x:c>
      <x:c r="B126" s="159" t="str">
        <x:v>Increase Water Capture and Storage</x:v>
      </x:c>
      <x:c r="C126" s="159" t="str">
        <x:v>Geohydrological disasters</x:v>
      </x:c>
      <x:c r="D126" s="159" t="str">
        <x:v>Vulnerability</x:v>
      </x:c>
      <x:c r="E126" s="153" t="str"/>
      <x:c r="F126" s="153" t="str"/>
      <x:c r="G126" s="159" t="str">
        <x:v>Eligible</x:v>
      </x:c>
      <x:c r="H126" s="159" t="str">
        <x:v>Low</x:v>
      </x:c>
      <x:c r="I126" s="159" t="str">
        <x:v>Complete (2/2)</x:v>
      </x:c>
      <x:c r="J126" s="159" t="str">
        <x:v>Limited</x:v>
      </x:c>
      <x:c r="K126" s="159" t="str">
        <x:v>No</x:v>
      </x:c>
      <x:c r="L126" s="159" t="str">
        <x:v>5-10 years</x:v>
      </x:c>
      <x:c r="M126" s="168" t="n">
        <x:v>1</x:v>
      </x:c>
      <x:c r="N126" s="168" t="n">
        <x:v>10</x:v>
      </x:c>
      <x:c r="O126" s="159" t="str"/>
      <x:c r="P126" s="159" t="str">
        <x:v>Actions to reduce risk | Drainage</x:v>
      </x:c>
      <x:c r="Q126" s="159" t="str">
        <x:v>Conservative eligibility screen: the action's stated mechanism has a plausible direct pathway to Actions to reduce risk, Drainage. Evidence determines whether the effect is demonstrated and in which direction.</x:v>
      </x:c>
      <x:c r="R126" s="160" t="str">
        <x:v>Implementation of water harvesting and storage solutions, such as on-farm ponds, water body revitalization, rain gardens, bioswales, retention ponds, pumped storage, and water storage tanks. These measures aim to mitigate climate-induced impacts by improving water management, reducing stormwater runoff, improving water quality, and supporting agriculture and energy production in changing climate scenarios. Water reservoirs and multipurpose dams offer additional benefits by addressing water scarcity and managing risks associated with natural disasters. These adaptation strategies contribute to sustainable water use and resilience to climate-related challenges.</x:v>
      </x:c>
    </x:row>
    <x:row r="127" ht="66" customHeight="1">
      <x:c r="A127" s="165" t="str">
        <x:v>ipcc_0104</x:v>
      </x:c>
      <x:c r="B127" s="159" t="str">
        <x:v>Plan and support permanent climate‑related migration</x:v>
      </x:c>
      <x:c r="C127" s="159" t="str">
        <x:v>Geohydrological disasters</x:v>
      </x:c>
      <x:c r="D127" s="159" t="str">
        <x:v>Exposure</x:v>
      </x:c>
      <x:c r="E127" s="153" t="str"/>
      <x:c r="F127" s="153" t="str"/>
      <x:c r="G127" s="159" t="str">
        <x:v>Eligible</x:v>
      </x:c>
      <x:c r="H127" s="159" t="str">
        <x:v>Medium</x:v>
      </x:c>
      <x:c r="I127" s="159" t="str">
        <x:v>Complete (4/4)</x:v>
      </x:c>
      <x:c r="J127" s="159" t="str">
        <x:v>Moderate</x:v>
      </x:c>
      <x:c r="K127" s="159" t="str">
        <x:v>No</x:v>
      </x:c>
      <x:c r="L127" s="159" t="str">
        <x:v>5-10 years</x:v>
      </x:c>
      <x:c r="M127" s="168" t="n">
        <x:v>2</x:v>
      </x:c>
      <x:c r="N127" s="168" t="n">
        <x:v>10</x:v>
      </x:c>
      <x:c r="O127" s="159" t="str"/>
      <x:c r="P127" s="159" t="str">
        <x:v>Households in risk areas | Urban population density | Households in risk areas | Urban population density</x:v>
      </x:c>
      <x:c r="Q127" s="159" t="str">
        <x:v>Conservative eligibility screen: the action's stated mechanism has a plausible direct pathway to Households in risk areas, Urban population density, Households in risk areas, Urban population density. Evidence determines whether the effect is demonstrated and in which direction.</x:v>
      </x:c>
      <x:c r="R127" s="160" t="str">
        <x:v>Resettlement of communities from flood-prone areas and rural–urban migration as a strategy to mitigate vulnerabilities caused by climate change. This includes addressing urbanization challenges, such as unplanned development, water insecurity, and socioeconomic disparities, while providing equitable opportunities for migrants in urban centers. Measures include enhancing urban planning, water resource management, and social support systems for displaced populations.</x:v>
      </x:c>
    </x:row>
    <x:row r="128" ht="66" customHeight="1">
      <x:c r="A128" s="165" t="str">
        <x:v>ipcc_0104</x:v>
      </x:c>
      <x:c r="B128" s="159" t="str">
        <x:v>Plan and support permanent climate‑related migration</x:v>
      </x:c>
      <x:c r="C128" s="159" t="str">
        <x:v>Geohydrological disasters</x:v>
      </x:c>
      <x:c r="D128" s="159" t="str">
        <x:v>Vulnerability</x:v>
      </x:c>
      <x:c r="E128" s="153" t="str"/>
      <x:c r="F128" s="153" t="str"/>
      <x:c r="G128" s="159" t="str">
        <x:v>Eligible</x:v>
      </x:c>
      <x:c r="H128" s="159" t="str">
        <x:v>Medium</x:v>
      </x:c>
      <x:c r="I128" s="159" t="str">
        <x:v>Complete (6/6)</x:v>
      </x:c>
      <x:c r="J128" s="159" t="str">
        <x:v>Moderate</x:v>
      </x:c>
      <x:c r="K128" s="159" t="str">
        <x:v>No</x:v>
      </x:c>
      <x:c r="L128" s="159" t="str">
        <x:v>5-10 years</x:v>
      </x:c>
      <x:c r="M128" s="168" t="n">
        <x:v>2</x:v>
      </x:c>
      <x:c r="N128" s="168" t="n">
        <x:v>10</x:v>
      </x:c>
      <x:c r="O128" s="159" t="str"/>
      <x:c r="P128" s="159" t="str">
        <x:v>Urban occupation management in risk areas | Housing governance | Inappropriate households | Urban occupation management in risk areas | Housing governance | Inappropriate households</x:v>
      </x:c>
      <x:c r="Q128" s="159" t="str">
        <x:v>Conservative eligibility screen: the action's stated mechanism has a plausible direct pathway to Urban occupation management in risk areas, Housing governance, Inappropriate households, Urban occupation management in risk areas, Housing governance, Inappropriate households. Evidence determines whether the effect is demonstrated and in which direction.</x:v>
      </x:c>
      <x:c r="R128" s="160" t="str">
        <x:v>Resettlement of communities from flood-prone areas and rural–urban migration as a strategy to mitigate vulnerabilities caused by climate change. This includes addressing urbanization challenges, such as unplanned development, water insecurity, and socioeconomic disparities, while providing equitable opportunities for migrants in urban centers. Measures include enhancing urban planning, water resource management, and social support systems for displaced populations.</x:v>
      </x:c>
    </x:row>
    <x:row r="129" ht="66" customHeight="1">
      <x:c r="A129" s="165" t="str">
        <x:v>icare_0173</x:v>
      </x:c>
      <x:c r="B129" s="159" t="str">
        <x:v>Preventive maintenance of drainage systems</x:v>
      </x:c>
      <x:c r="C129" s="159" t="str">
        <x:v>Geohydrological disasters</x:v>
      </x:c>
      <x:c r="D129" s="159" t="str">
        <x:v>Vulnerability</x:v>
      </x:c>
      <x:c r="E129" s="153" t="str"/>
      <x:c r="F129" s="153" t="str"/>
      <x:c r="G129" s="159" t="str">
        <x:v>Eligible</x:v>
      </x:c>
      <x:c r="H129" s="159" t="str">
        <x:v>Medium</x:v>
      </x:c>
      <x:c r="I129" s="159" t="str">
        <x:v>Complete (5/5)</x:v>
      </x:c>
      <x:c r="J129" s="159" t="str">
        <x:v>Limited</x:v>
      </x:c>
      <x:c r="K129" s="159" t="str">
        <x:v>No</x:v>
      </x:c>
      <x:c r="L129" s="159" t="str">
        <x:v>5-10 years</x:v>
      </x:c>
      <x:c r="M129" s="168" t="n">
        <x:v>2</x:v>
      </x:c>
      <x:c r="N129" s="168" t="n">
        <x:v>10</x:v>
      </x:c>
      <x:c r="O129" s="159" t="str"/>
      <x:c r="P129" s="159" t="str">
        <x:v>Waste management and public cleaning | Actions to reduce risk | Municipal basic sanitation plan | Basic sanitation | Drainage</x:v>
      </x:c>
      <x:c r="Q129" s="159" t="str">
        <x:v>Conservative eligibility screen: the action's stated mechanism has a plausible direct pathway to Waste management and public cleaning, Actions to reduce risk, Municipal basic sanitation plan, Basic sanitation, Drainage. Evidence determines whether the effect is demonstrated and in which direction.</x:v>
      </x:c>
      <x:c r="R129" s="160" t="str">
        <x:v>Regular upkeep and cleaning of urban drainage systems, including storm drains, sewers, and retention basins, to ensure efficient water flow and prevent blockages that can lead to flooding during heavy rainfall events.</x:v>
      </x:c>
    </x:row>
    <x:row r="130" ht="66" customHeight="1">
      <x:c r="A130" s="165" t="str">
        <x:v>icare_0178</x:v>
      </x:c>
      <x:c r="B130" s="159" t="str">
        <x:v>Redirect urban development through climate‑risk spatial planning</x:v>
      </x:c>
      <x:c r="C130" s="159" t="str">
        <x:v>Geohydrological disasters</x:v>
      </x:c>
      <x:c r="D130" s="159" t="str">
        <x:v>Exposure</x:v>
      </x:c>
      <x:c r="E130" s="153" t="str"/>
      <x:c r="F130" s="153" t="str"/>
      <x:c r="G130" s="159" t="str">
        <x:v>Eligible</x:v>
      </x:c>
      <x:c r="H130" s="159" t="str">
        <x:v>Medium</x:v>
      </x:c>
      <x:c r="I130" s="159" t="str">
        <x:v>Complete (4/4)</x:v>
      </x:c>
      <x:c r="J130" s="159" t="str">
        <x:v>Moderate</x:v>
      </x:c>
      <x:c r="K130" s="159" t="str">
        <x:v>No</x:v>
      </x:c>
      <x:c r="L130" s="159" t="str">
        <x:v>&lt;5 years</x:v>
      </x:c>
      <x:c r="M130" s="168" t="n">
        <x:v>1</x:v>
      </x:c>
      <x:c r="N130" s="168" t="n">
        <x:v>10</x:v>
      </x:c>
      <x:c r="O130" s="159" t="str"/>
      <x:c r="P130" s="159" t="str">
        <x:v>Households in risk areas | Urban population density | Households in risk areas | Urban population density</x:v>
      </x:c>
      <x:c r="Q130" s="159" t="str">
        <x:v>Conservative eligibility screen: the action's stated mechanism has a plausible direct pathway to Households in risk areas, Urban population density, Households in risk areas, Urban population density. Evidence determines whether the effect is demonstrated and in which direction.</x:v>
      </x:c>
      <x:c r="R130" s="160" t="str">
        <x:v>Mapping of critical flood-prone areas with the aim of revising and harmonizing legislation related to land use, given the intensification of the impacts of extreme weather events.</x:v>
      </x:c>
    </x:row>
    <x:row r="131" ht="66" customHeight="1">
      <x:c r="A131" s="165" t="str">
        <x:v>icare_0178</x:v>
      </x:c>
      <x:c r="B131" s="159" t="str">
        <x:v>Redirect urban development through climate‑risk spatial planning</x:v>
      </x:c>
      <x:c r="C131" s="159" t="str">
        <x:v>Geohydrological disasters</x:v>
      </x:c>
      <x:c r="D131" s="159" t="str">
        <x:v>Vulnerability</x:v>
      </x:c>
      <x:c r="E131" s="153" t="str"/>
      <x:c r="F131" s="153" t="str"/>
      <x:c r="G131" s="159" t="str">
        <x:v>Eligible</x:v>
      </x:c>
      <x:c r="H131" s="159" t="str">
        <x:v>Medium</x:v>
      </x:c>
      <x:c r="I131" s="159" t="str">
        <x:v>Complete (6/6)</x:v>
      </x:c>
      <x:c r="J131" s="159" t="str">
        <x:v>Broad</x:v>
      </x:c>
      <x:c r="K131" s="159" t="str">
        <x:v>No</x:v>
      </x:c>
      <x:c r="L131" s="159" t="str">
        <x:v>&lt;5 years</x:v>
      </x:c>
      <x:c r="M131" s="168" t="n">
        <x:v>2</x:v>
      </x:c>
      <x:c r="N131" s="168" t="n">
        <x:v>10</x:v>
      </x:c>
      <x:c r="O131" s="159" t="str"/>
      <x:c r="P131" s="159" t="str">
        <x:v>Urban occupation management in risk areas | Actions to reduce risk | Land use and occupation | Urban occupation management in risk areas | Actions to reduce risk | Land use and occupation</x:v>
      </x:c>
      <x:c r="Q131" s="159" t="str">
        <x:v>Conservative eligibility screen: the action's stated mechanism has a plausible direct pathway to Urban occupation management in risk areas, Actions to reduce risk, Land use and occupation, Urban occupation management in risk areas, Actions to reduce risk, Land use and occupation. Evidence determines whether the effect is demonstrated and in which direction.</x:v>
      </x:c>
      <x:c r="R131" s="160" t="str">
        <x:v>Mapping of critical flood-prone areas with the aim of revising and harmonizing legislation related to land use, given the intensification of the impacts of extreme weather events.</x:v>
      </x:c>
    </x:row>
    <x:row r="132" ht="66" customHeight="1">
      <x:c r="A132" s="165" t="str">
        <x:v>icare_0181</x:v>
      </x:c>
      <x:c r="B132" s="159" t="str">
        <x:v>Restore in Vulnerable Areas</x:v>
      </x:c>
      <x:c r="C132" s="159" t="str">
        <x:v>Geohydrological disasters</x:v>
      </x:c>
      <x:c r="D132" s="159" t="str">
        <x:v>Exposure</x:v>
      </x:c>
      <x:c r="E132" s="153" t="str"/>
      <x:c r="F132" s="153" t="str"/>
      <x:c r="G132" s="159" t="str">
        <x:v>Eligible</x:v>
      </x:c>
      <x:c r="H132" s="159" t="str">
        <x:v>Medium</x:v>
      </x:c>
      <x:c r="I132" s="159" t="str">
        <x:v>Complete (4/4)</x:v>
      </x:c>
      <x:c r="J132" s="159" t="str">
        <x:v>Moderate</x:v>
      </x:c>
      <x:c r="K132" s="159" t="str">
        <x:v>No</x:v>
      </x:c>
      <x:c r="L132" s="159" t="str">
        <x:v>5-10 years</x:v>
      </x:c>
      <x:c r="M132" s="168" t="n">
        <x:v>1</x:v>
      </x:c>
      <x:c r="N132" s="168" t="n">
        <x:v>10</x:v>
      </x:c>
      <x:c r="O132" s="159" t="str"/>
      <x:c r="P132" s="159" t="str">
        <x:v>Households in risk areas | Urban population density | Households in risk areas | Urban population density</x:v>
      </x:c>
      <x:c r="Q132" s="159" t="str">
        <x:v>Conservative eligibility screen: the action's stated mechanism has a plausible direct pathway to Households in risk areas, Urban population density, Households in risk areas, Urban population density. Evidence determines whether the effect is demonstrated and in which direction.</x:v>
      </x:c>
      <x:c r="R132" s="160" t="str">
        <x:v>A comprehensive project addressing the socio-environmental vulnerability of an informal settlement. It includes relocating residents from flood-prone areas, restoring the environment, and providing infrastructure and social services.</x:v>
      </x:c>
    </x:row>
    <x:row r="133" ht="66" customHeight="1">
      <x:c r="A133" s="165" t="str">
        <x:v>icare_0181</x:v>
      </x:c>
      <x:c r="B133" s="159" t="str">
        <x:v>Restore in Vulnerable Areas</x:v>
      </x:c>
      <x:c r="C133" s="159" t="str">
        <x:v>Geohydrological disasters</x:v>
      </x:c>
      <x:c r="D133" s="159" t="str">
        <x:v>Vulnerability</x:v>
      </x:c>
      <x:c r="E133" s="153" t="str"/>
      <x:c r="F133" s="153" t="str"/>
      <x:c r="G133" s="159" t="str">
        <x:v>Eligible</x:v>
      </x:c>
      <x:c r="H133" s="159" t="str">
        <x:v>Medium</x:v>
      </x:c>
      <x:c r="I133" s="159" t="str">
        <x:v>Complete (12/12)</x:v>
      </x:c>
      <x:c r="J133" s="159" t="str">
        <x:v>Broad</x:v>
      </x:c>
      <x:c r="K133" s="159" t="str">
        <x:v>No</x:v>
      </x:c>
      <x:c r="L133" s="159" t="str">
        <x:v>5-10 years</x:v>
      </x:c>
      <x:c r="M133" s="168" t="n">
        <x:v>3</x:v>
      </x:c>
      <x:c r="N133" s="168" t="n">
        <x:v>10</x:v>
      </x:c>
      <x:c r="O133" s="159" t="str"/>
      <x:c r="P133" s="159" t="str">
        <x:v>Urban occupation management in risk areas | Actions to reduce risk | Housing governance | Inappropriate households | Basic sanitation | Drainage | Urban occupation management in risk areas | Actions to reduce risk | Housing governance | Inappropriate households | Basic sanitation | Drainage</x:v>
      </x:c>
      <x:c r="Q133" s="159" t="str">
        <x:v>Conservative eligibility screen: the action's stated mechanism has a plausible direct pathway to Urban occupation management in risk areas, Actions to reduce risk, Housing governance, Inappropriate households, Basic sanitation, Drainage, Urban occupation management in risk areas, Actions to reduce risk, Housing governance, Inappropriate households, Basic sanitation, Drainage. Evidence determines whether the effect is demonstrated and in which direction.</x:v>
      </x:c>
      <x:c r="R133" s="160" t="str">
        <x:v>A comprehensive project addressing the socio-environmental vulnerability of an informal settlement. It includes relocating residents from flood-prone areas, restoring the environment, and providing infrastructure and social services.</x:v>
      </x:c>
    </x:row>
    <x:row r="134" ht="66" customHeight="1">
      <x:c r="A134" s="165" t="str">
        <x:v>ipcc_0089</x:v>
      </x:c>
      <x:c r="B134" s="159" t="str">
        <x:v>Spatially redirect development</x:v>
      </x:c>
      <x:c r="C134" s="159" t="str">
        <x:v>Geohydrological disasters</x:v>
      </x:c>
      <x:c r="D134" s="159" t="str">
        <x:v>Exposure</x:v>
      </x:c>
      <x:c r="E134" s="153" t="str"/>
      <x:c r="F134" s="153" t="str"/>
      <x:c r="G134" s="159" t="str">
        <x:v>Eligible</x:v>
      </x:c>
      <x:c r="H134" s="159" t="str">
        <x:v>Medium</x:v>
      </x:c>
      <x:c r="I134" s="159" t="str">
        <x:v>Complete (4/4)</x:v>
      </x:c>
      <x:c r="J134" s="159" t="str">
        <x:v>Moderate</x:v>
      </x:c>
      <x:c r="K134" s="159" t="str">
        <x:v>No</x:v>
      </x:c>
      <x:c r="L134" s="159" t="str">
        <x:v>5-10 years</x:v>
      </x:c>
      <x:c r="M134" s="168" t="n">
        <x:v>1</x:v>
      </x:c>
      <x:c r="N134" s="168" t="n">
        <x:v>10</x:v>
      </x:c>
      <x:c r="O134" s="159" t="str"/>
      <x:c r="P134" s="159" t="str">
        <x:v>Households in risk areas | Urban population density | Households in risk areas | Urban population density</x:v>
      </x:c>
      <x:c r="Q134" s="159" t="str">
        <x:v>Conservative eligibility screen: the action's stated mechanism has a plausible direct pathway to Households in risk areas, Urban population density, Households in risk areas, Urban population density. Evidence determines whether the effect is demonstrated and in which direction.</x:v>
      </x:c>
      <x:c r="R134" s="160" t="str">
        <x:v>Use zoning and land-use planning to regulate coastal development by implementing spatial development strategies that consider environmental vulnerabilities, protect ecosystems, and mitigate risks from flooding, heatwaves, and sea-level rise. This includes ensuring that development is directed away from high-risk areas, integrating climate adaptation considerations into urban planning, and promoting sustainable practices to close adaptation gaps while addressing urban inequality.</x:v>
      </x:c>
    </x:row>
    <x:row r="135" ht="66" customHeight="1">
      <x:c r="A135" s="165" t="str">
        <x:v>ipcc_0089</x:v>
      </x:c>
      <x:c r="B135" s="159" t="str">
        <x:v>Spatially redirect development</x:v>
      </x:c>
      <x:c r="C135" s="159" t="str">
        <x:v>Geohydrological disasters</x:v>
      </x:c>
      <x:c r="D135" s="159" t="str">
        <x:v>Vulnerability</x:v>
      </x:c>
      <x:c r="E135" s="153" t="str"/>
      <x:c r="F135" s="153" t="str"/>
      <x:c r="G135" s="159" t="str">
        <x:v>Eligible</x:v>
      </x:c>
      <x:c r="H135" s="159" t="str">
        <x:v>Medium</x:v>
      </x:c>
      <x:c r="I135" s="159" t="str">
        <x:v>Complete (6/6)</x:v>
      </x:c>
      <x:c r="J135" s="159" t="str">
        <x:v>Broad</x:v>
      </x:c>
      <x:c r="K135" s="159" t="str">
        <x:v>No</x:v>
      </x:c>
      <x:c r="L135" s="159" t="str">
        <x:v>5-10 years</x:v>
      </x:c>
      <x:c r="M135" s="168" t="n">
        <x:v>2</x:v>
      </x:c>
      <x:c r="N135" s="168" t="n">
        <x:v>10</x:v>
      </x:c>
      <x:c r="O135" s="159" t="str"/>
      <x:c r="P135" s="159" t="str">
        <x:v>Urban occupation management in risk areas | Actions to reduce risk | Land use and occupation | Urban occupation management in risk areas | Actions to reduce risk | Land use and occupation</x:v>
      </x:c>
      <x:c r="Q135" s="159" t="str">
        <x:v>Conservative eligibility screen: the action's stated mechanism has a plausible direct pathway to Urban occupation management in risk areas, Actions to reduce risk, Land use and occupation, Urban occupation management in risk areas, Actions to reduce risk, Land use and occupation. Evidence determines whether the effect is demonstrated and in which direction.</x:v>
      </x:c>
      <x:c r="R135" s="160" t="str">
        <x:v>Use zoning and land-use planning to regulate coastal development by implementing spatial development strategies that consider environmental vulnerabilities, protect ecosystems, and mitigate risks from flooding, heatwaves, and sea-level rise. This includes ensuring that development is directed away from high-risk areas, integrating climate adaptation considerations into urban planning, and promoting sustainable practices to close adaptation gaps while addressing urban inequality.</x:v>
      </x:c>
    </x:row>
    <x:row r="136" ht="66" customHeight="1">
      <x:c r="A136" s="165" t="str">
        <x:v>ipcc_0094</x:v>
      </x:c>
      <x:c r="B136" s="159" t="str">
        <x:v>Strengthen climate‑resilient health services</x:v>
      </x:c>
      <x:c r="C136" s="159" t="str">
        <x:v>Geohydrological disasters</x:v>
      </x:c>
      <x:c r="D136" s="159" t="str">
        <x:v>Vulnerability</x:v>
      </x:c>
      <x:c r="E136" s="153" t="str"/>
      <x:c r="F136" s="153" t="str"/>
      <x:c r="G136" s="159" t="str">
        <x:v>Eligible</x:v>
      </x:c>
      <x:c r="H136" s="159" t="str">
        <x:v>None demonstrated</x:v>
      </x:c>
      <x:c r="I136" s="159" t="str">
        <x:v>None (0/2)</x:v>
      </x:c>
      <x:c r="J136" s="159" t="str">
        <x:v>None</x:v>
      </x:c>
      <x:c r="K136" s="159" t="str">
        <x:v>No</x:v>
      </x:c>
      <x:c r="L136" s="159" t="str">
        <x:v>5-10 years</x:v>
      </x:c>
      <x:c r="M136" s="168" t="n">
        <x:v>0</x:v>
      </x:c>
      <x:c r="N136" s="168" t="n">
        <x:v>10</x:v>
      </x:c>
      <x:c r="O136" s="159" t="str"/>
      <x:c r="P136" s="159" t="str">
        <x:v>Healthcare facilities | Healthcare facilities</x:v>
      </x:c>
      <x:c r="Q136" s="159" t="str">
        <x:v>Conservative eligibility screen: the action's stated mechanism has a plausible direct pathway to Healthcare facilities, Healthcare facilities. Evidence determines whether the effect is demonstrated and in which direction.</x:v>
      </x:c>
      <x:c r="R136" s="160" t="str">
        <x:v>Enhancing access to health care services, including health and nutrition services, clean water, sanitation, and culturally appropriate mental health resources. Expanding telemedicine capabilities enables efficient health service delivery, particularly for remote and underserved populations. Strengthening basic public health systems and disaster preparedness can rapidly reduce vulnerability to climate-related health risks.</x:v>
      </x:c>
    </x:row>
    <x:row r="137" ht="66" customHeight="1">
      <x:c r="A137" s="165" t="str">
        <x:v>ipcc_0103</x:v>
      </x:c>
      <x:c r="B137" s="159" t="str">
        <x:v>Strengthen cooperative climate governance</x:v>
      </x:c>
      <x:c r="C137" s="159" t="str">
        <x:v>Geohydrological disasters</x:v>
      </x:c>
      <x:c r="D137" s="159" t="str">
        <x:v>Vulnerability</x:v>
      </x:c>
      <x:c r="E137" s="153" t="str"/>
      <x:c r="F137" s="153" t="str"/>
      <x:c r="G137" s="159" t="str">
        <x:v>Eligible</x:v>
      </x:c>
      <x:c r="H137" s="159" t="str">
        <x:v>Low</x:v>
      </x:c>
      <x:c r="I137" s="159" t="str">
        <x:v>Complete (6/6)</x:v>
      </x:c>
      <x:c r="J137" s="159" t="str">
        <x:v>Moderate</x:v>
      </x:c>
      <x:c r="K137" s="159" t="str">
        <x:v>No</x:v>
      </x:c>
      <x:c r="L137" s="159" t="str">
        <x:v>5-10 years</x:v>
      </x:c>
      <x:c r="M137" s="168" t="n">
        <x:v>1</x:v>
      </x:c>
      <x:c r="N137" s="168" t="n">
        <x:v>10</x:v>
      </x:c>
      <x:c r="O137" s="159" t="str"/>
      <x:c r="P137" s="159" t="str">
        <x:v>Institutions for risk management | Land use and occupation | Environmental governance | Institutions for risk management | Land use and occupation | Environmental governance</x:v>
      </x:c>
      <x:c r="Q137" s="159" t="str">
        <x:v>Conservative eligibility screen: the action's stated mechanism has a plausible direct pathway to Institutions for risk management, Land use and occupation, Environmental governance, Institutions for risk management, Land use and occupation, Environmental governance. Evidence determines whether the effect is demonstrated and in which direction.</x:v>
      </x:c>
      <x:c r="R137" s="160" t="str">
        <x:v>Enhancing cooperative governance through transboundary fishing agreements and inclusive ocean governance. This involves participatory approaches, structured decision-making tools, and decentralized frameworks that couple top-down management with community-driven initiatives. Additional strategies include collective water management systems to optimize resource use under climate-induced variability, indigenous water-sharing systems rooted in traditional practices to ensure sustainable and equitable resource allocation, and enforcing the land rights of Indigenous populations to protect biodiversity and cultural heritage. Adaptive co-management in Arctic fisheries integrates local and scientific knowledge to address climate impacts on marine resources. The international compact on migration fosters orderly and safe migration as an adaptive response to climate risks, and policies for adaptive governance promote ecosystem-based solutions, legal frameworks, and institutional adaptations to enhance resilience to climate change. These combined measures address geopolitical complexities, ensure equitable resource distribution, and strengthen resilience to climate-induced hazards.</x:v>
      </x:c>
    </x:row>
    <x:row r="138" ht="66" customHeight="1">
      <x:c r="A138" s="165" t="str">
        <x:v>icare_0162</x:v>
      </x:c>
      <x:c r="B138" s="159" t="str">
        <x:v>Strengthen programs for control and conservation of protected areas</x:v>
      </x:c>
      <x:c r="C138" s="159" t="str">
        <x:v>Geohydrological disasters</x:v>
      </x:c>
      <x:c r="D138" s="159" t="str">
        <x:v>Vulnerability</x:v>
      </x:c>
      <x:c r="E138" s="153" t="str"/>
      <x:c r="F138" s="153" t="str"/>
      <x:c r="G138" s="159" t="str">
        <x:v>Eligible</x:v>
      </x:c>
      <x:c r="H138" s="159" t="str">
        <x:v>Low</x:v>
      </x:c>
      <x:c r="I138" s="159" t="str">
        <x:v>Complete (6/6)</x:v>
      </x:c>
      <x:c r="J138" s="159" t="str">
        <x:v>Moderate</x:v>
      </x:c>
      <x:c r="K138" s="159" t="str">
        <x:v>No</x:v>
      </x:c>
      <x:c r="L138" s="159" t="str">
        <x:v>5-10 years</x:v>
      </x:c>
      <x:c r="M138" s="168" t="n">
        <x:v>2</x:v>
      </x:c>
      <x:c r="N138" s="168" t="n">
        <x:v>10</x:v>
      </x:c>
      <x:c r="O138" s="159" t="str"/>
      <x:c r="P138" s="159" t="str">
        <x:v>Actions to reduce risk | Land use and occupation | Environmental governance | Actions to reduce risk | Land use and occupation | Environmental governance</x:v>
      </x:c>
      <x:c r="Q138" s="159" t="str">
        <x:v>Conservative eligibility screen: the action's stated mechanism has a plausible direct pathway to Actions to reduce risk, Land use and occupation, Environmental governance, Actions to reduce risk, Land use and occupation, Environmental governance. Evidence determines whether the effect is demonstrated and in which direction.</x:v>
      </x:c>
      <x:c r="R138" s="160" t="str">
        <x:v>This action focuses on implementing a series of integrated strategies to enhance environmental conservation and maximize its benefits, such as expanding protected areas, developing management plans for conservation units, and training ecotourism guides to strengthen sustainable tourism.</x:v>
      </x:c>
    </x:row>
    <x:row r="139" ht="66" customHeight="1">
      <x:c r="A139" s="165" t="str">
        <x:v>icare_0145</x:v>
      </x:c>
      <x:c r="B139" s="159" t="str">
        <x:v>Strengthen the healthcare system to respond effectively to extreme events</x:v>
      </x:c>
      <x:c r="C139" s="159" t="str">
        <x:v>Geohydrological disasters</x:v>
      </x:c>
      <x:c r="D139" s="159" t="str">
        <x:v>Vulnerability</x:v>
      </x:c>
      <x:c r="E139" s="153" t="str"/>
      <x:c r="F139" s="153" t="str"/>
      <x:c r="G139" s="159" t="str">
        <x:v>Eligible</x:v>
      </x:c>
      <x:c r="H139" s="159" t="str">
        <x:v>None demonstrated</x:v>
      </x:c>
      <x:c r="I139" s="159" t="str">
        <x:v>None (0/4)</x:v>
      </x:c>
      <x:c r="J139" s="159" t="str">
        <x:v>None</x:v>
      </x:c>
      <x:c r="K139" s="159" t="str">
        <x:v>No</x:v>
      </x:c>
      <x:c r="L139" s="159" t="str">
        <x:v>&gt;10 years</x:v>
      </x:c>
      <x:c r="M139" s="168" t="n">
        <x:v>0</x:v>
      </x:c>
      <x:c r="N139" s="168" t="n">
        <x:v>10</x:v>
      </x:c>
      <x:c r="O139" s="159" t="str"/>
      <x:c r="P139" s="159" t="str">
        <x:v>Contingency plan | Healthcare facilities | Contingency plan | Healthcare facilities</x:v>
      </x:c>
      <x:c r="Q139" s="159" t="str">
        <x:v>Conservative eligibility screen: the action's stated mechanism has a plausible direct pathway to Contingency plan, Healthcare facilities, Contingency plan, Healthcare facilities. Evidence determines whether the effect is demonstrated and in which direction.</x:v>
      </x:c>
      <x:c r="R139" s="160" t="str">
        <x:v>Improve the infrastructure of healthcare units to assist people who require medical care due to impacts associated with climate risks (climate victims), such as those affected by heat waves or floods, especially in more vulnerable areas. Develop action plans to prepare the healthcare network for extreme climate-related situations.</x:v>
      </x:c>
    </x:row>
    <x:row r="140" ht="66" customHeight="1">
      <x:c r="A140" s="165" t="str">
        <x:v>ipcc_0091</x:v>
      </x:c>
      <x:c r="B140" s="159" t="str">
        <x:v>Support livelihood diversification for climate resilience</x:v>
      </x:c>
      <x:c r="C140" s="159" t="str">
        <x:v>Geohydrological disasters</x:v>
      </x:c>
      <x:c r="D140" s="159" t="str">
        <x:v>Vulnerability</x:v>
      </x:c>
      <x:c r="E140" s="153" t="str"/>
      <x:c r="F140" s="153" t="str"/>
      <x:c r="G140" s="159" t="str">
        <x:v>Eligible</x:v>
      </x:c>
      <x:c r="H140" s="159" t="str">
        <x:v>Medium</x:v>
      </x:c>
      <x:c r="I140" s="159" t="str">
        <x:v>Complete (6/6)</x:v>
      </x:c>
      <x:c r="J140" s="159" t="str">
        <x:v>Moderate</x:v>
      </x:c>
      <x:c r="K140" s="159" t="str">
        <x:v>No</x:v>
      </x:c>
      <x:c r="L140" s="159" t="str">
        <x:v>&lt;5 years</x:v>
      </x:c>
      <x:c r="M140" s="168" t="n">
        <x:v>1</x:v>
      </x:c>
      <x:c r="N140" s="168" t="n">
        <x:v>10</x:v>
      </x:c>
      <x:c r="O140" s="159" t="str"/>
      <x:c r="P140" s="159" t="str">
        <x:v>Employment and income | Gross domestic product by urban area | Income inequality | Employment and income | Gross domestic product by urban area | Income inequality</x:v>
      </x:c>
      <x:c r="Q140" s="159" t="str">
        <x:v>Conservative eligibility screen: the action's stated mechanism has a plausible direct pathway to Employment and income, Gross domestic product by urban area, Income inequality, Employment and income, Gross domestic product by urban area, Income inequality. Evidence determines whether the effect is demonstrated and in which direction.</x:v>
      </x:c>
      <x:c r="R140" s="160" t="str">
        <x:v>Promote alternative income opportunities to reduce the vulnerability of communities dependent on fisheries and mariculture. Municipal governments can facilitate training, microcredit programs, and connections to value chains that enable diversification into eco-tourism, agro-processing, crafts, and service sectors. By supporting infrastructure upgrades, skills development, and access to finance, cities can help stabilize incomes, strengthen local economies, and protect livelihoods from the impacts of shifting marine species distributions and climate variability.</x:v>
      </x:c>
    </x:row>
    <x:row r="141" ht="66" customHeight="1">
      <x:c r="A141" s="165" t="str">
        <x:v>ipcc_0088</x:v>
      </x:c>
      <x:c r="B141" s="159" t="str">
        <x:v>Update and enforce climate‑resilient building codes</x:v>
      </x:c>
      <x:c r="C141" s="159" t="str">
        <x:v>Geohydrological disasters</x:v>
      </x:c>
      <x:c r="D141" s="159" t="str">
        <x:v>Vulnerability</x:v>
      </x:c>
      <x:c r="E141" s="153" t="str"/>
      <x:c r="F141" s="153" t="str"/>
      <x:c r="G141" s="159" t="str">
        <x:v>Eligible</x:v>
      </x:c>
      <x:c r="H141" s="159" t="str">
        <x:v>Medium</x:v>
      </x:c>
      <x:c r="I141" s="159" t="str">
        <x:v>Complete (10/10)</x:v>
      </x:c>
      <x:c r="J141" s="159" t="str">
        <x:v>Broad</x:v>
      </x:c>
      <x:c r="K141" s="159" t="str">
        <x:v>No</x:v>
      </x:c>
      <x:c r="L141" s="159" t="str">
        <x:v>5-10 years</x:v>
      </x:c>
      <x:c r="M141" s="168" t="n">
        <x:v>2</x:v>
      </x:c>
      <x:c r="N141" s="168" t="n">
        <x:v>10</x:v>
      </x:c>
      <x:c r="O141" s="159" t="str"/>
      <x:c r="P141" s="159" t="str">
        <x:v>Urban occupation management in risk areas | Actions to reduce risk | Land use and occupation | Housing governance | Inappropriate households | Urban occupation management in risk areas | Actions to reduce risk | Land use and occupation | Housing governance | Inappropriate households</x:v>
      </x:c>
      <x:c r="Q141" s="159" t="str">
        <x:v>Conservative eligibility screen: the action's stated mechanism has a plausible direct pathway to Urban occupation management in risk areas, Actions to reduce risk, Land use and occupation, Housing governance, Inappropriate households, Urban occupation management in risk areas, Actions to reduce risk, Land use and occupation, Housing governance, Inappropriate households. Evidence determines whether the effect is demonstrated and in which direction.</x:v>
      </x:c>
      <x:c r="R141" s="160" t="str">
        <x:v>The development and implementation of building codes and architectural design regulations aimed at integrating climate adaptation parameters. These codes are focused on reducing risks from climate-induced hazards like floods and landslides. They also support climate-resilient urban development by guiding land use, construction practices, and infrastructure standards. The initiative fosters strategic long-term urban planning to coordinate public and private investments in adaptation, including the creation of safe zones and the transformation of precarious settlements. It ensures that new infrastructure is resilient to climate risks and that urban spaces are safe and sustainable for current and future populations.</x:v>
      </x:c>
    </x:row>
    <x:row r="142" ht="66" customHeight="1">
      <x:c r="A142" s="165" t="str">
        <x:v>icare_0184</x:v>
      </x:c>
      <x:c r="B142" s="159" t="str">
        <x:v>Upgrade Slope stabilization and drainage</x:v>
      </x:c>
      <x:c r="C142" s="159" t="str">
        <x:v>Geohydrological disasters</x:v>
      </x:c>
      <x:c r="D142" s="159" t="str">
        <x:v>Vulnerability</x:v>
      </x:c>
      <x:c r="E142" s="153" t="str"/>
      <x:c r="F142" s="153" t="str"/>
      <x:c r="G142" s="159" t="str">
        <x:v>Eligible</x:v>
      </x:c>
      <x:c r="H142" s="159" t="str">
        <x:v>Low</x:v>
      </x:c>
      <x:c r="I142" s="159" t="str">
        <x:v>Complete (6/6)</x:v>
      </x:c>
      <x:c r="J142" s="159" t="str">
        <x:v>Broad</x:v>
      </x:c>
      <x:c r="K142" s="159" t="str">
        <x:v>No</x:v>
      </x:c>
      <x:c r="L142" s="159" t="str">
        <x:v>5-10 years</x:v>
      </x:c>
      <x:c r="M142" s="168" t="n">
        <x:v>3</x:v>
      </x:c>
      <x:c r="N142" s="168" t="n">
        <x:v>10</x:v>
      </x:c>
      <x:c r="O142" s="159" t="str"/>
      <x:c r="P142" s="159" t="str">
        <x:v>Actions to reduce risk | Land use and occupation | Drainage | Actions to reduce risk | Land use and occupation | Drainage</x:v>
      </x:c>
      <x:c r="Q142" s="159" t="str">
        <x:v>Conservative eligibility screen: the action's stated mechanism has a plausible direct pathway to Actions to reduce risk, Land use and occupation, Drainage, Actions to reduce risk, Land use and occupation, Drainage. Evidence determines whether the effect is demonstrated and in which direction.</x:v>
      </x:c>
      <x:c r="R142" s="160" t="str">
        <x:v>This action involves stabilizing slopes and maintaining or restoring drainage systems in hillside areas. This helps to prevent landslides and erosion, reducing the risk of disasters.</x:v>
      </x:c>
    </x:row>
    <x:row r="143" ht="66" customHeight="1">
      <x:c r="A143" s="165" t="str">
        <x:v>c40_0048</x:v>
      </x:c>
      <x:c r="B143" s="159" t="str">
        <x:v>Upgrade urban drainage systems</x:v>
      </x:c>
      <x:c r="C143" s="159" t="str">
        <x:v>Geohydrological disasters</x:v>
      </x:c>
      <x:c r="D143" s="159" t="str">
        <x:v>Vulnerability</x:v>
      </x:c>
      <x:c r="E143" s="153" t="str"/>
      <x:c r="F143" s="153" t="str"/>
      <x:c r="G143" s="159" t="str">
        <x:v>Eligible</x:v>
      </x:c>
      <x:c r="H143" s="159" t="str">
        <x:v>Medium</x:v>
      </x:c>
      <x:c r="I143" s="159" t="str">
        <x:v>Complete (2/2)</x:v>
      </x:c>
      <x:c r="J143" s="159" t="str">
        <x:v>Limited</x:v>
      </x:c>
      <x:c r="K143" s="159" t="str">
        <x:v>No</x:v>
      </x:c>
      <x:c r="L143" s="159" t="str">
        <x:v>5-10 years</x:v>
      </x:c>
      <x:c r="M143" s="168" t="n">
        <x:v>2</x:v>
      </x:c>
      <x:c r="N143" s="168" t="n">
        <x:v>10</x:v>
      </x:c>
      <x:c r="O143" s="159" t="str"/>
      <x:c r="P143" s="159" t="str">
        <x:v>Actions to reduce risk | Drainage</x:v>
      </x:c>
      <x:c r="Q143" s="159" t="str">
        <x:v>Conservative eligibility screen: the action's stated mechanism has a plausible direct pathway to Actions to reduce risk, Drainage. Evidence determines whether the effect is demonstrated and in which direction.</x:v>
      </x:c>
      <x:c r="R143" s="160" t="str">
        <x:v>"Upgrade urban drainage systems" involves eco-engineering solutions to enhance drainage systems, through capacity upgrade and network expansion. This adaptation measure aims to improve urban resilience by minimizing the impact of extreme weather events such as flooding.</x:v>
      </x:c>
    </x:row>
    <x:row r="144" ht="66" customHeight="1">
      <x:c r="A144" s="165" t="str">
        <x:v>icare_0170</x:v>
      </x:c>
      <x:c r="B144" s="159" t="str">
        <x:v>Build safe housing and implement urban rehabilitation projects for populations living in high-risk areas</x:v>
      </x:c>
      <x:c r="C144" s="159" t="str">
        <x:v>Health</x:v>
      </x:c>
      <x:c r="D144" s="159" t="str">
        <x:v>Exposure</x:v>
      </x:c>
      <x:c r="E144" s="153" t="str"/>
      <x:c r="F144" s="153" t="str"/>
      <x:c r="G144" s="159" t="str">
        <x:v>Eligible</x:v>
      </x:c>
      <x:c r="H144" s="159" t="str">
        <x:v>Medium</x:v>
      </x:c>
      <x:c r="I144" s="159" t="str">
        <x:v>Complete (7/7)</x:v>
      </x:c>
      <x:c r="J144" s="159" t="str">
        <x:v>Moderate</x:v>
      </x:c>
      <x:c r="K144" s="159" t="str">
        <x:v>No</x:v>
      </x:c>
      <x:c r="L144" s="159" t="str">
        <x:v>&gt;10 years</x:v>
      </x:c>
      <x:c r="M144" s="168" t="n">
        <x:v>1</x:v>
      </x:c>
      <x:c r="N144" s="168" t="n">
        <x:v>6</x:v>
      </x:c>
      <x:c r="O144" s="159" t="str"/>
      <x:c r="P144" s="159" t="str">
        <x:v>Settlements | Rural population | Settlements | Informal settlements | Settlements | Population density | Informal settlements</x:v>
      </x:c>
      <x:c r="Q144" s="159" t="str">
        <x:v>Conservative eligibility screen: the action's stated mechanism has a plausible direct pathway to Settlements, Rural population, Settlements, Informal settlements, Settlements, Population density, Informal settlements. Evidence determines whether the effect is demonstrated and in which direction.</x:v>
      </x:c>
      <x:c r="R144" s="160" t="str">
        <x:v>The priority of this action is to build safe housing and implement urban rehabilitation projects for the population living in areas prone to landslides and flooding, as the housing deficit is one of the main factors related to these threats. This will be implemented through the construction of new housing units in safe locations for family resettlement, and infrastructure upgrades like slope stabilization and improved drainage systems within vulnerable communities.</x:v>
      </x:c>
    </x:row>
    <x:row r="145" ht="66" customHeight="1">
      <x:c r="A145" s="165" t="str">
        <x:v>icare_0170</x:v>
      </x:c>
      <x:c r="B145" s="159" t="str">
        <x:v>Build safe housing and implement urban rehabilitation projects for populations living in high-risk areas</x:v>
      </x:c>
      <x:c r="C145" s="159" t="str">
        <x:v>Health</x:v>
      </x:c>
      <x:c r="D145" s="159" t="str">
        <x:v>Vulnerability</x:v>
      </x:c>
      <x:c r="E145" s="153" t="str"/>
      <x:c r="F145" s="153" t="str"/>
      <x:c r="G145" s="159" t="str">
        <x:v>Eligible</x:v>
      </x:c>
      <x:c r="H145" s="159" t="str">
        <x:v>Low</x:v>
      </x:c>
      <x:c r="I145" s="159" t="str">
        <x:v>Complete (5/5)</x:v>
      </x:c>
      <x:c r="J145" s="159" t="str">
        <x:v>Moderate</x:v>
      </x:c>
      <x:c r="K145" s="159" t="str">
        <x:v>No</x:v>
      </x:c>
      <x:c r="L145" s="159" t="str">
        <x:v>&gt;10 years</x:v>
      </x:c>
      <x:c r="M145" s="168" t="n">
        <x:v>1</x:v>
      </x:c>
      <x:c r="N145" s="168" t="n">
        <x:v>6</x:v>
      </x:c>
      <x:c r="O145" s="159" t="str"/>
      <x:c r="P145" s="159" t="str">
        <x:v>No access to adequate sanitation | Households without access to garbage collection | Households without access to garbage collection | Households without access to garbage collection | Water supply</x:v>
      </x:c>
      <x:c r="Q145" s="159" t="str">
        <x:v>Conservative eligibility screen: the action's stated mechanism has a plausible direct pathway to No access to adequate sanitation, Households without access to garbage collection, Households without access to garbage collection, Households without access to garbage collection, Water supply. Evidence determines whether the effect is demonstrated and in which direction.</x:v>
      </x:c>
      <x:c r="R145" s="160" t="str">
        <x:v>The priority of this action is to build safe housing and implement urban rehabilitation projects for the population living in areas prone to landslides and flooding, as the housing deficit is one of the main factors related to these threats. This will be implemented through the construction of new housing units in safe locations for family resettlement, and infrastructure upgrades like slope stabilization and improved drainage systems within vulnerable communities.</x:v>
      </x:c>
    </x:row>
    <x:row r="146" ht="66" customHeight="1">
      <x:c r="A146" s="165" t="str">
        <x:v>icare_0154</x:v>
      </x:c>
      <x:c r="B146" s="159" t="str">
        <x:v>Clean and unclog drainage channels and install eco-barriers</x:v>
      </x:c>
      <x:c r="C146" s="159" t="str">
        <x:v>Health</x:v>
      </x:c>
      <x:c r="D146" s="159" t="str">
        <x:v>Vulnerability</x:v>
      </x:c>
      <x:c r="E146" s="153" t="str"/>
      <x:c r="F146" s="153" t="str"/>
      <x:c r="G146" s="159" t="str">
        <x:v>Eligible</x:v>
      </x:c>
      <x:c r="H146" s="159" t="str">
        <x:v>Low</x:v>
      </x:c>
      <x:c r="I146" s="159" t="str">
        <x:v>Partial (4/5)</x:v>
      </x:c>
      <x:c r="J146" s="159" t="str">
        <x:v>Moderate</x:v>
      </x:c>
      <x:c r="K146" s="159" t="str">
        <x:v>No</x:v>
      </x:c>
      <x:c r="L146" s="159" t="str">
        <x:v>&lt;5 years</x:v>
      </x:c>
      <x:c r="M146" s="168" t="n">
        <x:v>1</x:v>
      </x:c>
      <x:c r="N146" s="168" t="n">
        <x:v>6</x:v>
      </x:c>
      <x:c r="O146" s="159" t="str"/>
      <x:c r="P146" s="159" t="str">
        <x:v>Households without access to garbage collection | Households without access to garbage collection | Households without access to garbage collection | Water supply | Incidence of arboviruses dengue, zika and chikungunya</x:v>
      </x:c>
      <x:c r="Q146" s="159" t="str">
        <x:v>Conservative eligibility screen: the action's stated mechanism has a plausible direct pathway to Households without access to garbage collection, Households without access to garbage collection, Households without access to garbage collection, Water supply, Incidence of arboviruses dengue, zika and chikungunya. Evidence determines whether the effect is demonstrated and in which direction.</x:v>
      </x:c>
      <x:c r="R146" s="160" t="str">
        <x:v>Cleaning and unclogging channels in the city to reduce the risk of flooding caused by extreme rainfall events. Installation of eco-barriers to assist in cleaning efforts and raise awareness about solid waste.</x:v>
      </x:c>
    </x:row>
    <x:row r="147" ht="66" customHeight="1">
      <x:c r="A147" s="165" t="str">
        <x:v>icare_0182</x:v>
      </x:c>
      <x:c r="B147" s="159" t="str">
        <x:v>Develop an Urban Afforestation Plan</x:v>
      </x:c>
      <x:c r="C147" s="159" t="str">
        <x:v>Health</x:v>
      </x:c>
      <x:c r="D147" s="159" t="str">
        <x:v>Exposure</x:v>
      </x:c>
      <x:c r="E147" s="153" t="str"/>
      <x:c r="F147" s="153" t="str"/>
      <x:c r="G147" s="159" t="str">
        <x:v>Eligible</x:v>
      </x:c>
      <x:c r="H147" s="159" t="str">
        <x:v>Low</x:v>
      </x:c>
      <x:c r="I147" s="159" t="str">
        <x:v>Complete (4/4)</x:v>
      </x:c>
      <x:c r="J147" s="159" t="str">
        <x:v>Moderate</x:v>
      </x:c>
      <x:c r="K147" s="159" t="str">
        <x:v>No</x:v>
      </x:c>
      <x:c r="L147" s="159" t="str">
        <x:v>5-10 years</x:v>
      </x:c>
      <x:c r="M147" s="168" t="n">
        <x:v>1</x:v>
      </x:c>
      <x:c r="N147" s="168" t="n">
        <x:v>6</x:v>
      </x:c>
      <x:c r="O147" s="159" t="str"/>
      <x:c r="P147" s="159" t="str">
        <x:v>Deforestation | Natural coverage | Natural coverage | Deforestation</x:v>
      </x:c>
      <x:c r="Q147" s="159" t="str">
        <x:v>Conservative eligibility screen: the action's stated mechanism has a plausible direct pathway to Deforestation, Natural coverage, Natural coverage, Deforestation. Evidence determines whether the effect is demonstrated and in which direction.</x:v>
      </x:c>
      <x:c r="R147" s="160" t="str">
        <x:v>This action focuses on expanding green areas in the city through urban afforestation. This includes planting trees in sidewalks, squares, public buildings, and schools, as well as creating ecological parks to revitalize watercourses and/or restore forests.</x:v>
      </x:c>
    </x:row>
    <x:row r="148" ht="66" customHeight="1">
      <x:c r="A148" s="165" t="str">
        <x:v>icare_0163</x:v>
      </x:c>
      <x:c r="B148" s="159" t="str">
        <x:v>Establish a first‑response firefighting brigade</x:v>
      </x:c>
      <x:c r="C148" s="159" t="str">
        <x:v>Health</x:v>
      </x:c>
      <x:c r="D148" s="159" t="str">
        <x:v>Exposure</x:v>
      </x:c>
      <x:c r="E148" s="153" t="str"/>
      <x:c r="F148" s="153" t="str"/>
      <x:c r="G148" s="159" t="str">
        <x:v>Eligible</x:v>
      </x:c>
      <x:c r="H148" s="159" t="str">
        <x:v>None demonstrated</x:v>
      </x:c>
      <x:c r="I148" s="159" t="str">
        <x:v>None (0/2)</x:v>
      </x:c>
      <x:c r="J148" s="159" t="str">
        <x:v>None</x:v>
      </x:c>
      <x:c r="K148" s="159" t="str">
        <x:v>No</x:v>
      </x:c>
      <x:c r="L148" s="159" t="str">
        <x:v>&lt;5 years</x:v>
      </x:c>
      <x:c r="M148" s="168" t="n">
        <x:v>0</x:v>
      </x:c>
      <x:c r="N148" s="168" t="n">
        <x:v>6</x:v>
      </x:c>
      <x:c r="O148" s="159" t="str"/>
      <x:c r="P148" s="159" t="str">
        <x:v>Deforestation | Deforestation</x:v>
      </x:c>
      <x:c r="Q148" s="159" t="str">
        <x:v>Conservative eligibility screen: the action's stated mechanism has a plausible direct pathway to Deforestation, Deforestation. Evidence determines whether the effect is demonstrated and in which direction.</x:v>
      </x:c>
      <x:c r="R148" s="160" t="str">
        <x:v>Creation of a First Response Brigade in rural communities to provide them with training and equipment for fire prevention and firefighting.</x:v>
      </x:c>
    </x:row>
    <x:row r="149" ht="66" customHeight="1">
      <x:c r="A149" s="165" t="str">
        <x:v>icare_0180</x:v>
      </x:c>
      <x:c r="B149" s="159" t="str">
        <x:v>Expand urban green-blue networks and corridors</x:v>
      </x:c>
      <x:c r="C149" s="159" t="str">
        <x:v>Health</x:v>
      </x:c>
      <x:c r="D149" s="159" t="str">
        <x:v>Exposure</x:v>
      </x:c>
      <x:c r="E149" s="153" t="str"/>
      <x:c r="F149" s="153" t="str"/>
      <x:c r="G149" s="159" t="str">
        <x:v>Eligible</x:v>
      </x:c>
      <x:c r="H149" s="159" t="str">
        <x:v>Low</x:v>
      </x:c>
      <x:c r="I149" s="159" t="str">
        <x:v>Partial (2/4)</x:v>
      </x:c>
      <x:c r="J149" s="159" t="str">
        <x:v>Moderate</x:v>
      </x:c>
      <x:c r="K149" s="159" t="str">
        <x:v>No</x:v>
      </x:c>
      <x:c r="L149" s="159" t="str">
        <x:v>&lt;5 years</x:v>
      </x:c>
      <x:c r="M149" s="168" t="n">
        <x:v>1</x:v>
      </x:c>
      <x:c r="N149" s="168" t="n">
        <x:v>6</x:v>
      </x:c>
      <x:c r="O149" s="159" t="str"/>
      <x:c r="P149" s="159" t="str">
        <x:v>Bodies of water | Natural coverage | Natural coverage | Bodies of water</x:v>
      </x:c>
      <x:c r="Q149" s="159" t="str">
        <x:v>Conservative eligibility screen: the action's stated mechanism has a plausible direct pathway to Bodies of water, Natural coverage, Natural coverage, Bodies of water. Evidence determines whether the effect is demonstrated and in which direction.</x:v>
      </x:c>
      <x:c r="R149" s="160" t="str">
        <x:v>Expand and connect urban green spaces and blue-green infrastructure (BGI) in the public realm. Actions include street tree planting, establishing green corridors/greenways, pocket and large parks, and green-blue features (bioswales, rain gardens, permeable surfaces) to manage stormwater, reduce urban heat, enhance biodiversity, and support carbon sequestration. Embedding these measures in urban planning strengthens ecosystem services, resilience, and livability.</x:v>
      </x:c>
    </x:row>
    <x:row r="150" ht="66" customHeight="1">
      <x:c r="A150" s="165" t="str">
        <x:v>ipcc_0102</x:v>
      </x:c>
      <x:c r="B150" s="159" t="str">
        <x:v>Facilitate seasonal and temporary mobility strategies</x:v>
      </x:c>
      <x:c r="C150" s="159" t="str">
        <x:v>Health</x:v>
      </x:c>
      <x:c r="D150" s="159" t="str">
        <x:v>Exposure</x:v>
      </x:c>
      <x:c r="E150" s="153" t="str"/>
      <x:c r="F150" s="153" t="str"/>
      <x:c r="G150" s="159" t="str">
        <x:v>Eligible</x:v>
      </x:c>
      <x:c r="H150" s="159" t="str">
        <x:v>Low</x:v>
      </x:c>
      <x:c r="I150" s="159" t="str">
        <x:v>Complete (7/7)</x:v>
      </x:c>
      <x:c r="J150" s="159" t="str">
        <x:v>Moderate</x:v>
      </x:c>
      <x:c r="K150" s="159" t="str">
        <x:v>No</x:v>
      </x:c>
      <x:c r="L150" s="159" t="str">
        <x:v>5-10 years</x:v>
      </x:c>
      <x:c r="M150" s="168" t="n">
        <x:v>1</x:v>
      </x:c>
      <x:c r="N150" s="168" t="n">
        <x:v>6</x:v>
      </x:c>
      <x:c r="O150" s="159" t="str"/>
      <x:c r="P150" s="159" t="str">
        <x:v>Settlements | Rural population | Settlements | Informal settlements | Settlements | Population density | Informal settlements</x:v>
      </x:c>
      <x:c r="Q150" s="159" t="str">
        <x:v>Conservative eligibility screen: the action's stated mechanism has a plausible direct pathway to Settlements, Rural population, Settlements, Informal settlements, Settlements, Population density, Informal settlements. Evidence determines whether the effect is demonstrated and in which direction.</x:v>
      </x:c>
      <x:c r="R150" s="160" t="str">
        <x:v>Facilitating mobility of fishing fleets and workers to adapt to shifting marine species distributions caused by climate change. This includes enabling seasonal or temporary migration to align with the availability of resources, improving infrastructure and technology to support mobility, and fostering flexible governance to manage transboundary resources sustainably. These actions aim to maintain livelihoods and reduce economic impacts of climate variability.</x:v>
      </x:c>
    </x:row>
    <x:row r="151" ht="66" customHeight="1">
      <x:c r="A151" s="165" t="str">
        <x:v>ipcc_0102</x:v>
      </x:c>
      <x:c r="B151" s="159" t="str">
        <x:v>Facilitate seasonal and temporary mobility strategies</x:v>
      </x:c>
      <x:c r="C151" s="159" t="str">
        <x:v>Health</x:v>
      </x:c>
      <x:c r="D151" s="159" t="str">
        <x:v>Vulnerability</x:v>
      </x:c>
      <x:c r="E151" s="153" t="str"/>
      <x:c r="F151" s="153" t="str"/>
      <x:c r="G151" s="159" t="str">
        <x:v>Eligible</x:v>
      </x:c>
      <x:c r="H151" s="159" t="str">
        <x:v>Low</x:v>
      </x:c>
      <x:c r="I151" s="159" t="str">
        <x:v>Complete (2/2)</x:v>
      </x:c>
      <x:c r="J151" s="159" t="str">
        <x:v>Moderate</x:v>
      </x:c>
      <x:c r="K151" s="159" t="str">
        <x:v>No</x:v>
      </x:c>
      <x:c r="L151" s="159" t="str">
        <x:v>5-10 years</x:v>
      </x:c>
      <x:c r="M151" s="168" t="n">
        <x:v>1</x:v>
      </x:c>
      <x:c r="N151" s="168" t="n">
        <x:v>6</x:v>
      </x:c>
      <x:c r="O151" s="159" t="str"/>
      <x:c r="P151" s="159" t="str">
        <x:v>Recent immigration | Recent immigration</x:v>
      </x:c>
      <x:c r="Q151" s="159" t="str">
        <x:v>Conservative eligibility screen: the action's stated mechanism has a plausible direct pathway to Recent immigration, Recent immigration. Evidence determines whether the effect is demonstrated and in which direction.</x:v>
      </x:c>
      <x:c r="R151" s="160" t="str">
        <x:v>Facilitating mobility of fishing fleets and workers to adapt to shifting marine species distributions caused by climate change. This includes enabling seasonal or temporary migration to align with the availability of resources, improving infrastructure and technology to support mobility, and fostering flexible governance to manage transboundary resources sustainably. These actions aim to maintain livelihoods and reduce economic impacts of climate variability.</x:v>
      </x:c>
    </x:row>
    <x:row r="152" ht="66" customHeight="1">
      <x:c r="A152" s="165" t="str">
        <x:v>ipcc_0086</x:v>
      </x:c>
      <x:c r="B152" s="159" t="str">
        <x:v>Implement ecosystem‑based adaptation measures</x:v>
      </x:c>
      <x:c r="C152" s="159" t="str">
        <x:v>Health</x:v>
      </x:c>
      <x:c r="D152" s="159" t="str">
        <x:v>Exposure</x:v>
      </x:c>
      <x:c r="E152" s="153" t="str"/>
      <x:c r="F152" s="153" t="str"/>
      <x:c r="G152" s="159" t="str">
        <x:v>Eligible</x:v>
      </x:c>
      <x:c r="H152" s="159" t="str">
        <x:v>Low</x:v>
      </x:c>
      <x:c r="I152" s="159" t="str">
        <x:v>Partial (4/6)</x:v>
      </x:c>
      <x:c r="J152" s="159" t="str">
        <x:v>Moderate</x:v>
      </x:c>
      <x:c r="K152" s="159" t="str">
        <x:v>No</x:v>
      </x:c>
      <x:c r="L152" s="159" t="str">
        <x:v>5-10 years</x:v>
      </x:c>
      <x:c r="M152" s="168" t="n">
        <x:v>1</x:v>
      </x:c>
      <x:c r="N152" s="168" t="n">
        <x:v>6</x:v>
      </x:c>
      <x:c r="O152" s="159" t="str"/>
      <x:c r="P152" s="159" t="str">
        <x:v>Deforestation | Bodies of water | Natural coverage | Natural coverage | Deforestation | Bodies of water</x:v>
      </x:c>
      <x:c r="Q152" s="159" t="str">
        <x:v>Conservative eligibility screen: the action's stated mechanism has a plausible direct pathway to Deforestation, Bodies of water, Natural coverage, Natural coverage, Deforestation, Bodies of water. Evidence determines whether the effect is demonstrated and in which direction.</x:v>
      </x:c>
      <x:c r="R152" s="160" t="str">
        <x:v>Restoring and sustainably managing marine, coastal, urban, riverine, and wetland ecosystems to protect against climate hazards such as storm surges, floods, and heatwaves. Efforts include agroecology, coastal and marine vegetation and reefs, vegetation corridors, mangrove habitat restoration, urban green space to reduce temperatures. These actions improve biodiversity, store carbon, enhance water quality, and provide socio-economic and cultural co-benefits.</x:v>
      </x:c>
    </x:row>
    <x:row r="153" ht="66" customHeight="1">
      <x:c r="A153" s="165" t="str">
        <x:v>icare_0186</x:v>
      </x:c>
      <x:c r="B153" s="159" t="str">
        <x:v>Implement integrated coastal zone management</x:v>
      </x:c>
      <x:c r="C153" s="159" t="str">
        <x:v>Health</x:v>
      </x:c>
      <x:c r="D153" s="159" t="str">
        <x:v>Exposure</x:v>
      </x:c>
      <x:c r="E153" s="153" t="str"/>
      <x:c r="F153" s="153" t="str"/>
      <x:c r="G153" s="159" t="str">
        <x:v>Eligible</x:v>
      </x:c>
      <x:c r="H153" s="159" t="str">
        <x:v>None demonstrated</x:v>
      </x:c>
      <x:c r="I153" s="159" t="str">
        <x:v>None (0/4)</x:v>
      </x:c>
      <x:c r="J153" s="159" t="str">
        <x:v>None</x:v>
      </x:c>
      <x:c r="K153" s="159" t="str">
        <x:v>No</x:v>
      </x:c>
      <x:c r="L153" s="159" t="str">
        <x:v>5-10 years</x:v>
      </x:c>
      <x:c r="M153" s="168" t="n">
        <x:v>0</x:v>
      </x:c>
      <x:c r="N153" s="168" t="n">
        <x:v>6</x:v>
      </x:c>
      <x:c r="O153" s="159" t="str"/>
      <x:c r="P153" s="159" t="str">
        <x:v>Bodies of water | Natural coverage | Natural coverage | Bodies of water</x:v>
      </x:c>
      <x:c r="Q153" s="159" t="str">
        <x:v>Conservative eligibility screen: the action's stated mechanism has a plausible direct pathway to Bodies of water, Natural coverage, Natural coverage, Bodies of water. Evidence determines whether the effect is demonstrated and in which direction.</x:v>
      </x:c>
      <x:c r="R153" s="160" t="str">
        <x:v>This action describes the implementation of an integrated coastal zone management plan to promote sustainable development and address the impacts of climate change in coastal areas. It includes measures to mitigate the impacts of sea-level rise and coastal erosion.</x:v>
      </x:c>
    </x:row>
    <x:row r="154" ht="66" customHeight="1">
      <x:c r="A154" s="165" t="str">
        <x:v>icare_0185</x:v>
      </x:c>
      <x:c r="B154" s="159" t="str">
        <x:v>Improve Creation of An Epidemiological Intelligence Center</x:v>
      </x:c>
      <x:c r="C154" s="159" t="str">
        <x:v>Health</x:v>
      </x:c>
      <x:c r="D154" s="159" t="str">
        <x:v>Vulnerability</x:v>
      </x:c>
      <x:c r="E154" s="153" t="str"/>
      <x:c r="F154" s="153" t="str"/>
      <x:c r="G154" s="159" t="str">
        <x:v>Eligible</x:v>
      </x:c>
      <x:c r="H154" s="159" t="str">
        <x:v>Medium</x:v>
      </x:c>
      <x:c r="I154" s="159" t="str">
        <x:v>Complete (6/6)</x:v>
      </x:c>
      <x:c r="J154" s="159" t="str">
        <x:v>Moderate</x:v>
      </x:c>
      <x:c r="K154" s="159" t="str">
        <x:v>No</x:v>
      </x:c>
      <x:c r="L154" s="159" t="str">
        <x:v>5-10 years</x:v>
      </x:c>
      <x:c r="M154" s="168" t="n">
        <x:v>1</x:v>
      </x:c>
      <x:c r="N154" s="168" t="n">
        <x:v>6</x:v>
      </x:c>
      <x:c r="O154" s="159" t="str"/>
      <x:c r="P154" s="159" t="str">
        <x:v>Ipa | falciparum malaria | Access to diagnosis and treatment | Incidence of American cutaneous leishmaniasis | Incidence of visceral leishmaniasis | Incidence of arboviruses dengue, zika and chikungunya</x:v>
      </x:c>
      <x:c r="Q154" s="159" t="str">
        <x:v>Conservative eligibility screen: the action's stated mechanism has a plausible direct pathway to Ipa, falciparum malaria, Access to diagnosis and treatment, Incidence of American cutaneous leishmaniasis, Incidence of visceral leishmaniasis, Incidence of arboviruses dengue, zika and chikungunya. Evidence determines whether the effect is demonstrated and in which direction.</x:v>
      </x:c>
      <x:c r="R154" s="160" t="str">
        <x:v>This action focuses on establishing an epidemiological intelligence center to monitor public health indicators and provide accessible information to the population. This helps in making informed decisions and protecting public health, particularly in relation to climate-sensitive diseases.</x:v>
      </x:c>
    </x:row>
    <x:row r="155" ht="66" customHeight="1">
      <x:c r="A155" s="165" t="str">
        <x:v>ipcc_0100</x:v>
      </x:c>
      <x:c r="B155" s="159" t="str">
        <x:v>Improve Efficient water use/demand</x:v>
      </x:c>
      <x:c r="C155" s="159" t="str">
        <x:v>Health</x:v>
      </x:c>
      <x:c r="D155" s="159" t="str">
        <x:v>Vulnerability</x:v>
      </x:c>
      <x:c r="E155" s="153" t="str"/>
      <x:c r="F155" s="153" t="str"/>
      <x:c r="G155" s="159" t="str">
        <x:v>Eligible</x:v>
      </x:c>
      <x:c r="H155" s="159" t="str">
        <x:v>Low</x:v>
      </x:c>
      <x:c r="I155" s="159" t="str">
        <x:v>Complete (1/1)</x:v>
      </x:c>
      <x:c r="J155" s="159" t="str">
        <x:v>Moderate</x:v>
      </x:c>
      <x:c r="K155" s="159" t="str">
        <x:v>No</x:v>
      </x:c>
      <x:c r="L155" s="159" t="str">
        <x:v>5-10 years</x:v>
      </x:c>
      <x:c r="M155" s="168" t="n">
        <x:v>1</x:v>
      </x:c>
      <x:c r="N155" s="168" t="n">
        <x:v>6</x:v>
      </x:c>
      <x:c r="O155" s="159" t="str"/>
      <x:c r="P155" s="159" t="str">
        <x:v>Water supply</x:v>
      </x:c>
      <x:c r="Q155" s="159" t="str">
        <x:v>Conservative eligibility screen: the action's stated mechanism has a plausible direct pathway to Water supply. Evidence determines whether the effect is demonstrated and in which direction.</x:v>
      </x:c>
      <x:c r="R155" s="160" t="str">
        <x:v>Implementing advanced irrigation techniques such as precision and drip irrigation to enhance water use efficiency in agriculture. Managed Aquifer Recharge (MAR) is applied to replenish groundwater supplies using stormwater, treated wastewater, or other sources. These actions are complemented by cooperative policies across multiple sectors to ensure sustainable water resource management, equitable access, and regional collaboration. Additionally, promoting changes in water consumption patterns, such as reducing waste and improving efficiency in urban and agricultural water use, supports resilience against water scarcity and enhances adaptive capacity in vulnerable regions. These efforts collectively aim to address the growing demand for freshwater in the face of climate change and ensure long-term sustainability.</x:v>
      </x:c>
    </x:row>
    <x:row r="156" ht="66" customHeight="1">
      <x:c r="A156" s="165" t="str">
        <x:v>ipcc_0101</x:v>
      </x:c>
      <x:c r="B156" s="159" t="str">
        <x:v>Improve urban water management</x:v>
      </x:c>
      <x:c r="C156" s="159" t="str">
        <x:v>Health</x:v>
      </x:c>
      <x:c r="D156" s="159" t="str">
        <x:v>Exposure</x:v>
      </x:c>
      <x:c r="E156" s="153" t="str"/>
      <x:c r="F156" s="153" t="str"/>
      <x:c r="G156" s="159" t="str">
        <x:v>Eligible</x:v>
      </x:c>
      <x:c r="H156" s="159" t="str">
        <x:v>None demonstrated</x:v>
      </x:c>
      <x:c r="I156" s="159" t="str">
        <x:v>None (0/2)</x:v>
      </x:c>
      <x:c r="J156" s="159" t="str">
        <x:v>None</x:v>
      </x:c>
      <x:c r="K156" s="159" t="str">
        <x:v>No</x:v>
      </x:c>
      <x:c r="L156" s="159" t="str">
        <x:v>5-10 years</x:v>
      </x:c>
      <x:c r="M156" s="168" t="n">
        <x:v>0</x:v>
      </x:c>
      <x:c r="N156" s="168" t="n">
        <x:v>6</x:v>
      </x:c>
      <x:c r="O156" s="159" t="str"/>
      <x:c r="P156" s="159" t="str">
        <x:v>Bodies of water | Bodies of water</x:v>
      </x:c>
      <x:c r="Q156" s="159" t="str">
        <x:v>Conservative eligibility screen: the action's stated mechanism has a plausible direct pathway to Bodies of water, Bodies of water. Evidence determines whether the effect is demonstrated and in which direction.</x:v>
      </x:c>
      <x:c r="R156" s="160" t="str">
        <x:v>Implementing sustainable water supply systems by constructing irrigation infrastructure, promoting inter-basin water transfers, utilizing nature-based solutions (NBS) such as rain gardens, bioswales, and wetlands, and integrating advanced techniques like water reuse and water upgrading. Water reuse involves treating and recycling wastewater for non-potable or potable purposes, while water upgrading focuses on improving the quality of available water for diverse uses. These approaches enhance stormwater infiltration, improve urban water management, increase drought resilience, and support groundwater recharge. They provide energy-efficient and economical water solutions while maintaining sustainable urban development.</x:v>
      </x:c>
    </x:row>
    <x:row r="157" ht="66" customHeight="1">
      <x:c r="A157" s="165" t="str">
        <x:v>ipcc_0101</x:v>
      </x:c>
      <x:c r="B157" s="159" t="str">
        <x:v>Improve urban water management</x:v>
      </x:c>
      <x:c r="C157" s="159" t="str">
        <x:v>Health</x:v>
      </x:c>
      <x:c r="D157" s="159" t="str">
        <x:v>Vulnerability</x:v>
      </x:c>
      <x:c r="E157" s="153" t="str"/>
      <x:c r="F157" s="153" t="str"/>
      <x:c r="G157" s="159" t="str">
        <x:v>Eligible</x:v>
      </x:c>
      <x:c r="H157" s="159" t="str">
        <x:v>Low</x:v>
      </x:c>
      <x:c r="I157" s="159" t="str">
        <x:v>Partial (3/4)</x:v>
      </x:c>
      <x:c r="J157" s="159" t="str">
        <x:v>Moderate</x:v>
      </x:c>
      <x:c r="K157" s="159" t="str">
        <x:v>No</x:v>
      </x:c>
      <x:c r="L157" s="159" t="str">
        <x:v>5-10 years</x:v>
      </x:c>
      <x:c r="M157" s="168" t="n">
        <x:v>1</x:v>
      </x:c>
      <x:c r="N157" s="168" t="n">
        <x:v>6</x:v>
      </x:c>
      <x:c r="O157" s="159" t="str"/>
      <x:c r="P157" s="159" t="str">
        <x:v>No access to adequate sanitation | Water supply | Presence of cistern | Incidence of arboviruses dengue, zika and chikungunya</x:v>
      </x:c>
      <x:c r="Q157" s="159" t="str">
        <x:v>Conservative eligibility screen: the action's stated mechanism has a plausible direct pathway to No access to adequate sanitation, Water supply, Presence of cistern, Incidence of arboviruses dengue, zika and chikungunya. Evidence determines whether the effect is demonstrated and in which direction.</x:v>
      </x:c>
      <x:c r="R157" s="160" t="str">
        <x:v>Implementing sustainable water supply systems by constructing irrigation infrastructure, promoting inter-basin water transfers, utilizing nature-based solutions (NBS) such as rain gardens, bioswales, and wetlands, and integrating advanced techniques like water reuse and water upgrading. Water reuse involves treating and recycling wastewater for non-potable or potable purposes, while water upgrading focuses on improving the quality of available water for diverse uses. These approaches enhance stormwater infiltration, improve urban water management, increase drought resilience, and support groundwater recharge. They provide energy-efficient and economical water solutions while maintaining sustainable urban development.</x:v>
      </x:c>
    </x:row>
    <x:row r="158" ht="66" customHeight="1">
      <x:c r="A158" s="165" t="str">
        <x:v>c40_0056</x:v>
      </x:c>
      <x:c r="B158" s="159" t="str">
        <x:v>Improve Watershed Protection and Management</x:v>
      </x:c>
      <x:c r="C158" s="159" t="str">
        <x:v>Health</x:v>
      </x:c>
      <x:c r="D158" s="159" t="str">
        <x:v>Exposure</x:v>
      </x:c>
      <x:c r="E158" s="153" t="str"/>
      <x:c r="F158" s="153" t="str"/>
      <x:c r="G158" s="159" t="str">
        <x:v>Eligible</x:v>
      </x:c>
      <x:c r="H158" s="159" t="str">
        <x:v>None demonstrated</x:v>
      </x:c>
      <x:c r="I158" s="159" t="str">
        <x:v>None (0/4)</x:v>
      </x:c>
      <x:c r="J158" s="159" t="str">
        <x:v>None</x:v>
      </x:c>
      <x:c r="K158" s="159" t="str">
        <x:v>No</x:v>
      </x:c>
      <x:c r="L158" s="159" t="str">
        <x:v>&lt;5 years</x:v>
      </x:c>
      <x:c r="M158" s="168" t="n">
        <x:v>0</x:v>
      </x:c>
      <x:c r="N158" s="168" t="n">
        <x:v>6</x:v>
      </x:c>
      <x:c r="O158" s="159" t="str"/>
      <x:c r="P158" s="159" t="str">
        <x:v>Bodies of water | Natural coverage | Natural coverage | Bodies of water</x:v>
      </x:c>
      <x:c r="Q158" s="159" t="str">
        <x:v>Conservative eligibility screen: the action's stated mechanism has a plausible direct pathway to Bodies of water, Natural coverage, Natural coverage, Bodies of water. Evidence determines whether the effect is demonstrated and in which direction.</x:v>
      </x:c>
      <x:c r="R158" s="160" t="str">
        <x:v>"Watershed Protection and Management" involves the protection and conservation of natural watershed areas to safeguard water quality, biodiversity, and ecosystem services, including measures such as preventing pollution and encrouchment. This initiative aims to ensure sustainable water management and resilience to the impacts of climate change.</x:v>
      </x:c>
    </x:row>
    <x:row r="159" ht="66" customHeight="1">
      <x:c r="A159" s="165" t="str">
        <x:v>c40_0056</x:v>
      </x:c>
      <x:c r="B159" s="159" t="str">
        <x:v>Improve Watershed Protection and Management</x:v>
      </x:c>
      <x:c r="C159" s="159" t="str">
        <x:v>Health</x:v>
      </x:c>
      <x:c r="D159" s="159" t="str">
        <x:v>Vulnerability</x:v>
      </x:c>
      <x:c r="E159" s="153" t="str"/>
      <x:c r="F159" s="153" t="str"/>
      <x:c r="G159" s="159" t="str">
        <x:v>Eligible</x:v>
      </x:c>
      <x:c r="H159" s="159" t="str">
        <x:v>Low</x:v>
      </x:c>
      <x:c r="I159" s="159" t="str">
        <x:v>Complete (2/2)</x:v>
      </x:c>
      <x:c r="J159" s="159" t="str">
        <x:v>Moderate</x:v>
      </x:c>
      <x:c r="K159" s="159" t="str">
        <x:v>No</x:v>
      </x:c>
      <x:c r="L159" s="159" t="str">
        <x:v>&lt;5 years</x:v>
      </x:c>
      <x:c r="M159" s="168" t="n">
        <x:v>1</x:v>
      </x:c>
      <x:c r="N159" s="168" t="n">
        <x:v>6</x:v>
      </x:c>
      <x:c r="O159" s="159" t="str"/>
      <x:c r="P159" s="159" t="str">
        <x:v>No access to adequate sanitation | Water supply</x:v>
      </x:c>
      <x:c r="Q159" s="159" t="str">
        <x:v>Conservative eligibility screen: the action's stated mechanism has a plausible direct pathway to No access to adequate sanitation, Water supply. Evidence determines whether the effect is demonstrated and in which direction.</x:v>
      </x:c>
      <x:c r="R159" s="160" t="str">
        <x:v>"Watershed Protection and Management" involves the protection and conservation of natural watershed areas to safeguard water quality, biodiversity, and ecosystem services, including measures such as preventing pollution and encrouchment. This initiative aims to ensure sustainable water management and resilience to the impacts of climate change.</x:v>
      </x:c>
    </x:row>
    <x:row r="160" ht="66" customHeight="1">
      <x:c r="A160" s="165" t="str">
        <x:v>ipcc_0099</x:v>
      </x:c>
      <x:c r="B160" s="159" t="str">
        <x:v>Increase Water Capture and Storage</x:v>
      </x:c>
      <x:c r="C160" s="159" t="str">
        <x:v>Health</x:v>
      </x:c>
      <x:c r="D160" s="159" t="str">
        <x:v>Exposure</x:v>
      </x:c>
      <x:c r="E160" s="153" t="str"/>
      <x:c r="F160" s="153" t="str"/>
      <x:c r="G160" s="159" t="str">
        <x:v>Eligible</x:v>
      </x:c>
      <x:c r="H160" s="159" t="str">
        <x:v>None demonstrated</x:v>
      </x:c>
      <x:c r="I160" s="159" t="str">
        <x:v>None (0/2)</x:v>
      </x:c>
      <x:c r="J160" s="159" t="str">
        <x:v>None</x:v>
      </x:c>
      <x:c r="K160" s="159" t="str">
        <x:v>No</x:v>
      </x:c>
      <x:c r="L160" s="159" t="str">
        <x:v>5-10 years</x:v>
      </x:c>
      <x:c r="M160" s="168" t="n">
        <x:v>0</x:v>
      </x:c>
      <x:c r="N160" s="168" t="n">
        <x:v>6</x:v>
      </x:c>
      <x:c r="O160" s="159" t="str"/>
      <x:c r="P160" s="159" t="str">
        <x:v>Bodies of water | Bodies of water</x:v>
      </x:c>
      <x:c r="Q160" s="159" t="str">
        <x:v>Conservative eligibility screen: the action's stated mechanism has a plausible direct pathway to Bodies of water, Bodies of water. Evidence determines whether the effect is demonstrated and in which direction.</x:v>
      </x:c>
      <x:c r="R160" s="160" t="str">
        <x:v>Implementation of water harvesting and storage solutions, such as on-farm ponds, water body revitalization, rain gardens, bioswales, retention ponds, pumped storage, and water storage tanks. These measures aim to mitigate climate-induced impacts by improving water management, reducing stormwater runoff, improving water quality, and supporting agriculture and energy production in changing climate scenarios. Water reservoirs and multipurpose dams offer additional benefits by addressing water scarcity and managing risks associated with natural disasters. These adaptation strategies contribute to sustainable water use and resilience to climate-related challenges.</x:v>
      </x:c>
    </x:row>
    <x:row r="161" ht="66" customHeight="1">
      <x:c r="A161" s="165" t="str">
        <x:v>ipcc_0099</x:v>
      </x:c>
      <x:c r="B161" s="159" t="str">
        <x:v>Increase Water Capture and Storage</x:v>
      </x:c>
      <x:c r="C161" s="159" t="str">
        <x:v>Health</x:v>
      </x:c>
      <x:c r="D161" s="159" t="str">
        <x:v>Vulnerability</x:v>
      </x:c>
      <x:c r="E161" s="153" t="str"/>
      <x:c r="F161" s="153" t="str"/>
      <x:c r="G161" s="159" t="str">
        <x:v>Eligible</x:v>
      </x:c>
      <x:c r="H161" s="159" t="str">
        <x:v>Low</x:v>
      </x:c>
      <x:c r="I161" s="159" t="str">
        <x:v>Partial (2/3)</x:v>
      </x:c>
      <x:c r="J161" s="159" t="str">
        <x:v>Moderate</x:v>
      </x:c>
      <x:c r="K161" s="159" t="str">
        <x:v>No</x:v>
      </x:c>
      <x:c r="L161" s="159" t="str">
        <x:v>5-10 years</x:v>
      </x:c>
      <x:c r="M161" s="168" t="n">
        <x:v>1</x:v>
      </x:c>
      <x:c r="N161" s="168" t="n">
        <x:v>6</x:v>
      </x:c>
      <x:c r="O161" s="159" t="str"/>
      <x:c r="P161" s="159" t="str">
        <x:v>Water supply | Presence of cistern | Incidence of arboviruses dengue, zika and chikungunya</x:v>
      </x:c>
      <x:c r="Q161" s="159" t="str">
        <x:v>Conservative eligibility screen: the action's stated mechanism has a plausible direct pathway to Water supply, Presence of cistern, Incidence of arboviruses dengue, zika and chikungunya. Evidence determines whether the effect is demonstrated and in which direction.</x:v>
      </x:c>
      <x:c r="R161" s="160" t="str">
        <x:v>Implementation of water harvesting and storage solutions, such as on-farm ponds, water body revitalization, rain gardens, bioswales, retention ponds, pumped storage, and water storage tanks. These measures aim to mitigate climate-induced impacts by improving water management, reducing stormwater runoff, improving water quality, and supporting agriculture and energy production in changing climate scenarios. Water reservoirs and multipurpose dams offer additional benefits by addressing water scarcity and managing risks associated with natural disasters. These adaptation strategies contribute to sustainable water use and resilience to climate-related challenges.</x:v>
      </x:c>
    </x:row>
    <x:row r="162" ht="66" customHeight="1">
      <x:c r="A162" s="165" t="str">
        <x:v>ipcc_0104</x:v>
      </x:c>
      <x:c r="B162" s="159" t="str">
        <x:v>Plan and support permanent climate‑related migration</x:v>
      </x:c>
      <x:c r="C162" s="159" t="str">
        <x:v>Health</x:v>
      </x:c>
      <x:c r="D162" s="159" t="str">
        <x:v>Exposure</x:v>
      </x:c>
      <x:c r="E162" s="153" t="str"/>
      <x:c r="F162" s="153" t="str"/>
      <x:c r="G162" s="159" t="str">
        <x:v>Eligible</x:v>
      </x:c>
      <x:c r="H162" s="159" t="str">
        <x:v>Low</x:v>
      </x:c>
      <x:c r="I162" s="159" t="str">
        <x:v>Complete (7/7)</x:v>
      </x:c>
      <x:c r="J162" s="159" t="str">
        <x:v>Moderate</x:v>
      </x:c>
      <x:c r="K162" s="159" t="str">
        <x:v>No</x:v>
      </x:c>
      <x:c r="L162" s="159" t="str">
        <x:v>5-10 years</x:v>
      </x:c>
      <x:c r="M162" s="168" t="n">
        <x:v>1</x:v>
      </x:c>
      <x:c r="N162" s="168" t="n">
        <x:v>6</x:v>
      </x:c>
      <x:c r="O162" s="159" t="str"/>
      <x:c r="P162" s="159" t="str">
        <x:v>Settlements | Rural population | Settlements | Informal settlements | Settlements | Population density | Informal settlements</x:v>
      </x:c>
      <x:c r="Q162" s="159" t="str">
        <x:v>Conservative eligibility screen: the action's stated mechanism has a plausible direct pathway to Settlements, Rural population, Settlements, Informal settlements, Settlements, Population density, Informal settlements. Evidence determines whether the effect is demonstrated and in which direction.</x:v>
      </x:c>
      <x:c r="R162" s="160" t="str">
        <x:v>Resettlement of communities from flood-prone areas and rural–urban migration as a strategy to mitigate vulnerabilities caused by climate change. This includes addressing urbanization challenges, such as unplanned development, water insecurity, and socioeconomic disparities, while providing equitable opportunities for migrants in urban centers. Measures include enhancing urban planning, water resource management, and social support systems for displaced populations.</x:v>
      </x:c>
    </x:row>
    <x:row r="163" ht="66" customHeight="1">
      <x:c r="A163" s="165" t="str">
        <x:v>ipcc_0104</x:v>
      </x:c>
      <x:c r="B163" s="159" t="str">
        <x:v>Plan and support permanent climate‑related migration</x:v>
      </x:c>
      <x:c r="C163" s="159" t="str">
        <x:v>Health</x:v>
      </x:c>
      <x:c r="D163" s="159" t="str">
        <x:v>Vulnerability</x:v>
      </x:c>
      <x:c r="E163" s="153" t="str"/>
      <x:c r="F163" s="153" t="str"/>
      <x:c r="G163" s="159" t="str">
        <x:v>Eligible</x:v>
      </x:c>
      <x:c r="H163" s="159" t="str">
        <x:v>Low</x:v>
      </x:c>
      <x:c r="I163" s="159" t="str">
        <x:v>Complete (2/2)</x:v>
      </x:c>
      <x:c r="J163" s="159" t="str">
        <x:v>Moderate</x:v>
      </x:c>
      <x:c r="K163" s="159" t="str">
        <x:v>No</x:v>
      </x:c>
      <x:c r="L163" s="159" t="str">
        <x:v>5-10 years</x:v>
      </x:c>
      <x:c r="M163" s="168" t="n">
        <x:v>1</x:v>
      </x:c>
      <x:c r="N163" s="168" t="n">
        <x:v>6</x:v>
      </x:c>
      <x:c r="O163" s="159" t="str"/>
      <x:c r="P163" s="159" t="str">
        <x:v>Recent immigration | Recent immigration</x:v>
      </x:c>
      <x:c r="Q163" s="159" t="str">
        <x:v>Conservative eligibility screen: the action's stated mechanism has a plausible direct pathway to Recent immigration, Recent immigration. Evidence determines whether the effect is demonstrated and in which direction.</x:v>
      </x:c>
      <x:c r="R163" s="160" t="str">
        <x:v>Resettlement of communities from flood-prone areas and rural–urban migration as a strategy to mitigate vulnerabilities caused by climate change. This includes addressing urbanization challenges, such as unplanned development, water insecurity, and socioeconomic disparities, while providing equitable opportunities for migrants in urban centers. Measures include enhancing urban planning, water resource management, and social support systems for displaced populations.</x:v>
      </x:c>
    </x:row>
    <x:row r="164" ht="66" customHeight="1">
      <x:c r="A164" s="165" t="str">
        <x:v>icare_0173</x:v>
      </x:c>
      <x:c r="B164" s="159" t="str">
        <x:v>Preventive maintenance of drainage systems</x:v>
      </x:c>
      <x:c r="C164" s="159" t="str">
        <x:v>Health</x:v>
      </x:c>
      <x:c r="D164" s="159" t="str">
        <x:v>Vulnerability</x:v>
      </x:c>
      <x:c r="E164" s="153" t="str"/>
      <x:c r="F164" s="153" t="str"/>
      <x:c r="G164" s="159" t="str">
        <x:v>Eligible</x:v>
      </x:c>
      <x:c r="H164" s="159" t="str">
        <x:v>Low</x:v>
      </x:c>
      <x:c r="I164" s="159" t="str">
        <x:v>Partial (4/5)</x:v>
      </x:c>
      <x:c r="J164" s="159" t="str">
        <x:v>Moderate</x:v>
      </x:c>
      <x:c r="K164" s="159" t="str">
        <x:v>No</x:v>
      </x:c>
      <x:c r="L164" s="159" t="str">
        <x:v>5-10 years</x:v>
      </x:c>
      <x:c r="M164" s="168" t="n">
        <x:v>1</x:v>
      </x:c>
      <x:c r="N164" s="168" t="n">
        <x:v>6</x:v>
      </x:c>
      <x:c r="O164" s="159" t="str"/>
      <x:c r="P164" s="159" t="str">
        <x:v>Households without access to garbage collection | Households without access to garbage collection | Households without access to garbage collection | Water supply | Incidence of arboviruses dengue, zika and chikungunya</x:v>
      </x:c>
      <x:c r="Q164" s="159" t="str">
        <x:v>Conservative eligibility screen: the action's stated mechanism has a plausible direct pathway to Households without access to garbage collection, Households without access to garbage collection, Households without access to garbage collection, Water supply, Incidence of arboviruses dengue, zika and chikungunya. Evidence determines whether the effect is demonstrated and in which direction.</x:v>
      </x:c>
      <x:c r="R164" s="160" t="str">
        <x:v>Regular upkeep and cleaning of urban drainage systems, including storm drains, sewers, and retention basins, to ensure efficient water flow and prevent blockages that can lead to flooding during heavy rainfall events.</x:v>
      </x:c>
    </x:row>
    <x:row r="165" ht="66" customHeight="1">
      <x:c r="A165" s="165" t="str">
        <x:v>c40_0053</x:v>
      </x:c>
      <x:c r="B165" s="159" t="str">
        <x:v>Promote water-saving technologies and practices</x:v>
      </x:c>
      <x:c r="C165" s="159" t="str">
        <x:v>Health</x:v>
      </x:c>
      <x:c r="D165" s="159" t="str">
        <x:v>Vulnerability</x:v>
      </x:c>
      <x:c r="E165" s="153" t="str"/>
      <x:c r="F165" s="153" t="str"/>
      <x:c r="G165" s="159" t="str">
        <x:v>Eligible</x:v>
      </x:c>
      <x:c r="H165" s="159" t="str">
        <x:v>Low</x:v>
      </x:c>
      <x:c r="I165" s="159" t="str">
        <x:v>Complete (2/2)</x:v>
      </x:c>
      <x:c r="J165" s="159" t="str">
        <x:v>Moderate</x:v>
      </x:c>
      <x:c r="K165" s="159" t="str">
        <x:v>No</x:v>
      </x:c>
      <x:c r="L165" s="159" t="str">
        <x:v>5-10 years</x:v>
      </x:c>
      <x:c r="M165" s="168" t="n">
        <x:v>1</x:v>
      </x:c>
      <x:c r="N165" s="168" t="n">
        <x:v>6</x:v>
      </x:c>
      <x:c r="O165" s="159" t="str"/>
      <x:c r="P165" s="159" t="str">
        <x:v>Water supply | Presence of cistern</x:v>
      </x:c>
      <x:c r="Q165" s="159" t="str">
        <x:v>Conservative eligibility screen: the action's stated mechanism has a plausible direct pathway to Water supply, Presence of cistern. Evidence determines whether the effect is demonstrated and in which direction.</x:v>
      </x:c>
      <x:c r="R165" s="160" t="str">
        <x:v>Encourages the adoption of water-saving technologies and practices to conserve water resources and strengthen resilience to climate change. This includes measures such as rainwater harvesting, low-flow appliances, leak detection systems, and municipal incentive programs that support households and businesses in reducing consumption. These actions enhance sustainable water use and complement broader eco-engineering and adaptation efforts.</x:v>
      </x:c>
    </x:row>
    <x:row r="166" ht="66" customHeight="1">
      <x:c r="A166" s="165" t="str">
        <x:v>icare_0178</x:v>
      </x:c>
      <x:c r="B166" s="159" t="str">
        <x:v>Redirect urban development through climate‑risk spatial planning</x:v>
      </x:c>
      <x:c r="C166" s="159" t="str">
        <x:v>Health</x:v>
      </x:c>
      <x:c r="D166" s="159" t="str">
        <x:v>Exposure</x:v>
      </x:c>
      <x:c r="E166" s="153" t="str"/>
      <x:c r="F166" s="153" t="str"/>
      <x:c r="G166" s="159" t="str">
        <x:v>Eligible</x:v>
      </x:c>
      <x:c r="H166" s="159" t="str">
        <x:v>Medium</x:v>
      </x:c>
      <x:c r="I166" s="159" t="str">
        <x:v>Complete (7/7)</x:v>
      </x:c>
      <x:c r="J166" s="159" t="str">
        <x:v>Moderate</x:v>
      </x:c>
      <x:c r="K166" s="159" t="str">
        <x:v>No</x:v>
      </x:c>
      <x:c r="L166" s="159" t="str">
        <x:v>&lt;5 years</x:v>
      </x:c>
      <x:c r="M166" s="168" t="n">
        <x:v>1</x:v>
      </x:c>
      <x:c r="N166" s="168" t="n">
        <x:v>6</x:v>
      </x:c>
      <x:c r="O166" s="159" t="str"/>
      <x:c r="P166" s="159" t="str">
        <x:v>Settlements | Rural population | Settlements | Informal settlements | Settlements | Population density | Informal settlements</x:v>
      </x:c>
      <x:c r="Q166" s="159" t="str">
        <x:v>Conservative eligibility screen: the action's stated mechanism has a plausible direct pathway to Settlements, Rural population, Settlements, Informal settlements, Settlements, Population density, Informal settlements. Evidence determines whether the effect is demonstrated and in which direction.</x:v>
      </x:c>
      <x:c r="R166" s="160" t="str">
        <x:v>Mapping of critical flood-prone areas with the aim of revising and harmonizing legislation related to land use, given the intensification of the impacts of extreme weather events.</x:v>
      </x:c>
    </x:row>
    <x:row r="167" ht="66" customHeight="1">
      <x:c r="A167" s="165" t="str">
        <x:v>ipcc_0085</x:v>
      </x:c>
      <x:c r="B167" s="159" t="str">
        <x:v>Reduce pressures on ecosystems to build resilience</x:v>
      </x:c>
      <x:c r="C167" s="159" t="str">
        <x:v>Health</x:v>
      </x:c>
      <x:c r="D167" s="159" t="str">
        <x:v>Exposure</x:v>
      </x:c>
      <x:c r="E167" s="153" t="str"/>
      <x:c r="F167" s="153" t="str"/>
      <x:c r="G167" s="159" t="str">
        <x:v>Eligible</x:v>
      </x:c>
      <x:c r="H167" s="159" t="str">
        <x:v>Low</x:v>
      </x:c>
      <x:c r="I167" s="159" t="str">
        <x:v>Partial (4/6)</x:v>
      </x:c>
      <x:c r="J167" s="159" t="str">
        <x:v>Moderate</x:v>
      </x:c>
      <x:c r="K167" s="159" t="str">
        <x:v>No</x:v>
      </x:c>
      <x:c r="L167" s="159" t="str">
        <x:v>5-10 years</x:v>
      </x:c>
      <x:c r="M167" s="168" t="n">
        <x:v>1</x:v>
      </x:c>
      <x:c r="N167" s="168" t="n">
        <x:v>6</x:v>
      </x:c>
      <x:c r="O167" s="159" t="str"/>
      <x:c r="P167" s="159" t="str">
        <x:v>Deforestation | Bodies of water | Natural coverage | Natural coverage | Deforestation | Bodies of water</x:v>
      </x:c>
      <x:c r="Q167" s="159" t="str">
        <x:v>Conservative eligibility screen: the action's stated mechanism has a plausible direct pathway to Deforestation, Bodies of water, Natural coverage, Natural coverage, Deforestation, Bodies of water. Evidence determines whether the effect is demonstrated and in which direction.</x:v>
      </x:c>
      <x:c r="R167" s="160" t="str">
        <x:v>Reduce pollution, eutrophication, and anthropogenic pressures on natural systems, including marine and terrestrial ecosystems. Efforts include managing runoff, protecting sensitive habitats like the Great Barrier Reef, addressing non-climate drivers, promoting sustainable fisheries harvest, and increasing connectivity between natural areas to enhance ecosystem resilience.</x:v>
      </x:c>
    </x:row>
    <x:row r="168" ht="66" customHeight="1">
      <x:c r="A168" s="165" t="str">
        <x:v>icare_0181</x:v>
      </x:c>
      <x:c r="B168" s="159" t="str">
        <x:v>Restore in Vulnerable Areas</x:v>
      </x:c>
      <x:c r="C168" s="159" t="str">
        <x:v>Health</x:v>
      </x:c>
      <x:c r="D168" s="159" t="str">
        <x:v>Exposure</x:v>
      </x:c>
      <x:c r="E168" s="153" t="str"/>
      <x:c r="F168" s="153" t="str"/>
      <x:c r="G168" s="159" t="str">
        <x:v>Eligible</x:v>
      </x:c>
      <x:c r="H168" s="159" t="str">
        <x:v>Medium</x:v>
      </x:c>
      <x:c r="I168" s="159" t="str">
        <x:v>Complete (7/7)</x:v>
      </x:c>
      <x:c r="J168" s="159" t="str">
        <x:v>Moderate</x:v>
      </x:c>
      <x:c r="K168" s="159" t="str">
        <x:v>No</x:v>
      </x:c>
      <x:c r="L168" s="159" t="str">
        <x:v>5-10 years</x:v>
      </x:c>
      <x:c r="M168" s="168" t="n">
        <x:v>1</x:v>
      </x:c>
      <x:c r="N168" s="168" t="n">
        <x:v>6</x:v>
      </x:c>
      <x:c r="O168" s="159" t="str"/>
      <x:c r="P168" s="159" t="str">
        <x:v>Settlements | Rural population | Settlements | Informal settlements | Settlements | Population density | Informal settlements</x:v>
      </x:c>
      <x:c r="Q168" s="159" t="str">
        <x:v>Conservative eligibility screen: the action's stated mechanism has a plausible direct pathway to Settlements, Rural population, Settlements, Informal settlements, Settlements, Population density, Informal settlements. Evidence determines whether the effect is demonstrated and in which direction.</x:v>
      </x:c>
      <x:c r="R168" s="160" t="str">
        <x:v>A comprehensive project addressing the socio-environmental vulnerability of an informal settlement. It includes relocating residents from flood-prone areas, restoring the environment, and providing infrastructure and social services.</x:v>
      </x:c>
    </x:row>
    <x:row r="169" ht="66" customHeight="1">
      <x:c r="A169" s="165" t="str">
        <x:v>icare_0181</x:v>
      </x:c>
      <x:c r="B169" s="159" t="str">
        <x:v>Restore in Vulnerable Areas</x:v>
      </x:c>
      <x:c r="C169" s="159" t="str">
        <x:v>Health</x:v>
      </x:c>
      <x:c r="D169" s="159" t="str">
        <x:v>Vulnerability</x:v>
      </x:c>
      <x:c r="E169" s="153" t="str"/>
      <x:c r="F169" s="153" t="str"/>
      <x:c r="G169" s="159" t="str">
        <x:v>Eligible</x:v>
      </x:c>
      <x:c r="H169" s="159" t="str">
        <x:v>Low</x:v>
      </x:c>
      <x:c r="I169" s="159" t="str">
        <x:v>Complete (5/5)</x:v>
      </x:c>
      <x:c r="J169" s="159" t="str">
        <x:v>Moderate</x:v>
      </x:c>
      <x:c r="K169" s="159" t="str">
        <x:v>No</x:v>
      </x:c>
      <x:c r="L169" s="159" t="str">
        <x:v>5-10 years</x:v>
      </x:c>
      <x:c r="M169" s="168" t="n">
        <x:v>1</x:v>
      </x:c>
      <x:c r="N169" s="168" t="n">
        <x:v>6</x:v>
      </x:c>
      <x:c r="O169" s="159" t="str"/>
      <x:c r="P169" s="159" t="str">
        <x:v>No access to adequate sanitation | Households without access to garbage collection | Households without access to garbage collection | Households without access to garbage collection | Water supply</x:v>
      </x:c>
      <x:c r="Q169" s="159" t="str">
        <x:v>Conservative eligibility screen: the action's stated mechanism has a plausible direct pathway to No access to adequate sanitation, Households without access to garbage collection, Households without access to garbage collection, Households without access to garbage collection, Water supply. Evidence determines whether the effect is demonstrated and in which direction.</x:v>
      </x:c>
      <x:c r="R169" s="160" t="str">
        <x:v>A comprehensive project addressing the socio-environmental vulnerability of an informal settlement. It includes relocating residents from flood-prone areas, restoring the environment, and providing infrastructure and social services.</x:v>
      </x:c>
    </x:row>
    <x:row r="170" ht="66" customHeight="1">
      <x:c r="A170" s="165" t="str">
        <x:v>ipcc_0084</x:v>
      </x:c>
      <x:c r="B170" s="159" t="str">
        <x:v>Restore/create natural areas</x:v>
      </x:c>
      <x:c r="C170" s="159" t="str">
        <x:v>Health</x:v>
      </x:c>
      <x:c r="D170" s="159" t="str">
        <x:v>Exposure</x:v>
      </x:c>
      <x:c r="E170" s="153" t="str"/>
      <x:c r="F170" s="153" t="str"/>
      <x:c r="G170" s="159" t="str">
        <x:v>Eligible</x:v>
      </x:c>
      <x:c r="H170" s="159" t="str">
        <x:v>Low</x:v>
      </x:c>
      <x:c r="I170" s="159" t="str">
        <x:v>Partial (4/6)</x:v>
      </x:c>
      <x:c r="J170" s="159" t="str">
        <x:v>Moderate</x:v>
      </x:c>
      <x:c r="K170" s="159" t="str">
        <x:v>No</x:v>
      </x:c>
      <x:c r="L170" s="159" t="str">
        <x:v>5-10 years</x:v>
      </x:c>
      <x:c r="M170" s="168" t="n">
        <x:v>1</x:v>
      </x:c>
      <x:c r="N170" s="168" t="n">
        <x:v>6</x:v>
      </x:c>
      <x:c r="O170" s="159" t="str"/>
      <x:c r="P170" s="159" t="str">
        <x:v>Deforestation | Bodies of water | Natural coverage | Natural coverage | Deforestation | Bodies of water</x:v>
      </x:c>
      <x:c r="Q170" s="159" t="str">
        <x:v>Conservative eligibility screen: the action's stated mechanism has a plausible direct pathway to Deforestation, Bodies of water, Natural coverage, Natural coverage, Deforestation, Bodies of water. Evidence determines whether the effect is demonstrated and in which direction.</x:v>
      </x:c>
      <x:c r="R170" s="160" t="str">
        <x:v>Restoration and conservation of marine and coastal habitats, such as mangroves, vegetated dunes, seagrasses, coral reefs, and kelp forests, to protect coastal communities, support biodiversity, sequester carbon, and mitigate climate change. Efforts include creating marine protected areas, active restoration of coral reefs, ridge-to-reef management, restoring dunes, planting salinity-tolerant trees, increasing forest cover, detect and manage forest pests.</x:v>
      </x:c>
    </x:row>
    <x:row r="171" ht="66" customHeight="1">
      <x:c r="A171" s="165" t="str">
        <x:v>ipcc_0089</x:v>
      </x:c>
      <x:c r="B171" s="159" t="str">
        <x:v>Spatially redirect development</x:v>
      </x:c>
      <x:c r="C171" s="159" t="str">
        <x:v>Health</x:v>
      </x:c>
      <x:c r="D171" s="159" t="str">
        <x:v>Exposure</x:v>
      </x:c>
      <x:c r="E171" s="153" t="str"/>
      <x:c r="F171" s="153" t="str"/>
      <x:c r="G171" s="159" t="str">
        <x:v>Eligible</x:v>
      </x:c>
      <x:c r="H171" s="159" t="str">
        <x:v>Medium</x:v>
      </x:c>
      <x:c r="I171" s="159" t="str">
        <x:v>Complete (10/10)</x:v>
      </x:c>
      <x:c r="J171" s="159" t="str">
        <x:v>Moderate</x:v>
      </x:c>
      <x:c r="K171" s="159" t="str">
        <x:v>No</x:v>
      </x:c>
      <x:c r="L171" s="159" t="str">
        <x:v>5-10 years</x:v>
      </x:c>
      <x:c r="M171" s="168" t="n">
        <x:v>1</x:v>
      </x:c>
      <x:c r="N171" s="168" t="n">
        <x:v>6</x:v>
      </x:c>
      <x:c r="O171" s="159" t="str"/>
      <x:c r="P171" s="159" t="str">
        <x:v>Settlements | Deforestation | Settlements | Informal settlements | Natural coverage | Settlements | Natural coverage | Population density | Informal settlements | Deforestation</x:v>
      </x:c>
      <x:c r="Q171" s="159" t="str">
        <x:v>Conservative eligibility screen: the action's stated mechanism has a plausible direct pathway to Settlements, Deforestation, Settlements, Informal settlements, Natural coverage, Settlements, Natural coverage, Population density, Informal settlements, Deforestation. Evidence determines whether the effect is demonstrated and in which direction.</x:v>
      </x:c>
      <x:c r="R171" s="160" t="str">
        <x:v>Use zoning and land-use planning to regulate coastal development by implementing spatial development strategies that consider environmental vulnerabilities, protect ecosystems, and mitigate risks from flooding, heatwaves, and sea-level rise. This includes ensuring that development is directed away from high-risk areas, integrating climate adaptation considerations into urban planning, and promoting sustainable practices to close adaptation gaps while addressing urban inequality.</x:v>
      </x:c>
    </x:row>
    <x:row r="172" ht="66" customHeight="1">
      <x:c r="A172" s="165" t="str">
        <x:v>ipcc_0096</x:v>
      </x:c>
      <x:c r="B172" s="159" t="str">
        <x:v>Strengthen climate resilience in farming and fisheries</x:v>
      </x:c>
      <x:c r="C172" s="159" t="str">
        <x:v>Health</x:v>
      </x:c>
      <x:c r="D172" s="159" t="str">
        <x:v>Exposure</x:v>
      </x:c>
      <x:c r="E172" s="153" t="str"/>
      <x:c r="F172" s="153" t="str"/>
      <x:c r="G172" s="159" t="str">
        <x:v>Eligible</x:v>
      </x:c>
      <x:c r="H172" s="159" t="str">
        <x:v>None demonstrated</x:v>
      </x:c>
      <x:c r="I172" s="159" t="str">
        <x:v>None (0/1)</x:v>
      </x:c>
      <x:c r="J172" s="159" t="str">
        <x:v>None</x:v>
      </x:c>
      <x:c r="K172" s="159" t="str">
        <x:v>No</x:v>
      </x:c>
      <x:c r="L172" s="159" t="str">
        <x:v>5-10 years</x:v>
      </x:c>
      <x:c r="M172" s="168" t="n">
        <x:v>0</x:v>
      </x:c>
      <x:c r="N172" s="168" t="n">
        <x:v>6</x:v>
      </x:c>
      <x:c r="O172" s="159" t="str"/>
      <x:c r="P172" s="159" t="str">
        <x:v>Agricultural coverage</x:v>
      </x:c>
      <x:c r="Q172" s="159" t="str">
        <x:v>Conservative eligibility screen: the action's stated mechanism has a plausible direct pathway to Agricultural coverage. Evidence determines whether the effect is demonstrated and in which direction.</x:v>
      </x:c>
      <x:c r="R172" s="160" t="str">
        <x:v>Support the adoption of climate-smart agricultural and aquaculture practices by creating enabling conditions for farmers and fishers. Municipal governments can promote improved breeds, feed, and fertilizers, enhance irrigation efficiency, and foster aquaculture resilience through extension services, research partnerships, and targeted procurement. By offering incentives, technical assistance, and facilitating access to innovation and finance, cities can help producers adopt agroecological systems, diversify crops, and strengthen sustainable practices that build resilience to climate impacts.</x:v>
      </x:c>
    </x:row>
    <x:row r="173" ht="66" customHeight="1">
      <x:c r="A173" s="165" t="str">
        <x:v>ipcc_0094</x:v>
      </x:c>
      <x:c r="B173" s="159" t="str">
        <x:v>Strengthen climate‑resilient health services</x:v>
      </x:c>
      <x:c r="C173" s="159" t="str">
        <x:v>Health</x:v>
      </x:c>
      <x:c r="D173" s="159" t="str">
        <x:v>Vulnerability</x:v>
      </x:c>
      <x:c r="E173" s="153" t="str"/>
      <x:c r="F173" s="153" t="str"/>
      <x:c r="G173" s="159" t="str">
        <x:v>Eligible</x:v>
      </x:c>
      <x:c r="H173" s="159" t="str">
        <x:v>High</x:v>
      </x:c>
      <x:c r="I173" s="159" t="str">
        <x:v>Complete (5/5)</x:v>
      </x:c>
      <x:c r="J173" s="159" t="str">
        <x:v>Broad</x:v>
      </x:c>
      <x:c r="K173" s="159" t="str">
        <x:v>No</x:v>
      </x:c>
      <x:c r="L173" s="159" t="str">
        <x:v>5-10 years</x:v>
      </x:c>
      <x:c r="M173" s="168" t="n">
        <x:v>2</x:v>
      </x:c>
      <x:c r="N173" s="168" t="n">
        <x:v>6</x:v>
      </x:c>
      <x:c r="O173" s="159" t="str"/>
      <x:c r="P173" s="159" t="str">
        <x:v>Basic care coverage | Access to diagnosis and treatment | Basic care coverage | Basic care coverage | Basic care coverage</x:v>
      </x:c>
      <x:c r="Q173" s="159" t="str">
        <x:v>Conservative eligibility screen: the action's stated mechanism has a plausible direct pathway to Basic care coverage, Access to diagnosis and treatment, Basic care coverage, Basic care coverage, Basic care coverage. Evidence determines whether the effect is demonstrated and in which direction.</x:v>
      </x:c>
      <x:c r="R173" s="160" t="str">
        <x:v>Enhancing access to health care services, including health and nutrition services, clean water, sanitation, and culturally appropriate mental health resources. Expanding telemedicine capabilities enables efficient health service delivery, particularly for remote and underserved populations. Strengthening basic public health systems and disaster preparedness can rapidly reduce vulnerability to climate-related health risks.</x:v>
      </x:c>
    </x:row>
    <x:row r="174" ht="66" customHeight="1">
      <x:c r="A174" s="165" t="str">
        <x:v>icare_0162</x:v>
      </x:c>
      <x:c r="B174" s="159" t="str">
        <x:v>Strengthen programs for control and conservation of protected areas</x:v>
      </x:c>
      <x:c r="C174" s="159" t="str">
        <x:v>Health</x:v>
      </x:c>
      <x:c r="D174" s="159" t="str">
        <x:v>Exposure</x:v>
      </x:c>
      <x:c r="E174" s="153" t="str"/>
      <x:c r="F174" s="153" t="str"/>
      <x:c r="G174" s="159" t="str">
        <x:v>Eligible</x:v>
      </x:c>
      <x:c r="H174" s="159" t="str">
        <x:v>None demonstrated</x:v>
      </x:c>
      <x:c r="I174" s="159" t="str">
        <x:v>None (0/4)</x:v>
      </x:c>
      <x:c r="J174" s="159" t="str">
        <x:v>None</x:v>
      </x:c>
      <x:c r="K174" s="159" t="str">
        <x:v>No</x:v>
      </x:c>
      <x:c r="L174" s="159" t="str">
        <x:v>5-10 years</x:v>
      </x:c>
      <x:c r="M174" s="168" t="n">
        <x:v>0</x:v>
      </x:c>
      <x:c r="N174" s="168" t="n">
        <x:v>6</x:v>
      </x:c>
      <x:c r="O174" s="159" t="str"/>
      <x:c r="P174" s="159" t="str">
        <x:v>Deforestation | Natural coverage | Natural coverage | Deforestation</x:v>
      </x:c>
      <x:c r="Q174" s="159" t="str">
        <x:v>Conservative eligibility screen: the action's stated mechanism has a plausible direct pathway to Deforestation, Natural coverage, Natural coverage, Deforestation. Evidence determines whether the effect is demonstrated and in which direction.</x:v>
      </x:c>
      <x:c r="R174" s="160" t="str">
        <x:v>This action focuses on implementing a series of integrated strategies to enhance environmental conservation and maximize its benefits, such as expanding protected areas, developing management plans for conservation units, and training ecotourism guides to strengthen sustainable tourism.</x:v>
      </x:c>
    </x:row>
    <x:row r="175" ht="66" customHeight="1">
      <x:c r="A175" s="165" t="str">
        <x:v>icare_0145</x:v>
      </x:c>
      <x:c r="B175" s="159" t="str">
        <x:v>Strengthen the healthcare system to respond effectively to extreme events</x:v>
      </x:c>
      <x:c r="C175" s="159" t="str">
        <x:v>Health</x:v>
      </x:c>
      <x:c r="D175" s="159" t="str">
        <x:v>Vulnerability</x:v>
      </x:c>
      <x:c r="E175" s="153" t="str"/>
      <x:c r="F175" s="153" t="str"/>
      <x:c r="G175" s="159" t="str">
        <x:v>Eligible</x:v>
      </x:c>
      <x:c r="H175" s="159" t="str">
        <x:v>High</x:v>
      </x:c>
      <x:c r="I175" s="159" t="str">
        <x:v>Complete (5/5)</x:v>
      </x:c>
      <x:c r="J175" s="159" t="str">
        <x:v>Broad</x:v>
      </x:c>
      <x:c r="K175" s="159" t="str">
        <x:v>No</x:v>
      </x:c>
      <x:c r="L175" s="159" t="str">
        <x:v>&gt;10 years</x:v>
      </x:c>
      <x:c r="M175" s="168" t="n">
        <x:v>2</x:v>
      </x:c>
      <x:c r="N175" s="168" t="n">
        <x:v>6</x:v>
      </x:c>
      <x:c r="O175" s="159" t="str"/>
      <x:c r="P175" s="159" t="str">
        <x:v>Basic care coverage | Access to diagnosis and treatment | Basic care coverage | Basic care coverage | Basic care coverage</x:v>
      </x:c>
      <x:c r="Q175" s="159" t="str">
        <x:v>Conservative eligibility screen: the action's stated mechanism has a plausible direct pathway to Basic care coverage, Access to diagnosis and treatment, Basic care coverage, Basic care coverage, Basic care coverage. Evidence determines whether the effect is demonstrated and in which direction.</x:v>
      </x:c>
      <x:c r="R175" s="160" t="str">
        <x:v>Improve the infrastructure of healthcare units to assist people who require medical care due to impacts associated with climate risks (climate victims), such as those affected by heat waves or floods, especially in more vulnerable areas. Develop action plans to prepare the healthcare network for extreme climate-related situations.</x:v>
      </x:c>
    </x:row>
    <x:row r="176" ht="66" customHeight="1">
      <x:c r="A176" s="165" t="str">
        <x:v>c40_0048</x:v>
      </x:c>
      <x:c r="B176" s="159" t="str">
        <x:v>Upgrade urban drainage systems</x:v>
      </x:c>
      <x:c r="C176" s="159" t="str">
        <x:v>Health</x:v>
      </x:c>
      <x:c r="D176" s="159" t="str">
        <x:v>Vulnerability</x:v>
      </x:c>
      <x:c r="E176" s="153" t="str"/>
      <x:c r="F176" s="153" t="str"/>
      <x:c r="G176" s="159" t="str">
        <x:v>Eligible</x:v>
      </x:c>
      <x:c r="H176" s="159" t="str">
        <x:v>Low</x:v>
      </x:c>
      <x:c r="I176" s="159" t="str">
        <x:v>Partial (2/3)</x:v>
      </x:c>
      <x:c r="J176" s="159" t="str">
        <x:v>Moderate</x:v>
      </x:c>
      <x:c r="K176" s="159" t="str">
        <x:v>No</x:v>
      </x:c>
      <x:c r="L176" s="159" t="str">
        <x:v>5-10 years</x:v>
      </x:c>
      <x:c r="M176" s="168" t="n">
        <x:v>1</x:v>
      </x:c>
      <x:c r="N176" s="168" t="n">
        <x:v>6</x:v>
      </x:c>
      <x:c r="O176" s="159" t="str"/>
      <x:c r="P176" s="159" t="str">
        <x:v>No access to adequate sanitation | Water supply | Incidence of arboviruses dengue, zika and chikungunya</x:v>
      </x:c>
      <x:c r="Q176" s="159" t="str">
        <x:v>Conservative eligibility screen: the action's stated mechanism has a plausible direct pathway to No access to adequate sanitation, Water supply, Incidence of arboviruses dengue, zika and chikungunya. Evidence determines whether the effect is demonstrated and in which direction.</x:v>
      </x:c>
      <x:c r="R176" s="160" t="str">
        <x:v>"Upgrade urban drainage systems" involves eco-engineering solutions to enhance drainage systems, through capacity upgrade and network expansion. This adaptation measure aims to improve urban resilience by minimizing the impact of extreme weather events such as flooding.</x:v>
      </x:c>
    </x:row>
    <x:row r="177" ht="66" customHeight="1">
      <x:c r="A177" s="165" t="str">
        <x:v>icare_0170</x:v>
      </x:c>
      <x:c r="B177" s="159" t="str">
        <x:v>Build safe housing and implement urban rehabilitation projects for populations living in high-risk areas</x:v>
      </x:c>
      <x:c r="C177" s="159" t="str">
        <x:v>Water resources</x:v>
      </x:c>
      <x:c r="D177" s="159" t="str">
        <x:v>Exposure</x:v>
      </x:c>
      <x:c r="E177" s="153" t="str"/>
      <x:c r="F177" s="153" t="str"/>
      <x:c r="G177" s="159" t="str">
        <x:v>Eligible</x:v>
      </x:c>
      <x:c r="H177" s="159" t="str">
        <x:v>Medium</x:v>
      </x:c>
      <x:c r="I177" s="159" t="str">
        <x:v>Complete (3/3)</x:v>
      </x:c>
      <x:c r="J177" s="159" t="str">
        <x:v>Moderate</x:v>
      </x:c>
      <x:c r="K177" s="159" t="str">
        <x:v>No</x:v>
      </x:c>
      <x:c r="L177" s="159" t="str">
        <x:v>&gt;10 years</x:v>
      </x:c>
      <x:c r="M177" s="168" t="n">
        <x:v>1</x:v>
      </x:c>
      <x:c r="N177" s="168" t="n">
        <x:v>8</x:v>
      </x:c>
      <x:c r="O177" s="159" t="str"/>
      <x:c r="P177" s="159" t="str">
        <x:v>Population density | Urban users exposed | Exposed rural users</x:v>
      </x:c>
      <x:c r="Q177" s="159" t="str">
        <x:v>Conservative eligibility screen: the action's stated mechanism has a plausible direct pathway to Population density, Urban users exposed, Exposed rural users. Evidence determines whether the effect is demonstrated and in which direction.</x:v>
      </x:c>
      <x:c r="R177" s="160" t="str">
        <x:v>The priority of this action is to build safe housing and implement urban rehabilitation projects for the population living in areas prone to landslides and flooding, as the housing deficit is one of the main factors related to these threats. This will be implemented through the construction of new housing units in safe locations for family resettlement, and infrastructure upgrades like slope stabilization and improved drainage systems within vulnerable communities.</x:v>
      </x:c>
    </x:row>
    <x:row r="178" ht="66" customHeight="1">
      <x:c r="A178" s="165" t="str">
        <x:v>icare_0170</x:v>
      </x:c>
      <x:c r="B178" s="159" t="str">
        <x:v>Build safe housing and implement urban rehabilitation projects for populations living in high-risk areas</x:v>
      </x:c>
      <x:c r="C178" s="159" t="str">
        <x:v>Water resources</x:v>
      </x:c>
      <x:c r="D178" s="159" t="str">
        <x:v>Vulnerability</x:v>
      </x:c>
      <x:c r="E178" s="153" t="str"/>
      <x:c r="F178" s="153" t="str"/>
      <x:c r="G178" s="159" t="str">
        <x:v>Eligible</x:v>
      </x:c>
      <x:c r="H178" s="159" t="str">
        <x:v>Low</x:v>
      </x:c>
      <x:c r="I178" s="159" t="str">
        <x:v>Complete (3/3)</x:v>
      </x:c>
      <x:c r="J178" s="159" t="str">
        <x:v>Moderate</x:v>
      </x:c>
      <x:c r="K178" s="159" t="str">
        <x:v>No</x:v>
      </x:c>
      <x:c r="L178" s="159" t="str">
        <x:v>&gt;10 years</x:v>
      </x:c>
      <x:c r="M178" s="168" t="n">
        <x:v>1</x:v>
      </x:c>
      <x:c r="N178" s="168" t="n">
        <x:v>8</x:v>
      </x:c>
      <x:c r="O178" s="159" t="str"/>
      <x:c r="P178" s="159" t="str">
        <x:v>Diseases due to inadequate sanitation | Water quality | Municipal basic sanitation plan</x:v>
      </x:c>
      <x:c r="Q178" s="159" t="str">
        <x:v>Conservative eligibility screen: the action's stated mechanism has a plausible direct pathway to Diseases due to inadequate sanitation, Water quality, Municipal basic sanitation plan. Evidence determines whether the effect is demonstrated and in which direction.</x:v>
      </x:c>
      <x:c r="R178" s="160" t="str">
        <x:v>The priority of this action is to build safe housing and implement urban rehabilitation projects for the population living in areas prone to landslides and flooding, as the housing deficit is one of the main factors related to these threats. This will be implemented through the construction of new housing units in safe locations for family resettlement, and infrastructure upgrades like slope stabilization and improved drainage systems within vulnerable communities.</x:v>
      </x:c>
    </x:row>
    <x:row r="179" ht="66" customHeight="1">
      <x:c r="A179" s="165" t="str">
        <x:v>icare_0154</x:v>
      </x:c>
      <x:c r="B179" s="159" t="str">
        <x:v>Clean and unclog drainage channels and install eco-barriers</x:v>
      </x:c>
      <x:c r="C179" s="159" t="str">
        <x:v>Water resources</x:v>
      </x:c>
      <x:c r="D179" s="159" t="str">
        <x:v>Vulnerability</x:v>
      </x:c>
      <x:c r="E179" s="153" t="str"/>
      <x:c r="F179" s="153" t="str"/>
      <x:c r="G179" s="159" t="str">
        <x:v>Eligible</x:v>
      </x:c>
      <x:c r="H179" s="159" t="str">
        <x:v>None demonstrated</x:v>
      </x:c>
      <x:c r="I179" s="159" t="str">
        <x:v>None (0/2)</x:v>
      </x:c>
      <x:c r="J179" s="159" t="str">
        <x:v>None</x:v>
      </x:c>
      <x:c r="K179" s="159" t="str">
        <x:v>No</x:v>
      </x:c>
      <x:c r="L179" s="159" t="str">
        <x:v>&lt;5 years</x:v>
      </x:c>
      <x:c r="M179" s="168" t="n">
        <x:v>0</x:v>
      </x:c>
      <x:c r="N179" s="168" t="n">
        <x:v>8</x:v>
      </x:c>
      <x:c r="O179" s="159" t="str"/>
      <x:c r="P179" s="159" t="str">
        <x:v>Diseases due to inadequate sanitation | Water quality</x:v>
      </x:c>
      <x:c r="Q179" s="159" t="str">
        <x:v>Conservative eligibility screen: the action's stated mechanism has a plausible direct pathway to Diseases due to inadequate sanitation, Water quality. Evidence determines whether the effect is demonstrated and in which direction.</x:v>
      </x:c>
      <x:c r="R179" s="160" t="str">
        <x:v>Cleaning and unclogging channels in the city to reduce the risk of flooding caused by extreme rainfall events. Installation of eco-barriers to assist in cleaning efforts and raise awareness about solid waste.</x:v>
      </x:c>
    </x:row>
    <x:row r="180" ht="66" customHeight="1">
      <x:c r="A180" s="165" t="str">
        <x:v>icare_0188</x:v>
      </x:c>
      <x:c r="B180" s="159" t="str">
        <x:v>Create an Environmental Health Surveillance Program related to Populations Exposed to Air Pollution, Noise Pollution, Water Pollution, and Soil Pollution.</x:v>
      </x:c>
      <x:c r="C180" s="159" t="str">
        <x:v>Water resources</x:v>
      </x:c>
      <x:c r="D180" s="159" t="str">
        <x:v>Vulnerability</x:v>
      </x:c>
      <x:c r="E180" s="153" t="str"/>
      <x:c r="F180" s="153" t="str"/>
      <x:c r="G180" s="159" t="str">
        <x:v>Eligible</x:v>
      </x:c>
      <x:c r="H180" s="159" t="str">
        <x:v>None demonstrated</x:v>
      </x:c>
      <x:c r="I180" s="159" t="str">
        <x:v>None (0/2)</x:v>
      </x:c>
      <x:c r="J180" s="159" t="str">
        <x:v>None</x:v>
      </x:c>
      <x:c r="K180" s="159" t="str">
        <x:v>No</x:v>
      </x:c>
      <x:c r="L180" s="159" t="str">
        <x:v>5-10 years</x:v>
      </x:c>
      <x:c r="M180" s="168" t="n">
        <x:v>0</x:v>
      </x:c>
      <x:c r="N180" s="168" t="n">
        <x:v>8</x:v>
      </x:c>
      <x:c r="O180" s="159" t="str"/>
      <x:c r="P180" s="159" t="str">
        <x:v>Diseases due to inadequate sanitation | Water quality</x:v>
      </x:c>
      <x:c r="Q180" s="159" t="str">
        <x:v>Conservative eligibility screen: the action's stated mechanism has a plausible direct pathway to Diseases due to inadequate sanitation, Water quality. Evidence determines whether the effect is demonstrated and in which direction.</x:v>
      </x:c>
      <x:c r="R180" s="160" t="str">
        <x:v>Develop actions aimed at promoting the health of the population exposed to environmental factors related to atmospheric, noise, and sanitation pollutants. Identify and evaluate the acute and chronic risks and effects of exposure to fixed and mobile sources of air, noise, water, and soil pollution, and act in the surveillance of diseases derived from these pollutants through physical units and work groups, especially among the most vulnerable people.</x:v>
      </x:c>
    </x:row>
    <x:row r="181" ht="66" customHeight="1">
      <x:c r="A181" s="165" t="str">
        <x:v>icare_0176</x:v>
      </x:c>
      <x:c r="B181" s="159" t="str">
        <x:v>Develop a Climate Action Plan</x:v>
      </x:c>
      <x:c r="C181" s="159" t="str">
        <x:v>Water resources</x:v>
      </x:c>
      <x:c r="D181" s="159" t="str">
        <x:v>Vulnerability</x:v>
      </x:c>
      <x:c r="E181" s="153" t="str"/>
      <x:c r="F181" s="153" t="str"/>
      <x:c r="G181" s="159" t="str">
        <x:v>Eligible</x:v>
      </x:c>
      <x:c r="H181" s="159" t="str">
        <x:v>Low</x:v>
      </x:c>
      <x:c r="I181" s="159" t="str">
        <x:v>Complete (2/2)</x:v>
      </x:c>
      <x:c r="J181" s="159" t="str">
        <x:v>Moderate</x:v>
      </x:c>
      <x:c r="K181" s="159" t="str">
        <x:v>No</x:v>
      </x:c>
      <x:c r="L181" s="159" t="str">
        <x:v>&lt;5 years</x:v>
      </x:c>
      <x:c r="M181" s="168" t="n">
        <x:v>1</x:v>
      </x:c>
      <x:c r="N181" s="168" t="n">
        <x:v>8</x:v>
      </x:c>
      <x:c r="O181" s="159" t="str"/>
      <x:c r="P181" s="159" t="str">
        <x:v>Investments in adaptation policies | Resilient cities program</x:v>
      </x:c>
      <x:c r="Q181" s="159" t="str">
        <x:v>Conservative eligibility screen: the action's stated mechanism has a plausible direct pathway to Investments in adaptation policies, Resilient cities program. Evidence determines whether the effect is demonstrated and in which direction.</x:v>
      </x:c>
      <x:c r="R181" s="160" t="str">
        <x:v>A comprehensive plan outlining a city's strategies and actions to mitigate greenhouse gas emissions and adapt to the impacts of climate change which typically includes an assessment of the city's climate risks and vulnerabilities, setting emission reduction targets, and implementation of actions across various sectors such as energy, transportation, waste management, and urban planning.</x:v>
      </x:c>
    </x:row>
    <x:row r="182" ht="66" customHeight="1">
      <x:c r="A182" s="165" t="str">
        <x:v>icare_0182</x:v>
      </x:c>
      <x:c r="B182" s="159" t="str">
        <x:v>Develop an Urban Afforestation Plan</x:v>
      </x:c>
      <x:c r="C182" s="159" t="str">
        <x:v>Water resources</x:v>
      </x:c>
      <x:c r="D182" s="159" t="str">
        <x:v>Vulnerability</x:v>
      </x:c>
      <x:c r="E182" s="153" t="str"/>
      <x:c r="F182" s="153" t="str"/>
      <x:c r="G182" s="159" t="str">
        <x:v>Eligible</x:v>
      </x:c>
      <x:c r="H182" s="159" t="str">
        <x:v>High</x:v>
      </x:c>
      <x:c r="I182" s="159" t="str">
        <x:v>Complete (5/5)</x:v>
      </x:c>
      <x:c r="J182" s="159" t="str">
        <x:v>Broad</x:v>
      </x:c>
      <x:c r="K182" s="159" t="str">
        <x:v>No</x:v>
      </x:c>
      <x:c r="L182" s="159" t="str">
        <x:v>5-10 years</x:v>
      </x:c>
      <x:c r="M182" s="168" t="n">
        <x:v>3</x:v>
      </x:c>
      <x:c r="N182" s="168" t="n">
        <x:v>8</x:v>
      </x:c>
      <x:c r="O182" s="159" t="str"/>
      <x:c r="P182" s="159" t="str">
        <x:v>Water quality | Degraded and/or deforested areas | Areas with soils susceptible to erosion | Ecological flow for ecosystem uses | Nature reserve</x:v>
      </x:c>
      <x:c r="Q182" s="159" t="str">
        <x:v>Conservative eligibility screen: the action's stated mechanism has a plausible direct pathway to Water quality, Degraded and/or deforested areas, Areas with soils susceptible to erosion, Ecological flow for ecosystem uses, Nature reserve. Evidence determines whether the effect is demonstrated and in which direction.</x:v>
      </x:c>
      <x:c r="R182" s="160" t="str">
        <x:v>This action focuses on expanding green areas in the city through urban afforestation. This includes planting trees in sidewalks, squares, public buildings, and schools, as well as creating ecological parks to revitalize watercourses and/or restore forests.</x:v>
      </x:c>
    </x:row>
    <x:row r="183" ht="66" customHeight="1">
      <x:c r="A183" s="165" t="str">
        <x:v>icare_0172</x:v>
      </x:c>
      <x:c r="B183" s="159" t="str">
        <x:v>Develop and implement the Municipal Risk Reduction Plan (PMRR) and identify population groups vulnerable to climate risks.</x:v>
      </x:c>
      <x:c r="C183" s="159" t="str">
        <x:v>Water resources</x:v>
      </x:c>
      <x:c r="D183" s="159" t="str">
        <x:v>Vulnerability</x:v>
      </x:c>
      <x:c r="E183" s="153" t="str"/>
      <x:c r="F183" s="153" t="str"/>
      <x:c r="G183" s="159" t="str">
        <x:v>Eligible</x:v>
      </x:c>
      <x:c r="H183" s="159" t="str">
        <x:v>Medium</x:v>
      </x:c>
      <x:c r="I183" s="159" t="str">
        <x:v>Complete (3/3)</x:v>
      </x:c>
      <x:c r="J183" s="159" t="str">
        <x:v>Moderate</x:v>
      </x:c>
      <x:c r="K183" s="159" t="str">
        <x:v>No</x:v>
      </x:c>
      <x:c r="L183" s="159" t="str">
        <x:v>&lt;5 years</x:v>
      </x:c>
      <x:c r="M183" s="168" t="n">
        <x:v>1</x:v>
      </x:c>
      <x:c r="N183" s="168" t="n">
        <x:v>8</x:v>
      </x:c>
      <x:c r="O183" s="159" t="str"/>
      <x:c r="P183" s="159" t="str">
        <x:v>Drought-related prevention actions | Investments in adaptation policies | Resilient cities program</x:v>
      </x:c>
      <x:c r="Q183" s="159" t="str">
        <x:v>Conservative eligibility screen: the action's stated mechanism has a plausible direct pathway to Drought-related prevention actions, Investments in adaptation policies, Resilient cities program. Evidence determines whether the effect is demonstrated and in which direction.</x:v>
      </x:c>
      <x:c r="R183" s="160" t="str">
        <x:v>This action aims to strengthen the development of the Municipal Risk Reduction Plan (PMRR) in the municipality, as it is a highly relevant tool for managing climate risks, especially river floods and landslides.</x:v>
      </x:c>
    </x:row>
    <x:row r="184" ht="66" customHeight="1">
      <x:c r="A184" s="165" t="str">
        <x:v>icare_0144</x:v>
      </x:c>
      <x:c r="B184" s="159" t="str">
        <x:v>Establish a financial support program for extreme weather events</x:v>
      </x:c>
      <x:c r="C184" s="159" t="str">
        <x:v>Water resources</x:v>
      </x:c>
      <x:c r="D184" s="159" t="str">
        <x:v>Vulnerability</x:v>
      </x:c>
      <x:c r="E184" s="153" t="str"/>
      <x:c r="F184" s="153" t="str"/>
      <x:c r="G184" s="159" t="str">
        <x:v>Eligible</x:v>
      </x:c>
      <x:c r="H184" s="159" t="str">
        <x:v>Low</x:v>
      </x:c>
      <x:c r="I184" s="159" t="str">
        <x:v>Complete (3/3)</x:v>
      </x:c>
      <x:c r="J184" s="159" t="str">
        <x:v>Moderate</x:v>
      </x:c>
      <x:c r="K184" s="159" t="str">
        <x:v>No</x:v>
      </x:c>
      <x:c r="L184" s="159" t="str">
        <x:v>&lt;5 years</x:v>
      </x:c>
      <x:c r="M184" s="168" t="n">
        <x:v>1</x:v>
      </x:c>
      <x:c r="N184" s="168" t="n">
        <x:v>8</x:v>
      </x:c>
      <x:c r="O184" s="159" t="str"/>
      <x:c r="P184" s="159" t="str">
        <x:v>Investments in adaptation policies | Income not affected by water prices | Income greater than two minimum wages</x:v>
      </x:c>
      <x:c r="Q184" s="159" t="str">
        <x:v>Conservative eligibility screen: the action's stated mechanism has a plausible direct pathway to Investments in adaptation policies, Income not affected by water prices, Income greater than two minimum wages. Evidence determines whether the effect is demonstrated and in which direction.</x:v>
      </x:c>
      <x:c r="R184" s="160" t="str">
        <x:v>Creation of a program to mitigate the effects of climate tragedies, including financial assistance to affected families, efforts to increase access to affordable hazard insurance, and efforts to secure additional resources for recovery and reconstruction, including partnerships with state and federal government bodies. Recovery and reconstruction measures should include adaptive measures with the emphasis on build back better to withstand future hazards and helping residents retrofit buildings.</x:v>
      </x:c>
    </x:row>
    <x:row r="185" ht="66" customHeight="1">
      <x:c r="A185" s="165" t="str">
        <x:v>icare_0163</x:v>
      </x:c>
      <x:c r="B185" s="159" t="str">
        <x:v>Establish a first‑response firefighting brigade</x:v>
      </x:c>
      <x:c r="C185" s="159" t="str">
        <x:v>Water resources</x:v>
      </x:c>
      <x:c r="D185" s="159" t="str">
        <x:v>Vulnerability</x:v>
      </x:c>
      <x:c r="E185" s="153" t="str"/>
      <x:c r="F185" s="153" t="str"/>
      <x:c r="G185" s="159" t="str">
        <x:v>Eligible</x:v>
      </x:c>
      <x:c r="H185" s="159" t="str">
        <x:v>None demonstrated</x:v>
      </x:c>
      <x:c r="I185" s="159" t="str">
        <x:v>None (0/1)</x:v>
      </x:c>
      <x:c r="J185" s="159" t="str">
        <x:v>None</x:v>
      </x:c>
      <x:c r="K185" s="159" t="str">
        <x:v>No</x:v>
      </x:c>
      <x:c r="L185" s="159" t="str">
        <x:v>&lt;5 years</x:v>
      </x:c>
      <x:c r="M185" s="168" t="n">
        <x:v>0</x:v>
      </x:c>
      <x:c r="N185" s="168" t="n">
        <x:v>8</x:v>
      </x:c>
      <x:c r="O185" s="159" t="str"/>
      <x:c r="P185" s="159" t="str">
        <x:v>Degraded and/or deforested areas</x:v>
      </x:c>
      <x:c r="Q185" s="159" t="str">
        <x:v>Conservative eligibility screen: the action's stated mechanism has a plausible direct pathway to Degraded and/or deforested areas. Evidence determines whether the effect is demonstrated and in which direction.</x:v>
      </x:c>
      <x:c r="R185" s="160" t="str">
        <x:v>Creation of a First Response Brigade in rural communities to provide them with training and equipment for fire prevention and firefighting.</x:v>
      </x:c>
    </x:row>
    <x:row r="186" ht="66" customHeight="1">
      <x:c r="A186" s="165" t="str">
        <x:v>icare_0169</x:v>
      </x:c>
      <x:c r="B186" s="159" t="str">
        <x:v>Establish a Plan for Preparation and Emergency Response Measures in the event of extreme weather events</x:v>
      </x:c>
      <x:c r="C186" s="159" t="str">
        <x:v>Water resources</x:v>
      </x:c>
      <x:c r="D186" s="159" t="str">
        <x:v>Vulnerability</x:v>
      </x:c>
      <x:c r="E186" s="153" t="str"/>
      <x:c r="F186" s="153" t="str"/>
      <x:c r="G186" s="159" t="str">
        <x:v>Eligible</x:v>
      </x:c>
      <x:c r="H186" s="159" t="str">
        <x:v>Medium</x:v>
      </x:c>
      <x:c r="I186" s="159" t="str">
        <x:v>Complete (2/2)</x:v>
      </x:c>
      <x:c r="J186" s="159" t="str">
        <x:v>Moderate</x:v>
      </x:c>
      <x:c r="K186" s="159" t="str">
        <x:v>No</x:v>
      </x:c>
      <x:c r="L186" s="159" t="str">
        <x:v>5-10 years</x:v>
      </x:c>
      <x:c r="M186" s="168" t="n">
        <x:v>1</x:v>
      </x:c>
      <x:c r="N186" s="168" t="n">
        <x:v>8</x:v>
      </x:c>
      <x:c r="O186" s="159" t="str"/>
      <x:c r="P186" s="159" t="str">
        <x:v>Drought-related prevention actions | Resilient cities program</x:v>
      </x:c>
      <x:c r="Q186" s="159" t="str">
        <x:v>Conservative eligibility screen: the action's stated mechanism has a plausible direct pathway to Drought-related prevention actions, Resilient cities program. Evidence determines whether the effect is demonstrated and in which direction.</x:v>
      </x:c>
      <x:c r="R186" s="160" t="str">
        <x:v>This action focuses on preparing the municipality to respond to extreme events, aiming to provide a rapid response that minimizes the impacts on the population.</x:v>
      </x:c>
    </x:row>
    <x:row r="187" ht="66" customHeight="1">
      <x:c r="A187" s="165" t="str">
        <x:v>icare_0160</x:v>
      </x:c>
      <x:c r="B187" s="159" t="str">
        <x:v>Establish mechanisms for intersectoral coordination and public participation in climate policy</x:v>
      </x:c>
      <x:c r="C187" s="159" t="str">
        <x:v>Water resources</x:v>
      </x:c>
      <x:c r="D187" s="159" t="str">
        <x:v>Vulnerability</x:v>
      </x:c>
      <x:c r="E187" s="153" t="str"/>
      <x:c r="F187" s="153" t="str"/>
      <x:c r="G187" s="159" t="str">
        <x:v>Eligible</x:v>
      </x:c>
      <x:c r="H187" s="159" t="str">
        <x:v>Low</x:v>
      </x:c>
      <x:c r="I187" s="159" t="str">
        <x:v>Complete (3/3)</x:v>
      </x:c>
      <x:c r="J187" s="159" t="str">
        <x:v>Moderate</x:v>
      </x:c>
      <x:c r="K187" s="159" t="str">
        <x:v>No</x:v>
      </x:c>
      <x:c r="L187" s="159" t="str">
        <x:v>&lt;5 years</x:v>
      </x:c>
      <x:c r="M187" s="168" t="n">
        <x:v>1</x:v>
      </x:c>
      <x:c r="N187" s="168" t="n">
        <x:v>8</x:v>
      </x:c>
      <x:c r="O187" s="159" t="str"/>
      <x:c r="P187" s="159" t="str">
        <x:v>Level of activity in basin committees | Investments in adaptation policies | Resilient cities program</x:v>
      </x:c>
      <x:c r="Q187" s="159" t="str">
        <x:v>Conservative eligibility screen: the action's stated mechanism has a plausible direct pathway to Level of activity in basin committees, Investments in adaptation policies, Resilient cities program. Evidence determines whether the effect is demonstrated and in which direction.</x:v>
      </x:c>
      <x:c r="R187" s="160" t="str">
        <x:v>Establish more mechanisms that enable better intersectoral coordination and public participation in climate policy, including the creation of working groups with neighboring municipalities to discuss a common climate agenda.</x:v>
      </x:c>
    </x:row>
    <x:row r="188" ht="66" customHeight="1">
      <x:c r="A188" s="165" t="str">
        <x:v>ipcc_0090</x:v>
      </x:c>
      <x:c r="B188" s="159" t="str">
        <x:v>Expand climate risk insurance coverage</x:v>
      </x:c>
      <x:c r="C188" s="159" t="str">
        <x:v>Water resources</x:v>
      </x:c>
      <x:c r="D188" s="159" t="str">
        <x:v>Vulnerability</x:v>
      </x:c>
      <x:c r="E188" s="153" t="str"/>
      <x:c r="F188" s="153" t="str"/>
      <x:c r="G188" s="159" t="str">
        <x:v>Eligible</x:v>
      </x:c>
      <x:c r="H188" s="159" t="str">
        <x:v>Low</x:v>
      </x:c>
      <x:c r="I188" s="159" t="str">
        <x:v>Complete (5/5)</x:v>
      </x:c>
      <x:c r="J188" s="159" t="str">
        <x:v>Moderate</x:v>
      </x:c>
      <x:c r="K188" s="159" t="str">
        <x:v>No</x:v>
      </x:c>
      <x:c r="L188" s="159" t="str">
        <x:v>&lt;5 years</x:v>
      </x:c>
      <x:c r="M188" s="168" t="n">
        <x:v>1</x:v>
      </x:c>
      <x:c r="N188" s="168" t="n">
        <x:v>8</x:v>
      </x:c>
      <x:c r="O188" s="159" t="str"/>
      <x:c r="P188" s="159" t="str">
        <x:v>Investments in adaptation policies | Agricultural participation in GDP | Industrial participation in GDP | Income not affected by water prices | Income greater than two minimum wages</x:v>
      </x:c>
      <x:c r="Q188" s="159" t="str">
        <x:v>Conservative eligibility screen: the action's stated mechanism has a plausible direct pathway to Investments in adaptation policies, Agricultural participation in GDP, Industrial participation in GDP, Income not affected by water prices, Income greater than two minimum wages. Evidence determines whether the effect is demonstrated and in which direction.</x:v>
      </x:c>
      <x:c r="R188" s="160" t="str">
        <x:v>Insurance provides financial risk management tools tailored to climate-induced challenges. This includes traditional agricultural insurance to protect farmers from weather-related losses and innovative index-based insurance solutions. Index-based insurance leverages measurable weather indices, such as rainfall or temperature, to trigger payouts automatically when thresholds are reached, bypassing the need for loss verification. These tools help stabilize incomes, encourage investment in climate-resilient practices, and reduce the economic vulnerability of stakeholders in agriculture, aquaculture, and energy sectors. Furthermore, bundled insurance products with additional services like fertilizer or seed access enhance overall resilience, particularly in underserved and rural communities. By mitigating risks associated with droughts, floods, and storms, insurance supports sustainable development and adaptation goals</x:v>
      </x:c>
    </x:row>
    <x:row r="189" ht="66" customHeight="1">
      <x:c r="A189" s="165" t="str">
        <x:v>ipcc_0092</x:v>
      </x:c>
      <x:c r="B189" s="159" t="str">
        <x:v>Expand climate‑responsive social safety nets</x:v>
      </x:c>
      <x:c r="C189" s="159" t="str">
        <x:v>Water resources</x:v>
      </x:c>
      <x:c r="D189" s="159" t="str">
        <x:v>Vulnerability</x:v>
      </x:c>
      <x:c r="E189" s="153" t="str"/>
      <x:c r="F189" s="153" t="str"/>
      <x:c r="G189" s="159" t="str">
        <x:v>Eligible</x:v>
      </x:c>
      <x:c r="H189" s="159" t="str">
        <x:v>None demonstrated</x:v>
      </x:c>
      <x:c r="I189" s="159" t="str">
        <x:v>None (0/2)</x:v>
      </x:c>
      <x:c r="J189" s="159" t="str">
        <x:v>None</x:v>
      </x:c>
      <x:c r="K189" s="159" t="str">
        <x:v>No</x:v>
      </x:c>
      <x:c r="L189" s="159" t="str">
        <x:v>5-10 years</x:v>
      </x:c>
      <x:c r="M189" s="168" t="n">
        <x:v>0</x:v>
      </x:c>
      <x:c r="N189" s="168" t="n">
        <x:v>8</x:v>
      </x:c>
      <x:c r="O189" s="159" t="str"/>
      <x:c r="P189" s="159" t="str">
        <x:v>Income not affected by water prices | Income greater than two minimum wages</x:v>
      </x:c>
      <x:c r="Q189" s="159" t="str">
        <x:v>Conservative eligibility screen: the action's stated mechanism has a plausible direct pathway to Income not affected by water prices, Income greater than two minimum wages. Evidence determines whether the effect is demonstrated and in which direction.</x:v>
      </x:c>
      <x:c r="R189" s="160" t="str">
        <x:v>Social safety nets encompass adaptive social protection mechanisms to reduce food insecurity and malnutrition, especially for vulnerable populations. These include cash transfers, school feeding programs, public work initiatives, unemployment compensation, land reforms, credit and insurance schemes. Integrated approaches combine climate risk assessments with disaster risk reduction, education, and social equity to enhance resilience to climate stresses.</x:v>
      </x:c>
    </x:row>
    <x:row r="190" ht="66" customHeight="1">
      <x:c r="A190" s="165" t="str">
        <x:v>icare_0180</x:v>
      </x:c>
      <x:c r="B190" s="159" t="str">
        <x:v>Expand urban green-blue networks and corridors</x:v>
      </x:c>
      <x:c r="C190" s="159" t="str">
        <x:v>Water resources</x:v>
      </x:c>
      <x:c r="D190" s="159" t="str">
        <x:v>Vulnerability</x:v>
      </x:c>
      <x:c r="E190" s="153" t="str"/>
      <x:c r="F190" s="153" t="str"/>
      <x:c r="G190" s="159" t="str">
        <x:v>Eligible</x:v>
      </x:c>
      <x:c r="H190" s="159" t="str">
        <x:v>High</x:v>
      </x:c>
      <x:c r="I190" s="159" t="str">
        <x:v>Complete (5/5)</x:v>
      </x:c>
      <x:c r="J190" s="159" t="str">
        <x:v>Broad</x:v>
      </x:c>
      <x:c r="K190" s="159" t="str">
        <x:v>No</x:v>
      </x:c>
      <x:c r="L190" s="159" t="str">
        <x:v>&lt;5 years</x:v>
      </x:c>
      <x:c r="M190" s="168" t="n">
        <x:v>3</x:v>
      </x:c>
      <x:c r="N190" s="168" t="n">
        <x:v>8</x:v>
      </x:c>
      <x:c r="O190" s="159" t="str"/>
      <x:c r="P190" s="159" t="str">
        <x:v>Water quality | Degraded and/or deforested areas | Areas with soils susceptible to erosion | Ecological flow for ecosystem uses | Nature reserve</x:v>
      </x:c>
      <x:c r="Q190" s="159" t="str">
        <x:v>Conservative eligibility screen: the action's stated mechanism has a plausible direct pathway to Water quality, Degraded and/or deforested areas, Areas with soils susceptible to erosion, Ecological flow for ecosystem uses, Nature reserve. Evidence determines whether the effect is demonstrated and in which direction.</x:v>
      </x:c>
      <x:c r="R190" s="160" t="str">
        <x:v>Expand and connect urban green spaces and blue-green infrastructure (BGI) in the public realm. Actions include street tree planting, establishing green corridors/greenways, pocket and large parks, and green-blue features (bioswales, rain gardens, permeable surfaces) to manage stormwater, reduce urban heat, enhance biodiversity, and support carbon sequestration. Embedding these measures in urban planning strengthens ecosystem services, resilience, and livability.</x:v>
      </x:c>
    </x:row>
    <x:row r="191" ht="66" customHeight="1">
      <x:c r="A191" s="165" t="str">
        <x:v>ipcc_0102</x:v>
      </x:c>
      <x:c r="B191" s="159" t="str">
        <x:v>Facilitate seasonal and temporary mobility strategies</x:v>
      </x:c>
      <x:c r="C191" s="159" t="str">
        <x:v>Water resources</x:v>
      </x:c>
      <x:c r="D191" s="159" t="str">
        <x:v>Exposure</x:v>
      </x:c>
      <x:c r="E191" s="153" t="str"/>
      <x:c r="F191" s="153" t="str"/>
      <x:c r="G191" s="159" t="str">
        <x:v>Eligible</x:v>
      </x:c>
      <x:c r="H191" s="159" t="str">
        <x:v>Medium</x:v>
      </x:c>
      <x:c r="I191" s="159" t="str">
        <x:v>Complete (3/3)</x:v>
      </x:c>
      <x:c r="J191" s="159" t="str">
        <x:v>Moderate</x:v>
      </x:c>
      <x:c r="K191" s="159" t="str">
        <x:v>No</x:v>
      </x:c>
      <x:c r="L191" s="159" t="str">
        <x:v>5-10 years</x:v>
      </x:c>
      <x:c r="M191" s="168" t="n">
        <x:v>1</x:v>
      </x:c>
      <x:c r="N191" s="168" t="n">
        <x:v>8</x:v>
      </x:c>
      <x:c r="O191" s="159" t="str"/>
      <x:c r="P191" s="159" t="str">
        <x:v>Population density | Urban users exposed | Exposed rural users</x:v>
      </x:c>
      <x:c r="Q191" s="159" t="str">
        <x:v>Conservative eligibility screen: the action's stated mechanism has a plausible direct pathway to Population density, Urban users exposed, Exposed rural users. Evidence determines whether the effect is demonstrated and in which direction.</x:v>
      </x:c>
      <x:c r="R191" s="160" t="str">
        <x:v>Facilitating mobility of fishing fleets and workers to adapt to shifting marine species distributions caused by climate change. This includes enabling seasonal or temporary migration to align with the availability of resources, improving infrastructure and technology to support mobility, and fostering flexible governance to manage transboundary resources sustainably. These actions aim to maintain livelihoods and reduce economic impacts of climate variability.</x:v>
      </x:c>
    </x:row>
    <x:row r="192" ht="66" customHeight="1">
      <x:c r="A192" s="165" t="str">
        <x:v>ipcc_0086</x:v>
      </x:c>
      <x:c r="B192" s="159" t="str">
        <x:v>Implement ecosystem‑based adaptation measures</x:v>
      </x:c>
      <x:c r="C192" s="159" t="str">
        <x:v>Water resources</x:v>
      </x:c>
      <x:c r="D192" s="159" t="str">
        <x:v>Vulnerability</x:v>
      </x:c>
      <x:c r="E192" s="153" t="str"/>
      <x:c r="F192" s="153" t="str"/>
      <x:c r="G192" s="159" t="str">
        <x:v>Eligible</x:v>
      </x:c>
      <x:c r="H192" s="159" t="str">
        <x:v>High</x:v>
      </x:c>
      <x:c r="I192" s="159" t="str">
        <x:v>Complete (5/5)</x:v>
      </x:c>
      <x:c r="J192" s="159" t="str">
        <x:v>Broad</x:v>
      </x:c>
      <x:c r="K192" s="159" t="str">
        <x:v>No</x:v>
      </x:c>
      <x:c r="L192" s="159" t="str">
        <x:v>5-10 years</x:v>
      </x:c>
      <x:c r="M192" s="168" t="n">
        <x:v>3</x:v>
      </x:c>
      <x:c r="N192" s="168" t="n">
        <x:v>8</x:v>
      </x:c>
      <x:c r="O192" s="159" t="str"/>
      <x:c r="P192" s="159" t="str">
        <x:v>Water quality | Degraded and/or deforested areas | Areas with soils susceptible to erosion | Ecological flow for ecosystem uses | Nature reserve</x:v>
      </x:c>
      <x:c r="Q192" s="159" t="str">
        <x:v>Conservative eligibility screen: the action's stated mechanism has a plausible direct pathway to Water quality, Degraded and/or deforested areas, Areas with soils susceptible to erosion, Ecological flow for ecosystem uses, Nature reserve. Evidence determines whether the effect is demonstrated and in which direction.</x:v>
      </x:c>
      <x:c r="R192" s="160" t="str">
        <x:v>Restoring and sustainably managing marine, coastal, urban, riverine, and wetland ecosystems to protect against climate hazards such as storm surges, floods, and heatwaves. Efforts include agroecology, coastal and marine vegetation and reefs, vegetation corridors, mangrove habitat restoration, urban green space to reduce temperatures. These actions improve biodiversity, store carbon, enhance water quality, and provide socio-economic and cultural co-benefits.</x:v>
      </x:c>
    </x:row>
    <x:row r="193" ht="66" customHeight="1">
      <x:c r="A193" s="165" t="str">
        <x:v>ipcc_0078</x:v>
      </x:c>
      <x:c r="B193" s="159" t="str">
        <x:v>Implement green roofs and walls</x:v>
      </x:c>
      <x:c r="C193" s="159" t="str">
        <x:v>Water resources</x:v>
      </x:c>
      <x:c r="D193" s="159" t="str">
        <x:v>Vulnerability</x:v>
      </x:c>
      <x:c r="E193" s="153" t="str"/>
      <x:c r="F193" s="153" t="str"/>
      <x:c r="G193" s="159" t="str">
        <x:v>Eligible</x:v>
      </x:c>
      <x:c r="H193" s="159" t="str">
        <x:v>Medium</x:v>
      </x:c>
      <x:c r="I193" s="159" t="str">
        <x:v>Complete (3/3)</x:v>
      </x:c>
      <x:c r="J193" s="159" t="str">
        <x:v>Moderate</x:v>
      </x:c>
      <x:c r="K193" s="159" t="str">
        <x:v>No</x:v>
      </x:c>
      <x:c r="L193" s="159" t="str">
        <x:v>5-10 years</x:v>
      </x:c>
      <x:c r="M193" s="168" t="n">
        <x:v>1</x:v>
      </x:c>
      <x:c r="N193" s="168" t="n">
        <x:v>8</x:v>
      </x:c>
      <x:c r="O193" s="159" t="str"/>
      <x:c r="P193" s="159" t="str">
        <x:v>Water quality | Ecological flow for ecosystem uses | Nature reserve</x:v>
      </x:c>
      <x:c r="Q193" s="159" t="str">
        <x:v>Conservative eligibility screen: the action's stated mechanism has a plausible direct pathway to Water quality, Ecological flow for ecosystem uses, Nature reserve. Evidence determines whether the effect is demonstrated and in which direction.</x:v>
      </x:c>
      <x:c r="R193" s="160" t="str">
        <x:v>The implementation of green roofs and green walls mitigates urban heat island effects, improves thermal comfort, reduces energy demand in buildings, manages stormwater, and enhances urban livability and biodiversity.</x:v>
      </x:c>
    </x:row>
    <x:row r="194" ht="66" customHeight="1">
      <x:c r="A194" s="165" t="str">
        <x:v>icare_0186</x:v>
      </x:c>
      <x:c r="B194" s="159" t="str">
        <x:v>Implement integrated coastal zone management</x:v>
      </x:c>
      <x:c r="C194" s="159" t="str">
        <x:v>Water resources</x:v>
      </x:c>
      <x:c r="D194" s="159" t="str">
        <x:v>Vulnerability</x:v>
      </x:c>
      <x:c r="E194" s="153" t="str"/>
      <x:c r="F194" s="153" t="str"/>
      <x:c r="G194" s="159" t="str">
        <x:v>Eligible</x:v>
      </x:c>
      <x:c r="H194" s="159" t="str">
        <x:v>High</x:v>
      </x:c>
      <x:c r="I194" s="159" t="str">
        <x:v>Complete (5/5)</x:v>
      </x:c>
      <x:c r="J194" s="159" t="str">
        <x:v>Broad</x:v>
      </x:c>
      <x:c r="K194" s="159" t="str">
        <x:v>No</x:v>
      </x:c>
      <x:c r="L194" s="159" t="str">
        <x:v>5-10 years</x:v>
      </x:c>
      <x:c r="M194" s="168" t="n">
        <x:v>3</x:v>
      </x:c>
      <x:c r="N194" s="168" t="n">
        <x:v>8</x:v>
      </x:c>
      <x:c r="O194" s="159" t="str"/>
      <x:c r="P194" s="159" t="str">
        <x:v>Water quality | Degraded and/or deforested areas | Areas with soils susceptible to erosion | Ecological flow for ecosystem uses | Nature reserve</x:v>
      </x:c>
      <x:c r="Q194" s="159" t="str">
        <x:v>Conservative eligibility screen: the action's stated mechanism has a plausible direct pathway to Water quality, Degraded and/or deforested areas, Areas with soils susceptible to erosion, Ecological flow for ecosystem uses, Nature reserve. Evidence determines whether the effect is demonstrated and in which direction.</x:v>
      </x:c>
      <x:c r="R194" s="160" t="str">
        <x:v>This action describes the implementation of an integrated coastal zone management plan to promote sustainable development and address the impacts of climate change in coastal areas. It includes measures to mitigate the impacts of sea-level rise and coastal erosion.</x:v>
      </x:c>
    </x:row>
    <x:row r="195" ht="66" customHeight="1">
      <x:c r="A195" s="165" t="str">
        <x:v>icare_0183</x:v>
      </x:c>
      <x:c r="B195" s="159" t="str">
        <x:v>Implement Multi-hazard Early Warning Systems (MH-EWS)</x:v>
      </x:c>
      <x:c r="C195" s="159" t="str">
        <x:v>Water resources</x:v>
      </x:c>
      <x:c r="D195" s="159" t="str">
        <x:v>Vulnerability</x:v>
      </x:c>
      <x:c r="E195" s="153" t="str"/>
      <x:c r="F195" s="153" t="str"/>
      <x:c r="G195" s="159" t="str">
        <x:v>Eligible</x:v>
      </x:c>
      <x:c r="H195" s="159" t="str">
        <x:v>Medium</x:v>
      </x:c>
      <x:c r="I195" s="159" t="str">
        <x:v>Complete (2/2)</x:v>
      </x:c>
      <x:c r="J195" s="159" t="str">
        <x:v>Moderate</x:v>
      </x:c>
      <x:c r="K195" s="159" t="str">
        <x:v>No</x:v>
      </x:c>
      <x:c r="L195" s="159" t="str">
        <x:v>5-10 years</x:v>
      </x:c>
      <x:c r="M195" s="168" t="n">
        <x:v>1</x:v>
      </x:c>
      <x:c r="N195" s="168" t="n">
        <x:v>8</x:v>
      </x:c>
      <x:c r="O195" s="159" t="str"/>
      <x:c r="P195" s="159" t="str">
        <x:v>Drought-related prevention actions | Resilient cities program</x:v>
      </x:c>
      <x:c r="Q195" s="159" t="str">
        <x:v>Conservative eligibility screen: the action's stated mechanism has a plausible direct pathway to Drought-related prevention actions, Resilient cities program. Evidence determines whether the effect is demonstrated and in which direction.</x:v>
      </x:c>
      <x:c r="R195" s="160" t="str">
        <x:v>Early Warning systems involve the timely detection and communication of potential climate-related hazards, enabling proactive responses to mitigate risks and enhancing community preparedness. This includes intense rains and landslides, using a network of telemetry stations to monitor rainfall and other weather conditions, with clear trigger thresholds to issue public alerts (sirens/alarms, SMS/cell broadcast, radio/PA) in case of potential flooding or landslides.</x:v>
      </x:c>
    </x:row>
    <x:row r="196" ht="66" customHeight="1">
      <x:c r="A196" s="165" t="str">
        <x:v>icare_0185</x:v>
      </x:c>
      <x:c r="B196" s="159" t="str">
        <x:v>Improve Creation of An Epidemiological Intelligence Center</x:v>
      </x:c>
      <x:c r="C196" s="159" t="str">
        <x:v>Water resources</x:v>
      </x:c>
      <x:c r="D196" s="159" t="str">
        <x:v>Vulnerability</x:v>
      </x:c>
      <x:c r="E196" s="153" t="str"/>
      <x:c r="F196" s="153" t="str"/>
      <x:c r="G196" s="159" t="str">
        <x:v>Eligible</x:v>
      </x:c>
      <x:c r="H196" s="159" t="str">
        <x:v>None demonstrated</x:v>
      </x:c>
      <x:c r="I196" s="159" t="str">
        <x:v>None (0/1)</x:v>
      </x:c>
      <x:c r="J196" s="159" t="str">
        <x:v>None</x:v>
      </x:c>
      <x:c r="K196" s="159" t="str">
        <x:v>No</x:v>
      </x:c>
      <x:c r="L196" s="159" t="str">
        <x:v>5-10 years</x:v>
      </x:c>
      <x:c r="M196" s="168" t="n">
        <x:v>0</x:v>
      </x:c>
      <x:c r="N196" s="168" t="n">
        <x:v>8</x:v>
      </x:c>
      <x:c r="O196" s="159" t="str"/>
      <x:c r="P196" s="159" t="str">
        <x:v>Diseases due to inadequate sanitation</x:v>
      </x:c>
      <x:c r="Q196" s="159" t="str">
        <x:v>Conservative eligibility screen: the action's stated mechanism has a plausible direct pathway to Diseases due to inadequate sanitation. Evidence determines whether the effect is demonstrated and in which direction.</x:v>
      </x:c>
      <x:c r="R196" s="160" t="str">
        <x:v>This action focuses on establishing an epidemiological intelligence center to monitor public health indicators and provide accessible information to the population. This helps in making informed decisions and protecting public health, particularly in relation to climate-sensitive diseases.</x:v>
      </x:c>
    </x:row>
    <x:row r="197" ht="66" customHeight="1">
      <x:c r="A197" s="165" t="str">
        <x:v>ipcc_0100</x:v>
      </x:c>
      <x:c r="B197" s="159" t="str">
        <x:v>Improve Efficient water use/demand</x:v>
      </x:c>
      <x:c r="C197" s="159" t="str">
        <x:v>Water resources</x:v>
      </x:c>
      <x:c r="D197" s="159" t="str">
        <x:v>Vulnerability</x:v>
      </x:c>
      <x:c r="E197" s="153" t="str"/>
      <x:c r="F197" s="153" t="str"/>
      <x:c r="G197" s="159" t="str">
        <x:v>Eligible</x:v>
      </x:c>
      <x:c r="H197" s="159" t="str">
        <x:v>Medium</x:v>
      </x:c>
      <x:c r="I197" s="159" t="str">
        <x:v>Complete (6/6)</x:v>
      </x:c>
      <x:c r="J197" s="159" t="str">
        <x:v>Moderate</x:v>
      </x:c>
      <x:c r="K197" s="159" t="str">
        <x:v>No</x:v>
      </x:c>
      <x:c r="L197" s="159" t="str">
        <x:v>5-10 years</x:v>
      </x:c>
      <x:c r="M197" s="168" t="n">
        <x:v>1</x:v>
      </x:c>
      <x:c r="N197" s="168" t="n">
        <x:v>8</x:v>
      </x:c>
      <x:c r="O197" s="159" t="str"/>
      <x:c r="P197" s="159" t="str">
        <x:v>Inefficiency in water distribution | Average per capita water consumption | Water balance for agriculture | Water balance for industry | Alternatives to water supply | Underground storage potential</x:v>
      </x:c>
      <x:c r="Q197" s="159" t="str">
        <x:v>Conservative eligibility screen: the action's stated mechanism has a plausible direct pathway to Inefficiency in water distribution, Average per capita water consumption, Water balance for agriculture, Water balance for industry, Alternatives to water supply, Underground storage potential. Evidence determines whether the effect is demonstrated and in which direction.</x:v>
      </x:c>
      <x:c r="R197" s="160" t="str">
        <x:v>Implementing advanced irrigation techniques such as precision and drip irrigation to enhance water use efficiency in agriculture. Managed Aquifer Recharge (MAR) is applied to replenish groundwater supplies using stormwater, treated wastewater, or other sources. These actions are complemented by cooperative policies across multiple sectors to ensure sustainable water resource management, equitable access, and regional collaboration. Additionally, promoting changes in water consumption patterns, such as reducing waste and improving efficiency in urban and agricultural water use, supports resilience against water scarcity and enhances adaptive capacity in vulnerable regions. These efforts collectively aim to address the growing demand for freshwater in the face of climate change and ensure long-term sustainability.</x:v>
      </x:c>
    </x:row>
    <x:row r="198" ht="66" customHeight="1">
      <x:c r="A198" s="165" t="str">
        <x:v>icare_0164</x:v>
      </x:c>
      <x:c r="B198" s="159" t="str">
        <x:v>Improve Hydrological Monitoring System with Telemetry Stations</x:v>
      </x:c>
      <x:c r="C198" s="159" t="str">
        <x:v>Water resources</x:v>
      </x:c>
      <x:c r="D198" s="159" t="str">
        <x:v>Vulnerability</x:v>
      </x:c>
      <x:c r="E198" s="153" t="str"/>
      <x:c r="F198" s="153" t="str"/>
      <x:c r="G198" s="159" t="str">
        <x:v>Eligible</x:v>
      </x:c>
      <x:c r="H198" s="159" t="str">
        <x:v>Medium</x:v>
      </x:c>
      <x:c r="I198" s="159" t="str">
        <x:v>Complete (1/1)</x:v>
      </x:c>
      <x:c r="J198" s="159" t="str">
        <x:v>Moderate</x:v>
      </x:c>
      <x:c r="K198" s="159" t="str">
        <x:v>No</x:v>
      </x:c>
      <x:c r="L198" s="159" t="str">
        <x:v>&lt;5 years</x:v>
      </x:c>
      <x:c r="M198" s="168" t="n">
        <x:v>1</x:v>
      </x:c>
      <x:c r="N198" s="168" t="n">
        <x:v>8</x:v>
      </x:c>
      <x:c r="O198" s="159" t="str"/>
      <x:c r="P198" s="159" t="str">
        <x:v>Drought-related prevention actions</x:v>
      </x:c>
      <x:c r="Q198" s="159" t="str">
        <x:v>Conservative eligibility screen: the action's stated mechanism has a plausible direct pathway to Drought-related prevention actions. Evidence determines whether the effect is demonstrated and in which direction.</x:v>
      </x:c>
      <x:c r="R198" s="160" t="str">
        <x:v>Implementation of a hydrological monitoring system with telemetry stations to monitor rainfall, water levels, and meteorological variables in real-time.</x:v>
      </x:c>
    </x:row>
    <x:row r="199" ht="66" customHeight="1">
      <x:c r="A199" s="165" t="str">
        <x:v>ipcc_0087</x:v>
      </x:c>
      <x:c r="B199" s="159" t="str">
        <x:v>Improve Infrastructure retrofitting</x:v>
      </x:c>
      <x:c r="C199" s="159" t="str">
        <x:v>Water resources</x:v>
      </x:c>
      <x:c r="D199" s="159" t="str">
        <x:v>Vulnerability</x:v>
      </x:c>
      <x:c r="E199" s="153" t="str"/>
      <x:c r="F199" s="153" t="str"/>
      <x:c r="G199" s="159" t="str">
        <x:v>Eligible</x:v>
      </x:c>
      <x:c r="H199" s="159" t="str">
        <x:v>Low</x:v>
      </x:c>
      <x:c r="I199" s="159" t="str">
        <x:v>Partial (2/3)</x:v>
      </x:c>
      <x:c r="J199" s="159" t="str">
        <x:v>Moderate</x:v>
      </x:c>
      <x:c r="K199" s="159" t="str">
        <x:v>No</x:v>
      </x:c>
      <x:c r="L199" s="159" t="str">
        <x:v>5-10 years</x:v>
      </x:c>
      <x:c r="M199" s="168" t="n">
        <x:v>1</x:v>
      </x:c>
      <x:c r="N199" s="168" t="n">
        <x:v>8</x:v>
      </x:c>
      <x:c r="O199" s="159" t="str"/>
      <x:c r="P199" s="159" t="str">
        <x:v>Inefficiency in water production | Inefficiency in water distribution | Dam and mining safety</x:v>
      </x:c>
      <x:c r="Q199" s="159" t="str">
        <x:v>Conservative eligibility screen: the action's stated mechanism has a plausible direct pathway to Inefficiency in water production, Inefficiency in water distribution, Dam and mining safety. Evidence determines whether the effect is demonstrated and in which direction.</x:v>
      </x:c>
      <x:c r="R199" s="160" t="str">
        <x:v>Strengthen and upgrade existing infrastructure, including roads, housing, and energy systems, to improve resilience against climate risks such as floods, droughts, and heatwaves. Efforts include using thermosiphons for permafrost degradation, increasing rooftop albedo (for reflectivity) and shading</x:v>
      </x:c>
    </x:row>
    <x:row r="200" ht="66" customHeight="1">
      <x:c r="A200" s="165" t="str">
        <x:v>icare_0171</x:v>
      </x:c>
      <x:c r="B200" s="159" t="str">
        <x:v>Improve the hydrometeorological forecasting, monitoring, and alert system for climate risks</x:v>
      </x:c>
      <x:c r="C200" s="159" t="str">
        <x:v>Water resources</x:v>
      </x:c>
      <x:c r="D200" s="159" t="str">
        <x:v>Vulnerability</x:v>
      </x:c>
      <x:c r="E200" s="153" t="str"/>
      <x:c r="F200" s="153" t="str"/>
      <x:c r="G200" s="159" t="str">
        <x:v>Eligible</x:v>
      </x:c>
      <x:c r="H200" s="159" t="str">
        <x:v>Medium</x:v>
      </x:c>
      <x:c r="I200" s="159" t="str">
        <x:v>Complete (2/2)</x:v>
      </x:c>
      <x:c r="J200" s="159" t="str">
        <x:v>Moderate</x:v>
      </x:c>
      <x:c r="K200" s="159" t="str">
        <x:v>No</x:v>
      </x:c>
      <x:c r="L200" s="159" t="str">
        <x:v>5-10 years</x:v>
      </x:c>
      <x:c r="M200" s="168" t="n">
        <x:v>1</x:v>
      </x:c>
      <x:c r="N200" s="168" t="n">
        <x:v>8</x:v>
      </x:c>
      <x:c r="O200" s="159" t="str"/>
      <x:c r="P200" s="159" t="str">
        <x:v>Drought-related prevention actions | Resilient cities program</x:v>
      </x:c>
      <x:c r="Q200" s="159" t="str">
        <x:v>Conservative eligibility screen: the action's stated mechanism has a plausible direct pathway to Drought-related prevention actions, Resilient cities program. Evidence determines whether the effect is demonstrated and in which direction.</x:v>
      </x:c>
      <x:c r="R200" s="160" t="str">
        <x:v>This action aims to expand the procedures related to the existing climate risk forecasting, monitoring, and alert system in the municipality.</x:v>
      </x:c>
    </x:row>
    <x:row r="201" ht="66" customHeight="1">
      <x:c r="A201" s="165" t="str">
        <x:v>ipcc_0101</x:v>
      </x:c>
      <x:c r="B201" s="159" t="str">
        <x:v>Improve urban water management</x:v>
      </x:c>
      <x:c r="C201" s="159" t="str">
        <x:v>Water resources</x:v>
      </x:c>
      <x:c r="D201" s="159" t="str">
        <x:v>Vulnerability</x:v>
      </x:c>
      <x:c r="E201" s="153" t="str"/>
      <x:c r="F201" s="153" t="str"/>
      <x:c r="G201" s="159" t="str">
        <x:v>Eligible</x:v>
      </x:c>
      <x:c r="H201" s="159" t="str">
        <x:v>Medium</x:v>
      </x:c>
      <x:c r="I201" s="159" t="str">
        <x:v>Complete (9/9)</x:v>
      </x:c>
      <x:c r="J201" s="159" t="str">
        <x:v>Broad</x:v>
      </x:c>
      <x:c r="K201" s="159" t="str">
        <x:v>No</x:v>
      </x:c>
      <x:c r="L201" s="159" t="str">
        <x:v>5-10 years</x:v>
      </x:c>
      <x:c r="M201" s="168" t="n">
        <x:v>3</x:v>
      </x:c>
      <x:c r="N201" s="168" t="n">
        <x:v>8</x:v>
      </x:c>
      <x:c r="O201" s="159" t="str"/>
      <x:c r="P201" s="159" t="str">
        <x:v>Inefficiency in water production | Inefficiency in water distribution | Average per capita water consumption | Diseases due to inadequate sanitation | Water quality | Municipal basic sanitation plan | Alternatives to water supply | Artificial reserve | Underground storage potential</x:v>
      </x:c>
      <x:c r="Q201" s="159" t="str">
        <x:v>Conservative eligibility screen: the action's stated mechanism has a plausible direct pathway to Inefficiency in water production, Inefficiency in water distribution, Average per capita water consumption, Diseases due to inadequate sanitation, Water quality, Municipal basic sanitation plan, Alternatives to water supply, Artificial reserve, Underground storage potential. Evidence determines whether the effect is demonstrated and in which direction.</x:v>
      </x:c>
      <x:c r="R201" s="160" t="str">
        <x:v>Implementing sustainable water supply systems by constructing irrigation infrastructure, promoting inter-basin water transfers, utilizing nature-based solutions (NBS) such as rain gardens, bioswales, and wetlands, and integrating advanced techniques like water reuse and water upgrading. Water reuse involves treating and recycling wastewater for non-potable or potable purposes, while water upgrading focuses on improving the quality of available water for diverse uses. These approaches enhance stormwater infiltration, improve urban water management, increase drought resilience, and support groundwater recharge. They provide energy-efficient and economical water solutions while maintaining sustainable urban development.</x:v>
      </x:c>
    </x:row>
    <x:row r="202" ht="66" customHeight="1">
      <x:c r="A202" s="165" t="str">
        <x:v>c40_0056</x:v>
      </x:c>
      <x:c r="B202" s="159" t="str">
        <x:v>Improve Watershed Protection and Management</x:v>
      </x:c>
      <x:c r="C202" s="159" t="str">
        <x:v>Water resources</x:v>
      </x:c>
      <x:c r="D202" s="159" t="str">
        <x:v>Vulnerability</x:v>
      </x:c>
      <x:c r="E202" s="153" t="str"/>
      <x:c r="F202" s="153" t="str"/>
      <x:c r="G202" s="159" t="str">
        <x:v>Eligible</x:v>
      </x:c>
      <x:c r="H202" s="159" t="str">
        <x:v>High</x:v>
      </x:c>
      <x:c r="I202" s="159" t="str">
        <x:v>Complete (5/5)</x:v>
      </x:c>
      <x:c r="J202" s="159" t="str">
        <x:v>Broad</x:v>
      </x:c>
      <x:c r="K202" s="159" t="str">
        <x:v>No</x:v>
      </x:c>
      <x:c r="L202" s="159" t="str">
        <x:v>&lt;5 years</x:v>
      </x:c>
      <x:c r="M202" s="168" t="n">
        <x:v>5</x:v>
      </x:c>
      <x:c r="N202" s="168" t="n">
        <x:v>8</x:v>
      </x:c>
      <x:c r="O202" s="159" t="str"/>
      <x:c r="P202" s="159" t="str">
        <x:v>Water quality | Degraded and/or deforested areas | Areas with soils susceptible to erosion | Ecological flow for ecosystem uses | Nature reserve</x:v>
      </x:c>
      <x:c r="Q202" s="159" t="str">
        <x:v>Protecting and restoring watersheds directly acts on water quality, degraded land, erosion, ecological flow, and protected natural areas.</x:v>
      </x:c>
      <x:c r="R202" s="160" t="str">
        <x:v>"Watershed Protection and Management" involves the protection and conservation of natural watershed areas to safeguard water quality, biodiversity, and ecosystem services, including measures such as preventing pollution and encrouchment. This initiative aims to ensure sustainable water management and resilience to the impacts of climate change.</x:v>
      </x:c>
    </x:row>
    <x:row r="203" ht="66" customHeight="1">
      <x:c r="A203" s="165" t="str">
        <x:v>ipcc_0098</x:v>
      </x:c>
      <x:c r="B203" s="159" t="str">
        <x:v>Increase resilience by improving access to food, improving livelihoods and promoting dietary shifts and food waste reduction</x:v>
      </x:c>
      <x:c r="C203" s="159" t="str">
        <x:v>Water resources</x:v>
      </x:c>
      <x:c r="D203" s="159" t="str">
        <x:v>Vulnerability</x:v>
      </x:c>
      <x:c r="E203" s="153" t="str"/>
      <x:c r="F203" s="153" t="str"/>
      <x:c r="G203" s="159" t="str">
        <x:v>Eligible</x:v>
      </x:c>
      <x:c r="H203" s="159" t="str">
        <x:v>Medium</x:v>
      </x:c>
      <x:c r="I203" s="159" t="str">
        <x:v>Complete (5/5)</x:v>
      </x:c>
      <x:c r="J203" s="159" t="str">
        <x:v>Moderate</x:v>
      </x:c>
      <x:c r="K203" s="159" t="str">
        <x:v>No</x:v>
      </x:c>
      <x:c r="L203" s="159" t="str">
        <x:v>5-10 years</x:v>
      </x:c>
      <x:c r="M203" s="168" t="n">
        <x:v>1</x:v>
      </x:c>
      <x:c r="N203" s="168" t="n">
        <x:v>8</x:v>
      </x:c>
      <x:c r="O203" s="159" t="str"/>
      <x:c r="P203" s="159" t="str">
        <x:v>Average per capita water consumption | Water balance for agriculture | Agricultural participation in GDP | Income not affected by water prices | Income greater than two minimum wages</x:v>
      </x:c>
      <x:c r="Q203" s="159" t="str">
        <x:v>Conservative eligibility screen: the action's stated mechanism has a plausible direct pathway to Average per capita water consumption, Water balance for agriculture, Agricultural participation in GDP, Income not affected by water prices, Income greater than two minimum wages. Evidence determines whether the effect is demonstrated and in which direction.</x:v>
      </x:c>
      <x:c r="R203" s="160" t="str">
        <x:v>Increase resilience through improved food production, distribution, and consumption practices. Actions include enhancing agricultural techniques, adopting water-saving technologies, implementing low-cost storage solutions, and promoting plant-based diets. Policymakers can encourage these behaviors with appropriate pricing policies, sustainable agriculture initiatives, and support for disadvantaged groups. The action emphasizes shifting to healthier diets, reducing overconsumption, and supporting local food systems to mitigate greenhouse gas emissions and ensure food security under climate change.</x:v>
      </x:c>
    </x:row>
    <x:row r="204" ht="66" customHeight="1">
      <x:c r="A204" s="165" t="str">
        <x:v>ipcc_0083</x:v>
      </x:c>
      <x:c r="B204" s="159" t="str">
        <x:v>Plan strategic coastal retreat for vulnerable communities</x:v>
      </x:c>
      <x:c r="C204" s="159" t="str">
        <x:v>Water resources</x:v>
      </x:c>
      <x:c r="D204" s="159" t="str">
        <x:v>Exposure</x:v>
      </x:c>
      <x:c r="E204" s="153" t="str"/>
      <x:c r="F204" s="153" t="str"/>
      <x:c r="G204" s="159" t="str">
        <x:v>Eligible</x:v>
      </x:c>
      <x:c r="H204" s="159" t="str">
        <x:v>Medium</x:v>
      </x:c>
      <x:c r="I204" s="159" t="str">
        <x:v>Complete (3/3)</x:v>
      </x:c>
      <x:c r="J204" s="159" t="str">
        <x:v>Moderate</x:v>
      </x:c>
      <x:c r="K204" s="159" t="str">
        <x:v>No</x:v>
      </x:c>
      <x:c r="L204" s="159" t="str">
        <x:v>&gt;10 years</x:v>
      </x:c>
      <x:c r="M204" s="168" t="n">
        <x:v>1</x:v>
      </x:c>
      <x:c r="N204" s="168" t="n">
        <x:v>8</x:v>
      </x:c>
      <x:c r="O204" s="159" t="str"/>
      <x:c r="P204" s="159" t="str">
        <x:v>Population density | Urban users exposed | Exposed rural users</x:v>
      </x:c>
      <x:c r="Q204" s="159" t="str">
        <x:v>Conservative eligibility screen: the action's stated mechanism has a plausible direct pathway to Population density, Urban users exposed, Exposed rural users. Evidence determines whether the effect is demonstrated and in which direction.</x:v>
      </x:c>
      <x:c r="R204" s="160" t="str">
        <x:v>Planned relocation and retreat of people, assets, and activities from coastal hazard zones to reduce exposure and risks caused by sea-level rise and associated coastal hazards.</x:v>
      </x:c>
    </x:row>
    <x:row r="205" ht="66" customHeight="1">
      <x:c r="A205" s="165" t="str">
        <x:v>icare_0173</x:v>
      </x:c>
      <x:c r="B205" s="159" t="str">
        <x:v>Preventive maintenance of drainage systems</x:v>
      </x:c>
      <x:c r="C205" s="159" t="str">
        <x:v>Water resources</x:v>
      </x:c>
      <x:c r="D205" s="159" t="str">
        <x:v>Vulnerability</x:v>
      </x:c>
      <x:c r="E205" s="153" t="str"/>
      <x:c r="F205" s="153" t="str"/>
      <x:c r="G205" s="159" t="str">
        <x:v>Eligible</x:v>
      </x:c>
      <x:c r="H205" s="159" t="str">
        <x:v>Low</x:v>
      </x:c>
      <x:c r="I205" s="159" t="str">
        <x:v>Complete (3/3)</x:v>
      </x:c>
      <x:c r="J205" s="159" t="str">
        <x:v>Moderate</x:v>
      </x:c>
      <x:c r="K205" s="159" t="str">
        <x:v>No</x:v>
      </x:c>
      <x:c r="L205" s="159" t="str">
        <x:v>5-10 years</x:v>
      </x:c>
      <x:c r="M205" s="168" t="n">
        <x:v>1</x:v>
      </x:c>
      <x:c r="N205" s="168" t="n">
        <x:v>8</x:v>
      </x:c>
      <x:c r="O205" s="159" t="str"/>
      <x:c r="P205" s="159" t="str">
        <x:v>Diseases due to inadequate sanitation | Water quality | Municipal basic sanitation plan</x:v>
      </x:c>
      <x:c r="Q205" s="159" t="str">
        <x:v>Conservative eligibility screen: the action's stated mechanism has a plausible direct pathway to Diseases due to inadequate sanitation, Water quality, Municipal basic sanitation plan. Evidence determines whether the effect is demonstrated and in which direction.</x:v>
      </x:c>
      <x:c r="R205" s="160" t="str">
        <x:v>Regular upkeep and cleaning of urban drainage systems, including storm drains, sewers, and retention basins, to ensure efficient water flow and prevent blockages that can lead to flooding during heavy rainfall events.</x:v>
      </x:c>
    </x:row>
    <x:row r="206" ht="66" customHeight="1">
      <x:c r="A206" s="165" t="str">
        <x:v>c40_0053</x:v>
      </x:c>
      <x:c r="B206" s="159" t="str">
        <x:v>Promote water-saving technologies and practices</x:v>
      </x:c>
      <x:c r="C206" s="159" t="str">
        <x:v>Water resources</x:v>
      </x:c>
      <x:c r="D206" s="159" t="str">
        <x:v>Vulnerability</x:v>
      </x:c>
      <x:c r="E206" s="153" t="str"/>
      <x:c r="F206" s="153" t="str"/>
      <x:c r="G206" s="159" t="str">
        <x:v>Eligible</x:v>
      </x:c>
      <x:c r="H206" s="159" t="str">
        <x:v>Medium</x:v>
      </x:c>
      <x:c r="I206" s="159" t="str">
        <x:v>Complete (4/4)</x:v>
      </x:c>
      <x:c r="J206" s="159" t="str">
        <x:v>Broad</x:v>
      </x:c>
      <x:c r="K206" s="159" t="str">
        <x:v>No</x:v>
      </x:c>
      <x:c r="L206" s="159" t="str">
        <x:v>5-10 years</x:v>
      </x:c>
      <x:c r="M206" s="168" t="n">
        <x:v>3</x:v>
      </x:c>
      <x:c r="N206" s="168" t="n">
        <x:v>8</x:v>
      </x:c>
      <x:c r="O206" s="159" t="str"/>
      <x:c r="P206" s="159" t="str">
        <x:v>Inefficiency in water distribution | Average per capita water consumption | Water balance for agriculture | Water balance for industry</x:v>
      </x:c>
      <x:c r="Q206" s="159" t="str">
        <x:v>The action's primary water-efficiency mechanism directly reduces distribution losses and consumption across households, agriculture, and industry.</x:v>
      </x:c>
      <x:c r="R206" s="160" t="str">
        <x:v>Encourages the adoption of water-saving technologies and practices to conserve water resources and strengthen resilience to climate change. This includes measures such as rainwater harvesting, low-flow appliances, leak detection systems, and municipal incentive programs that support households and businesses in reducing consumption. These actions enhance sustainable water use and complement broader eco-engineering and adaptation efforts.</x:v>
      </x:c>
    </x:row>
    <x:row r="207" ht="66" customHeight="1">
      <x:c r="A207" s="165" t="str">
        <x:v>icare_0178</x:v>
      </x:c>
      <x:c r="B207" s="159" t="str">
        <x:v>Redirect urban development through climate‑risk spatial planning</x:v>
      </x:c>
      <x:c r="C207" s="159" t="str">
        <x:v>Water resources</x:v>
      </x:c>
      <x:c r="D207" s="159" t="str">
        <x:v>Exposure</x:v>
      </x:c>
      <x:c r="E207" s="153" t="str"/>
      <x:c r="F207" s="153" t="str"/>
      <x:c r="G207" s="159" t="str">
        <x:v>Eligible</x:v>
      </x:c>
      <x:c r="H207" s="159" t="str">
        <x:v>None demonstrated</x:v>
      </x:c>
      <x:c r="I207" s="159" t="str">
        <x:v>None (0/3)</x:v>
      </x:c>
      <x:c r="J207" s="159" t="str">
        <x:v>None</x:v>
      </x:c>
      <x:c r="K207" s="159" t="str">
        <x:v>No</x:v>
      </x:c>
      <x:c r="L207" s="159" t="str">
        <x:v>&lt;5 years</x:v>
      </x:c>
      <x:c r="M207" s="168" t="n">
        <x:v>0</x:v>
      </x:c>
      <x:c r="N207" s="168" t="n">
        <x:v>8</x:v>
      </x:c>
      <x:c r="O207" s="159" t="str"/>
      <x:c r="P207" s="159" t="str">
        <x:v>Population density | Urban users exposed | Exposed rural users</x:v>
      </x:c>
      <x:c r="Q207" s="159" t="str">
        <x:v>Conservative eligibility screen: the action's stated mechanism has a plausible direct pathway to Population density, Urban users exposed, Exposed rural users. Evidence determines whether the effect is demonstrated and in which direction.</x:v>
      </x:c>
      <x:c r="R207" s="160" t="str">
        <x:v>Mapping of critical flood-prone areas with the aim of revising and harmonizing legislation related to land use, given the intensification of the impacts of extreme weather events.</x:v>
      </x:c>
    </x:row>
    <x:row r="208" ht="66" customHeight="1">
      <x:c r="A208" s="165" t="str">
        <x:v>icare_0178</x:v>
      </x:c>
      <x:c r="B208" s="159" t="str">
        <x:v>Redirect urban development through climate‑risk spatial planning</x:v>
      </x:c>
      <x:c r="C208" s="159" t="str">
        <x:v>Water resources</x:v>
      </x:c>
      <x:c r="D208" s="159" t="str">
        <x:v>Vulnerability</x:v>
      </x:c>
      <x:c r="E208" s="153" t="str"/>
      <x:c r="F208" s="153" t="str"/>
      <x:c r="G208" s="159" t="str">
        <x:v>Eligible</x:v>
      </x:c>
      <x:c r="H208" s="159" t="str">
        <x:v>Low</x:v>
      </x:c>
      <x:c r="I208" s="159" t="str">
        <x:v>Complete (2/2)</x:v>
      </x:c>
      <x:c r="J208" s="159" t="str">
        <x:v>Moderate</x:v>
      </x:c>
      <x:c r="K208" s="159" t="str">
        <x:v>No</x:v>
      </x:c>
      <x:c r="L208" s="159" t="str">
        <x:v>&lt;5 years</x:v>
      </x:c>
      <x:c r="M208" s="168" t="n">
        <x:v>1</x:v>
      </x:c>
      <x:c r="N208" s="168" t="n">
        <x:v>8</x:v>
      </x:c>
      <x:c r="O208" s="159" t="str"/>
      <x:c r="P208" s="159" t="str">
        <x:v>Investments in adaptation policies | Resilient cities program</x:v>
      </x:c>
      <x:c r="Q208" s="159" t="str">
        <x:v>Conservative eligibility screen: the action's stated mechanism has a plausible direct pathway to Investments in adaptation policies, Resilient cities program. Evidence determines whether the effect is demonstrated and in which direction.</x:v>
      </x:c>
      <x:c r="R208" s="160" t="str">
        <x:v>Mapping of critical flood-prone areas with the aim of revising and harmonizing legislation related to land use, given the intensification of the impacts of extreme weather events.</x:v>
      </x:c>
    </x:row>
    <x:row r="209" ht="66" customHeight="1">
      <x:c r="A209" s="165" t="str">
        <x:v>ipcc_0085</x:v>
      </x:c>
      <x:c r="B209" s="159" t="str">
        <x:v>Reduce pressures on ecosystems to build resilience</x:v>
      </x:c>
      <x:c r="C209" s="159" t="str">
        <x:v>Water resources</x:v>
      </x:c>
      <x:c r="D209" s="159" t="str">
        <x:v>Vulnerability</x:v>
      </x:c>
      <x:c r="E209" s="153" t="str"/>
      <x:c r="F209" s="153" t="str"/>
      <x:c r="G209" s="159" t="str">
        <x:v>Eligible</x:v>
      </x:c>
      <x:c r="H209" s="159" t="str">
        <x:v>High</x:v>
      </x:c>
      <x:c r="I209" s="159" t="str">
        <x:v>Complete (5/5)</x:v>
      </x:c>
      <x:c r="J209" s="159" t="str">
        <x:v>Broad</x:v>
      </x:c>
      <x:c r="K209" s="159" t="str">
        <x:v>No</x:v>
      </x:c>
      <x:c r="L209" s="159" t="str">
        <x:v>5-10 years</x:v>
      </x:c>
      <x:c r="M209" s="168" t="n">
        <x:v>3</x:v>
      </x:c>
      <x:c r="N209" s="168" t="n">
        <x:v>8</x:v>
      </x:c>
      <x:c r="O209" s="159" t="str"/>
      <x:c r="P209" s="159" t="str">
        <x:v>Water quality | Degraded and/or deforested areas | Areas with soils susceptible to erosion | Ecological flow for ecosystem uses | Nature reserve</x:v>
      </x:c>
      <x:c r="Q209" s="159" t="str">
        <x:v>Conservative eligibility screen: the action's stated mechanism has a plausible direct pathway to Water quality, Degraded and/or deforested areas, Areas with soils susceptible to erosion, Ecological flow for ecosystem uses, Nature reserve. Evidence determines whether the effect is demonstrated and in which direction.</x:v>
      </x:c>
      <x:c r="R209" s="160" t="str">
        <x:v>Reduce pollution, eutrophication, and anthropogenic pressures on natural systems, including marine and terrestrial ecosystems. Efforts include managing runoff, protecting sensitive habitats like the Great Barrier Reef, addressing non-climate drivers, promoting sustainable fisheries harvest, and increasing connectivity between natural areas to enhance ecosystem resilience.</x:v>
      </x:c>
    </x:row>
    <x:row r="210" ht="66" customHeight="1">
      <x:c r="A210" s="165" t="str">
        <x:v>c40_0062</x:v>
      </x:c>
      <x:c r="B210" s="159" t="str">
        <x:v>Reform water tariffs to support efficiency and equity</x:v>
      </x:c>
      <x:c r="C210" s="159" t="str">
        <x:v>Water resources</x:v>
      </x:c>
      <x:c r="D210" s="159" t="str">
        <x:v>Vulnerability</x:v>
      </x:c>
      <x:c r="E210" s="153" t="str"/>
      <x:c r="F210" s="153" t="str"/>
      <x:c r="G210" s="159" t="str">
        <x:v>Eligible</x:v>
      </x:c>
      <x:c r="H210" s="159" t="str">
        <x:v>Medium</x:v>
      </x:c>
      <x:c r="I210" s="159" t="str">
        <x:v>Complete (2/2)</x:v>
      </x:c>
      <x:c r="J210" s="159" t="str">
        <x:v>Moderate</x:v>
      </x:c>
      <x:c r="K210" s="159" t="str">
        <x:v>No</x:v>
      </x:c>
      <x:c r="L210" s="159" t="str">
        <x:v>5-10 years</x:v>
      </x:c>
      <x:c r="M210" s="168" t="n">
        <x:v>1</x:v>
      </x:c>
      <x:c r="N210" s="168" t="n">
        <x:v>8</x:v>
      </x:c>
      <x:c r="O210" s="159" t="str"/>
      <x:c r="P210" s="159" t="str">
        <x:v>Average per capita water consumption | Income not affected by water prices</x:v>
      </x:c>
      <x:c r="Q210" s="159" t="str">
        <x:v>Conservative eligibility screen: the action's stated mechanism has a plausible direct pathway to Average per capita water consumption, Income not affected by water prices. Evidence determines whether the effect is demonstrated and in which direction.</x:v>
      </x:c>
      <x:c r="R210" s="160" t="str">
        <x:v>"Reform water tariffs to support efficiency and equity" involve pricing structures for water use, encouraging conservation and efficient use of water resources. This initiative aims to promote responsible water consumption and contribute to sustainable water management.</x:v>
      </x:c>
    </x:row>
    <x:row r="211" ht="66" customHeight="1">
      <x:c r="A211" s="165" t="str">
        <x:v>icare_0181</x:v>
      </x:c>
      <x:c r="B211" s="159" t="str">
        <x:v>Restore in Vulnerable Areas</x:v>
      </x:c>
      <x:c r="C211" s="159" t="str">
        <x:v>Water resources</x:v>
      </x:c>
      <x:c r="D211" s="159" t="str">
        <x:v>Exposure</x:v>
      </x:c>
      <x:c r="E211" s="153" t="str"/>
      <x:c r="F211" s="153" t="str"/>
      <x:c r="G211" s="159" t="str">
        <x:v>Eligible</x:v>
      </x:c>
      <x:c r="H211" s="159" t="str">
        <x:v>Medium</x:v>
      </x:c>
      <x:c r="I211" s="159" t="str">
        <x:v>Complete (3/3)</x:v>
      </x:c>
      <x:c r="J211" s="159" t="str">
        <x:v>Moderate</x:v>
      </x:c>
      <x:c r="K211" s="159" t="str">
        <x:v>No</x:v>
      </x:c>
      <x:c r="L211" s="159" t="str">
        <x:v>5-10 years</x:v>
      </x:c>
      <x:c r="M211" s="168" t="n">
        <x:v>1</x:v>
      </x:c>
      <x:c r="N211" s="168" t="n">
        <x:v>8</x:v>
      </x:c>
      <x:c r="O211" s="159" t="str"/>
      <x:c r="P211" s="159" t="str">
        <x:v>Population density | Urban users exposed | Exposed rural users</x:v>
      </x:c>
      <x:c r="Q211" s="159" t="str">
        <x:v>Conservative eligibility screen: the action's stated mechanism has a plausible direct pathway to Population density, Urban users exposed, Exposed rural users. Evidence determines whether the effect is demonstrated and in which direction.</x:v>
      </x:c>
      <x:c r="R211" s="160" t="str">
        <x:v>A comprehensive project addressing the socio-environmental vulnerability of an informal settlement. It includes relocating residents from flood-prone areas, restoring the environment, and providing infrastructure and social services.</x:v>
      </x:c>
    </x:row>
    <x:row r="212" ht="66" customHeight="1">
      <x:c r="A212" s="165" t="str">
        <x:v>icare_0181</x:v>
      </x:c>
      <x:c r="B212" s="159" t="str">
        <x:v>Restore in Vulnerable Areas</x:v>
      </x:c>
      <x:c r="C212" s="159" t="str">
        <x:v>Water resources</x:v>
      </x:c>
      <x:c r="D212" s="159" t="str">
        <x:v>Vulnerability</x:v>
      </x:c>
      <x:c r="E212" s="153" t="str"/>
      <x:c r="F212" s="153" t="str"/>
      <x:c r="G212" s="159" t="str">
        <x:v>Eligible</x:v>
      </x:c>
      <x:c r="H212" s="159" t="str">
        <x:v>Medium</x:v>
      </x:c>
      <x:c r="I212" s="159" t="str">
        <x:v>Complete (4/4)</x:v>
      </x:c>
      <x:c r="J212" s="159" t="str">
        <x:v>Broad</x:v>
      </x:c>
      <x:c r="K212" s="159" t="str">
        <x:v>No</x:v>
      </x:c>
      <x:c r="L212" s="159" t="str">
        <x:v>5-10 years</x:v>
      </x:c>
      <x:c r="M212" s="168" t="n">
        <x:v>3</x:v>
      </x:c>
      <x:c r="N212" s="168" t="n">
        <x:v>8</x:v>
      </x:c>
      <x:c r="O212" s="159" t="str"/>
      <x:c r="P212" s="159" t="str">
        <x:v>Diseases due to inadequate sanitation | Water quality | Degraded and/or deforested areas | Municipal basic sanitation plan</x:v>
      </x:c>
      <x:c r="Q212" s="159" t="str">
        <x:v>Conservative eligibility screen: the action's stated mechanism has a plausible direct pathway to Diseases due to inadequate sanitation, Water quality, Degraded and/or deforested areas, Municipal basic sanitation plan. Evidence determines whether the effect is demonstrated and in which direction.</x:v>
      </x:c>
      <x:c r="R212" s="160" t="str">
        <x:v>A comprehensive project addressing the socio-environmental vulnerability of an informal settlement. It includes relocating residents from flood-prone areas, restoring the environment, and providing infrastructure and social services.</x:v>
      </x:c>
    </x:row>
    <x:row r="213" ht="66" customHeight="1">
      <x:c r="A213" s="165" t="str">
        <x:v>ipcc_0084</x:v>
      </x:c>
      <x:c r="B213" s="159" t="str">
        <x:v>Restore/create natural areas</x:v>
      </x:c>
      <x:c r="C213" s="159" t="str">
        <x:v>Water resources</x:v>
      </x:c>
      <x:c r="D213" s="159" t="str">
        <x:v>Vulnerability</x:v>
      </x:c>
      <x:c r="E213" s="153" t="str"/>
      <x:c r="F213" s="153" t="str"/>
      <x:c r="G213" s="159" t="str">
        <x:v>Eligible</x:v>
      </x:c>
      <x:c r="H213" s="159" t="str">
        <x:v>High</x:v>
      </x:c>
      <x:c r="I213" s="159" t="str">
        <x:v>Complete (5/5)</x:v>
      </x:c>
      <x:c r="J213" s="159" t="str">
        <x:v>Broad</x:v>
      </x:c>
      <x:c r="K213" s="159" t="str">
        <x:v>No</x:v>
      </x:c>
      <x:c r="L213" s="159" t="str">
        <x:v>5-10 years</x:v>
      </x:c>
      <x:c r="M213" s="168" t="n">
        <x:v>3</x:v>
      </x:c>
      <x:c r="N213" s="168" t="n">
        <x:v>8</x:v>
      </x:c>
      <x:c r="O213" s="159" t="str"/>
      <x:c r="P213" s="159" t="str">
        <x:v>Water quality | Degraded and/or deforested areas | Areas with soils susceptible to erosion | Ecological flow for ecosystem uses | Nature reserve</x:v>
      </x:c>
      <x:c r="Q213" s="159" t="str">
        <x:v>Conservative eligibility screen: the action's stated mechanism has a plausible direct pathway to Water quality, Degraded and/or deforested areas, Areas with soils susceptible to erosion, Ecological flow for ecosystem uses, Nature reserve. Evidence determines whether the effect is demonstrated and in which direction.</x:v>
      </x:c>
      <x:c r="R213" s="160" t="str">
        <x:v>Restoration and conservation of marine and coastal habitats, such as mangroves, vegetated dunes, seagrasses, coral reefs, and kelp forests, to protect coastal communities, support biodiversity, sequester carbon, and mitigate climate change. Efforts include creating marine protected areas, active restoration of coral reefs, ridge-to-reef management, restoring dunes, planting salinity-tolerant trees, increasing forest cover, detect and manage forest pests.</x:v>
      </x:c>
    </x:row>
    <x:row r="214" ht="66" customHeight="1">
      <x:c r="A214" s="165" t="str">
        <x:v>ipcc_0089</x:v>
      </x:c>
      <x:c r="B214" s="159" t="str">
        <x:v>Spatially redirect development</x:v>
      </x:c>
      <x:c r="C214" s="159" t="str">
        <x:v>Water resources</x:v>
      </x:c>
      <x:c r="D214" s="159" t="str">
        <x:v>Exposure</x:v>
      </x:c>
      <x:c r="E214" s="153" t="str"/>
      <x:c r="F214" s="153" t="str"/>
      <x:c r="G214" s="159" t="str">
        <x:v>Eligible</x:v>
      </x:c>
      <x:c r="H214" s="159" t="str">
        <x:v>None demonstrated</x:v>
      </x:c>
      <x:c r="I214" s="159" t="str">
        <x:v>None (0/3)</x:v>
      </x:c>
      <x:c r="J214" s="159" t="str">
        <x:v>None</x:v>
      </x:c>
      <x:c r="K214" s="159" t="str">
        <x:v>No</x:v>
      </x:c>
      <x:c r="L214" s="159" t="str">
        <x:v>5-10 years</x:v>
      </x:c>
      <x:c r="M214" s="168" t="n">
        <x:v>0</x:v>
      </x:c>
      <x:c r="N214" s="168" t="n">
        <x:v>8</x:v>
      </x:c>
      <x:c r="O214" s="159" t="str"/>
      <x:c r="P214" s="159" t="str">
        <x:v>Population density | Urban users exposed | Exposed rural users</x:v>
      </x:c>
      <x:c r="Q214" s="159" t="str">
        <x:v>Conservative eligibility screen: the action's stated mechanism has a plausible direct pathway to Population density, Urban users exposed, Exposed rural users. Evidence determines whether the effect is demonstrated and in which direction.</x:v>
      </x:c>
      <x:c r="R214" s="160" t="str">
        <x:v>Use zoning and land-use planning to regulate coastal development by implementing spatial development strategies that consider environmental vulnerabilities, protect ecosystems, and mitigate risks from flooding, heatwaves, and sea-level rise. This includes ensuring that development is directed away from high-risk areas, integrating climate adaptation considerations into urban planning, and promoting sustainable practices to close adaptation gaps while addressing urban inequality.</x:v>
      </x:c>
    </x:row>
    <x:row r="215" ht="66" customHeight="1">
      <x:c r="A215" s="165" t="str">
        <x:v>ipcc_0089</x:v>
      </x:c>
      <x:c r="B215" s="159" t="str">
        <x:v>Spatially redirect development</x:v>
      </x:c>
      <x:c r="C215" s="159" t="str">
        <x:v>Water resources</x:v>
      </x:c>
      <x:c r="D215" s="159" t="str">
        <x:v>Vulnerability</x:v>
      </x:c>
      <x:c r="E215" s="153" t="str"/>
      <x:c r="F215" s="153" t="str"/>
      <x:c r="G215" s="159" t="str">
        <x:v>Eligible</x:v>
      </x:c>
      <x:c r="H215" s="159" t="str">
        <x:v>Low</x:v>
      </x:c>
      <x:c r="I215" s="159" t="str">
        <x:v>Complete (2/2)</x:v>
      </x:c>
      <x:c r="J215" s="159" t="str">
        <x:v>Moderate</x:v>
      </x:c>
      <x:c r="K215" s="159" t="str">
        <x:v>No</x:v>
      </x:c>
      <x:c r="L215" s="159" t="str">
        <x:v>5-10 years</x:v>
      </x:c>
      <x:c r="M215" s="168" t="n">
        <x:v>1</x:v>
      </x:c>
      <x:c r="N215" s="168" t="n">
        <x:v>8</x:v>
      </x:c>
      <x:c r="O215" s="159" t="str"/>
      <x:c r="P215" s="159" t="str">
        <x:v>Investments in adaptation policies | Resilient cities program</x:v>
      </x:c>
      <x:c r="Q215" s="159" t="str">
        <x:v>Conservative eligibility screen: the action's stated mechanism has a plausible direct pathway to Investments in adaptation policies, Resilient cities program. Evidence determines whether the effect is demonstrated and in which direction.</x:v>
      </x:c>
      <x:c r="R215" s="160" t="str">
        <x:v>Use zoning and land-use planning to regulate coastal development by implementing spatial development strategies that consider environmental vulnerabilities, protect ecosystems, and mitigate risks from flooding, heatwaves, and sea-level rise. This includes ensuring that development is directed away from high-risk areas, integrating climate adaptation considerations into urban planning, and promoting sustainable practices to close adaptation gaps while addressing urban inequality.</x:v>
      </x:c>
    </x:row>
    <x:row r="216" ht="66" customHeight="1">
      <x:c r="A216" s="165" t="str">
        <x:v>ipcc_0096</x:v>
      </x:c>
      <x:c r="B216" s="159" t="str">
        <x:v>Strengthen climate resilience in farming and fisheries</x:v>
      </x:c>
      <x:c r="C216" s="159" t="str">
        <x:v>Water resources</x:v>
      </x:c>
      <x:c r="D216" s="159" t="str">
        <x:v>Vulnerability</x:v>
      </x:c>
      <x:c r="E216" s="153" t="str"/>
      <x:c r="F216" s="153" t="str"/>
      <x:c r="G216" s="159" t="str">
        <x:v>Eligible</x:v>
      </x:c>
      <x:c r="H216" s="159" t="str">
        <x:v>Medium</x:v>
      </x:c>
      <x:c r="I216" s="159" t="str">
        <x:v>Partial (1/2)</x:v>
      </x:c>
      <x:c r="J216" s="159" t="str">
        <x:v>Moderate</x:v>
      </x:c>
      <x:c r="K216" s="159" t="str">
        <x:v>No</x:v>
      </x:c>
      <x:c r="L216" s="159" t="str">
        <x:v>5-10 years</x:v>
      </x:c>
      <x:c r="M216" s="168" t="n">
        <x:v>1</x:v>
      </x:c>
      <x:c r="N216" s="168" t="n">
        <x:v>8</x:v>
      </x:c>
      <x:c r="O216" s="159" t="str"/>
      <x:c r="P216" s="159" t="str">
        <x:v>Water balance for agriculture | Drought-related prevention actions</x:v>
      </x:c>
      <x:c r="Q216" s="159" t="str">
        <x:v>Conservative eligibility screen: the action's stated mechanism has a plausible direct pathway to Water balance for agriculture, Drought-related prevention actions. Evidence determines whether the effect is demonstrated and in which direction.</x:v>
      </x:c>
      <x:c r="R216" s="160" t="str">
        <x:v>Support the adoption of climate-smart agricultural and aquaculture practices by creating enabling conditions for farmers and fishers. Municipal governments can promote improved breeds, feed, and fertilizers, enhance irrigation efficiency, and foster aquaculture resilience through extension services, research partnerships, and targeted procurement. By offering incentives, technical assistance, and facilitating access to innovation and finance, cities can help producers adopt agroecological systems, diversify crops, and strengthen sustainable practices that build resilience to climate impacts.</x:v>
      </x:c>
    </x:row>
    <x:row r="217" ht="66" customHeight="1">
      <x:c r="A217" s="165" t="str">
        <x:v>ipcc_0094</x:v>
      </x:c>
      <x:c r="B217" s="159" t="str">
        <x:v>Strengthen climate‑resilient health services</x:v>
      </x:c>
      <x:c r="C217" s="159" t="str">
        <x:v>Water resources</x:v>
      </x:c>
      <x:c r="D217" s="159" t="str">
        <x:v>Vulnerability</x:v>
      </x:c>
      <x:c r="E217" s="153" t="str"/>
      <x:c r="F217" s="153" t="str"/>
      <x:c r="G217" s="159" t="str">
        <x:v>Eligible</x:v>
      </x:c>
      <x:c r="H217" s="159" t="str">
        <x:v>None demonstrated</x:v>
      </x:c>
      <x:c r="I217" s="159" t="str">
        <x:v>None (0/1)</x:v>
      </x:c>
      <x:c r="J217" s="159" t="str">
        <x:v>None</x:v>
      </x:c>
      <x:c r="K217" s="159" t="str">
        <x:v>No</x:v>
      </x:c>
      <x:c r="L217" s="159" t="str">
        <x:v>5-10 years</x:v>
      </x:c>
      <x:c r="M217" s="168" t="n">
        <x:v>0</x:v>
      </x:c>
      <x:c r="N217" s="168" t="n">
        <x:v>8</x:v>
      </x:c>
      <x:c r="O217" s="159" t="str"/>
      <x:c r="P217" s="159" t="str">
        <x:v>Diseases due to inadequate sanitation</x:v>
      </x:c>
      <x:c r="Q217" s="159" t="str">
        <x:v>Conservative eligibility screen: the action's stated mechanism has a plausible direct pathway to Diseases due to inadequate sanitation. Evidence determines whether the effect is demonstrated and in which direction.</x:v>
      </x:c>
      <x:c r="R217" s="160" t="str">
        <x:v>Enhancing access to health care services, including health and nutrition services, clean water, sanitation, and culturally appropriate mental health resources. Expanding telemedicine capabilities enables efficient health service delivery, particularly for remote and underserved populations. Strengthening basic public health systems and disaster preparedness can rapidly reduce vulnerability to climate-related health risks.</x:v>
      </x:c>
    </x:row>
    <x:row r="218" ht="66" customHeight="1">
      <x:c r="A218" s="165" t="str">
        <x:v>ipcc_0103</x:v>
      </x:c>
      <x:c r="B218" s="159" t="str">
        <x:v>Strengthen cooperative climate governance</x:v>
      </x:c>
      <x:c r="C218" s="159" t="str">
        <x:v>Water resources</x:v>
      </x:c>
      <x:c r="D218" s="159" t="str">
        <x:v>Vulnerability</x:v>
      </x:c>
      <x:c r="E218" s="153" t="str"/>
      <x:c r="F218" s="153" t="str"/>
      <x:c r="G218" s="159" t="str">
        <x:v>Eligible</x:v>
      </x:c>
      <x:c r="H218" s="159" t="str">
        <x:v>Low</x:v>
      </x:c>
      <x:c r="I218" s="159" t="str">
        <x:v>Complete (5/5)</x:v>
      </x:c>
      <x:c r="J218" s="159" t="str">
        <x:v>Moderate</x:v>
      </x:c>
      <x:c r="K218" s="159" t="str">
        <x:v>No</x:v>
      </x:c>
      <x:c r="L218" s="159" t="str">
        <x:v>5-10 years</x:v>
      </x:c>
      <x:c r="M218" s="168" t="n">
        <x:v>1</x:v>
      </x:c>
      <x:c r="N218" s="168" t="n">
        <x:v>8</x:v>
      </x:c>
      <x:c r="O218" s="159" t="str"/>
      <x:c r="P218" s="159" t="str">
        <x:v>Level of activity in basin committees | Drought-related prevention actions | Investments in water resources | Investments in adaptation policies | Resilient cities program</x:v>
      </x:c>
      <x:c r="Q218" s="159" t="str">
        <x:v>Conservative eligibility screen: the action's stated mechanism has a plausible direct pathway to Level of activity in basin committees, Drought-related prevention actions, Investments in water resources, Investments in adaptation policies, Resilient cities program. Evidence determines whether the effect is demonstrated and in which direction.</x:v>
      </x:c>
      <x:c r="R218" s="160" t="str">
        <x:v>Enhancing cooperative governance through transboundary fishing agreements and inclusive ocean governance. This involves participatory approaches, structured decision-making tools, and decentralized frameworks that couple top-down management with community-driven initiatives. Additional strategies include collective water management systems to optimize resource use under climate-induced variability, indigenous water-sharing systems rooted in traditional practices to ensure sustainable and equitable resource allocation, and enforcing the land rights of Indigenous populations to protect biodiversity and cultural heritage. Adaptive co-management in Arctic fisheries integrates local and scientific knowledge to address climate impacts on marine resources. The international compact on migration fosters orderly and safe migration as an adaptive response to climate risks, and policies for adaptive governance promote ecosystem-based solutions, legal frameworks, and institutional adaptations to enhance resilience to climate change. These combined measures address geopolitical complexities, ensure equitable resource distribution, and strengthen resilience to climate-induced hazards.</x:v>
      </x:c>
    </x:row>
    <x:row r="219" ht="66" customHeight="1">
      <x:c r="A219" s="165" t="str">
        <x:v>icare_0162</x:v>
      </x:c>
      <x:c r="B219" s="159" t="str">
        <x:v>Strengthen programs for control and conservation of protected areas</x:v>
      </x:c>
      <x:c r="C219" s="159" t="str">
        <x:v>Water resources</x:v>
      </x:c>
      <x:c r="D219" s="159" t="str">
        <x:v>Vulnerability</x:v>
      </x:c>
      <x:c r="E219" s="153" t="str"/>
      <x:c r="F219" s="153" t="str"/>
      <x:c r="G219" s="159" t="str">
        <x:v>Eligible</x:v>
      </x:c>
      <x:c r="H219" s="159" t="str">
        <x:v>Medium</x:v>
      </x:c>
      <x:c r="I219" s="159" t="str">
        <x:v>Complete (3/3)</x:v>
      </x:c>
      <x:c r="J219" s="159" t="str">
        <x:v>Moderate</x:v>
      </x:c>
      <x:c r="K219" s="159" t="str">
        <x:v>No</x:v>
      </x:c>
      <x:c r="L219" s="159" t="str">
        <x:v>5-10 years</x:v>
      </x:c>
      <x:c r="M219" s="168" t="n">
        <x:v>1</x:v>
      </x:c>
      <x:c r="N219" s="168" t="n">
        <x:v>8</x:v>
      </x:c>
      <x:c r="O219" s="159" t="str"/>
      <x:c r="P219" s="159" t="str">
        <x:v>Degraded and/or deforested areas | Ecological flow for ecosystem uses | Nature reserve</x:v>
      </x:c>
      <x:c r="Q219" s="159" t="str">
        <x:v>Conservative eligibility screen: the action's stated mechanism has a plausible direct pathway to Degraded and/or deforested areas, Ecological flow for ecosystem uses, Nature reserve. Evidence determines whether the effect is demonstrated and in which direction.</x:v>
      </x:c>
      <x:c r="R219" s="160" t="str">
        <x:v>This action focuses on implementing a series of integrated strategies to enhance environmental conservation and maximize its benefits, such as expanding protected areas, developing management plans for conservation units, and training ecotourism guides to strengthen sustainable tourism.</x:v>
      </x:c>
    </x:row>
    <x:row r="220" ht="66" customHeight="1">
      <x:c r="A220" s="165" t="str">
        <x:v>ipcc_0091</x:v>
      </x:c>
      <x:c r="B220" s="159" t="str">
        <x:v>Support livelihood diversification for climate resilience</x:v>
      </x:c>
      <x:c r="C220" s="159" t="str">
        <x:v>Water resources</x:v>
      </x:c>
      <x:c r="D220" s="159" t="str">
        <x:v>Vulnerability</x:v>
      </x:c>
      <x:c r="E220" s="153" t="str"/>
      <x:c r="F220" s="153" t="str"/>
      <x:c r="G220" s="159" t="str">
        <x:v>Eligible</x:v>
      </x:c>
      <x:c r="H220" s="159" t="str">
        <x:v>Medium</x:v>
      </x:c>
      <x:c r="I220" s="159" t="str">
        <x:v>Complete (4/4)</x:v>
      </x:c>
      <x:c r="J220" s="159" t="str">
        <x:v>Moderate</x:v>
      </x:c>
      <x:c r="K220" s="159" t="str">
        <x:v>No</x:v>
      </x:c>
      <x:c r="L220" s="159" t="str">
        <x:v>&lt;5 years</x:v>
      </x:c>
      <x:c r="M220" s="168" t="n">
        <x:v>1</x:v>
      </x:c>
      <x:c r="N220" s="168" t="n">
        <x:v>8</x:v>
      </x:c>
      <x:c r="O220" s="159" t="str"/>
      <x:c r="P220" s="159" t="str">
        <x:v>Agricultural participation in GDP | Industrial participation in GDP | Income not affected by water prices | Income greater than two minimum wages</x:v>
      </x:c>
      <x:c r="Q220" s="159" t="str">
        <x:v>Conservative eligibility screen: the action's stated mechanism has a plausible direct pathway to Agricultural participation in GDP, Industrial participation in GDP, Income not affected by water prices, Income greater than two minimum wages. Evidence determines whether the effect is demonstrated and in which direction.</x:v>
      </x:c>
      <x:c r="R220" s="160" t="str">
        <x:v>Promote alternative income opportunities to reduce the vulnerability of communities dependent on fisheries and mariculture. Municipal governments can facilitate training, microcredit programs, and connections to value chains that enable diversification into eco-tourism, agro-processing, crafts, and service sectors. By supporting infrastructure upgrades, skills development, and access to finance, cities can help stabilize incomes, strengthen local economies, and protect livelihoods from the impacts of shifting marine species distributions and climate variability.</x:v>
      </x:c>
    </x:row>
    <x:row r="221" ht="66" customHeight="1">
      <x:c r="A221" s="165" t="str">
        <x:v>ipcc_0088</x:v>
      </x:c>
      <x:c r="B221" s="159" t="str">
        <x:v>Update and enforce climate‑resilient building codes</x:v>
      </x:c>
      <x:c r="C221" s="159" t="str">
        <x:v>Water resources</x:v>
      </x:c>
      <x:c r="D221" s="159" t="str">
        <x:v>Vulnerability</x:v>
      </x:c>
      <x:c r="E221" s="153" t="str"/>
      <x:c r="F221" s="153" t="str"/>
      <x:c r="G221" s="159" t="str">
        <x:v>Eligible</x:v>
      </x:c>
      <x:c r="H221" s="159" t="str">
        <x:v>Low</x:v>
      </x:c>
      <x:c r="I221" s="159" t="str">
        <x:v>Complete (4/4)</x:v>
      </x:c>
      <x:c r="J221" s="159" t="str">
        <x:v>Moderate</x:v>
      </x:c>
      <x:c r="K221" s="159" t="str">
        <x:v>No</x:v>
      </x:c>
      <x:c r="L221" s="159" t="str">
        <x:v>5-10 years</x:v>
      </x:c>
      <x:c r="M221" s="168" t="n">
        <x:v>1</x:v>
      </x:c>
      <x:c r="N221" s="168" t="n">
        <x:v>8</x:v>
      </x:c>
      <x:c r="O221" s="159" t="str"/>
      <x:c r="P221" s="159" t="str">
        <x:v>Dam and mining safety | Municipal basic sanitation plan | Investments in adaptation policies | Resilient cities program</x:v>
      </x:c>
      <x:c r="Q221" s="159" t="str">
        <x:v>Conservative eligibility screen: the action's stated mechanism has a plausible direct pathway to Dam and mining safety, Municipal basic sanitation plan, Investments in adaptation policies, Resilient cities program. Evidence determines whether the effect is demonstrated and in which direction.</x:v>
      </x:c>
      <x:c r="R221" s="160" t="str">
        <x:v>The development and implementation of building codes and architectural design regulations aimed at integrating climate adaptation parameters. These codes are focused on reducing risks from climate-induced hazards like floods and landslides. They also support climate-resilient urban development by guiding land use, construction practices, and infrastructure standards. The initiative fosters strategic long-term urban planning to coordinate public and private investments in adaptation, including the creation of safe zones and the transformation of precarious settlements. It ensures that new infrastructure is resilient to climate risks and that urban spaces are safe and sustainable for current and future populations.</x:v>
      </x:c>
    </x:row>
    <x:row r="222" ht="66" customHeight="1">
      <x:c r="A222" s="165" t="str">
        <x:v>icare_0184</x:v>
      </x:c>
      <x:c r="B222" s="159" t="str">
        <x:v>Upgrade Slope stabilization and drainage</x:v>
      </x:c>
      <x:c r="C222" s="159" t="str">
        <x:v>Water resources</x:v>
      </x:c>
      <x:c r="D222" s="159" t="str">
        <x:v>Vulnerability</x:v>
      </x:c>
      <x:c r="E222" s="153" t="str"/>
      <x:c r="F222" s="153" t="str"/>
      <x:c r="G222" s="159" t="str">
        <x:v>Eligible</x:v>
      </x:c>
      <x:c r="H222" s="159" t="str">
        <x:v>Medium</x:v>
      </x:c>
      <x:c r="I222" s="159" t="str">
        <x:v>Complete (3/3)</x:v>
      </x:c>
      <x:c r="J222" s="159" t="str">
        <x:v>Broad</x:v>
      </x:c>
      <x:c r="K222" s="159" t="str">
        <x:v>No</x:v>
      </x:c>
      <x:c r="L222" s="159" t="str">
        <x:v>5-10 years</x:v>
      </x:c>
      <x:c r="M222" s="168" t="n">
        <x:v>2</x:v>
      </x:c>
      <x:c r="N222" s="168" t="n">
        <x:v>8</x:v>
      </x:c>
      <x:c r="O222" s="159" t="str"/>
      <x:c r="P222" s="159" t="str">
        <x:v>Water quality | Areas with soils susceptible to erosion | Municipal basic sanitation plan</x:v>
      </x:c>
      <x:c r="Q222" s="159" t="str">
        <x:v>Conservative eligibility screen: the action's stated mechanism has a plausible direct pathway to Water quality, Areas with soils susceptible to erosion, Municipal basic sanitation plan. Evidence determines whether the effect is demonstrated and in which direction.</x:v>
      </x:c>
      <x:c r="R222" s="160" t="str">
        <x:v>This action involves stabilizing slopes and maintaining or restoring drainage systems in hillside areas. This helps to prevent landslides and erosion, reducing the risk of disasters.</x:v>
      </x:c>
    </x:row>
    <x:row r="223" ht="66" customHeight="1">
      <x:c r="A223" s="165" t="str">
        <x:v>c40_0048</x:v>
      </x:c>
      <x:c r="B223" s="159" t="str">
        <x:v>Upgrade urban drainage systems</x:v>
      </x:c>
      <x:c r="C223" s="159" t="str">
        <x:v>Water resources</x:v>
      </x:c>
      <x:c r="D223" s="159" t="str">
        <x:v>Vulnerability</x:v>
      </x:c>
      <x:c r="E223" s="153" t="str"/>
      <x:c r="F223" s="153" t="str"/>
      <x:c r="G223" s="159" t="str">
        <x:v>Eligible</x:v>
      </x:c>
      <x:c r="H223" s="159" t="str">
        <x:v>None demonstrated</x:v>
      </x:c>
      <x:c r="I223" s="159" t="str">
        <x:v>None (0/2)</x:v>
      </x:c>
      <x:c r="J223" s="159" t="str">
        <x:v>None</x:v>
      </x:c>
      <x:c r="K223" s="159" t="str">
        <x:v>No</x:v>
      </x:c>
      <x:c r="L223" s="159" t="str">
        <x:v>5-10 years</x:v>
      </x:c>
      <x:c r="M223" s="168" t="n">
        <x:v>0</x:v>
      </x:c>
      <x:c r="N223" s="168" t="n">
        <x:v>8</x:v>
      </x:c>
      <x:c r="O223" s="159" t="str"/>
      <x:c r="P223" s="159" t="str">
        <x:v>Diseases due to inadequate sanitation | Water quality</x:v>
      </x:c>
      <x:c r="Q223" s="159" t="str">
        <x:v>Conservative eligibility screen: the action's stated mechanism has a plausible direct pathway to Diseases due to inadequate sanitation, Water quality. Evidence determines whether the effect is demonstrated and in which direction.</x:v>
      </x:c>
      <x:c r="R223" s="160" t="str">
        <x:v>"Upgrade urban drainage systems" involves eco-engineering solutions to enhance drainage systems, through capacity upgrade and network expansion. This adaptation measure aims to improve urban resilience by minimizing the impact of extreme weather events such as flooding.</x:v>
      </x:c>
    </x:row>
    <x:row r="224" ht="66" customHeight="1">
      <x:c r="A224" s="165" t="str">
        <x:v>c40_0049</x:v>
      </x:c>
      <x:c r="B224" s="159" t="str">
        <x:v>Build and maintain shelters for critical climate hazards</x:v>
      </x:c>
      <x:c r="C224" s="159" t="str">
        <x:v>Biodiversity</x:v>
      </x:c>
      <x:c r="D224" s="159" t="str">
        <x:v>Exposure</x:v>
      </x:c>
      <x:c r="E224" s="153" t="str"/>
      <x:c r="F224" s="153" t="str"/>
      <x:c r="G224" s="159" t="str">
        <x:v>Not eligible</x:v>
      </x:c>
      <x:c r="H224" s="159" t="str">
        <x:v>Not applicable</x:v>
      </x:c>
      <x:c r="I224" s="159" t="str">
        <x:v>Not applicable</x:v>
      </x:c>
      <x:c r="J224" s="159" t="str">
        <x:v>Not applicable</x:v>
      </x:c>
      <x:c r="K224" s="159" t="str">
        <x:v>No</x:v>
      </x:c>
      <x:c r="L224" s="159" t="str">
        <x:v>&lt;5 years</x:v>
      </x:c>
      <x:c r="M224" s="168" t="n">
        <x:v>0</x:v>
      </x:c>
      <x:c r="N224" s="168" t="n">
        <x:v>0</x:v>
      </x:c>
      <x:c r="O224" s="159" t="str"/>
      <x:c r="P224" s="159" t="str"/>
      <x:c r="Q224" s="159" t="str">
        <x:v>The action's primary mechanism does not directly change a terminal Biodiversity exposure indicator.</x:v>
      </x:c>
      <x:c r="R224" s="160" t="str">
        <x:v>"Build and maintain shelters for critical climate hazards" involves building and maintaining shelters in high-risk areas to protect residents during extreme weather events such as floods, cyclones, storms, landslides, extreme heat events or other critical climate hazards. Shelters should meet resilient design standards, including wind- and flood-resistant construction, and be strategically located to maximize accessibility for vulnerable populations. Where possible, shelters can serve multipurpose roles as schools or community centers. Clear funding mechanisms and defined responsibilities for operations and maintenance are essential to ensure long-term reliability and effectiveness.</x:v>
      </x:c>
    </x:row>
    <x:row r="225" ht="66" customHeight="1">
      <x:c r="A225" s="165" t="str">
        <x:v>c40_0049</x:v>
      </x:c>
      <x:c r="B225" s="159" t="str">
        <x:v>Build and maintain shelters for critical climate hazards</x:v>
      </x:c>
      <x:c r="C225" s="159" t="str">
        <x:v>Biodiversity</x:v>
      </x:c>
      <x:c r="D225" s="159" t="str">
        <x:v>Vulnerability</x:v>
      </x:c>
      <x:c r="E225" s="153" t="str"/>
      <x:c r="F225" s="153" t="str"/>
      <x:c r="G225" s="159" t="str">
        <x:v>Not eligible</x:v>
      </x:c>
      <x:c r="H225" s="159" t="str">
        <x:v>Not applicable</x:v>
      </x:c>
      <x:c r="I225" s="159" t="str">
        <x:v>Not applicable</x:v>
      </x:c>
      <x:c r="J225" s="159" t="str">
        <x:v>Not applicable</x:v>
      </x:c>
      <x:c r="K225" s="159" t="str">
        <x:v>No</x:v>
      </x:c>
      <x:c r="L225" s="159" t="str">
        <x:v>&lt;5 years</x:v>
      </x:c>
      <x:c r="M225" s="168" t="n">
        <x:v>0</x:v>
      </x:c>
      <x:c r="N225" s="168" t="n">
        <x:v>0</x:v>
      </x:c>
      <x:c r="O225" s="159" t="str"/>
      <x:c r="P225" s="159" t="str"/>
      <x:c r="Q225" s="159" t="str">
        <x:v>The action's primary mechanism does not directly change a terminal Biodiversity vulnerability indicator.</x:v>
      </x:c>
      <x:c r="R225" s="160" t="str">
        <x:v>"Build and maintain shelters for critical climate hazards" involves building and maintaining shelters in high-risk areas to protect residents during extreme weather events such as floods, cyclones, storms, landslides, extreme heat events or other critical climate hazards. Shelters should meet resilient design standards, including wind- and flood-resistant construction, and be strategically located to maximize accessibility for vulnerable populations. Where possible, shelters can serve multipurpose roles as schools or community centers. Clear funding mechanisms and defined responsibilities for operations and maintenance are essential to ensure long-term reliability and effectiveness.</x:v>
      </x:c>
    </x:row>
    <x:row r="226" ht="66" customHeight="1">
      <x:c r="A226" s="165" t="str">
        <x:v>icare_0170</x:v>
      </x:c>
      <x:c r="B226" s="159" t="str">
        <x:v>Build safe housing and implement urban rehabilitation projects for populations living in high-risk areas</x:v>
      </x:c>
      <x:c r="C226" s="159" t="str">
        <x:v>Biodiversity</x:v>
      </x:c>
      <x:c r="D226" s="159" t="str">
        <x:v>Exposure</x:v>
      </x:c>
      <x:c r="E226" s="153" t="str"/>
      <x:c r="F226" s="153" t="str"/>
      <x:c r="G226" s="159" t="str">
        <x:v>Not eligible</x:v>
      </x:c>
      <x:c r="H226" s="159" t="str">
        <x:v>Not applicable</x:v>
      </x:c>
      <x:c r="I226" s="159" t="str">
        <x:v>Not applicable</x:v>
      </x:c>
      <x:c r="J226" s="159" t="str">
        <x:v>Not applicable</x:v>
      </x:c>
      <x:c r="K226" s="159" t="str">
        <x:v>No</x:v>
      </x:c>
      <x:c r="L226" s="159" t="str">
        <x:v>&gt;10 years</x:v>
      </x:c>
      <x:c r="M226" s="168" t="n">
        <x:v>0</x:v>
      </x:c>
      <x:c r="N226" s="168" t="n">
        <x:v>0</x:v>
      </x:c>
      <x:c r="O226" s="159" t="str"/>
      <x:c r="P226" s="159" t="str"/>
      <x:c r="Q226" s="159" t="str">
        <x:v>The action's primary mechanism does not directly change a terminal Biodiversity exposure indicator.</x:v>
      </x:c>
      <x:c r="R226" s="160" t="str">
        <x:v>The priority of this action is to build safe housing and implement urban rehabilitation projects for the population living in areas prone to landslides and flooding, as the housing deficit is one of the main factors related to these threats. This will be implemented through the construction of new housing units in safe locations for family resettlement, and infrastructure upgrades like slope stabilization and improved drainage systems within vulnerable communities.</x:v>
      </x:c>
    </x:row>
    <x:row r="227" ht="66" customHeight="1">
      <x:c r="A227" s="165" t="str">
        <x:v>icare_0170</x:v>
      </x:c>
      <x:c r="B227" s="159" t="str">
        <x:v>Build safe housing and implement urban rehabilitation projects for populations living in high-risk areas</x:v>
      </x:c>
      <x:c r="C227" s="159" t="str">
        <x:v>Biodiversity</x:v>
      </x:c>
      <x:c r="D227" s="159" t="str">
        <x:v>Vulnerability</x:v>
      </x:c>
      <x:c r="E227" s="153" t="str"/>
      <x:c r="F227" s="153" t="str"/>
      <x:c r="G227" s="159" t="str">
        <x:v>Not eligible</x:v>
      </x:c>
      <x:c r="H227" s="159" t="str">
        <x:v>Not applicable</x:v>
      </x:c>
      <x:c r="I227" s="159" t="str">
        <x:v>Not applicable</x:v>
      </x:c>
      <x:c r="J227" s="159" t="str">
        <x:v>Not applicable</x:v>
      </x:c>
      <x:c r="K227" s="159" t="str">
        <x:v>No</x:v>
      </x:c>
      <x:c r="L227" s="159" t="str">
        <x:v>&gt;10 years</x:v>
      </x:c>
      <x:c r="M227" s="168" t="n">
        <x:v>0</x:v>
      </x:c>
      <x:c r="N227" s="168" t="n">
        <x:v>0</x:v>
      </x:c>
      <x:c r="O227" s="159" t="str"/>
      <x:c r="P227" s="159" t="str"/>
      <x:c r="Q227" s="159" t="str">
        <x:v>The action's primary mechanism does not directly change a terminal Biodiversity vulnerability indicator.</x:v>
      </x:c>
      <x:c r="R227" s="160" t="str">
        <x:v>The priority of this action is to build safe housing and implement urban rehabilitation projects for the population living in areas prone to landslides and flooding, as the housing deficit is one of the main factors related to these threats. This will be implemented through the construction of new housing units in safe locations for family resettlement, and infrastructure upgrades like slope stabilization and improved drainage systems within vulnerable communities.</x:v>
      </x:c>
    </x:row>
    <x:row r="228" ht="66" customHeight="1">
      <x:c r="A228" s="165" t="str">
        <x:v>icare_0154</x:v>
      </x:c>
      <x:c r="B228" s="159" t="str">
        <x:v>Clean and unclog drainage channels and install eco-barriers</x:v>
      </x:c>
      <x:c r="C228" s="159" t="str">
        <x:v>Biodiversity</x:v>
      </x:c>
      <x:c r="D228" s="159" t="str">
        <x:v>Exposure</x:v>
      </x:c>
      <x:c r="E228" s="153" t="str"/>
      <x:c r="F228" s="153" t="str"/>
      <x:c r="G228" s="159" t="str">
        <x:v>Not eligible</x:v>
      </x:c>
      <x:c r="H228" s="159" t="str">
        <x:v>Not applicable</x:v>
      </x:c>
      <x:c r="I228" s="159" t="str">
        <x:v>Not applicable</x:v>
      </x:c>
      <x:c r="J228" s="159" t="str">
        <x:v>Not applicable</x:v>
      </x:c>
      <x:c r="K228" s="159" t="str">
        <x:v>No</x:v>
      </x:c>
      <x:c r="L228" s="159" t="str">
        <x:v>&lt;5 years</x:v>
      </x:c>
      <x:c r="M228" s="168" t="n">
        <x:v>0</x:v>
      </x:c>
      <x:c r="N228" s="168" t="n">
        <x:v>0</x:v>
      </x:c>
      <x:c r="O228" s="159" t="str"/>
      <x:c r="P228" s="159" t="str"/>
      <x:c r="Q228" s="159" t="str">
        <x:v>The action's primary mechanism does not directly change a terminal Biodiversity exposure indicator.</x:v>
      </x:c>
      <x:c r="R228" s="160" t="str">
        <x:v>Cleaning and unclogging channels in the city to reduce the risk of flooding caused by extreme rainfall events. Installation of eco-barriers to assist in cleaning efforts and raise awareness about solid waste.</x:v>
      </x:c>
    </x:row>
    <x:row r="229" ht="66" customHeight="1">
      <x:c r="A229" s="165" t="str">
        <x:v>icare_0154</x:v>
      </x:c>
      <x:c r="B229" s="159" t="str">
        <x:v>Clean and unclog drainage channels and install eco-barriers</x:v>
      </x:c>
      <x:c r="C229" s="159" t="str">
        <x:v>Biodiversity</x:v>
      </x:c>
      <x:c r="D229" s="159" t="str">
        <x:v>Vulnerability</x:v>
      </x:c>
      <x:c r="E229" s="153" t="str"/>
      <x:c r="F229" s="153" t="str"/>
      <x:c r="G229" s="159" t="str">
        <x:v>Not eligible</x:v>
      </x:c>
      <x:c r="H229" s="159" t="str">
        <x:v>Not applicable</x:v>
      </x:c>
      <x:c r="I229" s="159" t="str">
        <x:v>Not applicable</x:v>
      </x:c>
      <x:c r="J229" s="159" t="str">
        <x:v>Not applicable</x:v>
      </x:c>
      <x:c r="K229" s="159" t="str">
        <x:v>No</x:v>
      </x:c>
      <x:c r="L229" s="159" t="str">
        <x:v>&lt;5 years</x:v>
      </x:c>
      <x:c r="M229" s="168" t="n">
        <x:v>0</x:v>
      </x:c>
      <x:c r="N229" s="168" t="n">
        <x:v>0</x:v>
      </x:c>
      <x:c r="O229" s="159" t="str"/>
      <x:c r="P229" s="159" t="str"/>
      <x:c r="Q229" s="159" t="str">
        <x:v>The action's primary mechanism does not directly change a terminal Biodiversity vulnerability indicator.</x:v>
      </x:c>
      <x:c r="R229" s="160" t="str">
        <x:v>Cleaning and unclogging channels in the city to reduce the risk of flooding caused by extreme rainfall events. Installation of eco-barriers to assist in cleaning efforts and raise awareness about solid waste.</x:v>
      </x:c>
    </x:row>
    <x:row r="230" ht="66" customHeight="1">
      <x:c r="A230" s="165" t="str">
        <x:v>icare_0188</x:v>
      </x:c>
      <x:c r="B230" s="159" t="str">
        <x:v>Create an Environmental Health Surveillance Program related to Populations Exposed to Air Pollution, Noise Pollution, Water Pollution, and Soil Pollution.</x:v>
      </x:c>
      <x:c r="C230" s="159" t="str">
        <x:v>Biodiversity</x:v>
      </x:c>
      <x:c r="D230" s="159" t="str">
        <x:v>Exposure</x:v>
      </x:c>
      <x:c r="E230" s="153" t="str"/>
      <x:c r="F230" s="153" t="str"/>
      <x:c r="G230" s="159" t="str">
        <x:v>Not eligible</x:v>
      </x:c>
      <x:c r="H230" s="159" t="str">
        <x:v>Not applicable</x:v>
      </x:c>
      <x:c r="I230" s="159" t="str">
        <x:v>Not applicable</x:v>
      </x:c>
      <x:c r="J230" s="159" t="str">
        <x:v>Not applicable</x:v>
      </x:c>
      <x:c r="K230" s="159" t="str">
        <x:v>No</x:v>
      </x:c>
      <x:c r="L230" s="159" t="str">
        <x:v>5-10 years</x:v>
      </x:c>
      <x:c r="M230" s="168" t="n">
        <x:v>0</x:v>
      </x:c>
      <x:c r="N230" s="168" t="n">
        <x:v>0</x:v>
      </x:c>
      <x:c r="O230" s="159" t="str"/>
      <x:c r="P230" s="159" t="str"/>
      <x:c r="Q230" s="159" t="str">
        <x:v>The action's primary mechanism does not directly change a terminal Biodiversity exposure indicator.</x:v>
      </x:c>
      <x:c r="R230" s="160" t="str">
        <x:v>Develop actions aimed at promoting the health of the population exposed to environmental factors related to atmospheric, noise, and sanitation pollutants. Identify and evaluate the acute and chronic risks and effects of exposure to fixed and mobile sources of air, noise, water, and soil pollution, and act in the surveillance of diseases derived from these pollutants through physical units and work groups, especially among the most vulnerable people.</x:v>
      </x:c>
    </x:row>
    <x:row r="231" ht="66" customHeight="1">
      <x:c r="A231" s="165" t="str">
        <x:v>icare_0188</x:v>
      </x:c>
      <x:c r="B231" s="159" t="str">
        <x:v>Create an Environmental Health Surveillance Program related to Populations Exposed to Air Pollution, Noise Pollution, Water Pollution, and Soil Pollution.</x:v>
      </x:c>
      <x:c r="C231" s="159" t="str">
        <x:v>Biodiversity</x:v>
      </x:c>
      <x:c r="D231" s="159" t="str">
        <x:v>Vulnerability</x:v>
      </x:c>
      <x:c r="E231" s="153" t="str"/>
      <x:c r="F231" s="153" t="str"/>
      <x:c r="G231" s="159" t="str">
        <x:v>Not eligible</x:v>
      </x:c>
      <x:c r="H231" s="159" t="str">
        <x:v>Not applicable</x:v>
      </x:c>
      <x:c r="I231" s="159" t="str">
        <x:v>Not applicable</x:v>
      </x:c>
      <x:c r="J231" s="159" t="str">
        <x:v>Not applicable</x:v>
      </x:c>
      <x:c r="K231" s="159" t="str">
        <x:v>No</x:v>
      </x:c>
      <x:c r="L231" s="159" t="str">
        <x:v>5-10 years</x:v>
      </x:c>
      <x:c r="M231" s="168" t="n">
        <x:v>0</x:v>
      </x:c>
      <x:c r="N231" s="168" t="n">
        <x:v>0</x:v>
      </x:c>
      <x:c r="O231" s="159" t="str"/>
      <x:c r="P231" s="159" t="str"/>
      <x:c r="Q231" s="159" t="str">
        <x:v>The action's primary mechanism does not directly change a terminal Biodiversity vulnerability indicator.</x:v>
      </x:c>
      <x:c r="R231" s="160" t="str">
        <x:v>Develop actions aimed at promoting the health of the population exposed to environmental factors related to atmospheric, noise, and sanitation pollutants. Identify and evaluate the acute and chronic risks and effects of exposure to fixed and mobile sources of air, noise, water, and soil pollution, and act in the surveillance of diseases derived from these pollutants through physical units and work groups, especially among the most vulnerable people.</x:v>
      </x:c>
    </x:row>
    <x:row r="232" ht="66" customHeight="1">
      <x:c r="A232" s="165" t="str">
        <x:v>c40_0052</x:v>
      </x:c>
      <x:c r="B232" s="159" t="str">
        <x:v>Deploy cool pavements and cool roofs on heat‑exposed streets and buildings</x:v>
      </x:c>
      <x:c r="C232" s="159" t="str">
        <x:v>Biodiversity</x:v>
      </x:c>
      <x:c r="D232" s="159" t="str">
        <x:v>Exposure</x:v>
      </x:c>
      <x:c r="E232" s="153" t="str"/>
      <x:c r="F232" s="153" t="str"/>
      <x:c r="G232" s="159" t="str">
        <x:v>Not eligible</x:v>
      </x:c>
      <x:c r="H232" s="159" t="str">
        <x:v>Not applicable</x:v>
      </x:c>
      <x:c r="I232" s="159" t="str">
        <x:v>Not applicable</x:v>
      </x:c>
      <x:c r="J232" s="159" t="str">
        <x:v>Not applicable</x:v>
      </x:c>
      <x:c r="K232" s="159" t="str">
        <x:v>No</x:v>
      </x:c>
      <x:c r="L232" s="159" t="str">
        <x:v>5-10 years</x:v>
      </x:c>
      <x:c r="M232" s="168" t="n">
        <x:v>0</x:v>
      </x:c>
      <x:c r="N232" s="168" t="n">
        <x:v>0</x:v>
      </x:c>
      <x:c r="O232" s="159" t="str"/>
      <x:c r="P232" s="159" t="str"/>
      <x:c r="Q232" s="159" t="str">
        <x:v>The action's primary mechanism does not directly change a terminal Biodiversity exposure indicator.</x:v>
      </x:c>
      <x:c r="R232" s="160" t="str">
        <x:v>Introduce reflective coatings, light-colored materials, permeable surfaces and cool roofs in street paving and buildings to reduce heat absorption and mitigate the urban heat island effect. Municipal governments can pilot these approaches in the most heat-exposed areas, integrate them into routine street upgrades and public building refrofits, and assess cost–benefit outcomes to guide broader implementation. These measures improve thermal comfort, reduce energy demand for cooling, and enhance urban resilience to rising temperatures.</x:v>
      </x:c>
    </x:row>
    <x:row r="233" ht="66" customHeight="1">
      <x:c r="A233" s="165" t="str">
        <x:v>c40_0052</x:v>
      </x:c>
      <x:c r="B233" s="159" t="str">
        <x:v>Deploy cool pavements and cool roofs on heat‑exposed streets and buildings</x:v>
      </x:c>
      <x:c r="C233" s="159" t="str">
        <x:v>Biodiversity</x:v>
      </x:c>
      <x:c r="D233" s="159" t="str">
        <x:v>Vulnerability</x:v>
      </x:c>
      <x:c r="E233" s="153" t="str"/>
      <x:c r="F233" s="153" t="str"/>
      <x:c r="G233" s="159" t="str">
        <x:v>Not eligible</x:v>
      </x:c>
      <x:c r="H233" s="159" t="str">
        <x:v>Not applicable</x:v>
      </x:c>
      <x:c r="I233" s="159" t="str">
        <x:v>Not applicable</x:v>
      </x:c>
      <x:c r="J233" s="159" t="str">
        <x:v>Not applicable</x:v>
      </x:c>
      <x:c r="K233" s="159" t="str">
        <x:v>No</x:v>
      </x:c>
      <x:c r="L233" s="159" t="str">
        <x:v>5-10 years</x:v>
      </x:c>
      <x:c r="M233" s="168" t="n">
        <x:v>0</x:v>
      </x:c>
      <x:c r="N233" s="168" t="n">
        <x:v>0</x:v>
      </x:c>
      <x:c r="O233" s="159" t="str"/>
      <x:c r="P233" s="159" t="str"/>
      <x:c r="Q233" s="159" t="str">
        <x:v>The action's primary mechanism does not directly change a terminal Biodiversity vulnerability indicator.</x:v>
      </x:c>
      <x:c r="R233" s="160" t="str">
        <x:v>Introduce reflective coatings, light-colored materials, permeable surfaces and cool roofs in street paving and buildings to reduce heat absorption and mitigate the urban heat island effect. Municipal governments can pilot these approaches in the most heat-exposed areas, integrate them into routine street upgrades and public building refrofits, and assess cost–benefit outcomes to guide broader implementation. These measures improve thermal comfort, reduce energy demand for cooling, and enhance urban resilience to rising temperatures.</x:v>
      </x:c>
    </x:row>
    <x:row r="234" ht="66" customHeight="1">
      <x:c r="A234" s="165" t="str">
        <x:v>icare_0176</x:v>
      </x:c>
      <x:c r="B234" s="159" t="str">
        <x:v>Develop a Climate Action Plan</x:v>
      </x:c>
      <x:c r="C234" s="159" t="str">
        <x:v>Biodiversity</x:v>
      </x:c>
      <x:c r="D234" s="159" t="str">
        <x:v>Exposure</x:v>
      </x:c>
      <x:c r="E234" s="153" t="str"/>
      <x:c r="F234" s="153" t="str"/>
      <x:c r="G234" s="159" t="str">
        <x:v>Not eligible</x:v>
      </x:c>
      <x:c r="H234" s="159" t="str">
        <x:v>Not applicable</x:v>
      </x:c>
      <x:c r="I234" s="159" t="str">
        <x:v>Not applicable</x:v>
      </x:c>
      <x:c r="J234" s="159" t="str">
        <x:v>Not applicable</x:v>
      </x:c>
      <x:c r="K234" s="159" t="str">
        <x:v>No</x:v>
      </x:c>
      <x:c r="L234" s="159" t="str">
        <x:v>&lt;5 years</x:v>
      </x:c>
      <x:c r="M234" s="168" t="n">
        <x:v>0</x:v>
      </x:c>
      <x:c r="N234" s="168" t="n">
        <x:v>0</x:v>
      </x:c>
      <x:c r="O234" s="159" t="str"/>
      <x:c r="P234" s="159" t="str"/>
      <x:c r="Q234" s="159" t="str">
        <x:v>The action's primary mechanism does not directly change a terminal Biodiversity exposure indicator.</x:v>
      </x:c>
      <x:c r="R234" s="160" t="str">
        <x:v>A comprehensive plan outlining a city's strategies and actions to mitigate greenhouse gas emissions and adapt to the impacts of climate change which typically includes an assessment of the city's climate risks and vulnerabilities, setting emission reduction targets, and implementation of actions across various sectors such as energy, transportation, waste management, and urban planning.</x:v>
      </x:c>
    </x:row>
    <x:row r="235" ht="66" customHeight="1">
      <x:c r="A235" s="165" t="str">
        <x:v>icare_0176</x:v>
      </x:c>
      <x:c r="B235" s="159" t="str">
        <x:v>Develop a Climate Action Plan</x:v>
      </x:c>
      <x:c r="C235" s="159" t="str">
        <x:v>Biodiversity</x:v>
      </x:c>
      <x:c r="D235" s="159" t="str">
        <x:v>Vulnerability</x:v>
      </x:c>
      <x:c r="E235" s="153" t="str"/>
      <x:c r="F235" s="153" t="str"/>
      <x:c r="G235" s="159" t="str">
        <x:v>Not eligible</x:v>
      </x:c>
      <x:c r="H235" s="159" t="str">
        <x:v>Not applicable</x:v>
      </x:c>
      <x:c r="I235" s="159" t="str">
        <x:v>Not applicable</x:v>
      </x:c>
      <x:c r="J235" s="159" t="str">
        <x:v>Not applicable</x:v>
      </x:c>
      <x:c r="K235" s="159" t="str">
        <x:v>No</x:v>
      </x:c>
      <x:c r="L235" s="159" t="str">
        <x:v>&lt;5 years</x:v>
      </x:c>
      <x:c r="M235" s="168" t="n">
        <x:v>0</x:v>
      </x:c>
      <x:c r="N235" s="168" t="n">
        <x:v>0</x:v>
      </x:c>
      <x:c r="O235" s="159" t="str"/>
      <x:c r="P235" s="159" t="str"/>
      <x:c r="Q235" s="159" t="str">
        <x:v>The action's primary mechanism does not directly change a terminal Biodiversity vulnerability indicator.</x:v>
      </x:c>
      <x:c r="R235" s="160" t="str">
        <x:v>A comprehensive plan outlining a city's strategies and actions to mitigate greenhouse gas emissions and adapt to the impacts of climate change which typically includes an assessment of the city's climate risks and vulnerabilities, setting emission reduction targets, and implementation of actions across various sectors such as energy, transportation, waste management, and urban planning.</x:v>
      </x:c>
    </x:row>
    <x:row r="236" ht="66" customHeight="1">
      <x:c r="A236" s="165" t="str">
        <x:v>icare_0165</x:v>
      </x:c>
      <x:c r="B236" s="159" t="str">
        <x:v>Develop an Environmental Education Plan</x:v>
      </x:c>
      <x:c r="C236" s="159" t="str">
        <x:v>Biodiversity</x:v>
      </x:c>
      <x:c r="D236" s="159" t="str">
        <x:v>Exposure</x:v>
      </x:c>
      <x:c r="E236" s="153" t="str"/>
      <x:c r="F236" s="153" t="str"/>
      <x:c r="G236" s="159" t="str">
        <x:v>Not eligible</x:v>
      </x:c>
      <x:c r="H236" s="159" t="str">
        <x:v>Not applicable</x:v>
      </x:c>
      <x:c r="I236" s="159" t="str">
        <x:v>Not applicable</x:v>
      </x:c>
      <x:c r="J236" s="159" t="str">
        <x:v>Not applicable</x:v>
      </x:c>
      <x:c r="K236" s="159" t="str">
        <x:v>No</x:v>
      </x:c>
      <x:c r="L236" s="159" t="str">
        <x:v>&lt;5 years</x:v>
      </x:c>
      <x:c r="M236" s="168" t="n">
        <x:v>0</x:v>
      </x:c>
      <x:c r="N236" s="168" t="n">
        <x:v>0</x:v>
      </x:c>
      <x:c r="O236" s="159" t="str"/>
      <x:c r="P236" s="159" t="str"/>
      <x:c r="Q236" s="159" t="str">
        <x:v>The action's primary mechanism does not directly change a terminal Biodiversity exposure indicator.</x:v>
      </x:c>
      <x:c r="R236" s="160" t="str">
        <x:v>Design and implement a comprehensive environmental education plan that fosters climate literacy and awareness across schools, communities, and the media. Municipal governments can organize workshops, awareness campaigns, and nature-based activities such as tree planting to reconnect residents with their environment. The plan should integrate themes of climate change, adaptation, mitigation, and climate justice, with particular attention to youth, women, and vulnerable groups. By embedding equity and inclusion, cities can strengthen long-term engagement and empower communities to take part in climate action.</x:v>
      </x:c>
    </x:row>
    <x:row r="237" ht="66" customHeight="1">
      <x:c r="A237" s="165" t="str">
        <x:v>icare_0172</x:v>
      </x:c>
      <x:c r="B237" s="159" t="str">
        <x:v>Develop and implement the Municipal Risk Reduction Plan (PMRR) and identify population groups vulnerable to climate risks.</x:v>
      </x:c>
      <x:c r="C237" s="159" t="str">
        <x:v>Biodiversity</x:v>
      </x:c>
      <x:c r="D237" s="159" t="str">
        <x:v>Exposure</x:v>
      </x:c>
      <x:c r="E237" s="153" t="str"/>
      <x:c r="F237" s="153" t="str"/>
      <x:c r="G237" s="159" t="str">
        <x:v>Not eligible</x:v>
      </x:c>
      <x:c r="H237" s="159" t="str">
        <x:v>Not applicable</x:v>
      </x:c>
      <x:c r="I237" s="159" t="str">
        <x:v>Not applicable</x:v>
      </x:c>
      <x:c r="J237" s="159" t="str">
        <x:v>Not applicable</x:v>
      </x:c>
      <x:c r="K237" s="159" t="str">
        <x:v>No</x:v>
      </x:c>
      <x:c r="L237" s="159" t="str">
        <x:v>&lt;5 years</x:v>
      </x:c>
      <x:c r="M237" s="168" t="n">
        <x:v>0</x:v>
      </x:c>
      <x:c r="N237" s="168" t="n">
        <x:v>0</x:v>
      </x:c>
      <x:c r="O237" s="159" t="str"/>
      <x:c r="P237" s="159" t="str"/>
      <x:c r="Q237" s="159" t="str">
        <x:v>The action's primary mechanism does not directly change a terminal Biodiversity exposure indicator.</x:v>
      </x:c>
      <x:c r="R237" s="160" t="str">
        <x:v>This action aims to strengthen the development of the Municipal Risk Reduction Plan (PMRR) in the municipality, as it is a highly relevant tool for managing climate risks, especially river floods and landslides.</x:v>
      </x:c>
    </x:row>
    <x:row r="238" ht="66" customHeight="1">
      <x:c r="A238" s="165" t="str">
        <x:v>icare_0172</x:v>
      </x:c>
      <x:c r="B238" s="159" t="str">
        <x:v>Develop and implement the Municipal Risk Reduction Plan (PMRR) and identify population groups vulnerable to climate risks.</x:v>
      </x:c>
      <x:c r="C238" s="159" t="str">
        <x:v>Biodiversity</x:v>
      </x:c>
      <x:c r="D238" s="159" t="str">
        <x:v>Vulnerability</x:v>
      </x:c>
      <x:c r="E238" s="153" t="str"/>
      <x:c r="F238" s="153" t="str"/>
      <x:c r="G238" s="159" t="str">
        <x:v>Not eligible</x:v>
      </x:c>
      <x:c r="H238" s="159" t="str">
        <x:v>Not applicable</x:v>
      </x:c>
      <x:c r="I238" s="159" t="str">
        <x:v>Not applicable</x:v>
      </x:c>
      <x:c r="J238" s="159" t="str">
        <x:v>Not applicable</x:v>
      </x:c>
      <x:c r="K238" s="159" t="str">
        <x:v>No</x:v>
      </x:c>
      <x:c r="L238" s="159" t="str">
        <x:v>&lt;5 years</x:v>
      </x:c>
      <x:c r="M238" s="168" t="n">
        <x:v>0</x:v>
      </x:c>
      <x:c r="N238" s="168" t="n">
        <x:v>0</x:v>
      </x:c>
      <x:c r="O238" s="159" t="str"/>
      <x:c r="P238" s="159" t="str"/>
      <x:c r="Q238" s="159" t="str">
        <x:v>The action's primary mechanism does not directly change a terminal Biodiversity vulnerability indicator.</x:v>
      </x:c>
      <x:c r="R238" s="160" t="str">
        <x:v>This action aims to strengthen the development of the Municipal Risk Reduction Plan (PMRR) in the municipality, as it is a highly relevant tool for managing climate risks, especially river floods and landslides.</x:v>
      </x:c>
    </x:row>
    <x:row r="239" ht="66" customHeight="1">
      <x:c r="A239" s="165" t="str">
        <x:v>icare_0144</x:v>
      </x:c>
      <x:c r="B239" s="159" t="str">
        <x:v>Establish a financial support program for extreme weather events</x:v>
      </x:c>
      <x:c r="C239" s="159" t="str">
        <x:v>Biodiversity</x:v>
      </x:c>
      <x:c r="D239" s="159" t="str">
        <x:v>Exposure</x:v>
      </x:c>
      <x:c r="E239" s="153" t="str"/>
      <x:c r="F239" s="153" t="str"/>
      <x:c r="G239" s="159" t="str">
        <x:v>Not eligible</x:v>
      </x:c>
      <x:c r="H239" s="159" t="str">
        <x:v>Not applicable</x:v>
      </x:c>
      <x:c r="I239" s="159" t="str">
        <x:v>Not applicable</x:v>
      </x:c>
      <x:c r="J239" s="159" t="str">
        <x:v>Not applicable</x:v>
      </x:c>
      <x:c r="K239" s="159" t="str">
        <x:v>No</x:v>
      </x:c>
      <x:c r="L239" s="159" t="str">
        <x:v>&lt;5 years</x:v>
      </x:c>
      <x:c r="M239" s="168" t="n">
        <x:v>0</x:v>
      </x:c>
      <x:c r="N239" s="168" t="n">
        <x:v>0</x:v>
      </x:c>
      <x:c r="O239" s="159" t="str"/>
      <x:c r="P239" s="159" t="str"/>
      <x:c r="Q239" s="159" t="str">
        <x:v>The action's primary mechanism does not directly change a terminal Biodiversity exposure indicator.</x:v>
      </x:c>
      <x:c r="R239" s="160" t="str">
        <x:v>Creation of a program to mitigate the effects of climate tragedies, including financial assistance to affected families, efforts to increase access to affordable hazard insurance, and efforts to secure additional resources for recovery and reconstruction, including partnerships with state and federal government bodies. Recovery and reconstruction measures should include adaptive measures with the emphasis on build back better to withstand future hazards and helping residents retrofit buildings.</x:v>
      </x:c>
    </x:row>
    <x:row r="240" ht="66" customHeight="1">
      <x:c r="A240" s="165" t="str">
        <x:v>icare_0144</x:v>
      </x:c>
      <x:c r="B240" s="159" t="str">
        <x:v>Establish a financial support program for extreme weather events</x:v>
      </x:c>
      <x:c r="C240" s="159" t="str">
        <x:v>Biodiversity</x:v>
      </x:c>
      <x:c r="D240" s="159" t="str">
        <x:v>Vulnerability</x:v>
      </x:c>
      <x:c r="E240" s="153" t="str"/>
      <x:c r="F240" s="153" t="str"/>
      <x:c r="G240" s="159" t="str">
        <x:v>Not eligible</x:v>
      </x:c>
      <x:c r="H240" s="159" t="str">
        <x:v>Not applicable</x:v>
      </x:c>
      <x:c r="I240" s="159" t="str">
        <x:v>Not applicable</x:v>
      </x:c>
      <x:c r="J240" s="159" t="str">
        <x:v>Not applicable</x:v>
      </x:c>
      <x:c r="K240" s="159" t="str">
        <x:v>No</x:v>
      </x:c>
      <x:c r="L240" s="159" t="str">
        <x:v>&lt;5 years</x:v>
      </x:c>
      <x:c r="M240" s="168" t="n">
        <x:v>0</x:v>
      </x:c>
      <x:c r="N240" s="168" t="n">
        <x:v>0</x:v>
      </x:c>
      <x:c r="O240" s="159" t="str"/>
      <x:c r="P240" s="159" t="str"/>
      <x:c r="Q240" s="159" t="str">
        <x:v>The action's primary mechanism does not directly change a terminal Biodiversity vulnerability indicator.</x:v>
      </x:c>
      <x:c r="R240" s="160" t="str">
        <x:v>Creation of a program to mitigate the effects of climate tragedies, including financial assistance to affected families, efforts to increase access to affordable hazard insurance, and efforts to secure additional resources for recovery and reconstruction, including partnerships with state and federal government bodies. Recovery and reconstruction measures should include adaptive measures with the emphasis on build back better to withstand future hazards and helping residents retrofit buildings.</x:v>
      </x:c>
    </x:row>
    <x:row r="241" ht="66" customHeight="1">
      <x:c r="A241" s="165" t="str">
        <x:v>icare_0163</x:v>
      </x:c>
      <x:c r="B241" s="159" t="str">
        <x:v>Establish a first‑response firefighting brigade</x:v>
      </x:c>
      <x:c r="C241" s="159" t="str">
        <x:v>Biodiversity</x:v>
      </x:c>
      <x:c r="D241" s="159" t="str">
        <x:v>Exposure</x:v>
      </x:c>
      <x:c r="E241" s="153" t="str"/>
      <x:c r="F241" s="153" t="str"/>
      <x:c r="G241" s="159" t="str">
        <x:v>Not eligible</x:v>
      </x:c>
      <x:c r="H241" s="159" t="str">
        <x:v>Not applicable</x:v>
      </x:c>
      <x:c r="I241" s="159" t="str">
        <x:v>Not applicable</x:v>
      </x:c>
      <x:c r="J241" s="159" t="str">
        <x:v>Not applicable</x:v>
      </x:c>
      <x:c r="K241" s="159" t="str">
        <x:v>No</x:v>
      </x:c>
      <x:c r="L241" s="159" t="str">
        <x:v>&lt;5 years</x:v>
      </x:c>
      <x:c r="M241" s="168" t="n">
        <x:v>0</x:v>
      </x:c>
      <x:c r="N241" s="168" t="n">
        <x:v>0</x:v>
      </x:c>
      <x:c r="O241" s="159" t="str"/>
      <x:c r="P241" s="159" t="str"/>
      <x:c r="Q241" s="159" t="str">
        <x:v>The action's primary mechanism does not directly change a terminal Biodiversity exposure indicator.</x:v>
      </x:c>
      <x:c r="R241" s="160" t="str">
        <x:v>Creation of a First Response Brigade in rural communities to provide them with training and equipment for fire prevention and firefighting.</x:v>
      </x:c>
    </x:row>
    <x:row r="242" ht="66" customHeight="1">
      <x:c r="A242" s="165" t="str">
        <x:v>icare_0169</x:v>
      </x:c>
      <x:c r="B242" s="159" t="str">
        <x:v>Establish a Plan for Preparation and Emergency Response Measures in the event of extreme weather events</x:v>
      </x:c>
      <x:c r="C242" s="159" t="str">
        <x:v>Biodiversity</x:v>
      </x:c>
      <x:c r="D242" s="159" t="str">
        <x:v>Exposure</x:v>
      </x:c>
      <x:c r="E242" s="153" t="str"/>
      <x:c r="F242" s="153" t="str"/>
      <x:c r="G242" s="159" t="str">
        <x:v>Not eligible</x:v>
      </x:c>
      <x:c r="H242" s="159" t="str">
        <x:v>Not applicable</x:v>
      </x:c>
      <x:c r="I242" s="159" t="str">
        <x:v>Not applicable</x:v>
      </x:c>
      <x:c r="J242" s="159" t="str">
        <x:v>Not applicable</x:v>
      </x:c>
      <x:c r="K242" s="159" t="str">
        <x:v>No</x:v>
      </x:c>
      <x:c r="L242" s="159" t="str">
        <x:v>5-10 years</x:v>
      </x:c>
      <x:c r="M242" s="168" t="n">
        <x:v>0</x:v>
      </x:c>
      <x:c r="N242" s="168" t="n">
        <x:v>0</x:v>
      </x:c>
      <x:c r="O242" s="159" t="str"/>
      <x:c r="P242" s="159" t="str"/>
      <x:c r="Q242" s="159" t="str">
        <x:v>The action's primary mechanism does not directly change a terminal Biodiversity exposure indicator.</x:v>
      </x:c>
      <x:c r="R242" s="160" t="str">
        <x:v>This action focuses on preparing the municipality to respond to extreme events, aiming to provide a rapid response that minimizes the impacts on the population.</x:v>
      </x:c>
    </x:row>
    <x:row r="243" ht="66" customHeight="1">
      <x:c r="A243" s="165" t="str">
        <x:v>icare_0169</x:v>
      </x:c>
      <x:c r="B243" s="159" t="str">
        <x:v>Establish a Plan for Preparation and Emergency Response Measures in the event of extreme weather events</x:v>
      </x:c>
      <x:c r="C243" s="159" t="str">
        <x:v>Biodiversity</x:v>
      </x:c>
      <x:c r="D243" s="159" t="str">
        <x:v>Vulnerability</x:v>
      </x:c>
      <x:c r="E243" s="153" t="str"/>
      <x:c r="F243" s="153" t="str"/>
      <x:c r="G243" s="159" t="str">
        <x:v>Not eligible</x:v>
      </x:c>
      <x:c r="H243" s="159" t="str">
        <x:v>Not applicable</x:v>
      </x:c>
      <x:c r="I243" s="159" t="str">
        <x:v>Not applicable</x:v>
      </x:c>
      <x:c r="J243" s="159" t="str">
        <x:v>Not applicable</x:v>
      </x:c>
      <x:c r="K243" s="159" t="str">
        <x:v>No</x:v>
      </x:c>
      <x:c r="L243" s="159" t="str">
        <x:v>5-10 years</x:v>
      </x:c>
      <x:c r="M243" s="168" t="n">
        <x:v>0</x:v>
      </x:c>
      <x:c r="N243" s="168" t="n">
        <x:v>0</x:v>
      </x:c>
      <x:c r="O243" s="159" t="str"/>
      <x:c r="P243" s="159" t="str"/>
      <x:c r="Q243" s="159" t="str">
        <x:v>The action's primary mechanism does not directly change a terminal Biodiversity vulnerability indicator.</x:v>
      </x:c>
      <x:c r="R243" s="160" t="str">
        <x:v>This action focuses on preparing the municipality to respond to extreme events, aiming to provide a rapid response that minimizes the impacts on the population.</x:v>
      </x:c>
    </x:row>
    <x:row r="244" ht="66" customHeight="1">
      <x:c r="A244" s="165" t="str">
        <x:v>icare_0160</x:v>
      </x:c>
      <x:c r="B244" s="159" t="str">
        <x:v>Establish mechanisms for intersectoral coordination and public participation in climate policy</x:v>
      </x:c>
      <x:c r="C244" s="159" t="str">
        <x:v>Biodiversity</x:v>
      </x:c>
      <x:c r="D244" s="159" t="str">
        <x:v>Exposure</x:v>
      </x:c>
      <x:c r="E244" s="153" t="str"/>
      <x:c r="F244" s="153" t="str"/>
      <x:c r="G244" s="159" t="str">
        <x:v>Not eligible</x:v>
      </x:c>
      <x:c r="H244" s="159" t="str">
        <x:v>Not applicable</x:v>
      </x:c>
      <x:c r="I244" s="159" t="str">
        <x:v>Not applicable</x:v>
      </x:c>
      <x:c r="J244" s="159" t="str">
        <x:v>Not applicable</x:v>
      </x:c>
      <x:c r="K244" s="159" t="str">
        <x:v>No</x:v>
      </x:c>
      <x:c r="L244" s="159" t="str">
        <x:v>&lt;5 years</x:v>
      </x:c>
      <x:c r="M244" s="168" t="n">
        <x:v>0</x:v>
      </x:c>
      <x:c r="N244" s="168" t="n">
        <x:v>0</x:v>
      </x:c>
      <x:c r="O244" s="159" t="str"/>
      <x:c r="P244" s="159" t="str"/>
      <x:c r="Q244" s="159" t="str">
        <x:v>The action's primary mechanism does not directly change a terminal Biodiversity exposure indicator.</x:v>
      </x:c>
      <x:c r="R244" s="160" t="str">
        <x:v>Establish more mechanisms that enable better intersectoral coordination and public participation in climate policy, including the creation of working groups with neighboring municipalities to discuss a common climate agenda.</x:v>
      </x:c>
    </x:row>
    <x:row r="245" ht="66" customHeight="1">
      <x:c r="A245" s="165" t="str">
        <x:v>ipcc_0090</x:v>
      </x:c>
      <x:c r="B245" s="159" t="str">
        <x:v>Expand climate risk insurance coverage</x:v>
      </x:c>
      <x:c r="C245" s="159" t="str">
        <x:v>Biodiversity</x:v>
      </x:c>
      <x:c r="D245" s="159" t="str">
        <x:v>Exposure</x:v>
      </x:c>
      <x:c r="E245" s="153" t="str"/>
      <x:c r="F245" s="153" t="str"/>
      <x:c r="G245" s="159" t="str">
        <x:v>Not eligible</x:v>
      </x:c>
      <x:c r="H245" s="159" t="str">
        <x:v>Not applicable</x:v>
      </x:c>
      <x:c r="I245" s="159" t="str">
        <x:v>Not applicable</x:v>
      </x:c>
      <x:c r="J245" s="159" t="str">
        <x:v>Not applicable</x:v>
      </x:c>
      <x:c r="K245" s="159" t="str">
        <x:v>No</x:v>
      </x:c>
      <x:c r="L245" s="159" t="str">
        <x:v>&lt;5 years</x:v>
      </x:c>
      <x:c r="M245" s="168" t="n">
        <x:v>0</x:v>
      </x:c>
      <x:c r="N245" s="168" t="n">
        <x:v>0</x:v>
      </x:c>
      <x:c r="O245" s="159" t="str"/>
      <x:c r="P245" s="159" t="str"/>
      <x:c r="Q245" s="159" t="str">
        <x:v>The action's primary mechanism does not directly change a terminal Biodiversity exposure indicator.</x:v>
      </x:c>
      <x:c r="R245" s="160" t="str">
        <x:v>Insurance provides financial risk management tools tailored to climate-induced challenges. This includes traditional agricultural insurance to protect farmers from weather-related losses and innovative index-based insurance solutions. Index-based insurance leverages measurable weather indices, such as rainfall or temperature, to trigger payouts automatically when thresholds are reached, bypassing the need for loss verification. These tools help stabilize incomes, encourage investment in climate-resilient practices, and reduce the economic vulnerability of stakeholders in agriculture, aquaculture, and energy sectors. Furthermore, bundled insurance products with additional services like fertilizer or seed access enhance overall resilience, particularly in underserved and rural communities. By mitigating risks associated with droughts, floods, and storms, insurance supports sustainable development and adaptation goals</x:v>
      </x:c>
    </x:row>
    <x:row r="246" ht="66" customHeight="1">
      <x:c r="A246" s="165" t="str">
        <x:v>ipcc_0090</x:v>
      </x:c>
      <x:c r="B246" s="159" t="str">
        <x:v>Expand climate risk insurance coverage</x:v>
      </x:c>
      <x:c r="C246" s="159" t="str">
        <x:v>Biodiversity</x:v>
      </x:c>
      <x:c r="D246" s="159" t="str">
        <x:v>Vulnerability</x:v>
      </x:c>
      <x:c r="E246" s="153" t="str"/>
      <x:c r="F246" s="153" t="str"/>
      <x:c r="G246" s="159" t="str">
        <x:v>Not eligible</x:v>
      </x:c>
      <x:c r="H246" s="159" t="str">
        <x:v>Not applicable</x:v>
      </x:c>
      <x:c r="I246" s="159" t="str">
        <x:v>Not applicable</x:v>
      </x:c>
      <x:c r="J246" s="159" t="str">
        <x:v>Not applicable</x:v>
      </x:c>
      <x:c r="K246" s="159" t="str">
        <x:v>No</x:v>
      </x:c>
      <x:c r="L246" s="159" t="str">
        <x:v>&lt;5 years</x:v>
      </x:c>
      <x:c r="M246" s="168" t="n">
        <x:v>0</x:v>
      </x:c>
      <x:c r="N246" s="168" t="n">
        <x:v>0</x:v>
      </x:c>
      <x:c r="O246" s="159" t="str"/>
      <x:c r="P246" s="159" t="str"/>
      <x:c r="Q246" s="159" t="str">
        <x:v>The action's primary mechanism does not directly change a terminal Biodiversity vulnerability indicator.</x:v>
      </x:c>
      <x:c r="R246" s="160" t="str">
        <x:v>Insurance provides financial risk management tools tailored to climate-induced challenges. This includes traditional agricultural insurance to protect farmers from weather-related losses and innovative index-based insurance solutions. Index-based insurance leverages measurable weather indices, such as rainfall or temperature, to trigger payouts automatically when thresholds are reached, bypassing the need for loss verification. These tools help stabilize incomes, encourage investment in climate-resilient practices, and reduce the economic vulnerability of stakeholders in agriculture, aquaculture, and energy sectors. Furthermore, bundled insurance products with additional services like fertilizer or seed access enhance overall resilience, particularly in underserved and rural communities. By mitigating risks associated with droughts, floods, and storms, insurance supports sustainable development and adaptation goals</x:v>
      </x:c>
    </x:row>
    <x:row r="247" ht="66" customHeight="1">
      <x:c r="A247" s="165" t="str">
        <x:v>ipcc_0092</x:v>
      </x:c>
      <x:c r="B247" s="159" t="str">
        <x:v>Expand climate‑responsive social safety nets</x:v>
      </x:c>
      <x:c r="C247" s="159" t="str">
        <x:v>Biodiversity</x:v>
      </x:c>
      <x:c r="D247" s="159" t="str">
        <x:v>Exposure</x:v>
      </x:c>
      <x:c r="E247" s="153" t="str"/>
      <x:c r="F247" s="153" t="str"/>
      <x:c r="G247" s="159" t="str">
        <x:v>Not eligible</x:v>
      </x:c>
      <x:c r="H247" s="159" t="str">
        <x:v>Not applicable</x:v>
      </x:c>
      <x:c r="I247" s="159" t="str">
        <x:v>Not applicable</x:v>
      </x:c>
      <x:c r="J247" s="159" t="str">
        <x:v>Not applicable</x:v>
      </x:c>
      <x:c r="K247" s="159" t="str">
        <x:v>No</x:v>
      </x:c>
      <x:c r="L247" s="159" t="str">
        <x:v>5-10 years</x:v>
      </x:c>
      <x:c r="M247" s="168" t="n">
        <x:v>0</x:v>
      </x:c>
      <x:c r="N247" s="168" t="n">
        <x:v>0</x:v>
      </x:c>
      <x:c r="O247" s="159" t="str"/>
      <x:c r="P247" s="159" t="str"/>
      <x:c r="Q247" s="159" t="str">
        <x:v>The action's primary mechanism does not directly change a terminal Biodiversity exposure indicator.</x:v>
      </x:c>
      <x:c r="R247" s="160" t="str">
        <x:v>Social safety nets encompass adaptive social protection mechanisms to reduce food insecurity and malnutrition, especially for vulnerable populations. These include cash transfers, school feeding programs, public work initiatives, unemployment compensation, land reforms, credit and insurance schemes. Integrated approaches combine climate risk assessments with disaster risk reduction, education, and social equity to enhance resilience to climate stresses.</x:v>
      </x:c>
    </x:row>
    <x:row r="248" ht="66" customHeight="1">
      <x:c r="A248" s="165" t="str">
        <x:v>ipcc_0092</x:v>
      </x:c>
      <x:c r="B248" s="159" t="str">
        <x:v>Expand climate‑responsive social safety nets</x:v>
      </x:c>
      <x:c r="C248" s="159" t="str">
        <x:v>Biodiversity</x:v>
      </x:c>
      <x:c r="D248" s="159" t="str">
        <x:v>Vulnerability</x:v>
      </x:c>
      <x:c r="E248" s="153" t="str"/>
      <x:c r="F248" s="153" t="str"/>
      <x:c r="G248" s="159" t="str">
        <x:v>Not eligible</x:v>
      </x:c>
      <x:c r="H248" s="159" t="str">
        <x:v>Not applicable</x:v>
      </x:c>
      <x:c r="I248" s="159" t="str">
        <x:v>Not applicable</x:v>
      </x:c>
      <x:c r="J248" s="159" t="str">
        <x:v>Not applicable</x:v>
      </x:c>
      <x:c r="K248" s="159" t="str">
        <x:v>No</x:v>
      </x:c>
      <x:c r="L248" s="159" t="str">
        <x:v>5-10 years</x:v>
      </x:c>
      <x:c r="M248" s="168" t="n">
        <x:v>0</x:v>
      </x:c>
      <x:c r="N248" s="168" t="n">
        <x:v>0</x:v>
      </x:c>
      <x:c r="O248" s="159" t="str"/>
      <x:c r="P248" s="159" t="str"/>
      <x:c r="Q248" s="159" t="str">
        <x:v>The action's primary mechanism does not directly change a terminal Biodiversity vulnerability indicator.</x:v>
      </x:c>
      <x:c r="R248" s="160" t="str">
        <x:v>Social safety nets encompass adaptive social protection mechanisms to reduce food insecurity and malnutrition, especially for vulnerable populations. These include cash transfers, school feeding programs, public work initiatives, unemployment compensation, land reforms, credit and insurance schemes. Integrated approaches combine climate risk assessments with disaster risk reduction, education, and social equity to enhance resilience to climate stresses.</x:v>
      </x:c>
    </x:row>
    <x:row r="249" ht="66" customHeight="1">
      <x:c r="A249" s="165" t="str">
        <x:v>ipcc_0102</x:v>
      </x:c>
      <x:c r="B249" s="159" t="str">
        <x:v>Facilitate seasonal and temporary mobility strategies</x:v>
      </x:c>
      <x:c r="C249" s="159" t="str">
        <x:v>Biodiversity</x:v>
      </x:c>
      <x:c r="D249" s="159" t="str">
        <x:v>Exposure</x:v>
      </x:c>
      <x:c r="E249" s="153" t="str"/>
      <x:c r="F249" s="153" t="str"/>
      <x:c r="G249" s="159" t="str">
        <x:v>Not eligible</x:v>
      </x:c>
      <x:c r="H249" s="159" t="str">
        <x:v>Not applicable</x:v>
      </x:c>
      <x:c r="I249" s="159" t="str">
        <x:v>Not applicable</x:v>
      </x:c>
      <x:c r="J249" s="159" t="str">
        <x:v>Not applicable</x:v>
      </x:c>
      <x:c r="K249" s="159" t="str">
        <x:v>No</x:v>
      </x:c>
      <x:c r="L249" s="159" t="str">
        <x:v>5-10 years</x:v>
      </x:c>
      <x:c r="M249" s="168" t="n">
        <x:v>0</x:v>
      </x:c>
      <x:c r="N249" s="168" t="n">
        <x:v>0</x:v>
      </x:c>
      <x:c r="O249" s="159" t="str"/>
      <x:c r="P249" s="159" t="str"/>
      <x:c r="Q249" s="159" t="str">
        <x:v>The action's primary mechanism does not directly change a terminal Biodiversity exposure indicator.</x:v>
      </x:c>
      <x:c r="R249" s="160" t="str">
        <x:v>Facilitating mobility of fishing fleets and workers to adapt to shifting marine species distributions caused by climate change. This includes enabling seasonal or temporary migration to align with the availability of resources, improving infrastructure and technology to support mobility, and fostering flexible governance to manage transboundary resources sustainably. These actions aim to maintain livelihoods and reduce economic impacts of climate variability.</x:v>
      </x:c>
    </x:row>
    <x:row r="250" ht="66" customHeight="1">
      <x:c r="A250" s="165" t="str">
        <x:v>ipcc_0102</x:v>
      </x:c>
      <x:c r="B250" s="159" t="str">
        <x:v>Facilitate seasonal and temporary mobility strategies</x:v>
      </x:c>
      <x:c r="C250" s="159" t="str">
        <x:v>Biodiversity</x:v>
      </x:c>
      <x:c r="D250" s="159" t="str">
        <x:v>Vulnerability</x:v>
      </x:c>
      <x:c r="E250" s="153" t="str"/>
      <x:c r="F250" s="153" t="str"/>
      <x:c r="G250" s="159" t="str">
        <x:v>Not eligible</x:v>
      </x:c>
      <x:c r="H250" s="159" t="str">
        <x:v>Not applicable</x:v>
      </x:c>
      <x:c r="I250" s="159" t="str">
        <x:v>Not applicable</x:v>
      </x:c>
      <x:c r="J250" s="159" t="str">
        <x:v>Not applicable</x:v>
      </x:c>
      <x:c r="K250" s="159" t="str">
        <x:v>No</x:v>
      </x:c>
      <x:c r="L250" s="159" t="str">
        <x:v>5-10 years</x:v>
      </x:c>
      <x:c r="M250" s="168" t="n">
        <x:v>0</x:v>
      </x:c>
      <x:c r="N250" s="168" t="n">
        <x:v>0</x:v>
      </x:c>
      <x:c r="O250" s="159" t="str"/>
      <x:c r="P250" s="159" t="str"/>
      <x:c r="Q250" s="159" t="str">
        <x:v>The action's primary mechanism does not directly change a terminal Biodiversity vulnerability indicator.</x:v>
      </x:c>
      <x:c r="R250" s="160" t="str">
        <x:v>Facilitating mobility of fishing fleets and workers to adapt to shifting marine species distributions caused by climate change. This includes enabling seasonal or temporary migration to align with the availability of resources, improving infrastructure and technology to support mobility, and fostering flexible governance to manage transboundary resources sustainably. These actions aim to maintain livelihoods and reduce economic impacts of climate variability.</x:v>
      </x:c>
    </x:row>
    <x:row r="251" ht="66" customHeight="1">
      <x:c r="A251" s="165" t="str">
        <x:v>icare_0183</x:v>
      </x:c>
      <x:c r="B251" s="159" t="str">
        <x:v>Implement Multi-hazard Early Warning Systems (MH-EWS)</x:v>
      </x:c>
      <x:c r="C251" s="159" t="str">
        <x:v>Biodiversity</x:v>
      </x:c>
      <x:c r="D251" s="159" t="str">
        <x:v>Exposure</x:v>
      </x:c>
      <x:c r="E251" s="153" t="str"/>
      <x:c r="F251" s="153" t="str"/>
      <x:c r="G251" s="159" t="str">
        <x:v>Not eligible</x:v>
      </x:c>
      <x:c r="H251" s="159" t="str">
        <x:v>Not applicable</x:v>
      </x:c>
      <x:c r="I251" s="159" t="str">
        <x:v>Not applicable</x:v>
      </x:c>
      <x:c r="J251" s="159" t="str">
        <x:v>Not applicable</x:v>
      </x:c>
      <x:c r="K251" s="159" t="str">
        <x:v>No</x:v>
      </x:c>
      <x:c r="L251" s="159" t="str">
        <x:v>5-10 years</x:v>
      </x:c>
      <x:c r="M251" s="168" t="n">
        <x:v>0</x:v>
      </x:c>
      <x:c r="N251" s="168" t="n">
        <x:v>0</x:v>
      </x:c>
      <x:c r="O251" s="159" t="str"/>
      <x:c r="P251" s="159" t="str"/>
      <x:c r="Q251" s="159" t="str">
        <x:v>The action's primary mechanism does not directly change a terminal Biodiversity exposure indicator.</x:v>
      </x:c>
      <x:c r="R251" s="160" t="str">
        <x:v>Early Warning systems involve the timely detection and communication of potential climate-related hazards, enabling proactive responses to mitigate risks and enhancing community preparedness. This includes intense rains and landslides, using a network of telemetry stations to monitor rainfall and other weather conditions, with clear trigger thresholds to issue public alerts (sirens/alarms, SMS/cell broadcast, radio/PA) in case of potential flooding or landslides.</x:v>
      </x:c>
    </x:row>
    <x:row r="252" ht="66" customHeight="1">
      <x:c r="A252" s="165" t="str">
        <x:v>icare_0183</x:v>
      </x:c>
      <x:c r="B252" s="159" t="str">
        <x:v>Implement Multi-hazard Early Warning Systems (MH-EWS)</x:v>
      </x:c>
      <x:c r="C252" s="159" t="str">
        <x:v>Biodiversity</x:v>
      </x:c>
      <x:c r="D252" s="159" t="str">
        <x:v>Vulnerability</x:v>
      </x:c>
      <x:c r="E252" s="153" t="str"/>
      <x:c r="F252" s="153" t="str"/>
      <x:c r="G252" s="159" t="str">
        <x:v>Not eligible</x:v>
      </x:c>
      <x:c r="H252" s="159" t="str">
        <x:v>Not applicable</x:v>
      </x:c>
      <x:c r="I252" s="159" t="str">
        <x:v>Not applicable</x:v>
      </x:c>
      <x:c r="J252" s="159" t="str">
        <x:v>Not applicable</x:v>
      </x:c>
      <x:c r="K252" s="159" t="str">
        <x:v>No</x:v>
      </x:c>
      <x:c r="L252" s="159" t="str">
        <x:v>5-10 years</x:v>
      </x:c>
      <x:c r="M252" s="168" t="n">
        <x:v>0</x:v>
      </x:c>
      <x:c r="N252" s="168" t="n">
        <x:v>0</x:v>
      </x:c>
      <x:c r="O252" s="159" t="str"/>
      <x:c r="P252" s="159" t="str"/>
      <x:c r="Q252" s="159" t="str">
        <x:v>The action's primary mechanism does not directly change a terminal Biodiversity vulnerability indicator.</x:v>
      </x:c>
      <x:c r="R252" s="160" t="str">
        <x:v>Early Warning systems involve the timely detection and communication of potential climate-related hazards, enabling proactive responses to mitigate risks and enhancing community preparedness. This includes intense rains and landslides, using a network of telemetry stations to monitor rainfall and other weather conditions, with clear trigger thresholds to issue public alerts (sirens/alarms, SMS/cell broadcast, radio/PA) in case of potential flooding or landslides.</x:v>
      </x:c>
    </x:row>
    <x:row r="253" ht="66" customHeight="1">
      <x:c r="A253" s="165" t="str">
        <x:v>icare_0185</x:v>
      </x:c>
      <x:c r="B253" s="159" t="str">
        <x:v>Improve Creation of An Epidemiological Intelligence Center</x:v>
      </x:c>
      <x:c r="C253" s="159" t="str">
        <x:v>Biodiversity</x:v>
      </x:c>
      <x:c r="D253" s="159" t="str">
        <x:v>Exposure</x:v>
      </x:c>
      <x:c r="E253" s="153" t="str"/>
      <x:c r="F253" s="153" t="str"/>
      <x:c r="G253" s="159" t="str">
        <x:v>Not eligible</x:v>
      </x:c>
      <x:c r="H253" s="159" t="str">
        <x:v>Not applicable</x:v>
      </x:c>
      <x:c r="I253" s="159" t="str">
        <x:v>Not applicable</x:v>
      </x:c>
      <x:c r="J253" s="159" t="str">
        <x:v>Not applicable</x:v>
      </x:c>
      <x:c r="K253" s="159" t="str">
        <x:v>No</x:v>
      </x:c>
      <x:c r="L253" s="159" t="str">
        <x:v>5-10 years</x:v>
      </x:c>
      <x:c r="M253" s="168" t="n">
        <x:v>0</x:v>
      </x:c>
      <x:c r="N253" s="168" t="n">
        <x:v>0</x:v>
      </x:c>
      <x:c r="O253" s="159" t="str"/>
      <x:c r="P253" s="159" t="str"/>
      <x:c r="Q253" s="159" t="str">
        <x:v>The action's primary mechanism does not directly change a terminal Biodiversity exposure indicator.</x:v>
      </x:c>
      <x:c r="R253" s="160" t="str">
        <x:v>This action focuses on establishing an epidemiological intelligence center to monitor public health indicators and provide accessible information to the population. This helps in making informed decisions and protecting public health, particularly in relation to climate-sensitive diseases.</x:v>
      </x:c>
    </x:row>
    <x:row r="254" ht="66" customHeight="1">
      <x:c r="A254" s="165" t="str">
        <x:v>icare_0185</x:v>
      </x:c>
      <x:c r="B254" s="159" t="str">
        <x:v>Improve Creation of An Epidemiological Intelligence Center</x:v>
      </x:c>
      <x:c r="C254" s="159" t="str">
        <x:v>Biodiversity</x:v>
      </x:c>
      <x:c r="D254" s="159" t="str">
        <x:v>Vulnerability</x:v>
      </x:c>
      <x:c r="E254" s="153" t="str"/>
      <x:c r="F254" s="153" t="str"/>
      <x:c r="G254" s="159" t="str">
        <x:v>Not eligible</x:v>
      </x:c>
      <x:c r="H254" s="159" t="str">
        <x:v>Not applicable</x:v>
      </x:c>
      <x:c r="I254" s="159" t="str">
        <x:v>Not applicable</x:v>
      </x:c>
      <x:c r="J254" s="159" t="str">
        <x:v>Not applicable</x:v>
      </x:c>
      <x:c r="K254" s="159" t="str">
        <x:v>No</x:v>
      </x:c>
      <x:c r="L254" s="159" t="str">
        <x:v>5-10 years</x:v>
      </x:c>
      <x:c r="M254" s="168" t="n">
        <x:v>0</x:v>
      </x:c>
      <x:c r="N254" s="168" t="n">
        <x:v>0</x:v>
      </x:c>
      <x:c r="O254" s="159" t="str"/>
      <x:c r="P254" s="159" t="str"/>
      <x:c r="Q254" s="159" t="str">
        <x:v>The action's primary mechanism does not directly change a terminal Biodiversity vulnerability indicator.</x:v>
      </x:c>
      <x:c r="R254" s="160" t="str">
        <x:v>This action focuses on establishing an epidemiological intelligence center to monitor public health indicators and provide accessible information to the population. This helps in making informed decisions and protecting public health, particularly in relation to climate-sensitive diseases.</x:v>
      </x:c>
    </x:row>
    <x:row r="255" ht="66" customHeight="1">
      <x:c r="A255" s="165" t="str">
        <x:v>ipcc_0100</x:v>
      </x:c>
      <x:c r="B255" s="159" t="str">
        <x:v>Improve Efficient water use/demand</x:v>
      </x:c>
      <x:c r="C255" s="159" t="str">
        <x:v>Biodiversity</x:v>
      </x:c>
      <x:c r="D255" s="159" t="str">
        <x:v>Exposure</x:v>
      </x:c>
      <x:c r="E255" s="153" t="str"/>
      <x:c r="F255" s="153" t="str"/>
      <x:c r="G255" s="159" t="str">
        <x:v>Not eligible</x:v>
      </x:c>
      <x:c r="H255" s="159" t="str">
        <x:v>Not applicable</x:v>
      </x:c>
      <x:c r="I255" s="159" t="str">
        <x:v>Not applicable</x:v>
      </x:c>
      <x:c r="J255" s="159" t="str">
        <x:v>Not applicable</x:v>
      </x:c>
      <x:c r="K255" s="159" t="str">
        <x:v>No</x:v>
      </x:c>
      <x:c r="L255" s="159" t="str">
        <x:v>5-10 years</x:v>
      </x:c>
      <x:c r="M255" s="168" t="n">
        <x:v>0</x:v>
      </x:c>
      <x:c r="N255" s="168" t="n">
        <x:v>0</x:v>
      </x:c>
      <x:c r="O255" s="159" t="str"/>
      <x:c r="P255" s="159" t="str"/>
      <x:c r="Q255" s="159" t="str">
        <x:v>The action's primary mechanism does not directly change a terminal Biodiversity exposure indicator.</x:v>
      </x:c>
      <x:c r="R255" s="160" t="str">
        <x:v>Implementing advanced irrigation techniques such as precision and drip irrigation to enhance water use efficiency in agriculture. Managed Aquifer Recharge (MAR) is applied to replenish groundwater supplies using stormwater, treated wastewater, or other sources. These actions are complemented by cooperative policies across multiple sectors to ensure sustainable water resource management, equitable access, and regional collaboration. Additionally, promoting changes in water consumption patterns, such as reducing waste and improving efficiency in urban and agricultural water use, supports resilience against water scarcity and enhances adaptive capacity in vulnerable regions. These efforts collectively aim to address the growing demand for freshwater in the face of climate change and ensure long-term sustainability.</x:v>
      </x:c>
    </x:row>
    <x:row r="256" ht="66" customHeight="1">
      <x:c r="A256" s="165" t="str">
        <x:v>icare_0164</x:v>
      </x:c>
      <x:c r="B256" s="159" t="str">
        <x:v>Improve Hydrological Monitoring System with Telemetry Stations</x:v>
      </x:c>
      <x:c r="C256" s="159" t="str">
        <x:v>Biodiversity</x:v>
      </x:c>
      <x:c r="D256" s="159" t="str">
        <x:v>Exposure</x:v>
      </x:c>
      <x:c r="E256" s="153" t="str"/>
      <x:c r="F256" s="153" t="str"/>
      <x:c r="G256" s="159" t="str">
        <x:v>Not eligible</x:v>
      </x:c>
      <x:c r="H256" s="159" t="str">
        <x:v>Not applicable</x:v>
      </x:c>
      <x:c r="I256" s="159" t="str">
        <x:v>Not applicable</x:v>
      </x:c>
      <x:c r="J256" s="159" t="str">
        <x:v>Not applicable</x:v>
      </x:c>
      <x:c r="K256" s="159" t="str">
        <x:v>No</x:v>
      </x:c>
      <x:c r="L256" s="159" t="str">
        <x:v>&lt;5 years</x:v>
      </x:c>
      <x:c r="M256" s="168" t="n">
        <x:v>0</x:v>
      </x:c>
      <x:c r="N256" s="168" t="n">
        <x:v>0</x:v>
      </x:c>
      <x:c r="O256" s="159" t="str"/>
      <x:c r="P256" s="159" t="str"/>
      <x:c r="Q256" s="159" t="str">
        <x:v>The action's primary mechanism does not directly change a terminal Biodiversity exposure indicator.</x:v>
      </x:c>
      <x:c r="R256" s="160" t="str">
        <x:v>Implementation of a hydrological monitoring system with telemetry stations to monitor rainfall, water levels, and meteorological variables in real-time.</x:v>
      </x:c>
    </x:row>
    <x:row r="257" ht="66" customHeight="1">
      <x:c r="A257" s="165" t="str">
        <x:v>icare_0164</x:v>
      </x:c>
      <x:c r="B257" s="159" t="str">
        <x:v>Improve Hydrological Monitoring System with Telemetry Stations</x:v>
      </x:c>
      <x:c r="C257" s="159" t="str">
        <x:v>Biodiversity</x:v>
      </x:c>
      <x:c r="D257" s="159" t="str">
        <x:v>Vulnerability</x:v>
      </x:c>
      <x:c r="E257" s="153" t="str"/>
      <x:c r="F257" s="153" t="str"/>
      <x:c r="G257" s="159" t="str">
        <x:v>Not eligible</x:v>
      </x:c>
      <x:c r="H257" s="159" t="str">
        <x:v>Not applicable</x:v>
      </x:c>
      <x:c r="I257" s="159" t="str">
        <x:v>Not applicable</x:v>
      </x:c>
      <x:c r="J257" s="159" t="str">
        <x:v>Not applicable</x:v>
      </x:c>
      <x:c r="K257" s="159" t="str">
        <x:v>No</x:v>
      </x:c>
      <x:c r="L257" s="159" t="str">
        <x:v>&lt;5 years</x:v>
      </x:c>
      <x:c r="M257" s="168" t="n">
        <x:v>0</x:v>
      </x:c>
      <x:c r="N257" s="168" t="n">
        <x:v>0</x:v>
      </x:c>
      <x:c r="O257" s="159" t="str"/>
      <x:c r="P257" s="159" t="str"/>
      <x:c r="Q257" s="159" t="str">
        <x:v>The action's primary mechanism does not directly change a terminal Biodiversity vulnerability indicator.</x:v>
      </x:c>
      <x:c r="R257" s="160" t="str">
        <x:v>Implementation of a hydrological monitoring system with telemetry stations to monitor rainfall, water levels, and meteorological variables in real-time.</x:v>
      </x:c>
    </x:row>
    <x:row r="258" ht="66" customHeight="1">
      <x:c r="A258" s="165" t="str">
        <x:v>icare_0156</x:v>
      </x:c>
      <x:c r="B258" s="159" t="str">
        <x:v>Improve Implementation of urban gardens</x:v>
      </x:c>
      <x:c r="C258" s="159" t="str">
        <x:v>Biodiversity</x:v>
      </x:c>
      <x:c r="D258" s="159" t="str">
        <x:v>Exposure</x:v>
      </x:c>
      <x:c r="E258" s="153" t="str"/>
      <x:c r="F258" s="153" t="str"/>
      <x:c r="G258" s="159" t="str">
        <x:v>Not eligible</x:v>
      </x:c>
      <x:c r="H258" s="159" t="str">
        <x:v>Not applicable</x:v>
      </x:c>
      <x:c r="I258" s="159" t="str">
        <x:v>Not applicable</x:v>
      </x:c>
      <x:c r="J258" s="159" t="str">
        <x:v>Not applicable</x:v>
      </x:c>
      <x:c r="K258" s="159" t="str">
        <x:v>No</x:v>
      </x:c>
      <x:c r="L258" s="159" t="str">
        <x:v>&lt;5 years</x:v>
      </x:c>
      <x:c r="M258" s="168" t="n">
        <x:v>0</x:v>
      </x:c>
      <x:c r="N258" s="168" t="n">
        <x:v>0</x:v>
      </x:c>
      <x:c r="O258" s="159" t="str"/>
      <x:c r="P258" s="159" t="str"/>
      <x:c r="Q258" s="159" t="str">
        <x:v>The action's primary mechanism does not directly change a terminal Biodiversity exposure indicator.</x:v>
      </x:c>
      <x:c r="R258" s="160" t="str">
        <x:v>Identify and assess the feasibility of suitable areas for the installation of urban gardens and ensure that the sites chosen meet the expectations of the community.</x:v>
      </x:c>
    </x:row>
    <x:row r="259" ht="66" customHeight="1">
      <x:c r="A259" s="165" t="str">
        <x:v>ipcc_0087</x:v>
      </x:c>
      <x:c r="B259" s="159" t="str">
        <x:v>Improve Infrastructure retrofitting</x:v>
      </x:c>
      <x:c r="C259" s="159" t="str">
        <x:v>Biodiversity</x:v>
      </x:c>
      <x:c r="D259" s="159" t="str">
        <x:v>Exposure</x:v>
      </x:c>
      <x:c r="E259" s="153" t="str"/>
      <x:c r="F259" s="153" t="str"/>
      <x:c r="G259" s="159" t="str">
        <x:v>Not eligible</x:v>
      </x:c>
      <x:c r="H259" s="159" t="str">
        <x:v>Not applicable</x:v>
      </x:c>
      <x:c r="I259" s="159" t="str">
        <x:v>Not applicable</x:v>
      </x:c>
      <x:c r="J259" s="159" t="str">
        <x:v>Not applicable</x:v>
      </x:c>
      <x:c r="K259" s="159" t="str">
        <x:v>No</x:v>
      </x:c>
      <x:c r="L259" s="159" t="str">
        <x:v>5-10 years</x:v>
      </x:c>
      <x:c r="M259" s="168" t="n">
        <x:v>0</x:v>
      </x:c>
      <x:c r="N259" s="168" t="n">
        <x:v>0</x:v>
      </x:c>
      <x:c r="O259" s="159" t="str"/>
      <x:c r="P259" s="159" t="str"/>
      <x:c r="Q259" s="159" t="str">
        <x:v>The action's primary mechanism does not directly change a terminal Biodiversity exposure indicator.</x:v>
      </x:c>
      <x:c r="R259" s="160" t="str">
        <x:v>Strengthen and upgrade existing infrastructure, including roads, housing, and energy systems, to improve resilience against climate risks such as floods, droughts, and heatwaves. Efforts include using thermosiphons for permafrost degradation, increasing rooftop albedo (for reflectivity) and shading</x:v>
      </x:c>
    </x:row>
    <x:row r="260" ht="66" customHeight="1">
      <x:c r="A260" s="165" t="str">
        <x:v>ipcc_0087</x:v>
      </x:c>
      <x:c r="B260" s="159" t="str">
        <x:v>Improve Infrastructure retrofitting</x:v>
      </x:c>
      <x:c r="C260" s="159" t="str">
        <x:v>Biodiversity</x:v>
      </x:c>
      <x:c r="D260" s="159" t="str">
        <x:v>Vulnerability</x:v>
      </x:c>
      <x:c r="E260" s="153" t="str"/>
      <x:c r="F260" s="153" t="str"/>
      <x:c r="G260" s="159" t="str">
        <x:v>Not eligible</x:v>
      </x:c>
      <x:c r="H260" s="159" t="str">
        <x:v>Not applicable</x:v>
      </x:c>
      <x:c r="I260" s="159" t="str">
        <x:v>Not applicable</x:v>
      </x:c>
      <x:c r="J260" s="159" t="str">
        <x:v>Not applicable</x:v>
      </x:c>
      <x:c r="K260" s="159" t="str">
        <x:v>No</x:v>
      </x:c>
      <x:c r="L260" s="159" t="str">
        <x:v>5-10 years</x:v>
      </x:c>
      <x:c r="M260" s="168" t="n">
        <x:v>0</x:v>
      </x:c>
      <x:c r="N260" s="168" t="n">
        <x:v>0</x:v>
      </x:c>
      <x:c r="O260" s="159" t="str"/>
      <x:c r="P260" s="159" t="str"/>
      <x:c r="Q260" s="159" t="str">
        <x:v>The action's primary mechanism does not directly change a terminal Biodiversity vulnerability indicator.</x:v>
      </x:c>
      <x:c r="R260" s="160" t="str">
        <x:v>Strengthen and upgrade existing infrastructure, including roads, housing, and energy systems, to improve resilience against climate risks such as floods, droughts, and heatwaves. Efforts include using thermosiphons for permafrost degradation, increasing rooftop albedo (for reflectivity) and shading</x:v>
      </x:c>
    </x:row>
    <x:row r="261" ht="66" customHeight="1">
      <x:c r="A261" s="165" t="str">
        <x:v>icare_0171</x:v>
      </x:c>
      <x:c r="B261" s="159" t="str">
        <x:v>Improve the hydrometeorological forecasting, monitoring, and alert system for climate risks</x:v>
      </x:c>
      <x:c r="C261" s="159" t="str">
        <x:v>Biodiversity</x:v>
      </x:c>
      <x:c r="D261" s="159" t="str">
        <x:v>Exposure</x:v>
      </x:c>
      <x:c r="E261" s="153" t="str"/>
      <x:c r="F261" s="153" t="str"/>
      <x:c r="G261" s="159" t="str">
        <x:v>Not eligible</x:v>
      </x:c>
      <x:c r="H261" s="159" t="str">
        <x:v>Not applicable</x:v>
      </x:c>
      <x:c r="I261" s="159" t="str">
        <x:v>Not applicable</x:v>
      </x:c>
      <x:c r="J261" s="159" t="str">
        <x:v>Not applicable</x:v>
      </x:c>
      <x:c r="K261" s="159" t="str">
        <x:v>No</x:v>
      </x:c>
      <x:c r="L261" s="159" t="str">
        <x:v>5-10 years</x:v>
      </x:c>
      <x:c r="M261" s="168" t="n">
        <x:v>0</x:v>
      </x:c>
      <x:c r="N261" s="168" t="n">
        <x:v>0</x:v>
      </x:c>
      <x:c r="O261" s="159" t="str"/>
      <x:c r="P261" s="159" t="str"/>
      <x:c r="Q261" s="159" t="str">
        <x:v>The action's primary mechanism does not directly change a terminal Biodiversity exposure indicator.</x:v>
      </x:c>
      <x:c r="R261" s="160" t="str">
        <x:v>This action aims to expand the procedures related to the existing climate risk forecasting, monitoring, and alert system in the municipality.</x:v>
      </x:c>
    </x:row>
    <x:row r="262" ht="66" customHeight="1">
      <x:c r="A262" s="165" t="str">
        <x:v>icare_0171</x:v>
      </x:c>
      <x:c r="B262" s="159" t="str">
        <x:v>Improve the hydrometeorological forecasting, monitoring, and alert system for climate risks</x:v>
      </x:c>
      <x:c r="C262" s="159" t="str">
        <x:v>Biodiversity</x:v>
      </x:c>
      <x:c r="D262" s="159" t="str">
        <x:v>Vulnerability</x:v>
      </x:c>
      <x:c r="E262" s="153" t="str"/>
      <x:c r="F262" s="153" t="str"/>
      <x:c r="G262" s="159" t="str">
        <x:v>Not eligible</x:v>
      </x:c>
      <x:c r="H262" s="159" t="str">
        <x:v>Not applicable</x:v>
      </x:c>
      <x:c r="I262" s="159" t="str">
        <x:v>Not applicable</x:v>
      </x:c>
      <x:c r="J262" s="159" t="str">
        <x:v>Not applicable</x:v>
      </x:c>
      <x:c r="K262" s="159" t="str">
        <x:v>No</x:v>
      </x:c>
      <x:c r="L262" s="159" t="str">
        <x:v>5-10 years</x:v>
      </x:c>
      <x:c r="M262" s="168" t="n">
        <x:v>0</x:v>
      </x:c>
      <x:c r="N262" s="168" t="n">
        <x:v>0</x:v>
      </x:c>
      <x:c r="O262" s="159" t="str"/>
      <x:c r="P262" s="159" t="str"/>
      <x:c r="Q262" s="159" t="str">
        <x:v>The action's primary mechanism does not directly change a terminal Biodiversity vulnerability indicator.</x:v>
      </x:c>
      <x:c r="R262" s="160" t="str">
        <x:v>This action aims to expand the procedures related to the existing climate risk forecasting, monitoring, and alert system in the municipality.</x:v>
      </x:c>
    </x:row>
    <x:row r="263" ht="66" customHeight="1">
      <x:c r="A263" s="165" t="str">
        <x:v>ipcc_0101</x:v>
      </x:c>
      <x:c r="B263" s="159" t="str">
        <x:v>Improve urban water management</x:v>
      </x:c>
      <x:c r="C263" s="159" t="str">
        <x:v>Biodiversity</x:v>
      </x:c>
      <x:c r="D263" s="159" t="str">
        <x:v>Exposure</x:v>
      </x:c>
      <x:c r="E263" s="153" t="str"/>
      <x:c r="F263" s="153" t="str"/>
      <x:c r="G263" s="159" t="str">
        <x:v>Not eligible</x:v>
      </x:c>
      <x:c r="H263" s="159" t="str">
        <x:v>Not applicable</x:v>
      </x:c>
      <x:c r="I263" s="159" t="str">
        <x:v>Not applicable</x:v>
      </x:c>
      <x:c r="J263" s="159" t="str">
        <x:v>Not applicable</x:v>
      </x:c>
      <x:c r="K263" s="159" t="str">
        <x:v>No</x:v>
      </x:c>
      <x:c r="L263" s="159" t="str">
        <x:v>5-10 years</x:v>
      </x:c>
      <x:c r="M263" s="168" t="n">
        <x:v>0</x:v>
      </x:c>
      <x:c r="N263" s="168" t="n">
        <x:v>0</x:v>
      </x:c>
      <x:c r="O263" s="159" t="str"/>
      <x:c r="P263" s="159" t="str"/>
      <x:c r="Q263" s="159" t="str">
        <x:v>The action's primary mechanism does not directly change a terminal Biodiversity exposure indicator.</x:v>
      </x:c>
      <x:c r="R263" s="160" t="str">
        <x:v>Implementing sustainable water supply systems by constructing irrigation infrastructure, promoting inter-basin water transfers, utilizing nature-based solutions (NBS) such as rain gardens, bioswales, and wetlands, and integrating advanced techniques like water reuse and water upgrading. Water reuse involves treating and recycling wastewater for non-potable or potable purposes, while water upgrading focuses on improving the quality of available water for diverse uses. These approaches enhance stormwater infiltration, improve urban water management, increase drought resilience, and support groundwater recharge. They provide energy-efficient and economical water solutions while maintaining sustainable urban development.</x:v>
      </x:c>
    </x:row>
    <x:row r="264" ht="66" customHeight="1">
      <x:c r="A264" s="165" t="str">
        <x:v>ipcc_0101</x:v>
      </x:c>
      <x:c r="B264" s="159" t="str">
        <x:v>Improve urban water management</x:v>
      </x:c>
      <x:c r="C264" s="159" t="str">
        <x:v>Biodiversity</x:v>
      </x:c>
      <x:c r="D264" s="159" t="str">
        <x:v>Vulnerability</x:v>
      </x:c>
      <x:c r="E264" s="153" t="str"/>
      <x:c r="F264" s="153" t="str"/>
      <x:c r="G264" s="159" t="str">
        <x:v>Not eligible</x:v>
      </x:c>
      <x:c r="H264" s="159" t="str">
        <x:v>Not applicable</x:v>
      </x:c>
      <x:c r="I264" s="159" t="str">
        <x:v>Not applicable</x:v>
      </x:c>
      <x:c r="J264" s="159" t="str">
        <x:v>Not applicable</x:v>
      </x:c>
      <x:c r="K264" s="159" t="str">
        <x:v>No</x:v>
      </x:c>
      <x:c r="L264" s="159" t="str">
        <x:v>5-10 years</x:v>
      </x:c>
      <x:c r="M264" s="168" t="n">
        <x:v>0</x:v>
      </x:c>
      <x:c r="N264" s="168" t="n">
        <x:v>0</x:v>
      </x:c>
      <x:c r="O264" s="159" t="str"/>
      <x:c r="P264" s="159" t="str"/>
      <x:c r="Q264" s="159" t="str">
        <x:v>The action's primary mechanism does not directly change a terminal Biodiversity vulnerability indicator.</x:v>
      </x:c>
      <x:c r="R264" s="160" t="str">
        <x:v>Implementing sustainable water supply systems by constructing irrigation infrastructure, promoting inter-basin water transfers, utilizing nature-based solutions (NBS) such as rain gardens, bioswales, and wetlands, and integrating advanced techniques like water reuse and water upgrading. Water reuse involves treating and recycling wastewater for non-potable or potable purposes, while water upgrading focuses on improving the quality of available water for diverse uses. These approaches enhance stormwater infiltration, improve urban water management, increase drought resilience, and support groundwater recharge. They provide energy-efficient and economical water solutions while maintaining sustainable urban development.</x:v>
      </x:c>
    </x:row>
    <x:row r="265" ht="66" customHeight="1">
      <x:c r="A265" s="165" t="str">
        <x:v>ipcc_0098</x:v>
      </x:c>
      <x:c r="B265" s="159" t="str">
        <x:v>Increase resilience by improving access to food, improving livelihoods and promoting dietary shifts and food waste reduction</x:v>
      </x:c>
      <x:c r="C265" s="159" t="str">
        <x:v>Biodiversity</x:v>
      </x:c>
      <x:c r="D265" s="159" t="str">
        <x:v>Exposure</x:v>
      </x:c>
      <x:c r="E265" s="153" t="str"/>
      <x:c r="F265" s="153" t="str"/>
      <x:c r="G265" s="159" t="str">
        <x:v>Not eligible</x:v>
      </x:c>
      <x:c r="H265" s="159" t="str">
        <x:v>Not applicable</x:v>
      </x:c>
      <x:c r="I265" s="159" t="str">
        <x:v>Not applicable</x:v>
      </x:c>
      <x:c r="J265" s="159" t="str">
        <x:v>Not applicable</x:v>
      </x:c>
      <x:c r="K265" s="159" t="str">
        <x:v>No</x:v>
      </x:c>
      <x:c r="L265" s="159" t="str">
        <x:v>5-10 years</x:v>
      </x:c>
      <x:c r="M265" s="168" t="n">
        <x:v>0</x:v>
      </x:c>
      <x:c r="N265" s="168" t="n">
        <x:v>0</x:v>
      </x:c>
      <x:c r="O265" s="159" t="str"/>
      <x:c r="P265" s="159" t="str"/>
      <x:c r="Q265" s="159" t="str">
        <x:v>The action's primary mechanism does not directly change a terminal Biodiversity exposure indicator.</x:v>
      </x:c>
      <x:c r="R265" s="160" t="str">
        <x:v>Increase resilience through improved food production, distribution, and consumption practices. Actions include enhancing agricultural techniques, adopting water-saving technologies, implementing low-cost storage solutions, and promoting plant-based diets. Policymakers can encourage these behaviors with appropriate pricing policies, sustainable agriculture initiatives, and support for disadvantaged groups. The action emphasizes shifting to healthier diets, reducing overconsumption, and supporting local food systems to mitigate greenhouse gas emissions and ensure food security under climate change.</x:v>
      </x:c>
    </x:row>
    <x:row r="266" ht="66" customHeight="1">
      <x:c r="A266" s="165" t="str">
        <x:v>ipcc_0099</x:v>
      </x:c>
      <x:c r="B266" s="159" t="str">
        <x:v>Increase Water Capture and Storage</x:v>
      </x:c>
      <x:c r="C266" s="159" t="str">
        <x:v>Biodiversity</x:v>
      </x:c>
      <x:c r="D266" s="159" t="str">
        <x:v>Exposure</x:v>
      </x:c>
      <x:c r="E266" s="153" t="str"/>
      <x:c r="F266" s="153" t="str"/>
      <x:c r="G266" s="159" t="str">
        <x:v>Not eligible</x:v>
      </x:c>
      <x:c r="H266" s="159" t="str">
        <x:v>Not applicable</x:v>
      </x:c>
      <x:c r="I266" s="159" t="str">
        <x:v>Not applicable</x:v>
      </x:c>
      <x:c r="J266" s="159" t="str">
        <x:v>Not applicable</x:v>
      </x:c>
      <x:c r="K266" s="159" t="str">
        <x:v>No</x:v>
      </x:c>
      <x:c r="L266" s="159" t="str">
        <x:v>5-10 years</x:v>
      </x:c>
      <x:c r="M266" s="168" t="n">
        <x:v>0</x:v>
      </x:c>
      <x:c r="N266" s="168" t="n">
        <x:v>0</x:v>
      </x:c>
      <x:c r="O266" s="159" t="str"/>
      <x:c r="P266" s="159" t="str"/>
      <x:c r="Q266" s="159" t="str">
        <x:v>The action's primary mechanism does not directly change a terminal Biodiversity exposure indicator.</x:v>
      </x:c>
      <x:c r="R266" s="160" t="str">
        <x:v>Implementation of water harvesting and storage solutions, such as on-farm ponds, water body revitalization, rain gardens, bioswales, retention ponds, pumped storage, and water storage tanks. These measures aim to mitigate climate-induced impacts by improving water management, reducing stormwater runoff, improving water quality, and supporting agriculture and energy production in changing climate scenarios. Water reservoirs and multipurpose dams offer additional benefits by addressing water scarcity and managing risks associated with natural disasters. These adaptation strategies contribute to sustainable water use and resilience to climate-related challenges.</x:v>
      </x:c>
    </x:row>
    <x:row r="267" ht="66" customHeight="1">
      <x:c r="A267" s="165" t="str">
        <x:v>ipcc_0104</x:v>
      </x:c>
      <x:c r="B267" s="159" t="str">
        <x:v>Plan and support permanent climate‑related migration</x:v>
      </x:c>
      <x:c r="C267" s="159" t="str">
        <x:v>Biodiversity</x:v>
      </x:c>
      <x:c r="D267" s="159" t="str">
        <x:v>Exposure</x:v>
      </x:c>
      <x:c r="E267" s="153" t="str"/>
      <x:c r="F267" s="153" t="str"/>
      <x:c r="G267" s="159" t="str">
        <x:v>Not eligible</x:v>
      </x:c>
      <x:c r="H267" s="159" t="str">
        <x:v>Not applicable</x:v>
      </x:c>
      <x:c r="I267" s="159" t="str">
        <x:v>Not applicable</x:v>
      </x:c>
      <x:c r="J267" s="159" t="str">
        <x:v>Not applicable</x:v>
      </x:c>
      <x:c r="K267" s="159" t="str">
        <x:v>No</x:v>
      </x:c>
      <x:c r="L267" s="159" t="str">
        <x:v>5-10 years</x:v>
      </x:c>
      <x:c r="M267" s="168" t="n">
        <x:v>0</x:v>
      </x:c>
      <x:c r="N267" s="168" t="n">
        <x:v>0</x:v>
      </x:c>
      <x:c r="O267" s="159" t="str"/>
      <x:c r="P267" s="159" t="str"/>
      <x:c r="Q267" s="159" t="str">
        <x:v>The action's primary mechanism does not directly change a terminal Biodiversity exposure indicator.</x:v>
      </x:c>
      <x:c r="R267" s="160" t="str">
        <x:v>Resettlement of communities from flood-prone areas and rural–urban migration as a strategy to mitigate vulnerabilities caused by climate change. This includes addressing urbanization challenges, such as unplanned development, water insecurity, and socioeconomic disparities, while providing equitable opportunities for migrants in urban centers. Measures include enhancing urban planning, water resource management, and social support systems for displaced populations.</x:v>
      </x:c>
    </x:row>
    <x:row r="268" ht="66" customHeight="1">
      <x:c r="A268" s="165" t="str">
        <x:v>ipcc_0104</x:v>
      </x:c>
      <x:c r="B268" s="159" t="str">
        <x:v>Plan and support permanent climate‑related migration</x:v>
      </x:c>
      <x:c r="C268" s="159" t="str">
        <x:v>Biodiversity</x:v>
      </x:c>
      <x:c r="D268" s="159" t="str">
        <x:v>Vulnerability</x:v>
      </x:c>
      <x:c r="E268" s="153" t="str"/>
      <x:c r="F268" s="153" t="str"/>
      <x:c r="G268" s="159" t="str">
        <x:v>Not eligible</x:v>
      </x:c>
      <x:c r="H268" s="159" t="str">
        <x:v>Not applicable</x:v>
      </x:c>
      <x:c r="I268" s="159" t="str">
        <x:v>Not applicable</x:v>
      </x:c>
      <x:c r="J268" s="159" t="str">
        <x:v>Not applicable</x:v>
      </x:c>
      <x:c r="K268" s="159" t="str">
        <x:v>No</x:v>
      </x:c>
      <x:c r="L268" s="159" t="str">
        <x:v>5-10 years</x:v>
      </x:c>
      <x:c r="M268" s="168" t="n">
        <x:v>0</x:v>
      </x:c>
      <x:c r="N268" s="168" t="n">
        <x:v>0</x:v>
      </x:c>
      <x:c r="O268" s="159" t="str"/>
      <x:c r="P268" s="159" t="str"/>
      <x:c r="Q268" s="159" t="str">
        <x:v>The action's primary mechanism does not directly change a terminal Biodiversity vulnerability indicator.</x:v>
      </x:c>
      <x:c r="R268" s="160" t="str">
        <x:v>Resettlement of communities from flood-prone areas and rural–urban migration as a strategy to mitigate vulnerabilities caused by climate change. This includes addressing urbanization challenges, such as unplanned development, water insecurity, and socioeconomic disparities, while providing equitable opportunities for migrants in urban centers. Measures include enhancing urban planning, water resource management, and social support systems for displaced populations.</x:v>
      </x:c>
    </x:row>
    <x:row r="269" ht="66" customHeight="1">
      <x:c r="A269" s="165" t="str">
        <x:v>ipcc_0083</x:v>
      </x:c>
      <x:c r="B269" s="159" t="str">
        <x:v>Plan strategic coastal retreat for vulnerable communities</x:v>
      </x:c>
      <x:c r="C269" s="159" t="str">
        <x:v>Biodiversity</x:v>
      </x:c>
      <x:c r="D269" s="159" t="str">
        <x:v>Exposure</x:v>
      </x:c>
      <x:c r="E269" s="153" t="str"/>
      <x:c r="F269" s="153" t="str"/>
      <x:c r="G269" s="159" t="str">
        <x:v>Not eligible</x:v>
      </x:c>
      <x:c r="H269" s="159" t="str">
        <x:v>Not applicable</x:v>
      </x:c>
      <x:c r="I269" s="159" t="str">
        <x:v>Not applicable</x:v>
      </x:c>
      <x:c r="J269" s="159" t="str">
        <x:v>Not applicable</x:v>
      </x:c>
      <x:c r="K269" s="159" t="str">
        <x:v>No</x:v>
      </x:c>
      <x:c r="L269" s="159" t="str">
        <x:v>&gt;10 years</x:v>
      </x:c>
      <x:c r="M269" s="168" t="n">
        <x:v>0</x:v>
      </x:c>
      <x:c r="N269" s="168" t="n">
        <x:v>0</x:v>
      </x:c>
      <x:c r="O269" s="159" t="str"/>
      <x:c r="P269" s="159" t="str"/>
      <x:c r="Q269" s="159" t="str">
        <x:v>The action's primary mechanism does not directly change a terminal Biodiversity exposure indicator.</x:v>
      </x:c>
      <x:c r="R269" s="160" t="str">
        <x:v>Planned relocation and retreat of people, assets, and activities from coastal hazard zones to reduce exposure and risks caused by sea-level rise and associated coastal hazards.</x:v>
      </x:c>
    </x:row>
    <x:row r="270" ht="66" customHeight="1">
      <x:c r="A270" s="165" t="str">
        <x:v>ipcc_0083</x:v>
      </x:c>
      <x:c r="B270" s="159" t="str">
        <x:v>Plan strategic coastal retreat for vulnerable communities</x:v>
      </x:c>
      <x:c r="C270" s="159" t="str">
        <x:v>Biodiversity</x:v>
      </x:c>
      <x:c r="D270" s="159" t="str">
        <x:v>Vulnerability</x:v>
      </x:c>
      <x:c r="E270" s="153" t="str"/>
      <x:c r="F270" s="153" t="str"/>
      <x:c r="G270" s="159" t="str">
        <x:v>Not eligible</x:v>
      </x:c>
      <x:c r="H270" s="159" t="str">
        <x:v>Not applicable</x:v>
      </x:c>
      <x:c r="I270" s="159" t="str">
        <x:v>Not applicable</x:v>
      </x:c>
      <x:c r="J270" s="159" t="str">
        <x:v>Not applicable</x:v>
      </x:c>
      <x:c r="K270" s="159" t="str">
        <x:v>No</x:v>
      </x:c>
      <x:c r="L270" s="159" t="str">
        <x:v>&gt;10 years</x:v>
      </x:c>
      <x:c r="M270" s="168" t="n">
        <x:v>0</x:v>
      </x:c>
      <x:c r="N270" s="168" t="n">
        <x:v>0</x:v>
      </x:c>
      <x:c r="O270" s="159" t="str"/>
      <x:c r="P270" s="159" t="str"/>
      <x:c r="Q270" s="159" t="str">
        <x:v>The action's primary mechanism does not directly change a terminal Biodiversity vulnerability indicator.</x:v>
      </x:c>
      <x:c r="R270" s="160" t="str">
        <x:v>Planned relocation and retreat of people, assets, and activities from coastal hazard zones to reduce exposure and risks caused by sea-level rise and associated coastal hazards.</x:v>
      </x:c>
    </x:row>
    <x:row r="271" ht="66" customHeight="1">
      <x:c r="A271" s="165" t="str">
        <x:v>icare_0173</x:v>
      </x:c>
      <x:c r="B271" s="159" t="str">
        <x:v>Preventive maintenance of drainage systems</x:v>
      </x:c>
      <x:c r="C271" s="159" t="str">
        <x:v>Biodiversity</x:v>
      </x:c>
      <x:c r="D271" s="159" t="str">
        <x:v>Exposure</x:v>
      </x:c>
      <x:c r="E271" s="153" t="str"/>
      <x:c r="F271" s="153" t="str"/>
      <x:c r="G271" s="159" t="str">
        <x:v>Not eligible</x:v>
      </x:c>
      <x:c r="H271" s="159" t="str">
        <x:v>Not applicable</x:v>
      </x:c>
      <x:c r="I271" s="159" t="str">
        <x:v>Not applicable</x:v>
      </x:c>
      <x:c r="J271" s="159" t="str">
        <x:v>Not applicable</x:v>
      </x:c>
      <x:c r="K271" s="159" t="str">
        <x:v>No</x:v>
      </x:c>
      <x:c r="L271" s="159" t="str">
        <x:v>5-10 years</x:v>
      </x:c>
      <x:c r="M271" s="168" t="n">
        <x:v>0</x:v>
      </x:c>
      <x:c r="N271" s="168" t="n">
        <x:v>0</x:v>
      </x:c>
      <x:c r="O271" s="159" t="str"/>
      <x:c r="P271" s="159" t="str"/>
      <x:c r="Q271" s="159" t="str">
        <x:v>The action's primary mechanism does not directly change a terminal Biodiversity exposure indicator.</x:v>
      </x:c>
      <x:c r="R271" s="160" t="str">
        <x:v>Regular upkeep and cleaning of urban drainage systems, including storm drains, sewers, and retention basins, to ensure efficient water flow and prevent blockages that can lead to flooding during heavy rainfall events.</x:v>
      </x:c>
    </x:row>
    <x:row r="272" ht="66" customHeight="1">
      <x:c r="A272" s="165" t="str">
        <x:v>icare_0173</x:v>
      </x:c>
      <x:c r="B272" s="159" t="str">
        <x:v>Preventive maintenance of drainage systems</x:v>
      </x:c>
      <x:c r="C272" s="159" t="str">
        <x:v>Biodiversity</x:v>
      </x:c>
      <x:c r="D272" s="159" t="str">
        <x:v>Vulnerability</x:v>
      </x:c>
      <x:c r="E272" s="153" t="str"/>
      <x:c r="F272" s="153" t="str"/>
      <x:c r="G272" s="159" t="str">
        <x:v>Not eligible</x:v>
      </x:c>
      <x:c r="H272" s="159" t="str">
        <x:v>Not applicable</x:v>
      </x:c>
      <x:c r="I272" s="159" t="str">
        <x:v>Not applicable</x:v>
      </x:c>
      <x:c r="J272" s="159" t="str">
        <x:v>Not applicable</x:v>
      </x:c>
      <x:c r="K272" s="159" t="str">
        <x:v>No</x:v>
      </x:c>
      <x:c r="L272" s="159" t="str">
        <x:v>5-10 years</x:v>
      </x:c>
      <x:c r="M272" s="168" t="n">
        <x:v>0</x:v>
      </x:c>
      <x:c r="N272" s="168" t="n">
        <x:v>0</x:v>
      </x:c>
      <x:c r="O272" s="159" t="str"/>
      <x:c r="P272" s="159" t="str"/>
      <x:c r="Q272" s="159" t="str">
        <x:v>The action's primary mechanism does not directly change a terminal Biodiversity vulnerability indicator.</x:v>
      </x:c>
      <x:c r="R272" s="160" t="str">
        <x:v>Regular upkeep and cleaning of urban drainage systems, including storm drains, sewers, and retention basins, to ensure efficient water flow and prevent blockages that can lead to flooding during heavy rainfall events.</x:v>
      </x:c>
    </x:row>
    <x:row r="273" ht="66" customHeight="1">
      <x:c r="A273" s="165" t="str">
        <x:v>c40_0053</x:v>
      </x:c>
      <x:c r="B273" s="159" t="str">
        <x:v>Promote water-saving technologies and practices</x:v>
      </x:c>
      <x:c r="C273" s="159" t="str">
        <x:v>Biodiversity</x:v>
      </x:c>
      <x:c r="D273" s="159" t="str">
        <x:v>Exposure</x:v>
      </x:c>
      <x:c r="E273" s="153" t="str"/>
      <x:c r="F273" s="153" t="str"/>
      <x:c r="G273" s="159" t="str">
        <x:v>Not eligible</x:v>
      </x:c>
      <x:c r="H273" s="159" t="str">
        <x:v>Not applicable</x:v>
      </x:c>
      <x:c r="I273" s="159" t="str">
        <x:v>Not applicable</x:v>
      </x:c>
      <x:c r="J273" s="159" t="str">
        <x:v>Not applicable</x:v>
      </x:c>
      <x:c r="K273" s="159" t="str">
        <x:v>No</x:v>
      </x:c>
      <x:c r="L273" s="159" t="str">
        <x:v>5-10 years</x:v>
      </x:c>
      <x:c r="M273" s="168" t="n">
        <x:v>0</x:v>
      </x:c>
      <x:c r="N273" s="168" t="n">
        <x:v>0</x:v>
      </x:c>
      <x:c r="O273" s="159" t="str"/>
      <x:c r="P273" s="159" t="str"/>
      <x:c r="Q273" s="159" t="str">
        <x:v>The action's primary mechanism does not directly change a terminal Biodiversity exposure indicator.</x:v>
      </x:c>
      <x:c r="R273" s="160" t="str">
        <x:v>Encourages the adoption of water-saving technologies and practices to conserve water resources and strengthen resilience to climate change. This includes measures such as rainwater harvesting, low-flow appliances, leak detection systems, and municipal incentive programs that support households and businesses in reducing consumption. These actions enhance sustainable water use and complement broader eco-engineering and adaptation efforts.</x:v>
      </x:c>
    </x:row>
    <x:row r="274" ht="66" customHeight="1">
      <x:c r="A274" s="165" t="str">
        <x:v>c40_0053</x:v>
      </x:c>
      <x:c r="B274" s="159" t="str">
        <x:v>Promote water-saving technologies and practices</x:v>
      </x:c>
      <x:c r="C274" s="159" t="str">
        <x:v>Biodiversity</x:v>
      </x:c>
      <x:c r="D274" s="159" t="str">
        <x:v>Vulnerability</x:v>
      </x:c>
      <x:c r="E274" s="153" t="str"/>
      <x:c r="F274" s="153" t="str"/>
      <x:c r="G274" s="159" t="str">
        <x:v>Not eligible</x:v>
      </x:c>
      <x:c r="H274" s="159" t="str">
        <x:v>Not applicable</x:v>
      </x:c>
      <x:c r="I274" s="159" t="str">
        <x:v>Not applicable</x:v>
      </x:c>
      <x:c r="J274" s="159" t="str">
        <x:v>Not applicable</x:v>
      </x:c>
      <x:c r="K274" s="159" t="str">
        <x:v>No</x:v>
      </x:c>
      <x:c r="L274" s="159" t="str">
        <x:v>5-10 years</x:v>
      </x:c>
      <x:c r="M274" s="168" t="n">
        <x:v>0</x:v>
      </x:c>
      <x:c r="N274" s="168" t="n">
        <x:v>0</x:v>
      </x:c>
      <x:c r="O274" s="159" t="str"/>
      <x:c r="P274" s="159" t="str"/>
      <x:c r="Q274" s="159" t="str">
        <x:v>The action's primary mechanism does not directly change a terminal Biodiversity vulnerability indicator.</x:v>
      </x:c>
      <x:c r="R274" s="160" t="str">
        <x:v>Encourages the adoption of water-saving technologies and practices to conserve water resources and strengthen resilience to climate change. This includes measures such as rainwater harvesting, low-flow appliances, leak detection systems, and municipal incentive programs that support households and businesses in reducing consumption. These actions enhance sustainable water use and complement broader eco-engineering and adaptation efforts.</x:v>
      </x:c>
    </x:row>
    <x:row r="275" ht="66" customHeight="1">
      <x:c r="A275" s="165" t="str">
        <x:v>c40_0051</x:v>
      </x:c>
      <x:c r="B275" s="159" t="str">
        <x:v>Provide public shading in heat hotspots</x:v>
      </x:c>
      <x:c r="C275" s="159" t="str">
        <x:v>Biodiversity</x:v>
      </x:c>
      <x:c r="D275" s="159" t="str">
        <x:v>Exposure</x:v>
      </x:c>
      <x:c r="E275" s="153" t="str"/>
      <x:c r="F275" s="153" t="str"/>
      <x:c r="G275" s="159" t="str">
        <x:v>Not eligible</x:v>
      </x:c>
      <x:c r="H275" s="159" t="str">
        <x:v>Not applicable</x:v>
      </x:c>
      <x:c r="I275" s="159" t="str">
        <x:v>Not applicable</x:v>
      </x:c>
      <x:c r="J275" s="159" t="str">
        <x:v>Not applicable</x:v>
      </x:c>
      <x:c r="K275" s="159" t="str">
        <x:v>No</x:v>
      </x:c>
      <x:c r="L275" s="159" t="str">
        <x:v>&lt;5 years</x:v>
      </x:c>
      <x:c r="M275" s="168" t="n">
        <x:v>0</x:v>
      </x:c>
      <x:c r="N275" s="168" t="n">
        <x:v>0</x:v>
      </x:c>
      <x:c r="O275" s="159" t="str"/>
      <x:c r="P275" s="159" t="str"/>
      <x:c r="Q275" s="159" t="str">
        <x:v>The action's primary mechanism does not directly change a terminal Biodiversity exposure indicator.</x:v>
      </x:c>
      <x:c r="R275" s="160" t="str">
        <x:v>"Provide public shading in heat hotspots" involves the implementation of shade structures in public spaces, such as shade sails and canopies, and drought-tolerant trees, contributing to eco-engineering efforts. This adaptation measure enhances outdoor comfort, reduces heat stress, and promotes sustainable urban design.</x:v>
      </x:c>
    </x:row>
    <x:row r="276" ht="66" customHeight="1">
      <x:c r="A276" s="165" t="str">
        <x:v>c40_0051</x:v>
      </x:c>
      <x:c r="B276" s="159" t="str">
        <x:v>Provide public shading in heat hotspots</x:v>
      </x:c>
      <x:c r="C276" s="159" t="str">
        <x:v>Biodiversity</x:v>
      </x:c>
      <x:c r="D276" s="159" t="str">
        <x:v>Vulnerability</x:v>
      </x:c>
      <x:c r="E276" s="153" t="str"/>
      <x:c r="F276" s="153" t="str"/>
      <x:c r="G276" s="159" t="str">
        <x:v>Not eligible</x:v>
      </x:c>
      <x:c r="H276" s="159" t="str">
        <x:v>Not applicable</x:v>
      </x:c>
      <x:c r="I276" s="159" t="str">
        <x:v>Not applicable</x:v>
      </x:c>
      <x:c r="J276" s="159" t="str">
        <x:v>Not applicable</x:v>
      </x:c>
      <x:c r="K276" s="159" t="str">
        <x:v>No</x:v>
      </x:c>
      <x:c r="L276" s="159" t="str">
        <x:v>&lt;5 years</x:v>
      </x:c>
      <x:c r="M276" s="168" t="n">
        <x:v>0</x:v>
      </x:c>
      <x:c r="N276" s="168" t="n">
        <x:v>0</x:v>
      </x:c>
      <x:c r="O276" s="159" t="str"/>
      <x:c r="P276" s="159" t="str"/>
      <x:c r="Q276" s="159" t="str">
        <x:v>The action's primary mechanism does not directly change a terminal Biodiversity vulnerability indicator.</x:v>
      </x:c>
      <x:c r="R276" s="160" t="str">
        <x:v>"Provide public shading in heat hotspots" involves the implementation of shade structures in public spaces, such as shade sails and canopies, and drought-tolerant trees, contributing to eco-engineering efforts. This adaptation measure enhances outdoor comfort, reduces heat stress, and promotes sustainable urban design.</x:v>
      </x:c>
    </x:row>
    <x:row r="277" ht="66" customHeight="1">
      <x:c r="A277" s="165" t="str">
        <x:v>icare_0178</x:v>
      </x:c>
      <x:c r="B277" s="159" t="str">
        <x:v>Redirect urban development through climate‑risk spatial planning</x:v>
      </x:c>
      <x:c r="C277" s="159" t="str">
        <x:v>Biodiversity</x:v>
      </x:c>
      <x:c r="D277" s="159" t="str">
        <x:v>Exposure</x:v>
      </x:c>
      <x:c r="E277" s="153" t="str"/>
      <x:c r="F277" s="153" t="str"/>
      <x:c r="G277" s="159" t="str">
        <x:v>Not eligible</x:v>
      </x:c>
      <x:c r="H277" s="159" t="str">
        <x:v>Not applicable</x:v>
      </x:c>
      <x:c r="I277" s="159" t="str">
        <x:v>Not applicable</x:v>
      </x:c>
      <x:c r="J277" s="159" t="str">
        <x:v>Not applicable</x:v>
      </x:c>
      <x:c r="K277" s="159" t="str">
        <x:v>No</x:v>
      </x:c>
      <x:c r="L277" s="159" t="str">
        <x:v>&lt;5 years</x:v>
      </x:c>
      <x:c r="M277" s="168" t="n">
        <x:v>0</x:v>
      </x:c>
      <x:c r="N277" s="168" t="n">
        <x:v>0</x:v>
      </x:c>
      <x:c r="O277" s="159" t="str"/>
      <x:c r="P277" s="159" t="str"/>
      <x:c r="Q277" s="159" t="str">
        <x:v>The action's primary mechanism does not directly change a terminal Biodiversity exposure indicator.</x:v>
      </x:c>
      <x:c r="R277" s="160" t="str">
        <x:v>Mapping of critical flood-prone areas with the aim of revising and harmonizing legislation related to land use, given the intensification of the impacts of extreme weather events.</x:v>
      </x:c>
    </x:row>
    <x:row r="278" ht="66" customHeight="1">
      <x:c r="A278" s="165" t="str">
        <x:v>icare_0178</x:v>
      </x:c>
      <x:c r="B278" s="159" t="str">
        <x:v>Redirect urban development through climate‑risk spatial planning</x:v>
      </x:c>
      <x:c r="C278" s="159" t="str">
        <x:v>Biodiversity</x:v>
      </x:c>
      <x:c r="D278" s="159" t="str">
        <x:v>Vulnerability</x:v>
      </x:c>
      <x:c r="E278" s="153" t="str"/>
      <x:c r="F278" s="153" t="str"/>
      <x:c r="G278" s="159" t="str">
        <x:v>Not eligible</x:v>
      </x:c>
      <x:c r="H278" s="159" t="str">
        <x:v>Not applicable</x:v>
      </x:c>
      <x:c r="I278" s="159" t="str">
        <x:v>Not applicable</x:v>
      </x:c>
      <x:c r="J278" s="159" t="str">
        <x:v>Not applicable</x:v>
      </x:c>
      <x:c r="K278" s="159" t="str">
        <x:v>No</x:v>
      </x:c>
      <x:c r="L278" s="159" t="str">
        <x:v>&lt;5 years</x:v>
      </x:c>
      <x:c r="M278" s="168" t="n">
        <x:v>0</x:v>
      </x:c>
      <x:c r="N278" s="168" t="n">
        <x:v>0</x:v>
      </x:c>
      <x:c r="O278" s="159" t="str"/>
      <x:c r="P278" s="159" t="str"/>
      <x:c r="Q278" s="159" t="str">
        <x:v>The action's primary mechanism does not directly change a terminal Biodiversity vulnerability indicator.</x:v>
      </x:c>
      <x:c r="R278" s="160" t="str">
        <x:v>Mapping of critical flood-prone areas with the aim of revising and harmonizing legislation related to land use, given the intensification of the impacts of extreme weather events.</x:v>
      </x:c>
    </x:row>
    <x:row r="279" ht="66" customHeight="1">
      <x:c r="A279" s="165" t="str">
        <x:v>c40_0062</x:v>
      </x:c>
      <x:c r="B279" s="159" t="str">
        <x:v>Reform water tariffs to support efficiency and equity</x:v>
      </x:c>
      <x:c r="C279" s="159" t="str">
        <x:v>Biodiversity</x:v>
      </x:c>
      <x:c r="D279" s="159" t="str">
        <x:v>Exposure</x:v>
      </x:c>
      <x:c r="E279" s="153" t="str"/>
      <x:c r="F279" s="153" t="str"/>
      <x:c r="G279" s="159" t="str">
        <x:v>Not eligible</x:v>
      </x:c>
      <x:c r="H279" s="159" t="str">
        <x:v>Not applicable</x:v>
      </x:c>
      <x:c r="I279" s="159" t="str">
        <x:v>Not applicable</x:v>
      </x:c>
      <x:c r="J279" s="159" t="str">
        <x:v>Not applicable</x:v>
      </x:c>
      <x:c r="K279" s="159" t="str">
        <x:v>No</x:v>
      </x:c>
      <x:c r="L279" s="159" t="str">
        <x:v>5-10 years</x:v>
      </x:c>
      <x:c r="M279" s="168" t="n">
        <x:v>0</x:v>
      </x:c>
      <x:c r="N279" s="168" t="n">
        <x:v>0</x:v>
      </x:c>
      <x:c r="O279" s="159" t="str"/>
      <x:c r="P279" s="159" t="str"/>
      <x:c r="Q279" s="159" t="str">
        <x:v>The action's primary mechanism does not directly change a terminal Biodiversity exposure indicator.</x:v>
      </x:c>
      <x:c r="R279" s="160" t="str">
        <x:v>"Reform water tariffs to support efficiency and equity" involve pricing structures for water use, encouraging conservation and efficient use of water resources. This initiative aims to promote responsible water consumption and contribute to sustainable water management.</x:v>
      </x:c>
    </x:row>
    <x:row r="280" ht="66" customHeight="1">
      <x:c r="A280" s="165" t="str">
        <x:v>c40_0062</x:v>
      </x:c>
      <x:c r="B280" s="159" t="str">
        <x:v>Reform water tariffs to support efficiency and equity</x:v>
      </x:c>
      <x:c r="C280" s="159" t="str">
        <x:v>Biodiversity</x:v>
      </x:c>
      <x:c r="D280" s="159" t="str">
        <x:v>Vulnerability</x:v>
      </x:c>
      <x:c r="E280" s="153" t="str"/>
      <x:c r="F280" s="153" t="str"/>
      <x:c r="G280" s="159" t="str">
        <x:v>Not eligible</x:v>
      </x:c>
      <x:c r="H280" s="159" t="str">
        <x:v>Not applicable</x:v>
      </x:c>
      <x:c r="I280" s="159" t="str">
        <x:v>Not applicable</x:v>
      </x:c>
      <x:c r="J280" s="159" t="str">
        <x:v>Not applicable</x:v>
      </x:c>
      <x:c r="K280" s="159" t="str">
        <x:v>No</x:v>
      </x:c>
      <x:c r="L280" s="159" t="str">
        <x:v>5-10 years</x:v>
      </x:c>
      <x:c r="M280" s="168" t="n">
        <x:v>0</x:v>
      </x:c>
      <x:c r="N280" s="168" t="n">
        <x:v>0</x:v>
      </x:c>
      <x:c r="O280" s="159" t="str"/>
      <x:c r="P280" s="159" t="str"/>
      <x:c r="Q280" s="159" t="str">
        <x:v>The action's primary mechanism does not directly change a terminal Biodiversity vulnerability indicator.</x:v>
      </x:c>
      <x:c r="R280" s="160" t="str">
        <x:v>"Reform water tariffs to support efficiency and equity" involve pricing structures for water use, encouraging conservation and efficient use of water resources. This initiative aims to promote responsible water consumption and contribute to sustainable water management.</x:v>
      </x:c>
    </x:row>
    <x:row r="281" ht="66" customHeight="1">
      <x:c r="A281" s="165" t="str">
        <x:v>icare_0181</x:v>
      </x:c>
      <x:c r="B281" s="159" t="str">
        <x:v>Restore in Vulnerable Areas</x:v>
      </x:c>
      <x:c r="C281" s="159" t="str">
        <x:v>Biodiversity</x:v>
      </x:c>
      <x:c r="D281" s="159" t="str">
        <x:v>Exposure</x:v>
      </x:c>
      <x:c r="E281" s="153" t="str"/>
      <x:c r="F281" s="153" t="str"/>
      <x:c r="G281" s="159" t="str">
        <x:v>Not eligible</x:v>
      </x:c>
      <x:c r="H281" s="159" t="str">
        <x:v>Not applicable</x:v>
      </x:c>
      <x:c r="I281" s="159" t="str">
        <x:v>Not applicable</x:v>
      </x:c>
      <x:c r="J281" s="159" t="str">
        <x:v>Not applicable</x:v>
      </x:c>
      <x:c r="K281" s="159" t="str">
        <x:v>No</x:v>
      </x:c>
      <x:c r="L281" s="159" t="str">
        <x:v>5-10 years</x:v>
      </x:c>
      <x:c r="M281" s="168" t="n">
        <x:v>0</x:v>
      </x:c>
      <x:c r="N281" s="168" t="n">
        <x:v>0</x:v>
      </x:c>
      <x:c r="O281" s="159" t="str"/>
      <x:c r="P281" s="159" t="str"/>
      <x:c r="Q281" s="159" t="str">
        <x:v>The action's primary mechanism does not directly change a terminal Biodiversity exposure indicator.</x:v>
      </x:c>
      <x:c r="R281" s="160" t="str">
        <x:v>A comprehensive project addressing the socio-environmental vulnerability of an informal settlement. It includes relocating residents from flood-prone areas, restoring the environment, and providing infrastructure and social services.</x:v>
      </x:c>
    </x:row>
    <x:row r="282" ht="66" customHeight="1">
      <x:c r="A282" s="165" t="str">
        <x:v>icare_0181</x:v>
      </x:c>
      <x:c r="B282" s="159" t="str">
        <x:v>Restore in Vulnerable Areas</x:v>
      </x:c>
      <x:c r="C282" s="159" t="str">
        <x:v>Biodiversity</x:v>
      </x:c>
      <x:c r="D282" s="159" t="str">
        <x:v>Vulnerability</x:v>
      </x:c>
      <x:c r="E282" s="153" t="str"/>
      <x:c r="F282" s="153" t="str"/>
      <x:c r="G282" s="159" t="str">
        <x:v>Not eligible</x:v>
      </x:c>
      <x:c r="H282" s="159" t="str">
        <x:v>Not applicable</x:v>
      </x:c>
      <x:c r="I282" s="159" t="str">
        <x:v>Not applicable</x:v>
      </x:c>
      <x:c r="J282" s="159" t="str">
        <x:v>Not applicable</x:v>
      </x:c>
      <x:c r="K282" s="159" t="str">
        <x:v>No</x:v>
      </x:c>
      <x:c r="L282" s="159" t="str">
        <x:v>5-10 years</x:v>
      </x:c>
      <x:c r="M282" s="168" t="n">
        <x:v>0</x:v>
      </x:c>
      <x:c r="N282" s="168" t="n">
        <x:v>0</x:v>
      </x:c>
      <x:c r="O282" s="159" t="str"/>
      <x:c r="P282" s="159" t="str"/>
      <x:c r="Q282" s="159" t="str">
        <x:v>The action's primary mechanism does not directly change a terminal Biodiversity vulnerability indicator.</x:v>
      </x:c>
      <x:c r="R282" s="160" t="str">
        <x:v>A comprehensive project addressing the socio-environmental vulnerability of an informal settlement. It includes relocating residents from flood-prone areas, restoring the environment, and providing infrastructure and social services.</x:v>
      </x:c>
    </x:row>
    <x:row r="283" ht="66" customHeight="1">
      <x:c r="A283" s="165" t="str">
        <x:v>ipcc_0096</x:v>
      </x:c>
      <x:c r="B283" s="159" t="str">
        <x:v>Strengthen climate resilience in farming and fisheries</x:v>
      </x:c>
      <x:c r="C283" s="159" t="str">
        <x:v>Biodiversity</x:v>
      </x:c>
      <x:c r="D283" s="159" t="str">
        <x:v>Exposure</x:v>
      </x:c>
      <x:c r="E283" s="153" t="str"/>
      <x:c r="F283" s="153" t="str"/>
      <x:c r="G283" s="159" t="str">
        <x:v>Not eligible</x:v>
      </x:c>
      <x:c r="H283" s="159" t="str">
        <x:v>Not applicable</x:v>
      </x:c>
      <x:c r="I283" s="159" t="str">
        <x:v>Not applicable</x:v>
      </x:c>
      <x:c r="J283" s="159" t="str">
        <x:v>Not applicable</x:v>
      </x:c>
      <x:c r="K283" s="159" t="str">
        <x:v>No</x:v>
      </x:c>
      <x:c r="L283" s="159" t="str">
        <x:v>5-10 years</x:v>
      </x:c>
      <x:c r="M283" s="168" t="n">
        <x:v>0</x:v>
      </x:c>
      <x:c r="N283" s="168" t="n">
        <x:v>0</x:v>
      </x:c>
      <x:c r="O283" s="159" t="str"/>
      <x:c r="P283" s="159" t="str"/>
      <x:c r="Q283" s="159" t="str">
        <x:v>The action's primary mechanism does not directly change a terminal Biodiversity exposure indicator.</x:v>
      </x:c>
      <x:c r="R283" s="160" t="str">
        <x:v>Support the adoption of climate-smart agricultural and aquaculture practices by creating enabling conditions for farmers and fishers. Municipal governments can promote improved breeds, feed, and fertilizers, enhance irrigation efficiency, and foster aquaculture resilience through extension services, research partnerships, and targeted procurement. By offering incentives, technical assistance, and facilitating access to innovation and finance, cities can help producers adopt agroecological systems, diversify crops, and strengthen sustainable practices that build resilience to climate impacts.</x:v>
      </x:c>
    </x:row>
    <x:row r="284" ht="66" customHeight="1">
      <x:c r="A284" s="165" t="str">
        <x:v>ipcc_0094</x:v>
      </x:c>
      <x:c r="B284" s="159" t="str">
        <x:v>Strengthen climate‑resilient health services</x:v>
      </x:c>
      <x:c r="C284" s="159" t="str">
        <x:v>Biodiversity</x:v>
      </x:c>
      <x:c r="D284" s="159" t="str">
        <x:v>Exposure</x:v>
      </x:c>
      <x:c r="E284" s="153" t="str"/>
      <x:c r="F284" s="153" t="str"/>
      <x:c r="G284" s="159" t="str">
        <x:v>Not eligible</x:v>
      </x:c>
      <x:c r="H284" s="159" t="str">
        <x:v>Not applicable</x:v>
      </x:c>
      <x:c r="I284" s="159" t="str">
        <x:v>Not applicable</x:v>
      </x:c>
      <x:c r="J284" s="159" t="str">
        <x:v>Not applicable</x:v>
      </x:c>
      <x:c r="K284" s="159" t="str">
        <x:v>No</x:v>
      </x:c>
      <x:c r="L284" s="159" t="str">
        <x:v>5-10 years</x:v>
      </x:c>
      <x:c r="M284" s="168" t="n">
        <x:v>0</x:v>
      </x:c>
      <x:c r="N284" s="168" t="n">
        <x:v>0</x:v>
      </x:c>
      <x:c r="O284" s="159" t="str"/>
      <x:c r="P284" s="159" t="str"/>
      <x:c r="Q284" s="159" t="str">
        <x:v>The action's primary mechanism does not directly change a terminal Biodiversity exposure indicator.</x:v>
      </x:c>
      <x:c r="R284" s="160" t="str">
        <x:v>Enhancing access to health care services, including health and nutrition services, clean water, sanitation, and culturally appropriate mental health resources. Expanding telemedicine capabilities enables efficient health service delivery, particularly for remote and underserved populations. Strengthening basic public health systems and disaster preparedness can rapidly reduce vulnerability to climate-related health risks.</x:v>
      </x:c>
    </x:row>
    <x:row r="285" ht="66" customHeight="1">
      <x:c r="A285" s="165" t="str">
        <x:v>ipcc_0094</x:v>
      </x:c>
      <x:c r="B285" s="159" t="str">
        <x:v>Strengthen climate‑resilient health services</x:v>
      </x:c>
      <x:c r="C285" s="159" t="str">
        <x:v>Biodiversity</x:v>
      </x:c>
      <x:c r="D285" s="159" t="str">
        <x:v>Vulnerability</x:v>
      </x:c>
      <x:c r="E285" s="153" t="str"/>
      <x:c r="F285" s="153" t="str"/>
      <x:c r="G285" s="159" t="str">
        <x:v>Not eligible</x:v>
      </x:c>
      <x:c r="H285" s="159" t="str">
        <x:v>Not applicable</x:v>
      </x:c>
      <x:c r="I285" s="159" t="str">
        <x:v>Not applicable</x:v>
      </x:c>
      <x:c r="J285" s="159" t="str">
        <x:v>Not applicable</x:v>
      </x:c>
      <x:c r="K285" s="159" t="str">
        <x:v>No</x:v>
      </x:c>
      <x:c r="L285" s="159" t="str">
        <x:v>5-10 years</x:v>
      </x:c>
      <x:c r="M285" s="168" t="n">
        <x:v>0</x:v>
      </x:c>
      <x:c r="N285" s="168" t="n">
        <x:v>0</x:v>
      </x:c>
      <x:c r="O285" s="159" t="str"/>
      <x:c r="P285" s="159" t="str"/>
      <x:c r="Q285" s="159" t="str">
        <x:v>The action's primary mechanism does not directly change a terminal Biodiversity vulnerability indicator.</x:v>
      </x:c>
      <x:c r="R285" s="160" t="str">
        <x:v>Enhancing access to health care services, including health and nutrition services, clean water, sanitation, and culturally appropriate mental health resources. Expanding telemedicine capabilities enables efficient health service delivery, particularly for remote and underserved populations. Strengthening basic public health systems and disaster preparedness can rapidly reduce vulnerability to climate-related health risks.</x:v>
      </x:c>
    </x:row>
    <x:row r="286" ht="66" customHeight="1">
      <x:c r="A286" s="165" t="str">
        <x:v>c40_0046</x:v>
      </x:c>
      <x:c r="B286" s="159" t="str">
        <x:v>Strengthen coastal protection infrastructure</x:v>
      </x:c>
      <x:c r="C286" s="159" t="str">
        <x:v>Biodiversity</x:v>
      </x:c>
      <x:c r="D286" s="159" t="str">
        <x:v>Exposure</x:v>
      </x:c>
      <x:c r="E286" s="153" t="str"/>
      <x:c r="F286" s="153" t="str"/>
      <x:c r="G286" s="159" t="str">
        <x:v>Not eligible</x:v>
      </x:c>
      <x:c r="H286" s="159" t="str">
        <x:v>Not applicable</x:v>
      </x:c>
      <x:c r="I286" s="159" t="str">
        <x:v>Not applicable</x:v>
      </x:c>
      <x:c r="J286" s="159" t="str">
        <x:v>Not applicable</x:v>
      </x:c>
      <x:c r="K286" s="159" t="str">
        <x:v>No</x:v>
      </x:c>
      <x:c r="L286" s="159" t="str">
        <x:v>5-10 years</x:v>
      </x:c>
      <x:c r="M286" s="168" t="n">
        <x:v>0</x:v>
      </x:c>
      <x:c r="N286" s="168" t="n">
        <x:v>0</x:v>
      </x:c>
      <x:c r="O286" s="159" t="str"/>
      <x:c r="P286" s="159" t="str"/>
      <x:c r="Q286" s="159" t="str">
        <x:v>The action's primary mechanism does not directly change a terminal Biodiversity exposure indicator.</x:v>
      </x:c>
      <x:c r="R286" s="160" t="str">
        <x:v>Strengthen coastal protection infrastructure strategies include the construction of sea walls and protective structures to mitigate the impact of rising sea levels and coastal erosion. This adaptation measure enhances the resilience of coastal areas and protects communities from the impacts of climate change. Crucially, these interventions must be developed through an integrated coastal management framework, prioritizing nature-based solutions where feasible, to avoid negative downstream effects and ensure equitable protection for all vulnerable communities.</x:v>
      </x:c>
    </x:row>
    <x:row r="287" ht="66" customHeight="1">
      <x:c r="A287" s="165" t="str">
        <x:v>icare_0145</x:v>
      </x:c>
      <x:c r="B287" s="159" t="str">
        <x:v>Strengthen the healthcare system to respond effectively to extreme events</x:v>
      </x:c>
      <x:c r="C287" s="159" t="str">
        <x:v>Biodiversity</x:v>
      </x:c>
      <x:c r="D287" s="159" t="str">
        <x:v>Exposure</x:v>
      </x:c>
      <x:c r="E287" s="153" t="str"/>
      <x:c r="F287" s="153" t="str"/>
      <x:c r="G287" s="159" t="str">
        <x:v>Not eligible</x:v>
      </x:c>
      <x:c r="H287" s="159" t="str">
        <x:v>Not applicable</x:v>
      </x:c>
      <x:c r="I287" s="159" t="str">
        <x:v>Not applicable</x:v>
      </x:c>
      <x:c r="J287" s="159" t="str">
        <x:v>Not applicable</x:v>
      </x:c>
      <x:c r="K287" s="159" t="str">
        <x:v>No</x:v>
      </x:c>
      <x:c r="L287" s="159" t="str">
        <x:v>&gt;10 years</x:v>
      </x:c>
      <x:c r="M287" s="168" t="n">
        <x:v>0</x:v>
      </x:c>
      <x:c r="N287" s="168" t="n">
        <x:v>0</x:v>
      </x:c>
      <x:c r="O287" s="159" t="str"/>
      <x:c r="P287" s="159" t="str"/>
      <x:c r="Q287" s="159" t="str">
        <x:v>The action's primary mechanism does not directly change a terminal Biodiversity exposure indicator.</x:v>
      </x:c>
      <x:c r="R287" s="160" t="str">
        <x:v>Improve the infrastructure of healthcare units to assist people who require medical care due to impacts associated with climate risks (climate victims), such as those affected by heat waves or floods, especially in more vulnerable areas. Develop action plans to prepare the healthcare network for extreme climate-related situations.</x:v>
      </x:c>
    </x:row>
    <x:row r="288" ht="66" customHeight="1">
      <x:c r="A288" s="165" t="str">
        <x:v>icare_0145</x:v>
      </x:c>
      <x:c r="B288" s="159" t="str">
        <x:v>Strengthen the healthcare system to respond effectively to extreme events</x:v>
      </x:c>
      <x:c r="C288" s="159" t="str">
        <x:v>Biodiversity</x:v>
      </x:c>
      <x:c r="D288" s="159" t="str">
        <x:v>Vulnerability</x:v>
      </x:c>
      <x:c r="E288" s="153" t="str"/>
      <x:c r="F288" s="153" t="str"/>
      <x:c r="G288" s="159" t="str">
        <x:v>Not eligible</x:v>
      </x:c>
      <x:c r="H288" s="159" t="str">
        <x:v>Not applicable</x:v>
      </x:c>
      <x:c r="I288" s="159" t="str">
        <x:v>Not applicable</x:v>
      </x:c>
      <x:c r="J288" s="159" t="str">
        <x:v>Not applicable</x:v>
      </x:c>
      <x:c r="K288" s="159" t="str">
        <x:v>No</x:v>
      </x:c>
      <x:c r="L288" s="159" t="str">
        <x:v>&gt;10 years</x:v>
      </x:c>
      <x:c r="M288" s="168" t="n">
        <x:v>0</x:v>
      </x:c>
      <x:c r="N288" s="168" t="n">
        <x:v>0</x:v>
      </x:c>
      <x:c r="O288" s="159" t="str"/>
      <x:c r="P288" s="159" t="str"/>
      <x:c r="Q288" s="159" t="str">
        <x:v>The action's primary mechanism does not directly change a terminal Biodiversity vulnerability indicator.</x:v>
      </x:c>
      <x:c r="R288" s="160" t="str">
        <x:v>Improve the infrastructure of healthcare units to assist people who require medical care due to impacts associated with climate risks (climate victims), such as those affected by heat waves or floods, especially in more vulnerable areas. Develop action plans to prepare the healthcare network for extreme climate-related situations.</x:v>
      </x:c>
    </x:row>
    <x:row r="289" ht="66" customHeight="1">
      <x:c r="A289" s="165" t="str">
        <x:v>ipcc_0091</x:v>
      </x:c>
      <x:c r="B289" s="159" t="str">
        <x:v>Support livelihood diversification for climate resilience</x:v>
      </x:c>
      <x:c r="C289" s="159" t="str">
        <x:v>Biodiversity</x:v>
      </x:c>
      <x:c r="D289" s="159" t="str">
        <x:v>Exposure</x:v>
      </x:c>
      <x:c r="E289" s="153" t="str"/>
      <x:c r="F289" s="153" t="str"/>
      <x:c r="G289" s="159" t="str">
        <x:v>Not eligible</x:v>
      </x:c>
      <x:c r="H289" s="159" t="str">
        <x:v>Not applicable</x:v>
      </x:c>
      <x:c r="I289" s="159" t="str">
        <x:v>Not applicable</x:v>
      </x:c>
      <x:c r="J289" s="159" t="str">
        <x:v>Not applicable</x:v>
      </x:c>
      <x:c r="K289" s="159" t="str">
        <x:v>No</x:v>
      </x:c>
      <x:c r="L289" s="159" t="str">
        <x:v>&lt;5 years</x:v>
      </x:c>
      <x:c r="M289" s="168" t="n">
        <x:v>0</x:v>
      </x:c>
      <x:c r="N289" s="168" t="n">
        <x:v>0</x:v>
      </x:c>
      <x:c r="O289" s="159" t="str"/>
      <x:c r="P289" s="159" t="str"/>
      <x:c r="Q289" s="159" t="str">
        <x:v>The action's primary mechanism does not directly change a terminal Biodiversity exposure indicator.</x:v>
      </x:c>
      <x:c r="R289" s="160" t="str">
        <x:v>Promote alternative income opportunities to reduce the vulnerability of communities dependent on fisheries and mariculture. Municipal governments can facilitate training, microcredit programs, and connections to value chains that enable diversification into eco-tourism, agro-processing, crafts, and service sectors. By supporting infrastructure upgrades, skills development, and access to finance, cities can help stabilize incomes, strengthen local economies, and protect livelihoods from the impacts of shifting marine species distributions and climate variability.</x:v>
      </x:c>
    </x:row>
    <x:row r="290" ht="66" customHeight="1">
      <x:c r="A290" s="165" t="str">
        <x:v>ipcc_0091</x:v>
      </x:c>
      <x:c r="B290" s="159" t="str">
        <x:v>Support livelihood diversification for climate resilience</x:v>
      </x:c>
      <x:c r="C290" s="159" t="str">
        <x:v>Biodiversity</x:v>
      </x:c>
      <x:c r="D290" s="159" t="str">
        <x:v>Vulnerability</x:v>
      </x:c>
      <x:c r="E290" s="153" t="str"/>
      <x:c r="F290" s="153" t="str"/>
      <x:c r="G290" s="159" t="str">
        <x:v>Not eligible</x:v>
      </x:c>
      <x:c r="H290" s="159" t="str">
        <x:v>Not applicable</x:v>
      </x:c>
      <x:c r="I290" s="159" t="str">
        <x:v>Not applicable</x:v>
      </x:c>
      <x:c r="J290" s="159" t="str">
        <x:v>Not applicable</x:v>
      </x:c>
      <x:c r="K290" s="159" t="str">
        <x:v>No</x:v>
      </x:c>
      <x:c r="L290" s="159" t="str">
        <x:v>&lt;5 years</x:v>
      </x:c>
      <x:c r="M290" s="168" t="n">
        <x:v>0</x:v>
      </x:c>
      <x:c r="N290" s="168" t="n">
        <x:v>0</x:v>
      </x:c>
      <x:c r="O290" s="159" t="str"/>
      <x:c r="P290" s="159" t="str"/>
      <x:c r="Q290" s="159" t="str">
        <x:v>The action's primary mechanism does not directly change a terminal Biodiversity vulnerability indicator.</x:v>
      </x:c>
      <x:c r="R290" s="160" t="str">
        <x:v>Promote alternative income opportunities to reduce the vulnerability of communities dependent on fisheries and mariculture. Municipal governments can facilitate training, microcredit programs, and connections to value chains that enable diversification into eco-tourism, agro-processing, crafts, and service sectors. By supporting infrastructure upgrades, skills development, and access to finance, cities can help stabilize incomes, strengthen local economies, and protect livelihoods from the impacts of shifting marine species distributions and climate variability.</x:v>
      </x:c>
    </x:row>
    <x:row r="291" ht="66" customHeight="1">
      <x:c r="A291" s="165" t="str">
        <x:v>ipcc_0088</x:v>
      </x:c>
      <x:c r="B291" s="159" t="str">
        <x:v>Update and enforce climate‑resilient building codes</x:v>
      </x:c>
      <x:c r="C291" s="159" t="str">
        <x:v>Biodiversity</x:v>
      </x:c>
      <x:c r="D291" s="159" t="str">
        <x:v>Exposure</x:v>
      </x:c>
      <x:c r="E291" s="153" t="str"/>
      <x:c r="F291" s="153" t="str"/>
      <x:c r="G291" s="159" t="str">
        <x:v>Not eligible</x:v>
      </x:c>
      <x:c r="H291" s="159" t="str">
        <x:v>Not applicable</x:v>
      </x:c>
      <x:c r="I291" s="159" t="str">
        <x:v>Not applicable</x:v>
      </x:c>
      <x:c r="J291" s="159" t="str">
        <x:v>Not applicable</x:v>
      </x:c>
      <x:c r="K291" s="159" t="str">
        <x:v>No</x:v>
      </x:c>
      <x:c r="L291" s="159" t="str">
        <x:v>5-10 years</x:v>
      </x:c>
      <x:c r="M291" s="168" t="n">
        <x:v>0</x:v>
      </x:c>
      <x:c r="N291" s="168" t="n">
        <x:v>0</x:v>
      </x:c>
      <x:c r="O291" s="159" t="str"/>
      <x:c r="P291" s="159" t="str"/>
      <x:c r="Q291" s="159" t="str">
        <x:v>The action's primary mechanism does not directly change a terminal Biodiversity exposure indicator.</x:v>
      </x:c>
      <x:c r="R291" s="160" t="str">
        <x:v>The development and implementation of building codes and architectural design regulations aimed at integrating climate adaptation parameters. These codes are focused on reducing risks from climate-induced hazards like floods and landslides. They also support climate-resilient urban development by guiding land use, construction practices, and infrastructure standards. The initiative fosters strategic long-term urban planning to coordinate public and private investments in adaptation, including the creation of safe zones and the transformation of precarious settlements. It ensures that new infrastructure is resilient to climate risks and that urban spaces are safe and sustainable for current and future populations.</x:v>
      </x:c>
    </x:row>
    <x:row r="292" ht="66" customHeight="1">
      <x:c r="A292" s="165" t="str">
        <x:v>ipcc_0088</x:v>
      </x:c>
      <x:c r="B292" s="159" t="str">
        <x:v>Update and enforce climate‑resilient building codes</x:v>
      </x:c>
      <x:c r="C292" s="159" t="str">
        <x:v>Biodiversity</x:v>
      </x:c>
      <x:c r="D292" s="159" t="str">
        <x:v>Vulnerability</x:v>
      </x:c>
      <x:c r="E292" s="153" t="str"/>
      <x:c r="F292" s="153" t="str"/>
      <x:c r="G292" s="159" t="str">
        <x:v>Not eligible</x:v>
      </x:c>
      <x:c r="H292" s="159" t="str">
        <x:v>Not applicable</x:v>
      </x:c>
      <x:c r="I292" s="159" t="str">
        <x:v>Not applicable</x:v>
      </x:c>
      <x:c r="J292" s="159" t="str">
        <x:v>Not applicable</x:v>
      </x:c>
      <x:c r="K292" s="159" t="str">
        <x:v>No</x:v>
      </x:c>
      <x:c r="L292" s="159" t="str">
        <x:v>5-10 years</x:v>
      </x:c>
      <x:c r="M292" s="168" t="n">
        <x:v>0</x:v>
      </x:c>
      <x:c r="N292" s="168" t="n">
        <x:v>0</x:v>
      </x:c>
      <x:c r="O292" s="159" t="str"/>
      <x:c r="P292" s="159" t="str"/>
      <x:c r="Q292" s="159" t="str">
        <x:v>The action's primary mechanism does not directly change a terminal Biodiversity vulnerability indicator.</x:v>
      </x:c>
      <x:c r="R292" s="160" t="str">
        <x:v>The development and implementation of building codes and architectural design regulations aimed at integrating climate adaptation parameters. These codes are focused on reducing risks from climate-induced hazards like floods and landslides. They also support climate-resilient urban development by guiding land use, construction practices, and infrastructure standards. The initiative fosters strategic long-term urban planning to coordinate public and private investments in adaptation, including the creation of safe zones and the transformation of precarious settlements. It ensures that new infrastructure is resilient to climate risks and that urban spaces are safe and sustainable for current and future populations.</x:v>
      </x:c>
    </x:row>
    <x:row r="293" ht="66" customHeight="1">
      <x:c r="A293" s="165" t="str">
        <x:v>ipcc_0097</x:v>
      </x:c>
      <x:c r="B293" s="159" t="str">
        <x:v>Upgrade food storage and distribution for climate resilience</x:v>
      </x:c>
      <x:c r="C293" s="159" t="str">
        <x:v>Biodiversity</x:v>
      </x:c>
      <x:c r="D293" s="159" t="str">
        <x:v>Exposure</x:v>
      </x:c>
      <x:c r="E293" s="153" t="str"/>
      <x:c r="F293" s="153" t="str"/>
      <x:c r="G293" s="159" t="str">
        <x:v>Not eligible</x:v>
      </x:c>
      <x:c r="H293" s="159" t="str">
        <x:v>Not applicable</x:v>
      </x:c>
      <x:c r="I293" s="159" t="str">
        <x:v>Not applicable</x:v>
      </x:c>
      <x:c r="J293" s="159" t="str">
        <x:v>Not applicable</x:v>
      </x:c>
      <x:c r="K293" s="159" t="str">
        <x:v>No</x:v>
      </x:c>
      <x:c r="L293" s="159" t="str">
        <x:v>5-10 years</x:v>
      </x:c>
      <x:c r="M293" s="168" t="n">
        <x:v>0</x:v>
      </x:c>
      <x:c r="N293" s="168" t="n">
        <x:v>0</x:v>
      </x:c>
      <x:c r="O293" s="159" t="str"/>
      <x:c r="P293" s="159" t="str"/>
      <x:c r="Q293" s="159" t="str">
        <x:v>The action's primary mechanism does not directly change a terminal Biodiversity exposure indicator.</x:v>
      </x:c>
      <x:c r="R293" s="160" t="str">
        <x:v>Strengthen local food systems by improving storage and distribution infrastructure to reduce losses and enhance resilience to climate impacts. Municipal governments can invest in public facilities such as cool storage units, silos, and warehouses, while upgrading logistics to handle perishable goods more efficiently. By supporting local markets, optimizing distribution networks, and facilitating access to reliable storage for producers and vendors, cities can improve food security, reduce waste, and ensure stable food availability during crises and extreme events.</x:v>
      </x:c>
    </x:row>
    <x:row r="294" ht="66" customHeight="1">
      <x:c r="A294" s="165" t="str">
        <x:v>ipcc_0097</x:v>
      </x:c>
      <x:c r="B294" s="159" t="str">
        <x:v>Upgrade food storage and distribution for climate resilience</x:v>
      </x:c>
      <x:c r="C294" s="159" t="str">
        <x:v>Biodiversity</x:v>
      </x:c>
      <x:c r="D294" s="159" t="str">
        <x:v>Vulnerability</x:v>
      </x:c>
      <x:c r="E294" s="153" t="str"/>
      <x:c r="F294" s="153" t="str"/>
      <x:c r="G294" s="159" t="str">
        <x:v>Not eligible</x:v>
      </x:c>
      <x:c r="H294" s="159" t="str">
        <x:v>Not applicable</x:v>
      </x:c>
      <x:c r="I294" s="159" t="str">
        <x:v>Not applicable</x:v>
      </x:c>
      <x:c r="J294" s="159" t="str">
        <x:v>Not applicable</x:v>
      </x:c>
      <x:c r="K294" s="159" t="str">
        <x:v>No</x:v>
      </x:c>
      <x:c r="L294" s="159" t="str">
        <x:v>5-10 years</x:v>
      </x:c>
      <x:c r="M294" s="168" t="n">
        <x:v>0</x:v>
      </x:c>
      <x:c r="N294" s="168" t="n">
        <x:v>0</x:v>
      </x:c>
      <x:c r="O294" s="159" t="str"/>
      <x:c r="P294" s="159" t="str"/>
      <x:c r="Q294" s="159" t="str">
        <x:v>The action's primary mechanism does not directly change a terminal Biodiversity vulnerability indicator.</x:v>
      </x:c>
      <x:c r="R294" s="160" t="str">
        <x:v>Strengthen local food systems by improving storage and distribution infrastructure to reduce losses and enhance resilience to climate impacts. Municipal governments can invest in public facilities such as cool storage units, silos, and warehouses, while upgrading logistics to handle perishable goods more efficiently. By supporting local markets, optimizing distribution networks, and facilitating access to reliable storage for producers and vendors, cities can improve food security, reduce waste, and ensure stable food availability during crises and extreme events.</x:v>
      </x:c>
    </x:row>
    <x:row r="295" ht="66" customHeight="1">
      <x:c r="A295" s="165" t="str">
        <x:v>icare_0184</x:v>
      </x:c>
      <x:c r="B295" s="159" t="str">
        <x:v>Upgrade Slope stabilization and drainage</x:v>
      </x:c>
      <x:c r="C295" s="159" t="str">
        <x:v>Biodiversity</x:v>
      </x:c>
      <x:c r="D295" s="159" t="str">
        <x:v>Exposure</x:v>
      </x:c>
      <x:c r="E295" s="153" t="str"/>
      <x:c r="F295" s="153" t="str"/>
      <x:c r="G295" s="159" t="str">
        <x:v>Not eligible</x:v>
      </x:c>
      <x:c r="H295" s="159" t="str">
        <x:v>Not applicable</x:v>
      </x:c>
      <x:c r="I295" s="159" t="str">
        <x:v>Not applicable</x:v>
      </x:c>
      <x:c r="J295" s="159" t="str">
        <x:v>Not applicable</x:v>
      </x:c>
      <x:c r="K295" s="159" t="str">
        <x:v>No</x:v>
      </x:c>
      <x:c r="L295" s="159" t="str">
        <x:v>5-10 years</x:v>
      </x:c>
      <x:c r="M295" s="168" t="n">
        <x:v>0</x:v>
      </x:c>
      <x:c r="N295" s="168" t="n">
        <x:v>0</x:v>
      </x:c>
      <x:c r="O295" s="159" t="str"/>
      <x:c r="P295" s="159" t="str"/>
      <x:c r="Q295" s="159" t="str">
        <x:v>The action's primary mechanism does not directly change a terminal Biodiversity exposure indicator.</x:v>
      </x:c>
      <x:c r="R295" s="160" t="str">
        <x:v>This action involves stabilizing slopes and maintaining or restoring drainage systems in hillside areas. This helps to prevent landslides and erosion, reducing the risk of disasters.</x:v>
      </x:c>
    </x:row>
    <x:row r="296" ht="66" customHeight="1">
      <x:c r="A296" s="165" t="str">
        <x:v>icare_0184</x:v>
      </x:c>
      <x:c r="B296" s="159" t="str">
        <x:v>Upgrade Slope stabilization and drainage</x:v>
      </x:c>
      <x:c r="C296" s="159" t="str">
        <x:v>Biodiversity</x:v>
      </x:c>
      <x:c r="D296" s="159" t="str">
        <x:v>Vulnerability</x:v>
      </x:c>
      <x:c r="E296" s="153" t="str"/>
      <x:c r="F296" s="153" t="str"/>
      <x:c r="G296" s="159" t="str">
        <x:v>Not eligible</x:v>
      </x:c>
      <x:c r="H296" s="159" t="str">
        <x:v>Not applicable</x:v>
      </x:c>
      <x:c r="I296" s="159" t="str">
        <x:v>Not applicable</x:v>
      </x:c>
      <x:c r="J296" s="159" t="str">
        <x:v>Not applicable</x:v>
      </x:c>
      <x:c r="K296" s="159" t="str">
        <x:v>No</x:v>
      </x:c>
      <x:c r="L296" s="159" t="str">
        <x:v>5-10 years</x:v>
      </x:c>
      <x:c r="M296" s="168" t="n">
        <x:v>0</x:v>
      </x:c>
      <x:c r="N296" s="168" t="n">
        <x:v>0</x:v>
      </x:c>
      <x:c r="O296" s="159" t="str"/>
      <x:c r="P296" s="159" t="str"/>
      <x:c r="Q296" s="159" t="str">
        <x:v>The action's primary mechanism does not directly change a terminal Biodiversity vulnerability indicator.</x:v>
      </x:c>
      <x:c r="R296" s="160" t="str">
        <x:v>This action involves stabilizing slopes and maintaining or restoring drainage systems in hillside areas. This helps to prevent landslides and erosion, reducing the risk of disasters.</x:v>
      </x:c>
    </x:row>
    <x:row r="297" ht="66" customHeight="1">
      <x:c r="A297" s="165" t="str">
        <x:v>c40_0048</x:v>
      </x:c>
      <x:c r="B297" s="159" t="str">
        <x:v>Upgrade urban drainage systems</x:v>
      </x:c>
      <x:c r="C297" s="159" t="str">
        <x:v>Biodiversity</x:v>
      </x:c>
      <x:c r="D297" s="159" t="str">
        <x:v>Exposure</x:v>
      </x:c>
      <x:c r="E297" s="153" t="str"/>
      <x:c r="F297" s="153" t="str"/>
      <x:c r="G297" s="159" t="str">
        <x:v>Not eligible</x:v>
      </x:c>
      <x:c r="H297" s="159" t="str">
        <x:v>Not applicable</x:v>
      </x:c>
      <x:c r="I297" s="159" t="str">
        <x:v>Not applicable</x:v>
      </x:c>
      <x:c r="J297" s="159" t="str">
        <x:v>Not applicable</x:v>
      </x:c>
      <x:c r="K297" s="159" t="str">
        <x:v>No</x:v>
      </x:c>
      <x:c r="L297" s="159" t="str">
        <x:v>5-10 years</x:v>
      </x:c>
      <x:c r="M297" s="168" t="n">
        <x:v>0</x:v>
      </x:c>
      <x:c r="N297" s="168" t="n">
        <x:v>0</x:v>
      </x:c>
      <x:c r="O297" s="159" t="str"/>
      <x:c r="P297" s="159" t="str"/>
      <x:c r="Q297" s="159" t="str">
        <x:v>The action's primary mechanism does not directly change a terminal Biodiversity exposure indicator.</x:v>
      </x:c>
      <x:c r="R297" s="160" t="str">
        <x:v>"Upgrade urban drainage systems" involves eco-engineering solutions to enhance drainage systems, through capacity upgrade and network expansion. This adaptation measure aims to improve urban resilience by minimizing the impact of extreme weather events such as flooding.</x:v>
      </x:c>
    </x:row>
    <x:row r="298" ht="66" customHeight="1">
      <x:c r="A298" s="165" t="str">
        <x:v>c40_0048</x:v>
      </x:c>
      <x:c r="B298" s="159" t="str">
        <x:v>Upgrade urban drainage systems</x:v>
      </x:c>
      <x:c r="C298" s="159" t="str">
        <x:v>Biodiversity</x:v>
      </x:c>
      <x:c r="D298" s="159" t="str">
        <x:v>Vulnerability</x:v>
      </x:c>
      <x:c r="E298" s="153" t="str"/>
      <x:c r="F298" s="153" t="str"/>
      <x:c r="G298" s="159" t="str">
        <x:v>Not eligible</x:v>
      </x:c>
      <x:c r="H298" s="159" t="str">
        <x:v>Not applicable</x:v>
      </x:c>
      <x:c r="I298" s="159" t="str">
        <x:v>Not applicable</x:v>
      </x:c>
      <x:c r="J298" s="159" t="str">
        <x:v>Not applicable</x:v>
      </x:c>
      <x:c r="K298" s="159" t="str">
        <x:v>No</x:v>
      </x:c>
      <x:c r="L298" s="159" t="str">
        <x:v>5-10 years</x:v>
      </x:c>
      <x:c r="M298" s="168" t="n">
        <x:v>0</x:v>
      </x:c>
      <x:c r="N298" s="168" t="n">
        <x:v>0</x:v>
      </x:c>
      <x:c r="O298" s="159" t="str"/>
      <x:c r="P298" s="159" t="str"/>
      <x:c r="Q298" s="159" t="str">
        <x:v>The action's primary mechanism does not directly change a terminal Biodiversity vulnerability indicator.</x:v>
      </x:c>
      <x:c r="R298" s="160" t="str">
        <x:v>"Upgrade urban drainage systems" involves eco-engineering solutions to enhance drainage systems, through capacity upgrade and network expansion. This adaptation measure aims to improve urban resilience by minimizing the impact of extreme weather events such as flooding.</x:v>
      </x:c>
    </x:row>
    <x:row r="299" ht="66" customHeight="1">
      <x:c r="A299" s="165" t="str">
        <x:v>c40_0049</x:v>
      </x:c>
      <x:c r="B299" s="159" t="str">
        <x:v>Build and maintain shelters for critical climate hazards</x:v>
      </x:c>
      <x:c r="C299" s="159" t="str">
        <x:v>Energy security</x:v>
      </x:c>
      <x:c r="D299" s="159" t="str">
        <x:v>Exposure</x:v>
      </x:c>
      <x:c r="E299" s="153" t="str"/>
      <x:c r="F299" s="153" t="str"/>
      <x:c r="G299" s="159" t="str">
        <x:v>Not eligible</x:v>
      </x:c>
      <x:c r="H299" s="159" t="str">
        <x:v>Not applicable</x:v>
      </x:c>
      <x:c r="I299" s="159" t="str">
        <x:v>Not applicable</x:v>
      </x:c>
      <x:c r="J299" s="159" t="str">
        <x:v>Not applicable</x:v>
      </x:c>
      <x:c r="K299" s="159" t="str">
        <x:v>No</x:v>
      </x:c>
      <x:c r="L299" s="159" t="str">
        <x:v>&lt;5 years</x:v>
      </x:c>
      <x:c r="M299" s="168" t="n">
        <x:v>0</x:v>
      </x:c>
      <x:c r="N299" s="168" t="n">
        <x:v>0</x:v>
      </x:c>
      <x:c r="O299" s="159" t="str"/>
      <x:c r="P299" s="159" t="str"/>
      <x:c r="Q299" s="159" t="str">
        <x:v>The action's primary mechanism does not directly change an Energy Security exposure indicator.</x:v>
      </x:c>
      <x:c r="R299" s="160" t="str">
        <x:v>"Build and maintain shelters for critical climate hazards" involves building and maintaining shelters in high-risk areas to protect residents during extreme weather events such as floods, cyclones, storms, landslides, extreme heat events or other critical climate hazards. Shelters should meet resilient design standards, including wind- and flood-resistant construction, and be strategically located to maximize accessibility for vulnerable populations. Where possible, shelters can serve multipurpose roles as schools or community centers. Clear funding mechanisms and defined responsibilities for operations and maintenance are essential to ensure long-term reliability and effectiveness.</x:v>
      </x:c>
    </x:row>
    <x:row r="300" ht="66" customHeight="1">
      <x:c r="A300" s="165" t="str">
        <x:v>c40_0049</x:v>
      </x:c>
      <x:c r="B300" s="159" t="str">
        <x:v>Build and maintain shelters for critical climate hazards</x:v>
      </x:c>
      <x:c r="C300" s="159" t="str">
        <x:v>Energy security</x:v>
      </x:c>
      <x:c r="D300" s="159" t="str">
        <x:v>Vulnerability</x:v>
      </x:c>
      <x:c r="E300" s="153" t="str"/>
      <x:c r="F300" s="153" t="str"/>
      <x:c r="G300" s="159" t="str">
        <x:v>Not eligible</x:v>
      </x:c>
      <x:c r="H300" s="159" t="str">
        <x:v>Not applicable</x:v>
      </x:c>
      <x:c r="I300" s="159" t="str">
        <x:v>Not applicable</x:v>
      </x:c>
      <x:c r="J300" s="159" t="str">
        <x:v>Not applicable</x:v>
      </x:c>
      <x:c r="K300" s="159" t="str">
        <x:v>No</x:v>
      </x:c>
      <x:c r="L300" s="159" t="str">
        <x:v>&lt;5 years</x:v>
      </x:c>
      <x:c r="M300" s="168" t="n">
        <x:v>0</x:v>
      </x:c>
      <x:c r="N300" s="168" t="n">
        <x:v>0</x:v>
      </x:c>
      <x:c r="O300" s="159" t="str"/>
      <x:c r="P300" s="159" t="str"/>
      <x:c r="Q300" s="159" t="str">
        <x:v>The action's primary mechanism does not directly change an Energy Security vulnerability indicator.</x:v>
      </x:c>
      <x:c r="R300" s="160" t="str">
        <x:v>"Build and maintain shelters for critical climate hazards" involves building and maintaining shelters in high-risk areas to protect residents during extreme weather events such as floods, cyclones, storms, landslides, extreme heat events or other critical climate hazards. Shelters should meet resilient design standards, including wind- and flood-resistant construction, and be strategically located to maximize accessibility for vulnerable populations. Where possible, shelters can serve multipurpose roles as schools or community centers. Clear funding mechanisms and defined responsibilities for operations and maintenance are essential to ensure long-term reliability and effectiveness.</x:v>
      </x:c>
    </x:row>
    <x:row r="301" ht="66" customHeight="1">
      <x:c r="A301" s="165" t="str">
        <x:v>icare_0170</x:v>
      </x:c>
      <x:c r="B301" s="159" t="str">
        <x:v>Build safe housing and implement urban rehabilitation projects for populations living in high-risk areas</x:v>
      </x:c>
      <x:c r="C301" s="159" t="str">
        <x:v>Energy security</x:v>
      </x:c>
      <x:c r="D301" s="159" t="str">
        <x:v>Vulnerability</x:v>
      </x:c>
      <x:c r="E301" s="153" t="str"/>
      <x:c r="F301" s="153" t="str"/>
      <x:c r="G301" s="159" t="str">
        <x:v>Not eligible</x:v>
      </x:c>
      <x:c r="H301" s="159" t="str">
        <x:v>Not applicable</x:v>
      </x:c>
      <x:c r="I301" s="159" t="str">
        <x:v>Not applicable</x:v>
      </x:c>
      <x:c r="J301" s="159" t="str">
        <x:v>Not applicable</x:v>
      </x:c>
      <x:c r="K301" s="159" t="str">
        <x:v>No</x:v>
      </x:c>
      <x:c r="L301" s="159" t="str">
        <x:v>&gt;10 years</x:v>
      </x:c>
      <x:c r="M301" s="168" t="n">
        <x:v>0</x:v>
      </x:c>
      <x:c r="N301" s="168" t="n">
        <x:v>0</x:v>
      </x:c>
      <x:c r="O301" s="159" t="str"/>
      <x:c r="P301" s="159" t="str"/>
      <x:c r="Q301" s="159" t="str">
        <x:v>The action's primary mechanism does not directly change an Energy Security vulnerability indicator.</x:v>
      </x:c>
      <x:c r="R301" s="160" t="str">
        <x:v>The priority of this action is to build safe housing and implement urban rehabilitation projects for the population living in areas prone to landslides and flooding, as the housing deficit is one of the main factors related to these threats. This will be implemented through the construction of new housing units in safe locations for family resettlement, and infrastructure upgrades like slope stabilization and improved drainage systems within vulnerable communities.</x:v>
      </x:c>
    </x:row>
    <x:row r="302" ht="66" customHeight="1">
      <x:c r="A302" s="165" t="str">
        <x:v>icare_0154</x:v>
      </x:c>
      <x:c r="B302" s="159" t="str">
        <x:v>Clean and unclog drainage channels and install eco-barriers</x:v>
      </x:c>
      <x:c r="C302" s="159" t="str">
        <x:v>Energy security</x:v>
      </x:c>
      <x:c r="D302" s="159" t="str">
        <x:v>Exposure</x:v>
      </x:c>
      <x:c r="E302" s="153" t="str"/>
      <x:c r="F302" s="153" t="str"/>
      <x:c r="G302" s="159" t="str">
        <x:v>Not eligible</x:v>
      </x:c>
      <x:c r="H302" s="159" t="str">
        <x:v>Not applicable</x:v>
      </x:c>
      <x:c r="I302" s="159" t="str">
        <x:v>Not applicable</x:v>
      </x:c>
      <x:c r="J302" s="159" t="str">
        <x:v>Not applicable</x:v>
      </x:c>
      <x:c r="K302" s="159" t="str">
        <x:v>No</x:v>
      </x:c>
      <x:c r="L302" s="159" t="str">
        <x:v>&lt;5 years</x:v>
      </x:c>
      <x:c r="M302" s="168" t="n">
        <x:v>0</x:v>
      </x:c>
      <x:c r="N302" s="168" t="n">
        <x:v>0</x:v>
      </x:c>
      <x:c r="O302" s="159" t="str"/>
      <x:c r="P302" s="159" t="str"/>
      <x:c r="Q302" s="159" t="str">
        <x:v>The action's primary mechanism does not directly change an Energy Security exposure indicator.</x:v>
      </x:c>
      <x:c r="R302" s="160" t="str">
        <x:v>Cleaning and unclogging channels in the city to reduce the risk of flooding caused by extreme rainfall events. Installation of eco-barriers to assist in cleaning efforts and raise awareness about solid waste.</x:v>
      </x:c>
    </x:row>
    <x:row r="303" ht="66" customHeight="1">
      <x:c r="A303" s="165" t="str">
        <x:v>icare_0154</x:v>
      </x:c>
      <x:c r="B303" s="159" t="str">
        <x:v>Clean and unclog drainage channels and install eco-barriers</x:v>
      </x:c>
      <x:c r="C303" s="159" t="str">
        <x:v>Energy security</x:v>
      </x:c>
      <x:c r="D303" s="159" t="str">
        <x:v>Vulnerability</x:v>
      </x:c>
      <x:c r="E303" s="153" t="str"/>
      <x:c r="F303" s="153" t="str"/>
      <x:c r="G303" s="159" t="str">
        <x:v>Not eligible</x:v>
      </x:c>
      <x:c r="H303" s="159" t="str">
        <x:v>Not applicable</x:v>
      </x:c>
      <x:c r="I303" s="159" t="str">
        <x:v>Not applicable</x:v>
      </x:c>
      <x:c r="J303" s="159" t="str">
        <x:v>Not applicable</x:v>
      </x:c>
      <x:c r="K303" s="159" t="str">
        <x:v>No</x:v>
      </x:c>
      <x:c r="L303" s="159" t="str">
        <x:v>&lt;5 years</x:v>
      </x:c>
      <x:c r="M303" s="168" t="n">
        <x:v>0</x:v>
      </x:c>
      <x:c r="N303" s="168" t="n">
        <x:v>0</x:v>
      </x:c>
      <x:c r="O303" s="159" t="str"/>
      <x:c r="P303" s="159" t="str"/>
      <x:c r="Q303" s="159" t="str">
        <x:v>The action's primary mechanism does not directly change an Energy Security vulnerability indicator.</x:v>
      </x:c>
      <x:c r="R303" s="160" t="str">
        <x:v>Cleaning and unclogging channels in the city to reduce the risk of flooding caused by extreme rainfall events. Installation of eco-barriers to assist in cleaning efforts and raise awareness about solid waste.</x:v>
      </x:c>
    </x:row>
    <x:row r="304" ht="66" customHeight="1">
      <x:c r="A304" s="165" t="str">
        <x:v>icare_0188</x:v>
      </x:c>
      <x:c r="B304" s="159" t="str">
        <x:v>Create an Environmental Health Surveillance Program related to Populations Exposed to Air Pollution, Noise Pollution, Water Pollution, and Soil Pollution.</x:v>
      </x:c>
      <x:c r="C304" s="159" t="str">
        <x:v>Energy security</x:v>
      </x:c>
      <x:c r="D304" s="159" t="str">
        <x:v>Exposure</x:v>
      </x:c>
      <x:c r="E304" s="153" t="str"/>
      <x:c r="F304" s="153" t="str"/>
      <x:c r="G304" s="159" t="str">
        <x:v>Not eligible</x:v>
      </x:c>
      <x:c r="H304" s="159" t="str">
        <x:v>Not applicable</x:v>
      </x:c>
      <x:c r="I304" s="159" t="str">
        <x:v>Not applicable</x:v>
      </x:c>
      <x:c r="J304" s="159" t="str">
        <x:v>Not applicable</x:v>
      </x:c>
      <x:c r="K304" s="159" t="str">
        <x:v>No</x:v>
      </x:c>
      <x:c r="L304" s="159" t="str">
        <x:v>5-10 years</x:v>
      </x:c>
      <x:c r="M304" s="168" t="n">
        <x:v>0</x:v>
      </x:c>
      <x:c r="N304" s="168" t="n">
        <x:v>0</x:v>
      </x:c>
      <x:c r="O304" s="159" t="str"/>
      <x:c r="P304" s="159" t="str"/>
      <x:c r="Q304" s="159" t="str">
        <x:v>The action's primary mechanism does not directly change an Energy Security exposure indicator.</x:v>
      </x:c>
      <x:c r="R304" s="160" t="str">
        <x:v>Develop actions aimed at promoting the health of the population exposed to environmental factors related to atmospheric, noise, and sanitation pollutants. Identify and evaluate the acute and chronic risks and effects of exposure to fixed and mobile sources of air, noise, water, and soil pollution, and act in the surveillance of diseases derived from these pollutants through physical units and work groups, especially among the most vulnerable people.</x:v>
      </x:c>
    </x:row>
    <x:row r="305" ht="66" customHeight="1">
      <x:c r="A305" s="165" t="str">
        <x:v>icare_0188</x:v>
      </x:c>
      <x:c r="B305" s="159" t="str">
        <x:v>Create an Environmental Health Surveillance Program related to Populations Exposed to Air Pollution, Noise Pollution, Water Pollution, and Soil Pollution.</x:v>
      </x:c>
      <x:c r="C305" s="159" t="str">
        <x:v>Energy security</x:v>
      </x:c>
      <x:c r="D305" s="159" t="str">
        <x:v>Vulnerability</x:v>
      </x:c>
      <x:c r="E305" s="153" t="str"/>
      <x:c r="F305" s="153" t="str"/>
      <x:c r="G305" s="159" t="str">
        <x:v>Not eligible</x:v>
      </x:c>
      <x:c r="H305" s="159" t="str">
        <x:v>Not applicable</x:v>
      </x:c>
      <x:c r="I305" s="159" t="str">
        <x:v>Not applicable</x:v>
      </x:c>
      <x:c r="J305" s="159" t="str">
        <x:v>Not applicable</x:v>
      </x:c>
      <x:c r="K305" s="159" t="str">
        <x:v>No</x:v>
      </x:c>
      <x:c r="L305" s="159" t="str">
        <x:v>5-10 years</x:v>
      </x:c>
      <x:c r="M305" s="168" t="n">
        <x:v>0</x:v>
      </x:c>
      <x:c r="N305" s="168" t="n">
        <x:v>0</x:v>
      </x:c>
      <x:c r="O305" s="159" t="str"/>
      <x:c r="P305" s="159" t="str"/>
      <x:c r="Q305" s="159" t="str">
        <x:v>The action's primary mechanism does not directly change an Energy Security vulnerability indicator.</x:v>
      </x:c>
      <x:c r="R305" s="160" t="str">
        <x:v>Develop actions aimed at promoting the health of the population exposed to environmental factors related to atmospheric, noise, and sanitation pollutants. Identify and evaluate the acute and chronic risks and effects of exposure to fixed and mobile sources of air, noise, water, and soil pollution, and act in the surveillance of diseases derived from these pollutants through physical units and work groups, especially among the most vulnerable people.</x:v>
      </x:c>
    </x:row>
    <x:row r="306" ht="66" customHeight="1">
      <x:c r="A306" s="165" t="str">
        <x:v>c40_0052</x:v>
      </x:c>
      <x:c r="B306" s="159" t="str">
        <x:v>Deploy cool pavements and cool roofs on heat‑exposed streets and buildings</x:v>
      </x:c>
      <x:c r="C306" s="159" t="str">
        <x:v>Energy security</x:v>
      </x:c>
      <x:c r="D306" s="159" t="str">
        <x:v>Exposure</x:v>
      </x:c>
      <x:c r="E306" s="153" t="str"/>
      <x:c r="F306" s="153" t="str"/>
      <x:c r="G306" s="159" t="str">
        <x:v>Not eligible</x:v>
      </x:c>
      <x:c r="H306" s="159" t="str">
        <x:v>Not applicable</x:v>
      </x:c>
      <x:c r="I306" s="159" t="str">
        <x:v>Not applicable</x:v>
      </x:c>
      <x:c r="J306" s="159" t="str">
        <x:v>Not applicable</x:v>
      </x:c>
      <x:c r="K306" s="159" t="str">
        <x:v>No</x:v>
      </x:c>
      <x:c r="L306" s="159" t="str">
        <x:v>5-10 years</x:v>
      </x:c>
      <x:c r="M306" s="168" t="n">
        <x:v>0</x:v>
      </x:c>
      <x:c r="N306" s="168" t="n">
        <x:v>0</x:v>
      </x:c>
      <x:c r="O306" s="159" t="str"/>
      <x:c r="P306" s="159" t="str"/>
      <x:c r="Q306" s="159" t="str">
        <x:v>The action's primary mechanism does not directly change an Energy Security exposure indicator.</x:v>
      </x:c>
      <x:c r="R306" s="160" t="str">
        <x:v>Introduce reflective coatings, light-colored materials, permeable surfaces and cool roofs in street paving and buildings to reduce heat absorption and mitigate the urban heat island effect. Municipal governments can pilot these approaches in the most heat-exposed areas, integrate them into routine street upgrades and public building refrofits, and assess cost–benefit outcomes to guide broader implementation. These measures improve thermal comfort, reduce energy demand for cooling, and enhance urban resilience to rising temperatures.</x:v>
      </x:c>
    </x:row>
    <x:row r="307" ht="66" customHeight="1">
      <x:c r="A307" s="165" t="str">
        <x:v>icare_0176</x:v>
      </x:c>
      <x:c r="B307" s="159" t="str">
        <x:v>Develop a Climate Action Plan</x:v>
      </x:c>
      <x:c r="C307" s="159" t="str">
        <x:v>Energy security</x:v>
      </x:c>
      <x:c r="D307" s="159" t="str">
        <x:v>Exposure</x:v>
      </x:c>
      <x:c r="E307" s="153" t="str"/>
      <x:c r="F307" s="153" t="str"/>
      <x:c r="G307" s="159" t="str">
        <x:v>Not eligible</x:v>
      </x:c>
      <x:c r="H307" s="159" t="str">
        <x:v>Not applicable</x:v>
      </x:c>
      <x:c r="I307" s="159" t="str">
        <x:v>Not applicable</x:v>
      </x:c>
      <x:c r="J307" s="159" t="str">
        <x:v>Not applicable</x:v>
      </x:c>
      <x:c r="K307" s="159" t="str">
        <x:v>No</x:v>
      </x:c>
      <x:c r="L307" s="159" t="str">
        <x:v>&lt;5 years</x:v>
      </x:c>
      <x:c r="M307" s="168" t="n">
        <x:v>0</x:v>
      </x:c>
      <x:c r="N307" s="168" t="n">
        <x:v>0</x:v>
      </x:c>
      <x:c r="O307" s="159" t="str"/>
      <x:c r="P307" s="159" t="str"/>
      <x:c r="Q307" s="159" t="str">
        <x:v>The action's primary mechanism does not directly change an Energy Security exposure indicator.</x:v>
      </x:c>
      <x:c r="R307" s="160" t="str">
        <x:v>A comprehensive plan outlining a city's strategies and actions to mitigate greenhouse gas emissions and adapt to the impacts of climate change which typically includes an assessment of the city's climate risks and vulnerabilities, setting emission reduction targets, and implementation of actions across various sectors such as energy, transportation, waste management, and urban planning.</x:v>
      </x:c>
    </x:row>
    <x:row r="308" ht="66" customHeight="1">
      <x:c r="A308" s="165" t="str">
        <x:v>icare_0165</x:v>
      </x:c>
      <x:c r="B308" s="159" t="str">
        <x:v>Develop an Environmental Education Plan</x:v>
      </x:c>
      <x:c r="C308" s="159" t="str">
        <x:v>Energy security</x:v>
      </x:c>
      <x:c r="D308" s="159" t="str">
        <x:v>Exposure</x:v>
      </x:c>
      <x:c r="E308" s="153" t="str"/>
      <x:c r="F308" s="153" t="str"/>
      <x:c r="G308" s="159" t="str">
        <x:v>Not eligible</x:v>
      </x:c>
      <x:c r="H308" s="159" t="str">
        <x:v>Not applicable</x:v>
      </x:c>
      <x:c r="I308" s="159" t="str">
        <x:v>Not applicable</x:v>
      </x:c>
      <x:c r="J308" s="159" t="str">
        <x:v>Not applicable</x:v>
      </x:c>
      <x:c r="K308" s="159" t="str">
        <x:v>No</x:v>
      </x:c>
      <x:c r="L308" s="159" t="str">
        <x:v>&lt;5 years</x:v>
      </x:c>
      <x:c r="M308" s="168" t="n">
        <x:v>0</x:v>
      </x:c>
      <x:c r="N308" s="168" t="n">
        <x:v>0</x:v>
      </x:c>
      <x:c r="O308" s="159" t="str"/>
      <x:c r="P308" s="159" t="str"/>
      <x:c r="Q308" s="159" t="str">
        <x:v>The action's primary mechanism does not directly change an Energy Security exposure indicator.</x:v>
      </x:c>
      <x:c r="R308" s="160" t="str">
        <x:v>Design and implement a comprehensive environmental education plan that fosters climate literacy and awareness across schools, communities, and the media. Municipal governments can organize workshops, awareness campaigns, and nature-based activities such as tree planting to reconnect residents with their environment. The plan should integrate themes of climate change, adaptation, mitigation, and climate justice, with particular attention to youth, women, and vulnerable groups. By embedding equity and inclusion, cities can strengthen long-term engagement and empower communities to take part in climate action.</x:v>
      </x:c>
    </x:row>
    <x:row r="309" ht="66" customHeight="1">
      <x:c r="A309" s="165" t="str">
        <x:v>icare_0165</x:v>
      </x:c>
      <x:c r="B309" s="159" t="str">
        <x:v>Develop an Environmental Education Plan</x:v>
      </x:c>
      <x:c r="C309" s="159" t="str">
        <x:v>Energy security</x:v>
      </x:c>
      <x:c r="D309" s="159" t="str">
        <x:v>Vulnerability</x:v>
      </x:c>
      <x:c r="E309" s="153" t="str"/>
      <x:c r="F309" s="153" t="str"/>
      <x:c r="G309" s="159" t="str">
        <x:v>Not eligible</x:v>
      </x:c>
      <x:c r="H309" s="159" t="str">
        <x:v>Not applicable</x:v>
      </x:c>
      <x:c r="I309" s="159" t="str">
        <x:v>Not applicable</x:v>
      </x:c>
      <x:c r="J309" s="159" t="str">
        <x:v>Not applicable</x:v>
      </x:c>
      <x:c r="K309" s="159" t="str">
        <x:v>No</x:v>
      </x:c>
      <x:c r="L309" s="159" t="str">
        <x:v>&lt;5 years</x:v>
      </x:c>
      <x:c r="M309" s="168" t="n">
        <x:v>0</x:v>
      </x:c>
      <x:c r="N309" s="168" t="n">
        <x:v>0</x:v>
      </x:c>
      <x:c r="O309" s="159" t="str"/>
      <x:c r="P309" s="159" t="str"/>
      <x:c r="Q309" s="159" t="str">
        <x:v>The action's primary mechanism does not directly change an Energy Security vulnerability indicator.</x:v>
      </x:c>
      <x:c r="R309" s="160" t="str">
        <x:v>Design and implement a comprehensive environmental education plan that fosters climate literacy and awareness across schools, communities, and the media. Municipal governments can organize workshops, awareness campaigns, and nature-based activities such as tree planting to reconnect residents with their environment. The plan should integrate themes of climate change, adaptation, mitigation, and climate justice, with particular attention to youth, women, and vulnerable groups. By embedding equity and inclusion, cities can strengthen long-term engagement and empower communities to take part in climate action.</x:v>
      </x:c>
    </x:row>
    <x:row r="310" ht="66" customHeight="1">
      <x:c r="A310" s="165" t="str">
        <x:v>icare_0182</x:v>
      </x:c>
      <x:c r="B310" s="159" t="str">
        <x:v>Develop an Urban Afforestation Plan</x:v>
      </x:c>
      <x:c r="C310" s="159" t="str">
        <x:v>Energy security</x:v>
      </x:c>
      <x:c r="D310" s="159" t="str">
        <x:v>Exposure</x:v>
      </x:c>
      <x:c r="E310" s="153" t="str"/>
      <x:c r="F310" s="153" t="str"/>
      <x:c r="G310" s="159" t="str">
        <x:v>Not eligible</x:v>
      </x:c>
      <x:c r="H310" s="159" t="str">
        <x:v>Not applicable</x:v>
      </x:c>
      <x:c r="I310" s="159" t="str">
        <x:v>Not applicable</x:v>
      </x:c>
      <x:c r="J310" s="159" t="str">
        <x:v>Not applicable</x:v>
      </x:c>
      <x:c r="K310" s="159" t="str">
        <x:v>No</x:v>
      </x:c>
      <x:c r="L310" s="159" t="str">
        <x:v>5-10 years</x:v>
      </x:c>
      <x:c r="M310" s="168" t="n">
        <x:v>0</x:v>
      </x:c>
      <x:c r="N310" s="168" t="n">
        <x:v>0</x:v>
      </x:c>
      <x:c r="O310" s="159" t="str"/>
      <x:c r="P310" s="159" t="str"/>
      <x:c r="Q310" s="159" t="str">
        <x:v>The action's primary mechanism does not directly change an Energy Security exposure indicator.</x:v>
      </x:c>
      <x:c r="R310" s="160" t="str">
        <x:v>This action focuses on expanding green areas in the city through urban afforestation. This includes planting trees in sidewalks, squares, public buildings, and schools, as well as creating ecological parks to revitalize watercourses and/or restore forests.</x:v>
      </x:c>
    </x:row>
    <x:row r="311" ht="66" customHeight="1">
      <x:c r="A311" s="165" t="str">
        <x:v>icare_0172</x:v>
      </x:c>
      <x:c r="B311" s="159" t="str">
        <x:v>Develop and implement the Municipal Risk Reduction Plan (PMRR) and identify population groups vulnerable to climate risks.</x:v>
      </x:c>
      <x:c r="C311" s="159" t="str">
        <x:v>Energy security</x:v>
      </x:c>
      <x:c r="D311" s="159" t="str">
        <x:v>Exposure</x:v>
      </x:c>
      <x:c r="E311" s="153" t="str"/>
      <x:c r="F311" s="153" t="str"/>
      <x:c r="G311" s="159" t="str">
        <x:v>Not eligible</x:v>
      </x:c>
      <x:c r="H311" s="159" t="str">
        <x:v>Not applicable</x:v>
      </x:c>
      <x:c r="I311" s="159" t="str">
        <x:v>Not applicable</x:v>
      </x:c>
      <x:c r="J311" s="159" t="str">
        <x:v>Not applicable</x:v>
      </x:c>
      <x:c r="K311" s="159" t="str">
        <x:v>No</x:v>
      </x:c>
      <x:c r="L311" s="159" t="str">
        <x:v>&lt;5 years</x:v>
      </x:c>
      <x:c r="M311" s="168" t="n">
        <x:v>0</x:v>
      </x:c>
      <x:c r="N311" s="168" t="n">
        <x:v>0</x:v>
      </x:c>
      <x:c r="O311" s="159" t="str"/>
      <x:c r="P311" s="159" t="str"/>
      <x:c r="Q311" s="159" t="str">
        <x:v>The action's primary mechanism does not directly change an Energy Security exposure indicator.</x:v>
      </x:c>
      <x:c r="R311" s="160" t="str">
        <x:v>This action aims to strengthen the development of the Municipal Risk Reduction Plan (PMRR) in the municipality, as it is a highly relevant tool for managing climate risks, especially river floods and landslides.</x:v>
      </x:c>
    </x:row>
    <x:row r="312" ht="66" customHeight="1">
      <x:c r="A312" s="165" t="str">
        <x:v>icare_0144</x:v>
      </x:c>
      <x:c r="B312" s="159" t="str">
        <x:v>Establish a financial support program for extreme weather events</x:v>
      </x:c>
      <x:c r="C312" s="159" t="str">
        <x:v>Energy security</x:v>
      </x:c>
      <x:c r="D312" s="159" t="str">
        <x:v>Exposure</x:v>
      </x:c>
      <x:c r="E312" s="153" t="str"/>
      <x:c r="F312" s="153" t="str"/>
      <x:c r="G312" s="159" t="str">
        <x:v>Not eligible</x:v>
      </x:c>
      <x:c r="H312" s="159" t="str">
        <x:v>Not applicable</x:v>
      </x:c>
      <x:c r="I312" s="159" t="str">
        <x:v>Not applicable</x:v>
      </x:c>
      <x:c r="J312" s="159" t="str">
        <x:v>Not applicable</x:v>
      </x:c>
      <x:c r="K312" s="159" t="str">
        <x:v>No</x:v>
      </x:c>
      <x:c r="L312" s="159" t="str">
        <x:v>&lt;5 years</x:v>
      </x:c>
      <x:c r="M312" s="168" t="n">
        <x:v>0</x:v>
      </x:c>
      <x:c r="N312" s="168" t="n">
        <x:v>0</x:v>
      </x:c>
      <x:c r="O312" s="159" t="str"/>
      <x:c r="P312" s="159" t="str"/>
      <x:c r="Q312" s="159" t="str">
        <x:v>The action's primary mechanism does not directly change an Energy Security exposure indicator.</x:v>
      </x:c>
      <x:c r="R312" s="160" t="str">
        <x:v>Creation of a program to mitigate the effects of climate tragedies, including financial assistance to affected families, efforts to increase access to affordable hazard insurance, and efforts to secure additional resources for recovery and reconstruction, including partnerships with state and federal government bodies. Recovery and reconstruction measures should include adaptive measures with the emphasis on build back better to withstand future hazards and helping residents retrofit buildings.</x:v>
      </x:c>
    </x:row>
    <x:row r="313" ht="66" customHeight="1">
      <x:c r="A313" s="165" t="str">
        <x:v>icare_0144</x:v>
      </x:c>
      <x:c r="B313" s="159" t="str">
        <x:v>Establish a financial support program for extreme weather events</x:v>
      </x:c>
      <x:c r="C313" s="159" t="str">
        <x:v>Energy security</x:v>
      </x:c>
      <x:c r="D313" s="159" t="str">
        <x:v>Vulnerability</x:v>
      </x:c>
      <x:c r="E313" s="153" t="str"/>
      <x:c r="F313" s="153" t="str"/>
      <x:c r="G313" s="159" t="str">
        <x:v>Not eligible</x:v>
      </x:c>
      <x:c r="H313" s="159" t="str">
        <x:v>Not applicable</x:v>
      </x:c>
      <x:c r="I313" s="159" t="str">
        <x:v>Not applicable</x:v>
      </x:c>
      <x:c r="J313" s="159" t="str">
        <x:v>Not applicable</x:v>
      </x:c>
      <x:c r="K313" s="159" t="str">
        <x:v>No</x:v>
      </x:c>
      <x:c r="L313" s="159" t="str">
        <x:v>&lt;5 years</x:v>
      </x:c>
      <x:c r="M313" s="168" t="n">
        <x:v>0</x:v>
      </x:c>
      <x:c r="N313" s="168" t="n">
        <x:v>0</x:v>
      </x:c>
      <x:c r="O313" s="159" t="str"/>
      <x:c r="P313" s="159" t="str"/>
      <x:c r="Q313" s="159" t="str">
        <x:v>The action's primary mechanism does not directly change an Energy Security vulnerability indicator.</x:v>
      </x:c>
      <x:c r="R313" s="160" t="str">
        <x:v>Creation of a program to mitigate the effects of climate tragedies, including financial assistance to affected families, efforts to increase access to affordable hazard insurance, and efforts to secure additional resources for recovery and reconstruction, including partnerships with state and federal government bodies. Recovery and reconstruction measures should include adaptive measures with the emphasis on build back better to withstand future hazards and helping residents retrofit buildings.</x:v>
      </x:c>
    </x:row>
    <x:row r="314" ht="66" customHeight="1">
      <x:c r="A314" s="165" t="str">
        <x:v>icare_0163</x:v>
      </x:c>
      <x:c r="B314" s="159" t="str">
        <x:v>Establish a first‑response firefighting brigade</x:v>
      </x:c>
      <x:c r="C314" s="159" t="str">
        <x:v>Energy security</x:v>
      </x:c>
      <x:c r="D314" s="159" t="str">
        <x:v>Exposure</x:v>
      </x:c>
      <x:c r="E314" s="153" t="str"/>
      <x:c r="F314" s="153" t="str"/>
      <x:c r="G314" s="159" t="str">
        <x:v>Not eligible</x:v>
      </x:c>
      <x:c r="H314" s="159" t="str">
        <x:v>Not applicable</x:v>
      </x:c>
      <x:c r="I314" s="159" t="str">
        <x:v>Not applicable</x:v>
      </x:c>
      <x:c r="J314" s="159" t="str">
        <x:v>Not applicable</x:v>
      </x:c>
      <x:c r="K314" s="159" t="str">
        <x:v>No</x:v>
      </x:c>
      <x:c r="L314" s="159" t="str">
        <x:v>&lt;5 years</x:v>
      </x:c>
      <x:c r="M314" s="168" t="n">
        <x:v>0</x:v>
      </x:c>
      <x:c r="N314" s="168" t="n">
        <x:v>0</x:v>
      </x:c>
      <x:c r="O314" s="159" t="str"/>
      <x:c r="P314" s="159" t="str"/>
      <x:c r="Q314" s="159" t="str">
        <x:v>The action's primary mechanism does not directly change an Energy Security exposure indicator.</x:v>
      </x:c>
      <x:c r="R314" s="160" t="str">
        <x:v>Creation of a First Response Brigade in rural communities to provide them with training and equipment for fire prevention and firefighting.</x:v>
      </x:c>
    </x:row>
    <x:row r="315" ht="66" customHeight="1">
      <x:c r="A315" s="165" t="str">
        <x:v>icare_0163</x:v>
      </x:c>
      <x:c r="B315" s="159" t="str">
        <x:v>Establish a first‑response firefighting brigade</x:v>
      </x:c>
      <x:c r="C315" s="159" t="str">
        <x:v>Energy security</x:v>
      </x:c>
      <x:c r="D315" s="159" t="str">
        <x:v>Vulnerability</x:v>
      </x:c>
      <x:c r="E315" s="153" t="str"/>
      <x:c r="F315" s="153" t="str"/>
      <x:c r="G315" s="159" t="str">
        <x:v>Not eligible</x:v>
      </x:c>
      <x:c r="H315" s="159" t="str">
        <x:v>Not applicable</x:v>
      </x:c>
      <x:c r="I315" s="159" t="str">
        <x:v>Not applicable</x:v>
      </x:c>
      <x:c r="J315" s="159" t="str">
        <x:v>Not applicable</x:v>
      </x:c>
      <x:c r="K315" s="159" t="str">
        <x:v>No</x:v>
      </x:c>
      <x:c r="L315" s="159" t="str">
        <x:v>&lt;5 years</x:v>
      </x:c>
      <x:c r="M315" s="168" t="n">
        <x:v>0</x:v>
      </x:c>
      <x:c r="N315" s="168" t="n">
        <x:v>0</x:v>
      </x:c>
      <x:c r="O315" s="159" t="str"/>
      <x:c r="P315" s="159" t="str"/>
      <x:c r="Q315" s="159" t="str">
        <x:v>The action's primary mechanism does not directly change an Energy Security vulnerability indicator.</x:v>
      </x:c>
      <x:c r="R315" s="160" t="str">
        <x:v>Creation of a First Response Brigade in rural communities to provide them with training and equipment for fire prevention and firefighting.</x:v>
      </x:c>
    </x:row>
    <x:row r="316" ht="66" customHeight="1">
      <x:c r="A316" s="165" t="str">
        <x:v>icare_0169</x:v>
      </x:c>
      <x:c r="B316" s="159" t="str">
        <x:v>Establish a Plan for Preparation and Emergency Response Measures in the event of extreme weather events</x:v>
      </x:c>
      <x:c r="C316" s="159" t="str">
        <x:v>Energy security</x:v>
      </x:c>
      <x:c r="D316" s="159" t="str">
        <x:v>Exposure</x:v>
      </x:c>
      <x:c r="E316" s="153" t="str"/>
      <x:c r="F316" s="153" t="str"/>
      <x:c r="G316" s="159" t="str">
        <x:v>Not eligible</x:v>
      </x:c>
      <x:c r="H316" s="159" t="str">
        <x:v>Not applicable</x:v>
      </x:c>
      <x:c r="I316" s="159" t="str">
        <x:v>Not applicable</x:v>
      </x:c>
      <x:c r="J316" s="159" t="str">
        <x:v>Not applicable</x:v>
      </x:c>
      <x:c r="K316" s="159" t="str">
        <x:v>No</x:v>
      </x:c>
      <x:c r="L316" s="159" t="str">
        <x:v>5-10 years</x:v>
      </x:c>
      <x:c r="M316" s="168" t="n">
        <x:v>0</x:v>
      </x:c>
      <x:c r="N316" s="168" t="n">
        <x:v>0</x:v>
      </x:c>
      <x:c r="O316" s="159" t="str"/>
      <x:c r="P316" s="159" t="str"/>
      <x:c r="Q316" s="159" t="str">
        <x:v>The action's primary mechanism does not directly change an Energy Security exposure indicator.</x:v>
      </x:c>
      <x:c r="R316" s="160" t="str">
        <x:v>This action focuses on preparing the municipality to respond to extreme events, aiming to provide a rapid response that minimizes the impacts on the population.</x:v>
      </x:c>
    </x:row>
    <x:row r="317" ht="66" customHeight="1">
      <x:c r="A317" s="165" t="str">
        <x:v>icare_0160</x:v>
      </x:c>
      <x:c r="B317" s="159" t="str">
        <x:v>Establish mechanisms for intersectoral coordination and public participation in climate policy</x:v>
      </x:c>
      <x:c r="C317" s="159" t="str">
        <x:v>Energy security</x:v>
      </x:c>
      <x:c r="D317" s="159" t="str">
        <x:v>Exposure</x:v>
      </x:c>
      <x:c r="E317" s="153" t="str"/>
      <x:c r="F317" s="153" t="str"/>
      <x:c r="G317" s="159" t="str">
        <x:v>Not eligible</x:v>
      </x:c>
      <x:c r="H317" s="159" t="str">
        <x:v>Not applicable</x:v>
      </x:c>
      <x:c r="I317" s="159" t="str">
        <x:v>Not applicable</x:v>
      </x:c>
      <x:c r="J317" s="159" t="str">
        <x:v>Not applicable</x:v>
      </x:c>
      <x:c r="K317" s="159" t="str">
        <x:v>No</x:v>
      </x:c>
      <x:c r="L317" s="159" t="str">
        <x:v>&lt;5 years</x:v>
      </x:c>
      <x:c r="M317" s="168" t="n">
        <x:v>0</x:v>
      </x:c>
      <x:c r="N317" s="168" t="n">
        <x:v>0</x:v>
      </x:c>
      <x:c r="O317" s="159" t="str"/>
      <x:c r="P317" s="159" t="str"/>
      <x:c r="Q317" s="159" t="str">
        <x:v>The action's primary mechanism does not directly change an Energy Security exposure indicator.</x:v>
      </x:c>
      <x:c r="R317" s="160" t="str">
        <x:v>Establish more mechanisms that enable better intersectoral coordination and public participation in climate policy, including the creation of working groups with neighboring municipalities to discuss a common climate agenda.</x:v>
      </x:c>
    </x:row>
    <x:row r="318" ht="66" customHeight="1">
      <x:c r="A318" s="165" t="str">
        <x:v>ipcc_0090</x:v>
      </x:c>
      <x:c r="B318" s="159" t="str">
        <x:v>Expand climate risk insurance coverage</x:v>
      </x:c>
      <x:c r="C318" s="159" t="str">
        <x:v>Energy security</x:v>
      </x:c>
      <x:c r="D318" s="159" t="str">
        <x:v>Exposure</x:v>
      </x:c>
      <x:c r="E318" s="153" t="str"/>
      <x:c r="F318" s="153" t="str"/>
      <x:c r="G318" s="159" t="str">
        <x:v>Not eligible</x:v>
      </x:c>
      <x:c r="H318" s="159" t="str">
        <x:v>Not applicable</x:v>
      </x:c>
      <x:c r="I318" s="159" t="str">
        <x:v>Not applicable</x:v>
      </x:c>
      <x:c r="J318" s="159" t="str">
        <x:v>Not applicable</x:v>
      </x:c>
      <x:c r="K318" s="159" t="str">
        <x:v>No</x:v>
      </x:c>
      <x:c r="L318" s="159" t="str">
        <x:v>&lt;5 years</x:v>
      </x:c>
      <x:c r="M318" s="168" t="n">
        <x:v>0</x:v>
      </x:c>
      <x:c r="N318" s="168" t="n">
        <x:v>0</x:v>
      </x:c>
      <x:c r="O318" s="159" t="str"/>
      <x:c r="P318" s="159" t="str"/>
      <x:c r="Q318" s="159" t="str">
        <x:v>The action's primary mechanism does not directly change an Energy Security exposure indicator.</x:v>
      </x:c>
      <x:c r="R318" s="160" t="str">
        <x:v>Insurance provides financial risk management tools tailored to climate-induced challenges. This includes traditional agricultural insurance to protect farmers from weather-related losses and innovative index-based insurance solutions. Index-based insurance leverages measurable weather indices, such as rainfall or temperature, to trigger payouts automatically when thresholds are reached, bypassing the need for loss verification. These tools help stabilize incomes, encourage investment in climate-resilient practices, and reduce the economic vulnerability of stakeholders in agriculture, aquaculture, and energy sectors. Furthermore, bundled insurance products with additional services like fertilizer or seed access enhance overall resilience, particularly in underserved and rural communities. By mitigating risks associated with droughts, floods, and storms, insurance supports sustainable development and adaptation goals</x:v>
      </x:c>
    </x:row>
    <x:row r="319" ht="66" customHeight="1">
      <x:c r="A319" s="165" t="str">
        <x:v>ipcc_0092</x:v>
      </x:c>
      <x:c r="B319" s="159" t="str">
        <x:v>Expand climate‑responsive social safety nets</x:v>
      </x:c>
      <x:c r="C319" s="159" t="str">
        <x:v>Energy security</x:v>
      </x:c>
      <x:c r="D319" s="159" t="str">
        <x:v>Exposure</x:v>
      </x:c>
      <x:c r="E319" s="153" t="str"/>
      <x:c r="F319" s="153" t="str"/>
      <x:c r="G319" s="159" t="str">
        <x:v>Not eligible</x:v>
      </x:c>
      <x:c r="H319" s="159" t="str">
        <x:v>Not applicable</x:v>
      </x:c>
      <x:c r="I319" s="159" t="str">
        <x:v>Not applicable</x:v>
      </x:c>
      <x:c r="J319" s="159" t="str">
        <x:v>Not applicable</x:v>
      </x:c>
      <x:c r="K319" s="159" t="str">
        <x:v>No</x:v>
      </x:c>
      <x:c r="L319" s="159" t="str">
        <x:v>5-10 years</x:v>
      </x:c>
      <x:c r="M319" s="168" t="n">
        <x:v>0</x:v>
      </x:c>
      <x:c r="N319" s="168" t="n">
        <x:v>0</x:v>
      </x:c>
      <x:c r="O319" s="159" t="str"/>
      <x:c r="P319" s="159" t="str"/>
      <x:c r="Q319" s="159" t="str">
        <x:v>The action's primary mechanism does not directly change an Energy Security exposure indicator.</x:v>
      </x:c>
      <x:c r="R319" s="160" t="str">
        <x:v>Social safety nets encompass adaptive social protection mechanisms to reduce food insecurity and malnutrition, especially for vulnerable populations. These include cash transfers, school feeding programs, public work initiatives, unemployment compensation, land reforms, credit and insurance schemes. Integrated approaches combine climate risk assessments with disaster risk reduction, education, and social equity to enhance resilience to climate stresses.</x:v>
      </x:c>
    </x:row>
    <x:row r="320" ht="66" customHeight="1">
      <x:c r="A320" s="165" t="str">
        <x:v>icare_0180</x:v>
      </x:c>
      <x:c r="B320" s="159" t="str">
        <x:v>Expand urban green-blue networks and corridors</x:v>
      </x:c>
      <x:c r="C320" s="159" t="str">
        <x:v>Energy security</x:v>
      </x:c>
      <x:c r="D320" s="159" t="str">
        <x:v>Exposure</x:v>
      </x:c>
      <x:c r="E320" s="153" t="str"/>
      <x:c r="F320" s="153" t="str"/>
      <x:c r="G320" s="159" t="str">
        <x:v>Not eligible</x:v>
      </x:c>
      <x:c r="H320" s="159" t="str">
        <x:v>Not applicable</x:v>
      </x:c>
      <x:c r="I320" s="159" t="str">
        <x:v>Not applicable</x:v>
      </x:c>
      <x:c r="J320" s="159" t="str">
        <x:v>Not applicable</x:v>
      </x:c>
      <x:c r="K320" s="159" t="str">
        <x:v>No</x:v>
      </x:c>
      <x:c r="L320" s="159" t="str">
        <x:v>&lt;5 years</x:v>
      </x:c>
      <x:c r="M320" s="168" t="n">
        <x:v>0</x:v>
      </x:c>
      <x:c r="N320" s="168" t="n">
        <x:v>0</x:v>
      </x:c>
      <x:c r="O320" s="159" t="str"/>
      <x:c r="P320" s="159" t="str"/>
      <x:c r="Q320" s="159" t="str">
        <x:v>The action's primary mechanism does not directly change an Energy Security exposure indicator.</x:v>
      </x:c>
      <x:c r="R320" s="160" t="str">
        <x:v>Expand and connect urban green spaces and blue-green infrastructure (BGI) in the public realm. Actions include street tree planting, establishing green corridors/greenways, pocket and large parks, and green-blue features (bioswales, rain gardens, permeable surfaces) to manage stormwater, reduce urban heat, enhance biodiversity, and support carbon sequestration. Embedding these measures in urban planning strengthens ecosystem services, resilience, and livability.</x:v>
      </x:c>
    </x:row>
    <x:row r="321" ht="66" customHeight="1">
      <x:c r="A321" s="165" t="str">
        <x:v>ipcc_0102</x:v>
      </x:c>
      <x:c r="B321" s="159" t="str">
        <x:v>Facilitate seasonal and temporary mobility strategies</x:v>
      </x:c>
      <x:c r="C321" s="159" t="str">
        <x:v>Energy security</x:v>
      </x:c>
      <x:c r="D321" s="159" t="str">
        <x:v>Vulnerability</x:v>
      </x:c>
      <x:c r="E321" s="153" t="str"/>
      <x:c r="F321" s="153" t="str"/>
      <x:c r="G321" s="159" t="str">
        <x:v>Not eligible</x:v>
      </x:c>
      <x:c r="H321" s="159" t="str">
        <x:v>Not applicable</x:v>
      </x:c>
      <x:c r="I321" s="159" t="str">
        <x:v>Not applicable</x:v>
      </x:c>
      <x:c r="J321" s="159" t="str">
        <x:v>Not applicable</x:v>
      </x:c>
      <x:c r="K321" s="159" t="str">
        <x:v>No</x:v>
      </x:c>
      <x:c r="L321" s="159" t="str">
        <x:v>5-10 years</x:v>
      </x:c>
      <x:c r="M321" s="168" t="n">
        <x:v>0</x:v>
      </x:c>
      <x:c r="N321" s="168" t="n">
        <x:v>0</x:v>
      </x:c>
      <x:c r="O321" s="159" t="str"/>
      <x:c r="P321" s="159" t="str"/>
      <x:c r="Q321" s="159" t="str">
        <x:v>The action's primary mechanism does not directly change an Energy Security vulnerability indicator.</x:v>
      </x:c>
      <x:c r="R321" s="160" t="str">
        <x:v>Facilitating mobility of fishing fleets and workers to adapt to shifting marine species distributions caused by climate change. This includes enabling seasonal or temporary migration to align with the availability of resources, improving infrastructure and technology to support mobility, and fostering flexible governance to manage transboundary resources sustainably. These actions aim to maintain livelihoods and reduce economic impacts of climate variability.</x:v>
      </x:c>
    </x:row>
    <x:row r="322" ht="66" customHeight="1">
      <x:c r="A322" s="165" t="str">
        <x:v>ipcc_0086</x:v>
      </x:c>
      <x:c r="B322" s="159" t="str">
        <x:v>Implement ecosystem‑based adaptation measures</x:v>
      </x:c>
      <x:c r="C322" s="159" t="str">
        <x:v>Energy security</x:v>
      </x:c>
      <x:c r="D322" s="159" t="str">
        <x:v>Exposure</x:v>
      </x:c>
      <x:c r="E322" s="153" t="str"/>
      <x:c r="F322" s="153" t="str"/>
      <x:c r="G322" s="159" t="str">
        <x:v>Not eligible</x:v>
      </x:c>
      <x:c r="H322" s="159" t="str">
        <x:v>Not applicable</x:v>
      </x:c>
      <x:c r="I322" s="159" t="str">
        <x:v>Not applicable</x:v>
      </x:c>
      <x:c r="J322" s="159" t="str">
        <x:v>Not applicable</x:v>
      </x:c>
      <x:c r="K322" s="159" t="str">
        <x:v>No</x:v>
      </x:c>
      <x:c r="L322" s="159" t="str">
        <x:v>5-10 years</x:v>
      </x:c>
      <x:c r="M322" s="168" t="n">
        <x:v>0</x:v>
      </x:c>
      <x:c r="N322" s="168" t="n">
        <x:v>0</x:v>
      </x:c>
      <x:c r="O322" s="159" t="str"/>
      <x:c r="P322" s="159" t="str"/>
      <x:c r="Q322" s="159" t="str">
        <x:v>The action's primary mechanism does not directly change an Energy Security exposure indicator.</x:v>
      </x:c>
      <x:c r="R322" s="160" t="str">
        <x:v>Restoring and sustainably managing marine, coastal, urban, riverine, and wetland ecosystems to protect against climate hazards such as storm surges, floods, and heatwaves. Efforts include agroecology, coastal and marine vegetation and reefs, vegetation corridors, mangrove habitat restoration, urban green space to reduce temperatures. These actions improve biodiversity, store carbon, enhance water quality, and provide socio-economic and cultural co-benefits.</x:v>
      </x:c>
    </x:row>
    <x:row r="323" ht="66" customHeight="1">
      <x:c r="A323" s="165" t="str">
        <x:v>ipcc_0078</x:v>
      </x:c>
      <x:c r="B323" s="159" t="str">
        <x:v>Implement green roofs and walls</x:v>
      </x:c>
      <x:c r="C323" s="159" t="str">
        <x:v>Energy security</x:v>
      </x:c>
      <x:c r="D323" s="159" t="str">
        <x:v>Exposure</x:v>
      </x:c>
      <x:c r="E323" s="153" t="str"/>
      <x:c r="F323" s="153" t="str"/>
      <x:c r="G323" s="159" t="str">
        <x:v>Not eligible</x:v>
      </x:c>
      <x:c r="H323" s="159" t="str">
        <x:v>Not applicable</x:v>
      </x:c>
      <x:c r="I323" s="159" t="str">
        <x:v>Not applicable</x:v>
      </x:c>
      <x:c r="J323" s="159" t="str">
        <x:v>Not applicable</x:v>
      </x:c>
      <x:c r="K323" s="159" t="str">
        <x:v>No</x:v>
      </x:c>
      <x:c r="L323" s="159" t="str">
        <x:v>5-10 years</x:v>
      </x:c>
      <x:c r="M323" s="168" t="n">
        <x:v>0</x:v>
      </x:c>
      <x:c r="N323" s="168" t="n">
        <x:v>0</x:v>
      </x:c>
      <x:c r="O323" s="159" t="str"/>
      <x:c r="P323" s="159" t="str"/>
      <x:c r="Q323" s="159" t="str">
        <x:v>The action's primary mechanism does not directly change an Energy Security exposure indicator.</x:v>
      </x:c>
      <x:c r="R323" s="160" t="str">
        <x:v>The implementation of green roofs and green walls mitigates urban heat island effects, improves thermal comfort, reduces energy demand in buildings, manages stormwater, and enhances urban livability and biodiversity.</x:v>
      </x:c>
    </x:row>
    <x:row r="324" ht="66" customHeight="1">
      <x:c r="A324" s="165" t="str">
        <x:v>icare_0186</x:v>
      </x:c>
      <x:c r="B324" s="159" t="str">
        <x:v>Implement integrated coastal zone management</x:v>
      </x:c>
      <x:c r="C324" s="159" t="str">
        <x:v>Energy security</x:v>
      </x:c>
      <x:c r="D324" s="159" t="str">
        <x:v>Exposure</x:v>
      </x:c>
      <x:c r="E324" s="153" t="str"/>
      <x:c r="F324" s="153" t="str"/>
      <x:c r="G324" s="159" t="str">
        <x:v>Not eligible</x:v>
      </x:c>
      <x:c r="H324" s="159" t="str">
        <x:v>Not applicable</x:v>
      </x:c>
      <x:c r="I324" s="159" t="str">
        <x:v>Not applicable</x:v>
      </x:c>
      <x:c r="J324" s="159" t="str">
        <x:v>Not applicable</x:v>
      </x:c>
      <x:c r="K324" s="159" t="str">
        <x:v>No</x:v>
      </x:c>
      <x:c r="L324" s="159" t="str">
        <x:v>5-10 years</x:v>
      </x:c>
      <x:c r="M324" s="168" t="n">
        <x:v>0</x:v>
      </x:c>
      <x:c r="N324" s="168" t="n">
        <x:v>0</x:v>
      </x:c>
      <x:c r="O324" s="159" t="str"/>
      <x:c r="P324" s="159" t="str"/>
      <x:c r="Q324" s="159" t="str">
        <x:v>The action's primary mechanism does not directly change an Energy Security exposure indicator.</x:v>
      </x:c>
      <x:c r="R324" s="160" t="str">
        <x:v>This action describes the implementation of an integrated coastal zone management plan to promote sustainable development and address the impacts of climate change in coastal areas. It includes measures to mitigate the impacts of sea-level rise and coastal erosion.</x:v>
      </x:c>
    </x:row>
    <x:row r="325" ht="66" customHeight="1">
      <x:c r="A325" s="165" t="str">
        <x:v>icare_0186</x:v>
      </x:c>
      <x:c r="B325" s="159" t="str">
        <x:v>Implement integrated coastal zone management</x:v>
      </x:c>
      <x:c r="C325" s="159" t="str">
        <x:v>Energy security</x:v>
      </x:c>
      <x:c r="D325" s="159" t="str">
        <x:v>Vulnerability</x:v>
      </x:c>
      <x:c r="E325" s="153" t="str"/>
      <x:c r="F325" s="153" t="str"/>
      <x:c r="G325" s="159" t="str">
        <x:v>Not eligible</x:v>
      </x:c>
      <x:c r="H325" s="159" t="str">
        <x:v>Not applicable</x:v>
      </x:c>
      <x:c r="I325" s="159" t="str">
        <x:v>Not applicable</x:v>
      </x:c>
      <x:c r="J325" s="159" t="str">
        <x:v>Not applicable</x:v>
      </x:c>
      <x:c r="K325" s="159" t="str">
        <x:v>No</x:v>
      </x:c>
      <x:c r="L325" s="159" t="str">
        <x:v>5-10 years</x:v>
      </x:c>
      <x:c r="M325" s="168" t="n">
        <x:v>0</x:v>
      </x:c>
      <x:c r="N325" s="168" t="n">
        <x:v>0</x:v>
      </x:c>
      <x:c r="O325" s="159" t="str"/>
      <x:c r="P325" s="159" t="str"/>
      <x:c r="Q325" s="159" t="str">
        <x:v>The action's primary mechanism does not directly change an Energy Security vulnerability indicator.</x:v>
      </x:c>
      <x:c r="R325" s="160" t="str">
        <x:v>This action describes the implementation of an integrated coastal zone management plan to promote sustainable development and address the impacts of climate change in coastal areas. It includes measures to mitigate the impacts of sea-level rise and coastal erosion.</x:v>
      </x:c>
    </x:row>
    <x:row r="326" ht="66" customHeight="1">
      <x:c r="A326" s="165" t="str">
        <x:v>icare_0183</x:v>
      </x:c>
      <x:c r="B326" s="159" t="str">
        <x:v>Implement Multi-hazard Early Warning Systems (MH-EWS)</x:v>
      </x:c>
      <x:c r="C326" s="159" t="str">
        <x:v>Energy security</x:v>
      </x:c>
      <x:c r="D326" s="159" t="str">
        <x:v>Exposure</x:v>
      </x:c>
      <x:c r="E326" s="153" t="str"/>
      <x:c r="F326" s="153" t="str"/>
      <x:c r="G326" s="159" t="str">
        <x:v>Not eligible</x:v>
      </x:c>
      <x:c r="H326" s="159" t="str">
        <x:v>Not applicable</x:v>
      </x:c>
      <x:c r="I326" s="159" t="str">
        <x:v>Not applicable</x:v>
      </x:c>
      <x:c r="J326" s="159" t="str">
        <x:v>Not applicable</x:v>
      </x:c>
      <x:c r="K326" s="159" t="str">
        <x:v>No</x:v>
      </x:c>
      <x:c r="L326" s="159" t="str">
        <x:v>5-10 years</x:v>
      </x:c>
      <x:c r="M326" s="168" t="n">
        <x:v>0</x:v>
      </x:c>
      <x:c r="N326" s="168" t="n">
        <x:v>0</x:v>
      </x:c>
      <x:c r="O326" s="159" t="str"/>
      <x:c r="P326" s="159" t="str"/>
      <x:c r="Q326" s="159" t="str">
        <x:v>The action's primary mechanism does not directly change an Energy Security exposure indicator.</x:v>
      </x:c>
      <x:c r="R326" s="160" t="str">
        <x:v>Early Warning systems involve the timely detection and communication of potential climate-related hazards, enabling proactive responses to mitigate risks and enhancing community preparedness. This includes intense rains and landslides, using a network of telemetry stations to monitor rainfall and other weather conditions, with clear trigger thresholds to issue public alerts (sirens/alarms, SMS/cell broadcast, radio/PA) in case of potential flooding or landslides.</x:v>
      </x:c>
    </x:row>
    <x:row r="327" ht="66" customHeight="1">
      <x:c r="A327" s="165" t="str">
        <x:v>icare_0185</x:v>
      </x:c>
      <x:c r="B327" s="159" t="str">
        <x:v>Improve Creation of An Epidemiological Intelligence Center</x:v>
      </x:c>
      <x:c r="C327" s="159" t="str">
        <x:v>Energy security</x:v>
      </x:c>
      <x:c r="D327" s="159" t="str">
        <x:v>Exposure</x:v>
      </x:c>
      <x:c r="E327" s="153" t="str"/>
      <x:c r="F327" s="153" t="str"/>
      <x:c r="G327" s="159" t="str">
        <x:v>Not eligible</x:v>
      </x:c>
      <x:c r="H327" s="159" t="str">
        <x:v>Not applicable</x:v>
      </x:c>
      <x:c r="I327" s="159" t="str">
        <x:v>Not applicable</x:v>
      </x:c>
      <x:c r="J327" s="159" t="str">
        <x:v>Not applicable</x:v>
      </x:c>
      <x:c r="K327" s="159" t="str">
        <x:v>No</x:v>
      </x:c>
      <x:c r="L327" s="159" t="str">
        <x:v>5-10 years</x:v>
      </x:c>
      <x:c r="M327" s="168" t="n">
        <x:v>0</x:v>
      </x:c>
      <x:c r="N327" s="168" t="n">
        <x:v>0</x:v>
      </x:c>
      <x:c r="O327" s="159" t="str"/>
      <x:c r="P327" s="159" t="str"/>
      <x:c r="Q327" s="159" t="str">
        <x:v>The action's primary mechanism does not directly change an Energy Security exposure indicator.</x:v>
      </x:c>
      <x:c r="R327" s="160" t="str">
        <x:v>This action focuses on establishing an epidemiological intelligence center to monitor public health indicators and provide accessible information to the population. This helps in making informed decisions and protecting public health, particularly in relation to climate-sensitive diseases.</x:v>
      </x:c>
    </x:row>
    <x:row r="328" ht="66" customHeight="1">
      <x:c r="A328" s="165" t="str">
        <x:v>icare_0185</x:v>
      </x:c>
      <x:c r="B328" s="159" t="str">
        <x:v>Improve Creation of An Epidemiological Intelligence Center</x:v>
      </x:c>
      <x:c r="C328" s="159" t="str">
        <x:v>Energy security</x:v>
      </x:c>
      <x:c r="D328" s="159" t="str">
        <x:v>Vulnerability</x:v>
      </x:c>
      <x:c r="E328" s="153" t="str"/>
      <x:c r="F328" s="153" t="str"/>
      <x:c r="G328" s="159" t="str">
        <x:v>Not eligible</x:v>
      </x:c>
      <x:c r="H328" s="159" t="str">
        <x:v>Not applicable</x:v>
      </x:c>
      <x:c r="I328" s="159" t="str">
        <x:v>Not applicable</x:v>
      </x:c>
      <x:c r="J328" s="159" t="str">
        <x:v>Not applicable</x:v>
      </x:c>
      <x:c r="K328" s="159" t="str">
        <x:v>No</x:v>
      </x:c>
      <x:c r="L328" s="159" t="str">
        <x:v>5-10 years</x:v>
      </x:c>
      <x:c r="M328" s="168" t="n">
        <x:v>0</x:v>
      </x:c>
      <x:c r="N328" s="168" t="n">
        <x:v>0</x:v>
      </x:c>
      <x:c r="O328" s="159" t="str"/>
      <x:c r="P328" s="159" t="str"/>
      <x:c r="Q328" s="159" t="str">
        <x:v>The action's primary mechanism does not directly change an Energy Security vulnerability indicator.</x:v>
      </x:c>
      <x:c r="R328" s="160" t="str">
        <x:v>This action focuses on establishing an epidemiological intelligence center to monitor public health indicators and provide accessible information to the population. This helps in making informed decisions and protecting public health, particularly in relation to climate-sensitive diseases.</x:v>
      </x:c>
    </x:row>
    <x:row r="329" ht="66" customHeight="1">
      <x:c r="A329" s="165" t="str">
        <x:v>ipcc_0100</x:v>
      </x:c>
      <x:c r="B329" s="159" t="str">
        <x:v>Improve Efficient water use/demand</x:v>
      </x:c>
      <x:c r="C329" s="159" t="str">
        <x:v>Energy security</x:v>
      </x:c>
      <x:c r="D329" s="159" t="str">
        <x:v>Exposure</x:v>
      </x:c>
      <x:c r="E329" s="153" t="str"/>
      <x:c r="F329" s="153" t="str"/>
      <x:c r="G329" s="159" t="str">
        <x:v>Not eligible</x:v>
      </x:c>
      <x:c r="H329" s="159" t="str">
        <x:v>Not applicable</x:v>
      </x:c>
      <x:c r="I329" s="159" t="str">
        <x:v>Not applicable</x:v>
      </x:c>
      <x:c r="J329" s="159" t="str">
        <x:v>Not applicable</x:v>
      </x:c>
      <x:c r="K329" s="159" t="str">
        <x:v>No</x:v>
      </x:c>
      <x:c r="L329" s="159" t="str">
        <x:v>5-10 years</x:v>
      </x:c>
      <x:c r="M329" s="168" t="n">
        <x:v>0</x:v>
      </x:c>
      <x:c r="N329" s="168" t="n">
        <x:v>0</x:v>
      </x:c>
      <x:c r="O329" s="159" t="str"/>
      <x:c r="P329" s="159" t="str"/>
      <x:c r="Q329" s="159" t="str">
        <x:v>The action's primary mechanism does not directly change an Energy Security exposure indicator.</x:v>
      </x:c>
      <x:c r="R329" s="160" t="str">
        <x:v>Implementing advanced irrigation techniques such as precision and drip irrigation to enhance water use efficiency in agriculture. Managed Aquifer Recharge (MAR) is applied to replenish groundwater supplies using stormwater, treated wastewater, or other sources. These actions are complemented by cooperative policies across multiple sectors to ensure sustainable water resource management, equitable access, and regional collaboration. Additionally, promoting changes in water consumption patterns, such as reducing waste and improving efficiency in urban and agricultural water use, supports resilience against water scarcity and enhances adaptive capacity in vulnerable regions. These efforts collectively aim to address the growing demand for freshwater in the face of climate change and ensure long-term sustainability.</x:v>
      </x:c>
    </x:row>
    <x:row r="330" ht="66" customHeight="1">
      <x:c r="A330" s="165" t="str">
        <x:v>icare_0164</x:v>
      </x:c>
      <x:c r="B330" s="159" t="str">
        <x:v>Improve Hydrological Monitoring System with Telemetry Stations</x:v>
      </x:c>
      <x:c r="C330" s="159" t="str">
        <x:v>Energy security</x:v>
      </x:c>
      <x:c r="D330" s="159" t="str">
        <x:v>Exposure</x:v>
      </x:c>
      <x:c r="E330" s="153" t="str"/>
      <x:c r="F330" s="153" t="str"/>
      <x:c r="G330" s="159" t="str">
        <x:v>Not eligible</x:v>
      </x:c>
      <x:c r="H330" s="159" t="str">
        <x:v>Not applicable</x:v>
      </x:c>
      <x:c r="I330" s="159" t="str">
        <x:v>Not applicable</x:v>
      </x:c>
      <x:c r="J330" s="159" t="str">
        <x:v>Not applicable</x:v>
      </x:c>
      <x:c r="K330" s="159" t="str">
        <x:v>No</x:v>
      </x:c>
      <x:c r="L330" s="159" t="str">
        <x:v>&lt;5 years</x:v>
      </x:c>
      <x:c r="M330" s="168" t="n">
        <x:v>0</x:v>
      </x:c>
      <x:c r="N330" s="168" t="n">
        <x:v>0</x:v>
      </x:c>
      <x:c r="O330" s="159" t="str"/>
      <x:c r="P330" s="159" t="str"/>
      <x:c r="Q330" s="159" t="str">
        <x:v>The action's primary mechanism does not directly change an Energy Security exposure indicator.</x:v>
      </x:c>
      <x:c r="R330" s="160" t="str">
        <x:v>Implementation of a hydrological monitoring system with telemetry stations to monitor rainfall, water levels, and meteorological variables in real-time.</x:v>
      </x:c>
    </x:row>
    <x:row r="331" ht="66" customHeight="1">
      <x:c r="A331" s="165" t="str">
        <x:v>icare_0156</x:v>
      </x:c>
      <x:c r="B331" s="159" t="str">
        <x:v>Improve Implementation of urban gardens</x:v>
      </x:c>
      <x:c r="C331" s="159" t="str">
        <x:v>Energy security</x:v>
      </x:c>
      <x:c r="D331" s="159" t="str">
        <x:v>Exposure</x:v>
      </x:c>
      <x:c r="E331" s="153" t="str"/>
      <x:c r="F331" s="153" t="str"/>
      <x:c r="G331" s="159" t="str">
        <x:v>Not eligible</x:v>
      </x:c>
      <x:c r="H331" s="159" t="str">
        <x:v>Not applicable</x:v>
      </x:c>
      <x:c r="I331" s="159" t="str">
        <x:v>Not applicable</x:v>
      </x:c>
      <x:c r="J331" s="159" t="str">
        <x:v>Not applicable</x:v>
      </x:c>
      <x:c r="K331" s="159" t="str">
        <x:v>No</x:v>
      </x:c>
      <x:c r="L331" s="159" t="str">
        <x:v>&lt;5 years</x:v>
      </x:c>
      <x:c r="M331" s="168" t="n">
        <x:v>0</x:v>
      </x:c>
      <x:c r="N331" s="168" t="n">
        <x:v>0</x:v>
      </x:c>
      <x:c r="O331" s="159" t="str"/>
      <x:c r="P331" s="159" t="str"/>
      <x:c r="Q331" s="159" t="str">
        <x:v>The action's primary mechanism does not directly change an Energy Security exposure indicator.</x:v>
      </x:c>
      <x:c r="R331" s="160" t="str">
        <x:v>Identify and assess the feasibility of suitable areas for the installation of urban gardens and ensure that the sites chosen meet the expectations of the community.</x:v>
      </x:c>
    </x:row>
    <x:row r="332" ht="66" customHeight="1">
      <x:c r="A332" s="165" t="str">
        <x:v>icare_0156</x:v>
      </x:c>
      <x:c r="B332" s="159" t="str">
        <x:v>Improve Implementation of urban gardens</x:v>
      </x:c>
      <x:c r="C332" s="159" t="str">
        <x:v>Energy security</x:v>
      </x:c>
      <x:c r="D332" s="159" t="str">
        <x:v>Vulnerability</x:v>
      </x:c>
      <x:c r="E332" s="153" t="str"/>
      <x:c r="F332" s="153" t="str"/>
      <x:c r="G332" s="159" t="str">
        <x:v>Not eligible</x:v>
      </x:c>
      <x:c r="H332" s="159" t="str">
        <x:v>Not applicable</x:v>
      </x:c>
      <x:c r="I332" s="159" t="str">
        <x:v>Not applicable</x:v>
      </x:c>
      <x:c r="J332" s="159" t="str">
        <x:v>Not applicable</x:v>
      </x:c>
      <x:c r="K332" s="159" t="str">
        <x:v>No</x:v>
      </x:c>
      <x:c r="L332" s="159" t="str">
        <x:v>&lt;5 years</x:v>
      </x:c>
      <x:c r="M332" s="168" t="n">
        <x:v>0</x:v>
      </x:c>
      <x:c r="N332" s="168" t="n">
        <x:v>0</x:v>
      </x:c>
      <x:c r="O332" s="159" t="str"/>
      <x:c r="P332" s="159" t="str"/>
      <x:c r="Q332" s="159" t="str">
        <x:v>The action's primary mechanism does not directly change an Energy Security vulnerability indicator.</x:v>
      </x:c>
      <x:c r="R332" s="160" t="str">
        <x:v>Identify and assess the feasibility of suitable areas for the installation of urban gardens and ensure that the sites chosen meet the expectations of the community.</x:v>
      </x:c>
    </x:row>
    <x:row r="333" ht="66" customHeight="1">
      <x:c r="A333" s="165" t="str">
        <x:v>ipcc_0087</x:v>
      </x:c>
      <x:c r="B333" s="159" t="str">
        <x:v>Improve Infrastructure retrofitting</x:v>
      </x:c>
      <x:c r="C333" s="159" t="str">
        <x:v>Energy security</x:v>
      </x:c>
      <x:c r="D333" s="159" t="str">
        <x:v>Exposure</x:v>
      </x:c>
      <x:c r="E333" s="153" t="str"/>
      <x:c r="F333" s="153" t="str"/>
      <x:c r="G333" s="159" t="str">
        <x:v>Not eligible</x:v>
      </x:c>
      <x:c r="H333" s="159" t="str">
        <x:v>Not applicable</x:v>
      </x:c>
      <x:c r="I333" s="159" t="str">
        <x:v>Not applicable</x:v>
      </x:c>
      <x:c r="J333" s="159" t="str">
        <x:v>Not applicable</x:v>
      </x:c>
      <x:c r="K333" s="159" t="str">
        <x:v>No</x:v>
      </x:c>
      <x:c r="L333" s="159" t="str">
        <x:v>5-10 years</x:v>
      </x:c>
      <x:c r="M333" s="168" t="n">
        <x:v>0</x:v>
      </x:c>
      <x:c r="N333" s="168" t="n">
        <x:v>0</x:v>
      </x:c>
      <x:c r="O333" s="159" t="str"/>
      <x:c r="P333" s="159" t="str"/>
      <x:c r="Q333" s="159" t="str">
        <x:v>The action's primary mechanism does not directly change an Energy Security exposure indicator.</x:v>
      </x:c>
      <x:c r="R333" s="160" t="str">
        <x:v>Strengthen and upgrade existing infrastructure, including roads, housing, and energy systems, to improve resilience against climate risks such as floods, droughts, and heatwaves. Efforts include using thermosiphons for permafrost degradation, increasing rooftop albedo (for reflectivity) and shading</x:v>
      </x:c>
    </x:row>
    <x:row r="334" ht="66" customHeight="1">
      <x:c r="A334" s="165" t="str">
        <x:v>icare_0171</x:v>
      </x:c>
      <x:c r="B334" s="159" t="str">
        <x:v>Improve the hydrometeorological forecasting, monitoring, and alert system for climate risks</x:v>
      </x:c>
      <x:c r="C334" s="159" t="str">
        <x:v>Energy security</x:v>
      </x:c>
      <x:c r="D334" s="159" t="str">
        <x:v>Exposure</x:v>
      </x:c>
      <x:c r="E334" s="153" t="str"/>
      <x:c r="F334" s="153" t="str"/>
      <x:c r="G334" s="159" t="str">
        <x:v>Not eligible</x:v>
      </x:c>
      <x:c r="H334" s="159" t="str">
        <x:v>Not applicable</x:v>
      </x:c>
      <x:c r="I334" s="159" t="str">
        <x:v>Not applicable</x:v>
      </x:c>
      <x:c r="J334" s="159" t="str">
        <x:v>Not applicable</x:v>
      </x:c>
      <x:c r="K334" s="159" t="str">
        <x:v>No</x:v>
      </x:c>
      <x:c r="L334" s="159" t="str">
        <x:v>5-10 years</x:v>
      </x:c>
      <x:c r="M334" s="168" t="n">
        <x:v>0</x:v>
      </x:c>
      <x:c r="N334" s="168" t="n">
        <x:v>0</x:v>
      </x:c>
      <x:c r="O334" s="159" t="str"/>
      <x:c r="P334" s="159" t="str"/>
      <x:c r="Q334" s="159" t="str">
        <x:v>The action's primary mechanism does not directly change an Energy Security exposure indicator.</x:v>
      </x:c>
      <x:c r="R334" s="160" t="str">
        <x:v>This action aims to expand the procedures related to the existing climate risk forecasting, monitoring, and alert system in the municipality.</x:v>
      </x:c>
    </x:row>
    <x:row r="335" ht="66" customHeight="1">
      <x:c r="A335" s="165" t="str">
        <x:v>ipcc_0101</x:v>
      </x:c>
      <x:c r="B335" s="159" t="str">
        <x:v>Improve urban water management</x:v>
      </x:c>
      <x:c r="C335" s="159" t="str">
        <x:v>Energy security</x:v>
      </x:c>
      <x:c r="D335" s="159" t="str">
        <x:v>Exposure</x:v>
      </x:c>
      <x:c r="E335" s="153" t="str"/>
      <x:c r="F335" s="153" t="str"/>
      <x:c r="G335" s="159" t="str">
        <x:v>Not eligible</x:v>
      </x:c>
      <x:c r="H335" s="159" t="str">
        <x:v>Not applicable</x:v>
      </x:c>
      <x:c r="I335" s="159" t="str">
        <x:v>Not applicable</x:v>
      </x:c>
      <x:c r="J335" s="159" t="str">
        <x:v>Not applicable</x:v>
      </x:c>
      <x:c r="K335" s="159" t="str">
        <x:v>No</x:v>
      </x:c>
      <x:c r="L335" s="159" t="str">
        <x:v>5-10 years</x:v>
      </x:c>
      <x:c r="M335" s="168" t="n">
        <x:v>0</x:v>
      </x:c>
      <x:c r="N335" s="168" t="n">
        <x:v>0</x:v>
      </x:c>
      <x:c r="O335" s="159" t="str"/>
      <x:c r="P335" s="159" t="str"/>
      <x:c r="Q335" s="159" t="str">
        <x:v>The action's primary mechanism does not directly change an Energy Security exposure indicator.</x:v>
      </x:c>
      <x:c r="R335" s="160" t="str">
        <x:v>Implementing sustainable water supply systems by constructing irrigation infrastructure, promoting inter-basin water transfers, utilizing nature-based solutions (NBS) such as rain gardens, bioswales, and wetlands, and integrating advanced techniques like water reuse and water upgrading. Water reuse involves treating and recycling wastewater for non-potable or potable purposes, while water upgrading focuses on improving the quality of available water for diverse uses. These approaches enhance stormwater infiltration, improve urban water management, increase drought resilience, and support groundwater recharge. They provide energy-efficient and economical water solutions while maintaining sustainable urban development.</x:v>
      </x:c>
    </x:row>
    <x:row r="336" ht="66" customHeight="1">
      <x:c r="A336" s="165" t="str">
        <x:v>c40_0056</x:v>
      </x:c>
      <x:c r="B336" s="159" t="str">
        <x:v>Improve Watershed Protection and Management</x:v>
      </x:c>
      <x:c r="C336" s="159" t="str">
        <x:v>Energy security</x:v>
      </x:c>
      <x:c r="D336" s="159" t="str">
        <x:v>Exposure</x:v>
      </x:c>
      <x:c r="E336" s="153" t="str"/>
      <x:c r="F336" s="153" t="str"/>
      <x:c r="G336" s="159" t="str">
        <x:v>Not eligible</x:v>
      </x:c>
      <x:c r="H336" s="159" t="str">
        <x:v>Not applicable</x:v>
      </x:c>
      <x:c r="I336" s="159" t="str">
        <x:v>Not applicable</x:v>
      </x:c>
      <x:c r="J336" s="159" t="str">
        <x:v>Not applicable</x:v>
      </x:c>
      <x:c r="K336" s="159" t="str">
        <x:v>No</x:v>
      </x:c>
      <x:c r="L336" s="159" t="str">
        <x:v>&lt;5 years</x:v>
      </x:c>
      <x:c r="M336" s="168" t="n">
        <x:v>0</x:v>
      </x:c>
      <x:c r="N336" s="168" t="n">
        <x:v>0</x:v>
      </x:c>
      <x:c r="O336" s="159" t="str"/>
      <x:c r="P336" s="159" t="str"/>
      <x:c r="Q336" s="159" t="str">
        <x:v>The action's primary mechanism does not directly change an Energy Security exposure indicator.</x:v>
      </x:c>
      <x:c r="R336" s="160" t="str">
        <x:v>"Watershed Protection and Management" involves the protection and conservation of natural watershed areas to safeguard water quality, biodiversity, and ecosystem services, including measures such as preventing pollution and encrouchment. This initiative aims to ensure sustainable water management and resilience to the impacts of climate change.</x:v>
      </x:c>
    </x:row>
    <x:row r="337" ht="66" customHeight="1">
      <x:c r="A337" s="165" t="str">
        <x:v>ipcc_0098</x:v>
      </x:c>
      <x:c r="B337" s="159" t="str">
        <x:v>Increase resilience by improving access to food, improving livelihoods and promoting dietary shifts and food waste reduction</x:v>
      </x:c>
      <x:c r="C337" s="159" t="str">
        <x:v>Energy security</x:v>
      </x:c>
      <x:c r="D337" s="159" t="str">
        <x:v>Exposure</x:v>
      </x:c>
      <x:c r="E337" s="153" t="str"/>
      <x:c r="F337" s="153" t="str"/>
      <x:c r="G337" s="159" t="str">
        <x:v>Not eligible</x:v>
      </x:c>
      <x:c r="H337" s="159" t="str">
        <x:v>Not applicable</x:v>
      </x:c>
      <x:c r="I337" s="159" t="str">
        <x:v>Not applicable</x:v>
      </x:c>
      <x:c r="J337" s="159" t="str">
        <x:v>Not applicable</x:v>
      </x:c>
      <x:c r="K337" s="159" t="str">
        <x:v>No</x:v>
      </x:c>
      <x:c r="L337" s="159" t="str">
        <x:v>5-10 years</x:v>
      </x:c>
      <x:c r="M337" s="168" t="n">
        <x:v>0</x:v>
      </x:c>
      <x:c r="N337" s="168" t="n">
        <x:v>0</x:v>
      </x:c>
      <x:c r="O337" s="159" t="str"/>
      <x:c r="P337" s="159" t="str"/>
      <x:c r="Q337" s="159" t="str">
        <x:v>The action's primary mechanism does not directly change an Energy Security exposure indicator.</x:v>
      </x:c>
      <x:c r="R337" s="160" t="str">
        <x:v>Increase resilience through improved food production, distribution, and consumption practices. Actions include enhancing agricultural techniques, adopting water-saving technologies, implementing low-cost storage solutions, and promoting plant-based diets. Policymakers can encourage these behaviors with appropriate pricing policies, sustainable agriculture initiatives, and support for disadvantaged groups. The action emphasizes shifting to healthier diets, reducing overconsumption, and supporting local food systems to mitigate greenhouse gas emissions and ensure food security under climate change.</x:v>
      </x:c>
    </x:row>
    <x:row r="338" ht="66" customHeight="1">
      <x:c r="A338" s="165" t="str">
        <x:v>ipcc_0098</x:v>
      </x:c>
      <x:c r="B338" s="159" t="str">
        <x:v>Increase resilience by improving access to food, improving livelihoods and promoting dietary shifts and food waste reduction</x:v>
      </x:c>
      <x:c r="C338" s="159" t="str">
        <x:v>Energy security</x:v>
      </x:c>
      <x:c r="D338" s="159" t="str">
        <x:v>Vulnerability</x:v>
      </x:c>
      <x:c r="E338" s="153" t="str"/>
      <x:c r="F338" s="153" t="str"/>
      <x:c r="G338" s="159" t="str">
        <x:v>Not eligible</x:v>
      </x:c>
      <x:c r="H338" s="159" t="str">
        <x:v>Not applicable</x:v>
      </x:c>
      <x:c r="I338" s="159" t="str">
        <x:v>Not applicable</x:v>
      </x:c>
      <x:c r="J338" s="159" t="str">
        <x:v>Not applicable</x:v>
      </x:c>
      <x:c r="K338" s="159" t="str">
        <x:v>No</x:v>
      </x:c>
      <x:c r="L338" s="159" t="str">
        <x:v>5-10 years</x:v>
      </x:c>
      <x:c r="M338" s="168" t="n">
        <x:v>0</x:v>
      </x:c>
      <x:c r="N338" s="168" t="n">
        <x:v>0</x:v>
      </x:c>
      <x:c r="O338" s="159" t="str"/>
      <x:c r="P338" s="159" t="str"/>
      <x:c r="Q338" s="159" t="str">
        <x:v>The action's primary mechanism does not directly change an Energy Security vulnerability indicator.</x:v>
      </x:c>
      <x:c r="R338" s="160" t="str">
        <x:v>Increase resilience through improved food production, distribution, and consumption practices. Actions include enhancing agricultural techniques, adopting water-saving technologies, implementing low-cost storage solutions, and promoting plant-based diets. Policymakers can encourage these behaviors with appropriate pricing policies, sustainable agriculture initiatives, and support for disadvantaged groups. The action emphasizes shifting to healthier diets, reducing overconsumption, and supporting local food systems to mitigate greenhouse gas emissions and ensure food security under climate change.</x:v>
      </x:c>
    </x:row>
    <x:row r="339" ht="66" customHeight="1">
      <x:c r="A339" s="165" t="str">
        <x:v>ipcc_0099</x:v>
      </x:c>
      <x:c r="B339" s="159" t="str">
        <x:v>Increase Water Capture and Storage</x:v>
      </x:c>
      <x:c r="C339" s="159" t="str">
        <x:v>Energy security</x:v>
      </x:c>
      <x:c r="D339" s="159" t="str">
        <x:v>Exposure</x:v>
      </x:c>
      <x:c r="E339" s="153" t="str"/>
      <x:c r="F339" s="153" t="str"/>
      <x:c r="G339" s="159" t="str">
        <x:v>Not eligible</x:v>
      </x:c>
      <x:c r="H339" s="159" t="str">
        <x:v>Not applicable</x:v>
      </x:c>
      <x:c r="I339" s="159" t="str">
        <x:v>Not applicable</x:v>
      </x:c>
      <x:c r="J339" s="159" t="str">
        <x:v>Not applicable</x:v>
      </x:c>
      <x:c r="K339" s="159" t="str">
        <x:v>No</x:v>
      </x:c>
      <x:c r="L339" s="159" t="str">
        <x:v>5-10 years</x:v>
      </x:c>
      <x:c r="M339" s="168" t="n">
        <x:v>0</x:v>
      </x:c>
      <x:c r="N339" s="168" t="n">
        <x:v>0</x:v>
      </x:c>
      <x:c r="O339" s="159" t="str"/>
      <x:c r="P339" s="159" t="str"/>
      <x:c r="Q339" s="159" t="str">
        <x:v>The action's primary mechanism does not directly change an Energy Security exposure indicator.</x:v>
      </x:c>
      <x:c r="R339" s="160" t="str">
        <x:v>Implementation of water harvesting and storage solutions, such as on-farm ponds, water body revitalization, rain gardens, bioswales, retention ponds, pumped storage, and water storage tanks. These measures aim to mitigate climate-induced impacts by improving water management, reducing stormwater runoff, improving water quality, and supporting agriculture and energy production in changing climate scenarios. Water reservoirs and multipurpose dams offer additional benefits by addressing water scarcity and managing risks associated with natural disasters. These adaptation strategies contribute to sustainable water use and resilience to climate-related challenges.</x:v>
      </x:c>
    </x:row>
    <x:row r="340" ht="66" customHeight="1">
      <x:c r="A340" s="165" t="str">
        <x:v>ipcc_0104</x:v>
      </x:c>
      <x:c r="B340" s="159" t="str">
        <x:v>Plan and support permanent climate‑related migration</x:v>
      </x:c>
      <x:c r="C340" s="159" t="str">
        <x:v>Energy security</x:v>
      </x:c>
      <x:c r="D340" s="159" t="str">
        <x:v>Vulnerability</x:v>
      </x:c>
      <x:c r="E340" s="153" t="str"/>
      <x:c r="F340" s="153" t="str"/>
      <x:c r="G340" s="159" t="str">
        <x:v>Not eligible</x:v>
      </x:c>
      <x:c r="H340" s="159" t="str">
        <x:v>Not applicable</x:v>
      </x:c>
      <x:c r="I340" s="159" t="str">
        <x:v>Not applicable</x:v>
      </x:c>
      <x:c r="J340" s="159" t="str">
        <x:v>Not applicable</x:v>
      </x:c>
      <x:c r="K340" s="159" t="str">
        <x:v>No</x:v>
      </x:c>
      <x:c r="L340" s="159" t="str">
        <x:v>5-10 years</x:v>
      </x:c>
      <x:c r="M340" s="168" t="n">
        <x:v>0</x:v>
      </x:c>
      <x:c r="N340" s="168" t="n">
        <x:v>0</x:v>
      </x:c>
      <x:c r="O340" s="159" t="str"/>
      <x:c r="P340" s="159" t="str"/>
      <x:c r="Q340" s="159" t="str">
        <x:v>The action's primary mechanism does not directly change an Energy Security vulnerability indicator.</x:v>
      </x:c>
      <x:c r="R340" s="160" t="str">
        <x:v>Resettlement of communities from flood-prone areas and rural–urban migration as a strategy to mitigate vulnerabilities caused by climate change. This includes addressing urbanization challenges, such as unplanned development, water insecurity, and socioeconomic disparities, while providing equitable opportunities for migrants in urban centers. Measures include enhancing urban planning, water resource management, and social support systems for displaced populations.</x:v>
      </x:c>
    </x:row>
    <x:row r="341" ht="66" customHeight="1">
      <x:c r="A341" s="165" t="str">
        <x:v>ipcc_0083</x:v>
      </x:c>
      <x:c r="B341" s="159" t="str">
        <x:v>Plan strategic coastal retreat for vulnerable communities</x:v>
      </x:c>
      <x:c r="C341" s="159" t="str">
        <x:v>Energy security</x:v>
      </x:c>
      <x:c r="D341" s="159" t="str">
        <x:v>Vulnerability</x:v>
      </x:c>
      <x:c r="E341" s="153" t="str"/>
      <x:c r="F341" s="153" t="str"/>
      <x:c r="G341" s="159" t="str">
        <x:v>Not eligible</x:v>
      </x:c>
      <x:c r="H341" s="159" t="str">
        <x:v>Not applicable</x:v>
      </x:c>
      <x:c r="I341" s="159" t="str">
        <x:v>Not applicable</x:v>
      </x:c>
      <x:c r="J341" s="159" t="str">
        <x:v>Not applicable</x:v>
      </x:c>
      <x:c r="K341" s="159" t="str">
        <x:v>No</x:v>
      </x:c>
      <x:c r="L341" s="159" t="str">
        <x:v>&gt;10 years</x:v>
      </x:c>
      <x:c r="M341" s="168" t="n">
        <x:v>0</x:v>
      </x:c>
      <x:c r="N341" s="168" t="n">
        <x:v>0</x:v>
      </x:c>
      <x:c r="O341" s="159" t="str"/>
      <x:c r="P341" s="159" t="str"/>
      <x:c r="Q341" s="159" t="str">
        <x:v>The action's primary mechanism does not directly change an Energy Security vulnerability indicator.</x:v>
      </x:c>
      <x:c r="R341" s="160" t="str">
        <x:v>Planned relocation and retreat of people, assets, and activities from coastal hazard zones to reduce exposure and risks caused by sea-level rise and associated coastal hazards.</x:v>
      </x:c>
    </x:row>
    <x:row r="342" ht="66" customHeight="1">
      <x:c r="A342" s="165" t="str">
        <x:v>icare_0173</x:v>
      </x:c>
      <x:c r="B342" s="159" t="str">
        <x:v>Preventive maintenance of drainage systems</x:v>
      </x:c>
      <x:c r="C342" s="159" t="str">
        <x:v>Energy security</x:v>
      </x:c>
      <x:c r="D342" s="159" t="str">
        <x:v>Exposure</x:v>
      </x:c>
      <x:c r="E342" s="153" t="str"/>
      <x:c r="F342" s="153" t="str"/>
      <x:c r="G342" s="159" t="str">
        <x:v>Not eligible</x:v>
      </x:c>
      <x:c r="H342" s="159" t="str">
        <x:v>Not applicable</x:v>
      </x:c>
      <x:c r="I342" s="159" t="str">
        <x:v>Not applicable</x:v>
      </x:c>
      <x:c r="J342" s="159" t="str">
        <x:v>Not applicable</x:v>
      </x:c>
      <x:c r="K342" s="159" t="str">
        <x:v>No</x:v>
      </x:c>
      <x:c r="L342" s="159" t="str">
        <x:v>5-10 years</x:v>
      </x:c>
      <x:c r="M342" s="168" t="n">
        <x:v>0</x:v>
      </x:c>
      <x:c r="N342" s="168" t="n">
        <x:v>0</x:v>
      </x:c>
      <x:c r="O342" s="159" t="str"/>
      <x:c r="P342" s="159" t="str"/>
      <x:c r="Q342" s="159" t="str">
        <x:v>The action's primary mechanism does not directly change an Energy Security exposure indicator.</x:v>
      </x:c>
      <x:c r="R342" s="160" t="str">
        <x:v>Regular upkeep and cleaning of urban drainage systems, including storm drains, sewers, and retention basins, to ensure efficient water flow and prevent blockages that can lead to flooding during heavy rainfall events.</x:v>
      </x:c>
    </x:row>
    <x:row r="343" ht="66" customHeight="1">
      <x:c r="A343" s="165" t="str">
        <x:v>c40_0053</x:v>
      </x:c>
      <x:c r="B343" s="159" t="str">
        <x:v>Promote water-saving technologies and practices</x:v>
      </x:c>
      <x:c r="C343" s="159" t="str">
        <x:v>Energy security</x:v>
      </x:c>
      <x:c r="D343" s="159" t="str">
        <x:v>Exposure</x:v>
      </x:c>
      <x:c r="E343" s="153" t="str"/>
      <x:c r="F343" s="153" t="str"/>
      <x:c r="G343" s="159" t="str">
        <x:v>Not eligible</x:v>
      </x:c>
      <x:c r="H343" s="159" t="str">
        <x:v>Not applicable</x:v>
      </x:c>
      <x:c r="I343" s="159" t="str">
        <x:v>Not applicable</x:v>
      </x:c>
      <x:c r="J343" s="159" t="str">
        <x:v>Not applicable</x:v>
      </x:c>
      <x:c r="K343" s="159" t="str">
        <x:v>No</x:v>
      </x:c>
      <x:c r="L343" s="159" t="str">
        <x:v>5-10 years</x:v>
      </x:c>
      <x:c r="M343" s="168" t="n">
        <x:v>0</x:v>
      </x:c>
      <x:c r="N343" s="168" t="n">
        <x:v>0</x:v>
      </x:c>
      <x:c r="O343" s="159" t="str"/>
      <x:c r="P343" s="159" t="str"/>
      <x:c r="Q343" s="159" t="str">
        <x:v>The action's primary mechanism does not directly change an Energy Security exposure indicator.</x:v>
      </x:c>
      <x:c r="R343" s="160" t="str">
        <x:v>Encourages the adoption of water-saving technologies and practices to conserve water resources and strengthen resilience to climate change. This includes measures such as rainwater harvesting, low-flow appliances, leak detection systems, and municipal incentive programs that support households and businesses in reducing consumption. These actions enhance sustainable water use and complement broader eco-engineering and adaptation efforts.</x:v>
      </x:c>
    </x:row>
    <x:row r="344" ht="66" customHeight="1">
      <x:c r="A344" s="165" t="str">
        <x:v>c40_0051</x:v>
      </x:c>
      <x:c r="B344" s="159" t="str">
        <x:v>Provide public shading in heat hotspots</x:v>
      </x:c>
      <x:c r="C344" s="159" t="str">
        <x:v>Energy security</x:v>
      </x:c>
      <x:c r="D344" s="159" t="str">
        <x:v>Exposure</x:v>
      </x:c>
      <x:c r="E344" s="153" t="str"/>
      <x:c r="F344" s="153" t="str"/>
      <x:c r="G344" s="159" t="str">
        <x:v>Not eligible</x:v>
      </x:c>
      <x:c r="H344" s="159" t="str">
        <x:v>Not applicable</x:v>
      </x:c>
      <x:c r="I344" s="159" t="str">
        <x:v>Not applicable</x:v>
      </x:c>
      <x:c r="J344" s="159" t="str">
        <x:v>Not applicable</x:v>
      </x:c>
      <x:c r="K344" s="159" t="str">
        <x:v>No</x:v>
      </x:c>
      <x:c r="L344" s="159" t="str">
        <x:v>&lt;5 years</x:v>
      </x:c>
      <x:c r="M344" s="168" t="n">
        <x:v>0</x:v>
      </x:c>
      <x:c r="N344" s="168" t="n">
        <x:v>0</x:v>
      </x:c>
      <x:c r="O344" s="159" t="str"/>
      <x:c r="P344" s="159" t="str"/>
      <x:c r="Q344" s="159" t="str">
        <x:v>The action's primary mechanism does not directly change an Energy Security exposure indicator.</x:v>
      </x:c>
      <x:c r="R344" s="160" t="str">
        <x:v>"Provide public shading in heat hotspots" involves the implementation of shade structures in public spaces, such as shade sails and canopies, and drought-tolerant trees, contributing to eco-engineering efforts. This adaptation measure enhances outdoor comfort, reduces heat stress, and promotes sustainable urban design.</x:v>
      </x:c>
    </x:row>
    <x:row r="345" ht="66" customHeight="1">
      <x:c r="A345" s="165" t="str">
        <x:v>c40_0051</x:v>
      </x:c>
      <x:c r="B345" s="159" t="str">
        <x:v>Provide public shading in heat hotspots</x:v>
      </x:c>
      <x:c r="C345" s="159" t="str">
        <x:v>Energy security</x:v>
      </x:c>
      <x:c r="D345" s="159" t="str">
        <x:v>Vulnerability</x:v>
      </x:c>
      <x:c r="E345" s="153" t="str"/>
      <x:c r="F345" s="153" t="str"/>
      <x:c r="G345" s="159" t="str">
        <x:v>Not eligible</x:v>
      </x:c>
      <x:c r="H345" s="159" t="str">
        <x:v>Not applicable</x:v>
      </x:c>
      <x:c r="I345" s="159" t="str">
        <x:v>Not applicable</x:v>
      </x:c>
      <x:c r="J345" s="159" t="str">
        <x:v>Not applicable</x:v>
      </x:c>
      <x:c r="K345" s="159" t="str">
        <x:v>No</x:v>
      </x:c>
      <x:c r="L345" s="159" t="str">
        <x:v>&lt;5 years</x:v>
      </x:c>
      <x:c r="M345" s="168" t="n">
        <x:v>0</x:v>
      </x:c>
      <x:c r="N345" s="168" t="n">
        <x:v>0</x:v>
      </x:c>
      <x:c r="O345" s="159" t="str"/>
      <x:c r="P345" s="159" t="str"/>
      <x:c r="Q345" s="159" t="str">
        <x:v>The action's primary mechanism does not directly change an Energy Security vulnerability indicator.</x:v>
      </x:c>
      <x:c r="R345" s="160" t="str">
        <x:v>"Provide public shading in heat hotspots" involves the implementation of shade structures in public spaces, such as shade sails and canopies, and drought-tolerant trees, contributing to eco-engineering efforts. This adaptation measure enhances outdoor comfort, reduces heat stress, and promotes sustainable urban design.</x:v>
      </x:c>
    </x:row>
    <x:row r="346" ht="66" customHeight="1">
      <x:c r="A346" s="165" t="str">
        <x:v>icare_0178</x:v>
      </x:c>
      <x:c r="B346" s="159" t="str">
        <x:v>Redirect urban development through climate‑risk spatial planning</x:v>
      </x:c>
      <x:c r="C346" s="159" t="str">
        <x:v>Energy security</x:v>
      </x:c>
      <x:c r="D346" s="159" t="str">
        <x:v>Vulnerability</x:v>
      </x:c>
      <x:c r="E346" s="153" t="str"/>
      <x:c r="F346" s="153" t="str"/>
      <x:c r="G346" s="159" t="str">
        <x:v>Not eligible</x:v>
      </x:c>
      <x:c r="H346" s="159" t="str">
        <x:v>Not applicable</x:v>
      </x:c>
      <x:c r="I346" s="159" t="str">
        <x:v>Not applicable</x:v>
      </x:c>
      <x:c r="J346" s="159" t="str">
        <x:v>Not applicable</x:v>
      </x:c>
      <x:c r="K346" s="159" t="str">
        <x:v>No</x:v>
      </x:c>
      <x:c r="L346" s="159" t="str">
        <x:v>&lt;5 years</x:v>
      </x:c>
      <x:c r="M346" s="168" t="n">
        <x:v>0</x:v>
      </x:c>
      <x:c r="N346" s="168" t="n">
        <x:v>0</x:v>
      </x:c>
      <x:c r="O346" s="159" t="str"/>
      <x:c r="P346" s="159" t="str"/>
      <x:c r="Q346" s="159" t="str">
        <x:v>The action's primary mechanism does not directly change an Energy Security vulnerability indicator.</x:v>
      </x:c>
      <x:c r="R346" s="160" t="str">
        <x:v>Mapping of critical flood-prone areas with the aim of revising and harmonizing legislation related to land use, given the intensification of the impacts of extreme weather events.</x:v>
      </x:c>
    </x:row>
    <x:row r="347" ht="66" customHeight="1">
      <x:c r="A347" s="165" t="str">
        <x:v>ipcc_0085</x:v>
      </x:c>
      <x:c r="B347" s="159" t="str">
        <x:v>Reduce pressures on ecosystems to build resilience</x:v>
      </x:c>
      <x:c r="C347" s="159" t="str">
        <x:v>Energy security</x:v>
      </x:c>
      <x:c r="D347" s="159" t="str">
        <x:v>Exposure</x:v>
      </x:c>
      <x:c r="E347" s="153" t="str"/>
      <x:c r="F347" s="153" t="str"/>
      <x:c r="G347" s="159" t="str">
        <x:v>Not eligible</x:v>
      </x:c>
      <x:c r="H347" s="159" t="str">
        <x:v>Not applicable</x:v>
      </x:c>
      <x:c r="I347" s="159" t="str">
        <x:v>Not applicable</x:v>
      </x:c>
      <x:c r="J347" s="159" t="str">
        <x:v>Not applicable</x:v>
      </x:c>
      <x:c r="K347" s="159" t="str">
        <x:v>No</x:v>
      </x:c>
      <x:c r="L347" s="159" t="str">
        <x:v>5-10 years</x:v>
      </x:c>
      <x:c r="M347" s="168" t="n">
        <x:v>0</x:v>
      </x:c>
      <x:c r="N347" s="168" t="n">
        <x:v>0</x:v>
      </x:c>
      <x:c r="O347" s="159" t="str"/>
      <x:c r="P347" s="159" t="str"/>
      <x:c r="Q347" s="159" t="str">
        <x:v>The action's primary mechanism does not directly change an Energy Security exposure indicator.</x:v>
      </x:c>
      <x:c r="R347" s="160" t="str">
        <x:v>Reduce pollution, eutrophication, and anthropogenic pressures on natural systems, including marine and terrestrial ecosystems. Efforts include managing runoff, protecting sensitive habitats like the Great Barrier Reef, addressing non-climate drivers, promoting sustainable fisheries harvest, and increasing connectivity between natural areas to enhance ecosystem resilience.</x:v>
      </x:c>
    </x:row>
    <x:row r="348" ht="66" customHeight="1">
      <x:c r="A348" s="165" t="str">
        <x:v>ipcc_0085</x:v>
      </x:c>
      <x:c r="B348" s="159" t="str">
        <x:v>Reduce pressures on ecosystems to build resilience</x:v>
      </x:c>
      <x:c r="C348" s="159" t="str">
        <x:v>Energy security</x:v>
      </x:c>
      <x:c r="D348" s="159" t="str">
        <x:v>Vulnerability</x:v>
      </x:c>
      <x:c r="E348" s="153" t="str"/>
      <x:c r="F348" s="153" t="str"/>
      <x:c r="G348" s="159" t="str">
        <x:v>Not eligible</x:v>
      </x:c>
      <x:c r="H348" s="159" t="str">
        <x:v>Not applicable</x:v>
      </x:c>
      <x:c r="I348" s="159" t="str">
        <x:v>Not applicable</x:v>
      </x:c>
      <x:c r="J348" s="159" t="str">
        <x:v>Not applicable</x:v>
      </x:c>
      <x:c r="K348" s="159" t="str">
        <x:v>No</x:v>
      </x:c>
      <x:c r="L348" s="159" t="str">
        <x:v>5-10 years</x:v>
      </x:c>
      <x:c r="M348" s="168" t="n">
        <x:v>0</x:v>
      </x:c>
      <x:c r="N348" s="168" t="n">
        <x:v>0</x:v>
      </x:c>
      <x:c r="O348" s="159" t="str"/>
      <x:c r="P348" s="159" t="str"/>
      <x:c r="Q348" s="159" t="str">
        <x:v>The action's primary mechanism does not directly change an Energy Security vulnerability indicator.</x:v>
      </x:c>
      <x:c r="R348" s="160" t="str">
        <x:v>Reduce pollution, eutrophication, and anthropogenic pressures on natural systems, including marine and terrestrial ecosystems. Efforts include managing runoff, protecting sensitive habitats like the Great Barrier Reef, addressing non-climate drivers, promoting sustainable fisheries harvest, and increasing connectivity between natural areas to enhance ecosystem resilience.</x:v>
      </x:c>
    </x:row>
    <x:row r="349" ht="66" customHeight="1">
      <x:c r="A349" s="165" t="str">
        <x:v>c40_0062</x:v>
      </x:c>
      <x:c r="B349" s="159" t="str">
        <x:v>Reform water tariffs to support efficiency and equity</x:v>
      </x:c>
      <x:c r="C349" s="159" t="str">
        <x:v>Energy security</x:v>
      </x:c>
      <x:c r="D349" s="159" t="str">
        <x:v>Exposure</x:v>
      </x:c>
      <x:c r="E349" s="153" t="str"/>
      <x:c r="F349" s="153" t="str"/>
      <x:c r="G349" s="159" t="str">
        <x:v>Not eligible</x:v>
      </x:c>
      <x:c r="H349" s="159" t="str">
        <x:v>Not applicable</x:v>
      </x:c>
      <x:c r="I349" s="159" t="str">
        <x:v>Not applicable</x:v>
      </x:c>
      <x:c r="J349" s="159" t="str">
        <x:v>Not applicable</x:v>
      </x:c>
      <x:c r="K349" s="159" t="str">
        <x:v>No</x:v>
      </x:c>
      <x:c r="L349" s="159" t="str">
        <x:v>5-10 years</x:v>
      </x:c>
      <x:c r="M349" s="168" t="n">
        <x:v>0</x:v>
      </x:c>
      <x:c r="N349" s="168" t="n">
        <x:v>0</x:v>
      </x:c>
      <x:c r="O349" s="159" t="str"/>
      <x:c r="P349" s="159" t="str"/>
      <x:c r="Q349" s="159" t="str">
        <x:v>The action's primary mechanism does not directly change an Energy Security exposure indicator.</x:v>
      </x:c>
      <x:c r="R349" s="160" t="str">
        <x:v>"Reform water tariffs to support efficiency and equity" involve pricing structures for water use, encouraging conservation and efficient use of water resources. This initiative aims to promote responsible water consumption and contribute to sustainable water management.</x:v>
      </x:c>
    </x:row>
    <x:row r="350" ht="66" customHeight="1">
      <x:c r="A350" s="165" t="str">
        <x:v>c40_0062</x:v>
      </x:c>
      <x:c r="B350" s="159" t="str">
        <x:v>Reform water tariffs to support efficiency and equity</x:v>
      </x:c>
      <x:c r="C350" s="159" t="str">
        <x:v>Energy security</x:v>
      </x:c>
      <x:c r="D350" s="159" t="str">
        <x:v>Vulnerability</x:v>
      </x:c>
      <x:c r="E350" s="153" t="str"/>
      <x:c r="F350" s="153" t="str"/>
      <x:c r="G350" s="159" t="str">
        <x:v>Not eligible</x:v>
      </x:c>
      <x:c r="H350" s="159" t="str">
        <x:v>Not applicable</x:v>
      </x:c>
      <x:c r="I350" s="159" t="str">
        <x:v>Not applicable</x:v>
      </x:c>
      <x:c r="J350" s="159" t="str">
        <x:v>Not applicable</x:v>
      </x:c>
      <x:c r="K350" s="159" t="str">
        <x:v>No</x:v>
      </x:c>
      <x:c r="L350" s="159" t="str">
        <x:v>5-10 years</x:v>
      </x:c>
      <x:c r="M350" s="168" t="n">
        <x:v>0</x:v>
      </x:c>
      <x:c r="N350" s="168" t="n">
        <x:v>0</x:v>
      </x:c>
      <x:c r="O350" s="159" t="str"/>
      <x:c r="P350" s="159" t="str"/>
      <x:c r="Q350" s="159" t="str">
        <x:v>The action's primary mechanism does not directly change an Energy Security vulnerability indicator.</x:v>
      </x:c>
      <x:c r="R350" s="160" t="str">
        <x:v>"Reform water tariffs to support efficiency and equity" involve pricing structures for water use, encouraging conservation and efficient use of water resources. This initiative aims to promote responsible water consumption and contribute to sustainable water management.</x:v>
      </x:c>
    </x:row>
    <x:row r="351" ht="66" customHeight="1">
      <x:c r="A351" s="165" t="str">
        <x:v>icare_0181</x:v>
      </x:c>
      <x:c r="B351" s="159" t="str">
        <x:v>Restore in Vulnerable Areas</x:v>
      </x:c>
      <x:c r="C351" s="159" t="str">
        <x:v>Energy security</x:v>
      </x:c>
      <x:c r="D351" s="159" t="str">
        <x:v>Vulnerability</x:v>
      </x:c>
      <x:c r="E351" s="153" t="str"/>
      <x:c r="F351" s="153" t="str"/>
      <x:c r="G351" s="159" t="str">
        <x:v>Not eligible</x:v>
      </x:c>
      <x:c r="H351" s="159" t="str">
        <x:v>Not applicable</x:v>
      </x:c>
      <x:c r="I351" s="159" t="str">
        <x:v>Not applicable</x:v>
      </x:c>
      <x:c r="J351" s="159" t="str">
        <x:v>Not applicable</x:v>
      </x:c>
      <x:c r="K351" s="159" t="str">
        <x:v>No</x:v>
      </x:c>
      <x:c r="L351" s="159" t="str">
        <x:v>5-10 years</x:v>
      </x:c>
      <x:c r="M351" s="168" t="n">
        <x:v>0</x:v>
      </x:c>
      <x:c r="N351" s="168" t="n">
        <x:v>0</x:v>
      </x:c>
      <x:c r="O351" s="159" t="str"/>
      <x:c r="P351" s="159" t="str"/>
      <x:c r="Q351" s="159" t="str">
        <x:v>The action's primary mechanism does not directly change an Energy Security vulnerability indicator.</x:v>
      </x:c>
      <x:c r="R351" s="160" t="str">
        <x:v>A comprehensive project addressing the socio-environmental vulnerability of an informal settlement. It includes relocating residents from flood-prone areas, restoring the environment, and providing infrastructure and social services.</x:v>
      </x:c>
    </x:row>
    <x:row r="352" ht="66" customHeight="1">
      <x:c r="A352" s="165" t="str">
        <x:v>ipcc_0084</x:v>
      </x:c>
      <x:c r="B352" s="159" t="str">
        <x:v>Restore/create natural areas</x:v>
      </x:c>
      <x:c r="C352" s="159" t="str">
        <x:v>Energy security</x:v>
      </x:c>
      <x:c r="D352" s="159" t="str">
        <x:v>Exposure</x:v>
      </x:c>
      <x:c r="E352" s="153" t="str"/>
      <x:c r="F352" s="153" t="str"/>
      <x:c r="G352" s="159" t="str">
        <x:v>Not eligible</x:v>
      </x:c>
      <x:c r="H352" s="159" t="str">
        <x:v>Not applicable</x:v>
      </x:c>
      <x:c r="I352" s="159" t="str">
        <x:v>Not applicable</x:v>
      </x:c>
      <x:c r="J352" s="159" t="str">
        <x:v>Not applicable</x:v>
      </x:c>
      <x:c r="K352" s="159" t="str">
        <x:v>No</x:v>
      </x:c>
      <x:c r="L352" s="159" t="str">
        <x:v>5-10 years</x:v>
      </x:c>
      <x:c r="M352" s="168" t="n">
        <x:v>0</x:v>
      </x:c>
      <x:c r="N352" s="168" t="n">
        <x:v>0</x:v>
      </x:c>
      <x:c r="O352" s="159" t="str"/>
      <x:c r="P352" s="159" t="str"/>
      <x:c r="Q352" s="159" t="str">
        <x:v>The action's primary mechanism does not directly change an Energy Security exposure indicator.</x:v>
      </x:c>
      <x:c r="R352" s="160" t="str">
        <x:v>Restoration and conservation of marine and coastal habitats, such as mangroves, vegetated dunes, seagrasses, coral reefs, and kelp forests, to protect coastal communities, support biodiversity, sequester carbon, and mitigate climate change. Efforts include creating marine protected areas, active restoration of coral reefs, ridge-to-reef management, restoring dunes, planting salinity-tolerant trees, increasing forest cover, detect and manage forest pests.</x:v>
      </x:c>
    </x:row>
    <x:row r="353" ht="66" customHeight="1">
      <x:c r="A353" s="165" t="str">
        <x:v>ipcc_0084</x:v>
      </x:c>
      <x:c r="B353" s="159" t="str">
        <x:v>Restore/create natural areas</x:v>
      </x:c>
      <x:c r="C353" s="159" t="str">
        <x:v>Energy security</x:v>
      </x:c>
      <x:c r="D353" s="159" t="str">
        <x:v>Vulnerability</x:v>
      </x:c>
      <x:c r="E353" s="153" t="str"/>
      <x:c r="F353" s="153" t="str"/>
      <x:c r="G353" s="159" t="str">
        <x:v>Not eligible</x:v>
      </x:c>
      <x:c r="H353" s="159" t="str">
        <x:v>Not applicable</x:v>
      </x:c>
      <x:c r="I353" s="159" t="str">
        <x:v>Not applicable</x:v>
      </x:c>
      <x:c r="J353" s="159" t="str">
        <x:v>Not applicable</x:v>
      </x:c>
      <x:c r="K353" s="159" t="str">
        <x:v>No</x:v>
      </x:c>
      <x:c r="L353" s="159" t="str">
        <x:v>5-10 years</x:v>
      </x:c>
      <x:c r="M353" s="168" t="n">
        <x:v>0</x:v>
      </x:c>
      <x:c r="N353" s="168" t="n">
        <x:v>0</x:v>
      </x:c>
      <x:c r="O353" s="159" t="str"/>
      <x:c r="P353" s="159" t="str"/>
      <x:c r="Q353" s="159" t="str">
        <x:v>The action's primary mechanism does not directly change an Energy Security vulnerability indicator.</x:v>
      </x:c>
      <x:c r="R353" s="160" t="str">
        <x:v>Restoration and conservation of marine and coastal habitats, such as mangroves, vegetated dunes, seagrasses, coral reefs, and kelp forests, to protect coastal communities, support biodiversity, sequester carbon, and mitigate climate change. Efforts include creating marine protected areas, active restoration of coral reefs, ridge-to-reef management, restoring dunes, planting salinity-tolerant trees, increasing forest cover, detect and manage forest pests.</x:v>
      </x:c>
    </x:row>
    <x:row r="354" ht="66" customHeight="1">
      <x:c r="A354" s="165" t="str">
        <x:v>ipcc_0096</x:v>
      </x:c>
      <x:c r="B354" s="159" t="str">
        <x:v>Strengthen climate resilience in farming and fisheries</x:v>
      </x:c>
      <x:c r="C354" s="159" t="str">
        <x:v>Energy security</x:v>
      </x:c>
      <x:c r="D354" s="159" t="str">
        <x:v>Exposure</x:v>
      </x:c>
      <x:c r="E354" s="153" t="str"/>
      <x:c r="F354" s="153" t="str"/>
      <x:c r="G354" s="159" t="str">
        <x:v>Not eligible</x:v>
      </x:c>
      <x:c r="H354" s="159" t="str">
        <x:v>Not applicable</x:v>
      </x:c>
      <x:c r="I354" s="159" t="str">
        <x:v>Not applicable</x:v>
      </x:c>
      <x:c r="J354" s="159" t="str">
        <x:v>Not applicable</x:v>
      </x:c>
      <x:c r="K354" s="159" t="str">
        <x:v>No</x:v>
      </x:c>
      <x:c r="L354" s="159" t="str">
        <x:v>5-10 years</x:v>
      </x:c>
      <x:c r="M354" s="168" t="n">
        <x:v>0</x:v>
      </x:c>
      <x:c r="N354" s="168" t="n">
        <x:v>0</x:v>
      </x:c>
      <x:c r="O354" s="159" t="str"/>
      <x:c r="P354" s="159" t="str"/>
      <x:c r="Q354" s="159" t="str">
        <x:v>The action's primary mechanism does not directly change an Energy Security exposure indicator.</x:v>
      </x:c>
      <x:c r="R354" s="160" t="str">
        <x:v>Support the adoption of climate-smart agricultural and aquaculture practices by creating enabling conditions for farmers and fishers. Municipal governments can promote improved breeds, feed, and fertilizers, enhance irrigation efficiency, and foster aquaculture resilience through extension services, research partnerships, and targeted procurement. By offering incentives, technical assistance, and facilitating access to innovation and finance, cities can help producers adopt agroecological systems, diversify crops, and strengthen sustainable practices that build resilience to climate impacts.</x:v>
      </x:c>
    </x:row>
    <x:row r="355" ht="66" customHeight="1">
      <x:c r="A355" s="165" t="str">
        <x:v>ipcc_0096</x:v>
      </x:c>
      <x:c r="B355" s="159" t="str">
        <x:v>Strengthen climate resilience in farming and fisheries</x:v>
      </x:c>
      <x:c r="C355" s="159" t="str">
        <x:v>Energy security</x:v>
      </x:c>
      <x:c r="D355" s="159" t="str">
        <x:v>Vulnerability</x:v>
      </x:c>
      <x:c r="E355" s="153" t="str"/>
      <x:c r="F355" s="153" t="str"/>
      <x:c r="G355" s="159" t="str">
        <x:v>Not eligible</x:v>
      </x:c>
      <x:c r="H355" s="159" t="str">
        <x:v>Not applicable</x:v>
      </x:c>
      <x:c r="I355" s="159" t="str">
        <x:v>Not applicable</x:v>
      </x:c>
      <x:c r="J355" s="159" t="str">
        <x:v>Not applicable</x:v>
      </x:c>
      <x:c r="K355" s="159" t="str">
        <x:v>No</x:v>
      </x:c>
      <x:c r="L355" s="159" t="str">
        <x:v>5-10 years</x:v>
      </x:c>
      <x:c r="M355" s="168" t="n">
        <x:v>0</x:v>
      </x:c>
      <x:c r="N355" s="168" t="n">
        <x:v>0</x:v>
      </x:c>
      <x:c r="O355" s="159" t="str"/>
      <x:c r="P355" s="159" t="str"/>
      <x:c r="Q355" s="159" t="str">
        <x:v>The action's primary mechanism does not directly change an Energy Security vulnerability indicator.</x:v>
      </x:c>
      <x:c r="R355" s="160" t="str">
        <x:v>Support the adoption of climate-smart agricultural and aquaculture practices by creating enabling conditions for farmers and fishers. Municipal governments can promote improved breeds, feed, and fertilizers, enhance irrigation efficiency, and foster aquaculture resilience through extension services, research partnerships, and targeted procurement. By offering incentives, technical assistance, and facilitating access to innovation and finance, cities can help producers adopt agroecological systems, diversify crops, and strengthen sustainable practices that build resilience to climate impacts.</x:v>
      </x:c>
    </x:row>
    <x:row r="356" ht="66" customHeight="1">
      <x:c r="A356" s="165" t="str">
        <x:v>ipcc_0094</x:v>
      </x:c>
      <x:c r="B356" s="159" t="str">
        <x:v>Strengthen climate‑resilient health services</x:v>
      </x:c>
      <x:c r="C356" s="159" t="str">
        <x:v>Energy security</x:v>
      </x:c>
      <x:c r="D356" s="159" t="str">
        <x:v>Exposure</x:v>
      </x:c>
      <x:c r="E356" s="153" t="str"/>
      <x:c r="F356" s="153" t="str"/>
      <x:c r="G356" s="159" t="str">
        <x:v>Not eligible</x:v>
      </x:c>
      <x:c r="H356" s="159" t="str">
        <x:v>Not applicable</x:v>
      </x:c>
      <x:c r="I356" s="159" t="str">
        <x:v>Not applicable</x:v>
      </x:c>
      <x:c r="J356" s="159" t="str">
        <x:v>Not applicable</x:v>
      </x:c>
      <x:c r="K356" s="159" t="str">
        <x:v>No</x:v>
      </x:c>
      <x:c r="L356" s="159" t="str">
        <x:v>5-10 years</x:v>
      </x:c>
      <x:c r="M356" s="168" t="n">
        <x:v>0</x:v>
      </x:c>
      <x:c r="N356" s="168" t="n">
        <x:v>0</x:v>
      </x:c>
      <x:c r="O356" s="159" t="str"/>
      <x:c r="P356" s="159" t="str"/>
      <x:c r="Q356" s="159" t="str">
        <x:v>The action's primary mechanism does not directly change an Energy Security exposure indicator.</x:v>
      </x:c>
      <x:c r="R356" s="160" t="str">
        <x:v>Enhancing access to health care services, including health and nutrition services, clean water, sanitation, and culturally appropriate mental health resources. Expanding telemedicine capabilities enables efficient health service delivery, particularly for remote and underserved populations. Strengthening basic public health systems and disaster preparedness can rapidly reduce vulnerability to climate-related health risks.</x:v>
      </x:c>
    </x:row>
    <x:row r="357" ht="66" customHeight="1">
      <x:c r="A357" s="165" t="str">
        <x:v>ipcc_0094</x:v>
      </x:c>
      <x:c r="B357" s="159" t="str">
        <x:v>Strengthen climate‑resilient health services</x:v>
      </x:c>
      <x:c r="C357" s="159" t="str">
        <x:v>Energy security</x:v>
      </x:c>
      <x:c r="D357" s="159" t="str">
        <x:v>Vulnerability</x:v>
      </x:c>
      <x:c r="E357" s="153" t="str"/>
      <x:c r="F357" s="153" t="str"/>
      <x:c r="G357" s="159" t="str">
        <x:v>Not eligible</x:v>
      </x:c>
      <x:c r="H357" s="159" t="str">
        <x:v>Not applicable</x:v>
      </x:c>
      <x:c r="I357" s="159" t="str">
        <x:v>Not applicable</x:v>
      </x:c>
      <x:c r="J357" s="159" t="str">
        <x:v>Not applicable</x:v>
      </x:c>
      <x:c r="K357" s="159" t="str">
        <x:v>No</x:v>
      </x:c>
      <x:c r="L357" s="159" t="str">
        <x:v>5-10 years</x:v>
      </x:c>
      <x:c r="M357" s="168" t="n">
        <x:v>0</x:v>
      </x:c>
      <x:c r="N357" s="168" t="n">
        <x:v>0</x:v>
      </x:c>
      <x:c r="O357" s="159" t="str"/>
      <x:c r="P357" s="159" t="str"/>
      <x:c r="Q357" s="159" t="str">
        <x:v>The action's primary mechanism does not directly change an Energy Security vulnerability indicator.</x:v>
      </x:c>
      <x:c r="R357" s="160" t="str">
        <x:v>Enhancing access to health care services, including health and nutrition services, clean water, sanitation, and culturally appropriate mental health resources. Expanding telemedicine capabilities enables efficient health service delivery, particularly for remote and underserved populations. Strengthening basic public health systems and disaster preparedness can rapidly reduce vulnerability to climate-related health risks.</x:v>
      </x:c>
    </x:row>
    <x:row r="358" ht="66" customHeight="1">
      <x:c r="A358" s="165" t="str">
        <x:v>c40_0046</x:v>
      </x:c>
      <x:c r="B358" s="159" t="str">
        <x:v>Strengthen coastal protection infrastructure</x:v>
      </x:c>
      <x:c r="C358" s="159" t="str">
        <x:v>Energy security</x:v>
      </x:c>
      <x:c r="D358" s="159" t="str">
        <x:v>Exposure</x:v>
      </x:c>
      <x:c r="E358" s="153" t="str"/>
      <x:c r="F358" s="153" t="str"/>
      <x:c r="G358" s="159" t="str">
        <x:v>Not eligible</x:v>
      </x:c>
      <x:c r="H358" s="159" t="str">
        <x:v>Not applicable</x:v>
      </x:c>
      <x:c r="I358" s="159" t="str">
        <x:v>Not applicable</x:v>
      </x:c>
      <x:c r="J358" s="159" t="str">
        <x:v>Not applicable</x:v>
      </x:c>
      <x:c r="K358" s="159" t="str">
        <x:v>No</x:v>
      </x:c>
      <x:c r="L358" s="159" t="str">
        <x:v>5-10 years</x:v>
      </x:c>
      <x:c r="M358" s="168" t="n">
        <x:v>0</x:v>
      </x:c>
      <x:c r="N358" s="168" t="n">
        <x:v>0</x:v>
      </x:c>
      <x:c r="O358" s="159" t="str"/>
      <x:c r="P358" s="159" t="str"/>
      <x:c r="Q358" s="159" t="str">
        <x:v>The action's primary mechanism does not directly change an Energy Security exposure indicator.</x:v>
      </x:c>
      <x:c r="R358" s="160" t="str">
        <x:v>Strengthen coastal protection infrastructure strategies include the construction of sea walls and protective structures to mitigate the impact of rising sea levels and coastal erosion. This adaptation measure enhances the resilience of coastal areas and protects communities from the impacts of climate change. Crucially, these interventions must be developed through an integrated coastal management framework, prioritizing nature-based solutions where feasible, to avoid negative downstream effects and ensure equitable protection for all vulnerable communities.</x:v>
      </x:c>
    </x:row>
    <x:row r="359" ht="66" customHeight="1">
      <x:c r="A359" s="165" t="str">
        <x:v>c40_0046</x:v>
      </x:c>
      <x:c r="B359" s="159" t="str">
        <x:v>Strengthen coastal protection infrastructure</x:v>
      </x:c>
      <x:c r="C359" s="159" t="str">
        <x:v>Energy security</x:v>
      </x:c>
      <x:c r="D359" s="159" t="str">
        <x:v>Vulnerability</x:v>
      </x:c>
      <x:c r="E359" s="153" t="str"/>
      <x:c r="F359" s="153" t="str"/>
      <x:c r="G359" s="159" t="str">
        <x:v>Not eligible</x:v>
      </x:c>
      <x:c r="H359" s="159" t="str">
        <x:v>Not applicable</x:v>
      </x:c>
      <x:c r="I359" s="159" t="str">
        <x:v>Not applicable</x:v>
      </x:c>
      <x:c r="J359" s="159" t="str">
        <x:v>Not applicable</x:v>
      </x:c>
      <x:c r="K359" s="159" t="str">
        <x:v>No</x:v>
      </x:c>
      <x:c r="L359" s="159" t="str">
        <x:v>5-10 years</x:v>
      </x:c>
      <x:c r="M359" s="168" t="n">
        <x:v>0</x:v>
      </x:c>
      <x:c r="N359" s="168" t="n">
        <x:v>0</x:v>
      </x:c>
      <x:c r="O359" s="159" t="str"/>
      <x:c r="P359" s="159" t="str"/>
      <x:c r="Q359" s="159" t="str">
        <x:v>The action's primary mechanism does not directly change an Energy Security vulnerability indicator.</x:v>
      </x:c>
      <x:c r="R359" s="160" t="str">
        <x:v>Strengthen coastal protection infrastructure strategies include the construction of sea walls and protective structures to mitigate the impact of rising sea levels and coastal erosion. This adaptation measure enhances the resilience of coastal areas and protects communities from the impacts of climate change. Crucially, these interventions must be developed through an integrated coastal management framework, prioritizing nature-based solutions where feasible, to avoid negative downstream effects and ensure equitable protection for all vulnerable communities.</x:v>
      </x:c>
    </x:row>
    <x:row r="360" ht="66" customHeight="1">
      <x:c r="A360" s="165" t="str">
        <x:v>ipcc_0103</x:v>
      </x:c>
      <x:c r="B360" s="159" t="str">
        <x:v>Strengthen cooperative climate governance</x:v>
      </x:c>
      <x:c r="C360" s="159" t="str">
        <x:v>Energy security</x:v>
      </x:c>
      <x:c r="D360" s="159" t="str">
        <x:v>Exposure</x:v>
      </x:c>
      <x:c r="E360" s="153" t="str"/>
      <x:c r="F360" s="153" t="str"/>
      <x:c r="G360" s="159" t="str">
        <x:v>Not eligible</x:v>
      </x:c>
      <x:c r="H360" s="159" t="str">
        <x:v>Not applicable</x:v>
      </x:c>
      <x:c r="I360" s="159" t="str">
        <x:v>Not applicable</x:v>
      </x:c>
      <x:c r="J360" s="159" t="str">
        <x:v>Not applicable</x:v>
      </x:c>
      <x:c r="K360" s="159" t="str">
        <x:v>No</x:v>
      </x:c>
      <x:c r="L360" s="159" t="str">
        <x:v>5-10 years</x:v>
      </x:c>
      <x:c r="M360" s="168" t="n">
        <x:v>0</x:v>
      </x:c>
      <x:c r="N360" s="168" t="n">
        <x:v>0</x:v>
      </x:c>
      <x:c r="O360" s="159" t="str"/>
      <x:c r="P360" s="159" t="str"/>
      <x:c r="Q360" s="159" t="str">
        <x:v>The action's primary mechanism does not directly change an Energy Security exposure indicator.</x:v>
      </x:c>
      <x:c r="R360" s="160" t="str">
        <x:v>Enhancing cooperative governance through transboundary fishing agreements and inclusive ocean governance. This involves participatory approaches, structured decision-making tools, and decentralized frameworks that couple top-down management with community-driven initiatives. Additional strategies include collective water management systems to optimize resource use under climate-induced variability, indigenous water-sharing systems rooted in traditional practices to ensure sustainable and equitable resource allocation, and enforcing the land rights of Indigenous populations to protect biodiversity and cultural heritage. Adaptive co-management in Arctic fisheries integrates local and scientific knowledge to address climate impacts on marine resources. The international compact on migration fosters orderly and safe migration as an adaptive response to climate risks, and policies for adaptive governance promote ecosystem-based solutions, legal frameworks, and institutional adaptations to enhance resilience to climate change. These combined measures address geopolitical complexities, ensure equitable resource distribution, and strengthen resilience to climate-induced hazards.</x:v>
      </x:c>
    </x:row>
    <x:row r="361" ht="66" customHeight="1">
      <x:c r="A361" s="165" t="str">
        <x:v>icare_0162</x:v>
      </x:c>
      <x:c r="B361" s="159" t="str">
        <x:v>Strengthen programs for control and conservation of protected areas</x:v>
      </x:c>
      <x:c r="C361" s="159" t="str">
        <x:v>Energy security</x:v>
      </x:c>
      <x:c r="D361" s="159" t="str">
        <x:v>Exposure</x:v>
      </x:c>
      <x:c r="E361" s="153" t="str"/>
      <x:c r="F361" s="153" t="str"/>
      <x:c r="G361" s="159" t="str">
        <x:v>Not eligible</x:v>
      </x:c>
      <x:c r="H361" s="159" t="str">
        <x:v>Not applicable</x:v>
      </x:c>
      <x:c r="I361" s="159" t="str">
        <x:v>Not applicable</x:v>
      </x:c>
      <x:c r="J361" s="159" t="str">
        <x:v>Not applicable</x:v>
      </x:c>
      <x:c r="K361" s="159" t="str">
        <x:v>No</x:v>
      </x:c>
      <x:c r="L361" s="159" t="str">
        <x:v>5-10 years</x:v>
      </x:c>
      <x:c r="M361" s="168" t="n">
        <x:v>0</x:v>
      </x:c>
      <x:c r="N361" s="168" t="n">
        <x:v>0</x:v>
      </x:c>
      <x:c r="O361" s="159" t="str"/>
      <x:c r="P361" s="159" t="str"/>
      <x:c r="Q361" s="159" t="str">
        <x:v>The action's primary mechanism does not directly change an Energy Security exposure indicator.</x:v>
      </x:c>
      <x:c r="R361" s="160" t="str">
        <x:v>This action focuses on implementing a series of integrated strategies to enhance environmental conservation and maximize its benefits, such as expanding protected areas, developing management plans for conservation units, and training ecotourism guides to strengthen sustainable tourism.</x:v>
      </x:c>
    </x:row>
    <x:row r="362" ht="66" customHeight="1">
      <x:c r="A362" s="165" t="str">
        <x:v>icare_0162</x:v>
      </x:c>
      <x:c r="B362" s="159" t="str">
        <x:v>Strengthen programs for control and conservation of protected areas</x:v>
      </x:c>
      <x:c r="C362" s="159" t="str">
        <x:v>Energy security</x:v>
      </x:c>
      <x:c r="D362" s="159" t="str">
        <x:v>Vulnerability</x:v>
      </x:c>
      <x:c r="E362" s="153" t="str"/>
      <x:c r="F362" s="153" t="str"/>
      <x:c r="G362" s="159" t="str">
        <x:v>Not eligible</x:v>
      </x:c>
      <x:c r="H362" s="159" t="str">
        <x:v>Not applicable</x:v>
      </x:c>
      <x:c r="I362" s="159" t="str">
        <x:v>Not applicable</x:v>
      </x:c>
      <x:c r="J362" s="159" t="str">
        <x:v>Not applicable</x:v>
      </x:c>
      <x:c r="K362" s="159" t="str">
        <x:v>No</x:v>
      </x:c>
      <x:c r="L362" s="159" t="str">
        <x:v>5-10 years</x:v>
      </x:c>
      <x:c r="M362" s="168" t="n">
        <x:v>0</x:v>
      </x:c>
      <x:c r="N362" s="168" t="n">
        <x:v>0</x:v>
      </x:c>
      <x:c r="O362" s="159" t="str"/>
      <x:c r="P362" s="159" t="str"/>
      <x:c r="Q362" s="159" t="str">
        <x:v>The action's primary mechanism does not directly change an Energy Security vulnerability indicator.</x:v>
      </x:c>
      <x:c r="R362" s="160" t="str">
        <x:v>This action focuses on implementing a series of integrated strategies to enhance environmental conservation and maximize its benefits, such as expanding protected areas, developing management plans for conservation units, and training ecotourism guides to strengthen sustainable tourism.</x:v>
      </x:c>
    </x:row>
    <x:row r="363" ht="66" customHeight="1">
      <x:c r="A363" s="165" t="str">
        <x:v>icare_0145</x:v>
      </x:c>
      <x:c r="B363" s="159" t="str">
        <x:v>Strengthen the healthcare system to respond effectively to extreme events</x:v>
      </x:c>
      <x:c r="C363" s="159" t="str">
        <x:v>Energy security</x:v>
      </x:c>
      <x:c r="D363" s="159" t="str">
        <x:v>Exposure</x:v>
      </x:c>
      <x:c r="E363" s="153" t="str"/>
      <x:c r="F363" s="153" t="str"/>
      <x:c r="G363" s="159" t="str">
        <x:v>Not eligible</x:v>
      </x:c>
      <x:c r="H363" s="159" t="str">
        <x:v>Not applicable</x:v>
      </x:c>
      <x:c r="I363" s="159" t="str">
        <x:v>Not applicable</x:v>
      </x:c>
      <x:c r="J363" s="159" t="str">
        <x:v>Not applicable</x:v>
      </x:c>
      <x:c r="K363" s="159" t="str">
        <x:v>No</x:v>
      </x:c>
      <x:c r="L363" s="159" t="str">
        <x:v>&gt;10 years</x:v>
      </x:c>
      <x:c r="M363" s="168" t="n">
        <x:v>0</x:v>
      </x:c>
      <x:c r="N363" s="168" t="n">
        <x:v>0</x:v>
      </x:c>
      <x:c r="O363" s="159" t="str"/>
      <x:c r="P363" s="159" t="str"/>
      <x:c r="Q363" s="159" t="str">
        <x:v>The action's primary mechanism does not directly change an Energy Security exposure indicator.</x:v>
      </x:c>
      <x:c r="R363" s="160" t="str">
        <x:v>Improve the infrastructure of healthcare units to assist people who require medical care due to impacts associated with climate risks (climate victims), such as those affected by heat waves or floods, especially in more vulnerable areas. Develop action plans to prepare the healthcare network for extreme climate-related situations.</x:v>
      </x:c>
    </x:row>
    <x:row r="364" ht="66" customHeight="1">
      <x:c r="A364" s="165" t="str">
        <x:v>icare_0145</x:v>
      </x:c>
      <x:c r="B364" s="159" t="str">
        <x:v>Strengthen the healthcare system to respond effectively to extreme events</x:v>
      </x:c>
      <x:c r="C364" s="159" t="str">
        <x:v>Energy security</x:v>
      </x:c>
      <x:c r="D364" s="159" t="str">
        <x:v>Vulnerability</x:v>
      </x:c>
      <x:c r="E364" s="153" t="str"/>
      <x:c r="F364" s="153" t="str"/>
      <x:c r="G364" s="159" t="str">
        <x:v>Not eligible</x:v>
      </x:c>
      <x:c r="H364" s="159" t="str">
        <x:v>Not applicable</x:v>
      </x:c>
      <x:c r="I364" s="159" t="str">
        <x:v>Not applicable</x:v>
      </x:c>
      <x:c r="J364" s="159" t="str">
        <x:v>Not applicable</x:v>
      </x:c>
      <x:c r="K364" s="159" t="str">
        <x:v>No</x:v>
      </x:c>
      <x:c r="L364" s="159" t="str">
        <x:v>&gt;10 years</x:v>
      </x:c>
      <x:c r="M364" s="168" t="n">
        <x:v>0</x:v>
      </x:c>
      <x:c r="N364" s="168" t="n">
        <x:v>0</x:v>
      </x:c>
      <x:c r="O364" s="159" t="str"/>
      <x:c r="P364" s="159" t="str"/>
      <x:c r="Q364" s="159" t="str">
        <x:v>The action's primary mechanism does not directly change an Energy Security vulnerability indicator.</x:v>
      </x:c>
      <x:c r="R364" s="160" t="str">
        <x:v>Improve the infrastructure of healthcare units to assist people who require medical care due to impacts associated with climate risks (climate victims), such as those affected by heat waves or floods, especially in more vulnerable areas. Develop action plans to prepare the healthcare network for extreme climate-related situations.</x:v>
      </x:c>
    </x:row>
    <x:row r="365" ht="66" customHeight="1">
      <x:c r="A365" s="165" t="str">
        <x:v>ipcc_0091</x:v>
      </x:c>
      <x:c r="B365" s="159" t="str">
        <x:v>Support livelihood diversification for climate resilience</x:v>
      </x:c>
      <x:c r="C365" s="159" t="str">
        <x:v>Energy security</x:v>
      </x:c>
      <x:c r="D365" s="159" t="str">
        <x:v>Exposure</x:v>
      </x:c>
      <x:c r="E365" s="153" t="str"/>
      <x:c r="F365" s="153" t="str"/>
      <x:c r="G365" s="159" t="str">
        <x:v>Not eligible</x:v>
      </x:c>
      <x:c r="H365" s="159" t="str">
        <x:v>Not applicable</x:v>
      </x:c>
      <x:c r="I365" s="159" t="str">
        <x:v>Not applicable</x:v>
      </x:c>
      <x:c r="J365" s="159" t="str">
        <x:v>Not applicable</x:v>
      </x:c>
      <x:c r="K365" s="159" t="str">
        <x:v>No</x:v>
      </x:c>
      <x:c r="L365" s="159" t="str">
        <x:v>&lt;5 years</x:v>
      </x:c>
      <x:c r="M365" s="168" t="n">
        <x:v>0</x:v>
      </x:c>
      <x:c r="N365" s="168" t="n">
        <x:v>0</x:v>
      </x:c>
      <x:c r="O365" s="159" t="str"/>
      <x:c r="P365" s="159" t="str"/>
      <x:c r="Q365" s="159" t="str">
        <x:v>The action's primary mechanism does not directly change an Energy Security exposure indicator.</x:v>
      </x:c>
      <x:c r="R365" s="160" t="str">
        <x:v>Promote alternative income opportunities to reduce the vulnerability of communities dependent on fisheries and mariculture. Municipal governments can facilitate training, microcredit programs, and connections to value chains that enable diversification into eco-tourism, agro-processing, crafts, and service sectors. By supporting infrastructure upgrades, skills development, and access to finance, cities can help stabilize incomes, strengthen local economies, and protect livelihoods from the impacts of shifting marine species distributions and climate variability.</x:v>
      </x:c>
    </x:row>
    <x:row r="366" ht="66" customHeight="1">
      <x:c r="A366" s="165" t="str">
        <x:v>ipcc_0088</x:v>
      </x:c>
      <x:c r="B366" s="159" t="str">
        <x:v>Update and enforce climate‑resilient building codes</x:v>
      </x:c>
      <x:c r="C366" s="159" t="str">
        <x:v>Energy security</x:v>
      </x:c>
      <x:c r="D366" s="159" t="str">
        <x:v>Exposure</x:v>
      </x:c>
      <x:c r="E366" s="153" t="str"/>
      <x:c r="F366" s="153" t="str"/>
      <x:c r="G366" s="159" t="str">
        <x:v>Not eligible</x:v>
      </x:c>
      <x:c r="H366" s="159" t="str">
        <x:v>Not applicable</x:v>
      </x:c>
      <x:c r="I366" s="159" t="str">
        <x:v>Not applicable</x:v>
      </x:c>
      <x:c r="J366" s="159" t="str">
        <x:v>Not applicable</x:v>
      </x:c>
      <x:c r="K366" s="159" t="str">
        <x:v>No</x:v>
      </x:c>
      <x:c r="L366" s="159" t="str">
        <x:v>5-10 years</x:v>
      </x:c>
      <x:c r="M366" s="168" t="n">
        <x:v>0</x:v>
      </x:c>
      <x:c r="N366" s="168" t="n">
        <x:v>0</x:v>
      </x:c>
      <x:c r="O366" s="159" t="str"/>
      <x:c r="P366" s="159" t="str"/>
      <x:c r="Q366" s="159" t="str">
        <x:v>The action's primary mechanism does not directly change an Energy Security exposure indicator.</x:v>
      </x:c>
      <x:c r="R366" s="160" t="str">
        <x:v>The development and implementation of building codes and architectural design regulations aimed at integrating climate adaptation parameters. These codes are focused on reducing risks from climate-induced hazards like floods and landslides. They also support climate-resilient urban development by guiding land use, construction practices, and infrastructure standards. The initiative fosters strategic long-term urban planning to coordinate public and private investments in adaptation, including the creation of safe zones and the transformation of precarious settlements. It ensures that new infrastructure is resilient to climate risks and that urban spaces are safe and sustainable for current and future populations.</x:v>
      </x:c>
    </x:row>
    <x:row r="367" ht="66" customHeight="1">
      <x:c r="A367" s="165" t="str">
        <x:v>ipcc_0097</x:v>
      </x:c>
      <x:c r="B367" s="159" t="str">
        <x:v>Upgrade food storage and distribution for climate resilience</x:v>
      </x:c>
      <x:c r="C367" s="159" t="str">
        <x:v>Energy security</x:v>
      </x:c>
      <x:c r="D367" s="159" t="str">
        <x:v>Exposure</x:v>
      </x:c>
      <x:c r="E367" s="153" t="str"/>
      <x:c r="F367" s="153" t="str"/>
      <x:c r="G367" s="159" t="str">
        <x:v>Not eligible</x:v>
      </x:c>
      <x:c r="H367" s="159" t="str">
        <x:v>Not applicable</x:v>
      </x:c>
      <x:c r="I367" s="159" t="str">
        <x:v>Not applicable</x:v>
      </x:c>
      <x:c r="J367" s="159" t="str">
        <x:v>Not applicable</x:v>
      </x:c>
      <x:c r="K367" s="159" t="str">
        <x:v>No</x:v>
      </x:c>
      <x:c r="L367" s="159" t="str">
        <x:v>5-10 years</x:v>
      </x:c>
      <x:c r="M367" s="168" t="n">
        <x:v>0</x:v>
      </x:c>
      <x:c r="N367" s="168" t="n">
        <x:v>0</x:v>
      </x:c>
      <x:c r="O367" s="159" t="str"/>
      <x:c r="P367" s="159" t="str"/>
      <x:c r="Q367" s="159" t="str">
        <x:v>The action's primary mechanism does not directly change an Energy Security exposure indicator.</x:v>
      </x:c>
      <x:c r="R367" s="160" t="str">
        <x:v>Strengthen local food systems by improving storage and distribution infrastructure to reduce losses and enhance resilience to climate impacts. Municipal governments can invest in public facilities such as cool storage units, silos, and warehouses, while upgrading logistics to handle perishable goods more efficiently. By supporting local markets, optimizing distribution networks, and facilitating access to reliable storage for producers and vendors, cities can improve food security, reduce waste, and ensure stable food availability during crises and extreme events.</x:v>
      </x:c>
    </x:row>
    <x:row r="368" ht="66" customHeight="1">
      <x:c r="A368" s="165" t="str">
        <x:v>ipcc_0097</x:v>
      </x:c>
      <x:c r="B368" s="159" t="str">
        <x:v>Upgrade food storage and distribution for climate resilience</x:v>
      </x:c>
      <x:c r="C368" s="159" t="str">
        <x:v>Energy security</x:v>
      </x:c>
      <x:c r="D368" s="159" t="str">
        <x:v>Vulnerability</x:v>
      </x:c>
      <x:c r="E368" s="153" t="str"/>
      <x:c r="F368" s="153" t="str"/>
      <x:c r="G368" s="159" t="str">
        <x:v>Not eligible</x:v>
      </x:c>
      <x:c r="H368" s="159" t="str">
        <x:v>Not applicable</x:v>
      </x:c>
      <x:c r="I368" s="159" t="str">
        <x:v>Not applicable</x:v>
      </x:c>
      <x:c r="J368" s="159" t="str">
        <x:v>Not applicable</x:v>
      </x:c>
      <x:c r="K368" s="159" t="str">
        <x:v>No</x:v>
      </x:c>
      <x:c r="L368" s="159" t="str">
        <x:v>5-10 years</x:v>
      </x:c>
      <x:c r="M368" s="168" t="n">
        <x:v>0</x:v>
      </x:c>
      <x:c r="N368" s="168" t="n">
        <x:v>0</x:v>
      </x:c>
      <x:c r="O368" s="159" t="str"/>
      <x:c r="P368" s="159" t="str"/>
      <x:c r="Q368" s="159" t="str">
        <x:v>The action's primary mechanism does not directly change an Energy Security vulnerability indicator.</x:v>
      </x:c>
      <x:c r="R368" s="160" t="str">
        <x:v>Strengthen local food systems by improving storage and distribution infrastructure to reduce losses and enhance resilience to climate impacts. Municipal governments can invest in public facilities such as cool storage units, silos, and warehouses, while upgrading logistics to handle perishable goods more efficiently. By supporting local markets, optimizing distribution networks, and facilitating access to reliable storage for producers and vendors, cities can improve food security, reduce waste, and ensure stable food availability during crises and extreme events.</x:v>
      </x:c>
    </x:row>
    <x:row r="369" ht="66" customHeight="1">
      <x:c r="A369" s="165" t="str">
        <x:v>icare_0184</x:v>
      </x:c>
      <x:c r="B369" s="159" t="str">
        <x:v>Upgrade Slope stabilization and drainage</x:v>
      </x:c>
      <x:c r="C369" s="159" t="str">
        <x:v>Energy security</x:v>
      </x:c>
      <x:c r="D369" s="159" t="str">
        <x:v>Exposure</x:v>
      </x:c>
      <x:c r="E369" s="153" t="str"/>
      <x:c r="F369" s="153" t="str"/>
      <x:c r="G369" s="159" t="str">
        <x:v>Not eligible</x:v>
      </x:c>
      <x:c r="H369" s="159" t="str">
        <x:v>Not applicable</x:v>
      </x:c>
      <x:c r="I369" s="159" t="str">
        <x:v>Not applicable</x:v>
      </x:c>
      <x:c r="J369" s="159" t="str">
        <x:v>Not applicable</x:v>
      </x:c>
      <x:c r="K369" s="159" t="str">
        <x:v>No</x:v>
      </x:c>
      <x:c r="L369" s="159" t="str">
        <x:v>5-10 years</x:v>
      </x:c>
      <x:c r="M369" s="168" t="n">
        <x:v>0</x:v>
      </x:c>
      <x:c r="N369" s="168" t="n">
        <x:v>0</x:v>
      </x:c>
      <x:c r="O369" s="159" t="str"/>
      <x:c r="P369" s="159" t="str"/>
      <x:c r="Q369" s="159" t="str">
        <x:v>The action's primary mechanism does not directly change an Energy Security exposure indicator.</x:v>
      </x:c>
      <x:c r="R369" s="160" t="str">
        <x:v>This action involves stabilizing slopes and maintaining or restoring drainage systems in hillside areas. This helps to prevent landslides and erosion, reducing the risk of disasters.</x:v>
      </x:c>
    </x:row>
    <x:row r="370" ht="66" customHeight="1">
      <x:c r="A370" s="165" t="str">
        <x:v>c40_0048</x:v>
      </x:c>
      <x:c r="B370" s="159" t="str">
        <x:v>Upgrade urban drainage systems</x:v>
      </x:c>
      <x:c r="C370" s="159" t="str">
        <x:v>Energy security</x:v>
      </x:c>
      <x:c r="D370" s="159" t="str">
        <x:v>Exposure</x:v>
      </x:c>
      <x:c r="E370" s="153" t="str"/>
      <x:c r="F370" s="153" t="str"/>
      <x:c r="G370" s="159" t="str">
        <x:v>Not eligible</x:v>
      </x:c>
      <x:c r="H370" s="159" t="str">
        <x:v>Not applicable</x:v>
      </x:c>
      <x:c r="I370" s="159" t="str">
        <x:v>Not applicable</x:v>
      </x:c>
      <x:c r="J370" s="159" t="str">
        <x:v>Not applicable</x:v>
      </x:c>
      <x:c r="K370" s="159" t="str">
        <x:v>No</x:v>
      </x:c>
      <x:c r="L370" s="159" t="str">
        <x:v>5-10 years</x:v>
      </x:c>
      <x:c r="M370" s="168" t="n">
        <x:v>0</x:v>
      </x:c>
      <x:c r="N370" s="168" t="n">
        <x:v>0</x:v>
      </x:c>
      <x:c r="O370" s="159" t="str"/>
      <x:c r="P370" s="159" t="str"/>
      <x:c r="Q370" s="159" t="str">
        <x:v>The action's primary mechanism does not directly change an Energy Security exposure indicator.</x:v>
      </x:c>
      <x:c r="R370" s="160" t="str">
        <x:v>"Upgrade urban drainage systems" involves eco-engineering solutions to enhance drainage systems, through capacity upgrade and network expansion. This adaptation measure aims to improve urban resilience by minimizing the impact of extreme weather events such as flooding.</x:v>
      </x:c>
    </x:row>
    <x:row r="371" ht="66" customHeight="1">
      <x:c r="A371" s="165" t="str">
        <x:v>c40_0049</x:v>
      </x:c>
      <x:c r="B371" s="159" t="str">
        <x:v>Build and maintain shelters for critical climate hazards</x:v>
      </x:c>
      <x:c r="C371" s="159" t="str">
        <x:v>Food security</x:v>
      </x:c>
      <x:c r="D371" s="159" t="str">
        <x:v>Exposure</x:v>
      </x:c>
      <x:c r="E371" s="153" t="str"/>
      <x:c r="F371" s="153" t="str"/>
      <x:c r="G371" s="159" t="str">
        <x:v>Not eligible</x:v>
      </x:c>
      <x:c r="H371" s="159" t="str">
        <x:v>Not applicable</x:v>
      </x:c>
      <x:c r="I371" s="159" t="str">
        <x:v>Not applicable</x:v>
      </x:c>
      <x:c r="J371" s="159" t="str">
        <x:v>Not applicable</x:v>
      </x:c>
      <x:c r="K371" s="159" t="str">
        <x:v>No</x:v>
      </x:c>
      <x:c r="L371" s="159" t="str">
        <x:v>&lt;5 years</x:v>
      </x:c>
      <x:c r="M371" s="168" t="n">
        <x:v>0</x:v>
      </x:c>
      <x:c r="N371" s="168" t="n">
        <x:v>0</x:v>
      </x:c>
      <x:c r="O371" s="159" t="str"/>
      <x:c r="P371" s="159" t="str"/>
      <x:c r="Q371" s="159" t="str">
        <x:v>The action's primary mechanism does not directly change a terminal Food Security exposure indicator.</x:v>
      </x:c>
      <x:c r="R371" s="160" t="str">
        <x:v>"Build and maintain shelters for critical climate hazards" involves building and maintaining shelters in high-risk areas to protect residents during extreme weather events such as floods, cyclones, storms, landslides, extreme heat events or other critical climate hazards. Shelters should meet resilient design standards, including wind- and flood-resistant construction, and be strategically located to maximize accessibility for vulnerable populations. Where possible, shelters can serve multipurpose roles as schools or community centers. Clear funding mechanisms and defined responsibilities for operations and maintenance are essential to ensure long-term reliability and effectiveness.</x:v>
      </x:c>
    </x:row>
    <x:row r="372" ht="66" customHeight="1">
      <x:c r="A372" s="165" t="str">
        <x:v>c40_0049</x:v>
      </x:c>
      <x:c r="B372" s="159" t="str">
        <x:v>Build and maintain shelters for critical climate hazards</x:v>
      </x:c>
      <x:c r="C372" s="159" t="str">
        <x:v>Food security</x:v>
      </x:c>
      <x:c r="D372" s="159" t="str">
        <x:v>Vulnerability</x:v>
      </x:c>
      <x:c r="E372" s="153" t="str"/>
      <x:c r="F372" s="153" t="str"/>
      <x:c r="G372" s="159" t="str">
        <x:v>Not eligible</x:v>
      </x:c>
      <x:c r="H372" s="159" t="str">
        <x:v>Not applicable</x:v>
      </x:c>
      <x:c r="I372" s="159" t="str">
        <x:v>Not applicable</x:v>
      </x:c>
      <x:c r="J372" s="159" t="str">
        <x:v>Not applicable</x:v>
      </x:c>
      <x:c r="K372" s="159" t="str">
        <x:v>No</x:v>
      </x:c>
      <x:c r="L372" s="159" t="str">
        <x:v>&lt;5 years</x:v>
      </x:c>
      <x:c r="M372" s="168" t="n">
        <x:v>0</x:v>
      </x:c>
      <x:c r="N372" s="168" t="n">
        <x:v>0</x:v>
      </x:c>
      <x:c r="O372" s="159" t="str"/>
      <x:c r="P372" s="159" t="str"/>
      <x:c r="Q372" s="159" t="str">
        <x:v>The action's primary mechanism does not directly change a terminal Food Security vulnerability indicator.</x:v>
      </x:c>
      <x:c r="R372" s="160" t="str">
        <x:v>"Build and maintain shelters for critical climate hazards" involves building and maintaining shelters in high-risk areas to protect residents during extreme weather events such as floods, cyclones, storms, landslides, extreme heat events or other critical climate hazards. Shelters should meet resilient design standards, including wind- and flood-resistant construction, and be strategically located to maximize accessibility for vulnerable populations. Where possible, shelters can serve multipurpose roles as schools or community centers. Clear funding mechanisms and defined responsibilities for operations and maintenance are essential to ensure long-term reliability and effectiveness.</x:v>
      </x:c>
    </x:row>
    <x:row r="373" ht="66" customHeight="1">
      <x:c r="A373" s="165" t="str">
        <x:v>icare_0170</x:v>
      </x:c>
      <x:c r="B373" s="159" t="str">
        <x:v>Build safe housing and implement urban rehabilitation projects for populations living in high-risk areas</x:v>
      </x:c>
      <x:c r="C373" s="159" t="str">
        <x:v>Food security</x:v>
      </x:c>
      <x:c r="D373" s="159" t="str">
        <x:v>Vulnerability</x:v>
      </x:c>
      <x:c r="E373" s="153" t="str"/>
      <x:c r="F373" s="153" t="str"/>
      <x:c r="G373" s="159" t="str">
        <x:v>Not eligible</x:v>
      </x:c>
      <x:c r="H373" s="159" t="str">
        <x:v>Not applicable</x:v>
      </x:c>
      <x:c r="I373" s="159" t="str">
        <x:v>Not applicable</x:v>
      </x:c>
      <x:c r="J373" s="159" t="str">
        <x:v>Not applicable</x:v>
      </x:c>
      <x:c r="K373" s="159" t="str">
        <x:v>No</x:v>
      </x:c>
      <x:c r="L373" s="159" t="str">
        <x:v>&gt;10 years</x:v>
      </x:c>
      <x:c r="M373" s="168" t="n">
        <x:v>0</x:v>
      </x:c>
      <x:c r="N373" s="168" t="n">
        <x:v>0</x:v>
      </x:c>
      <x:c r="O373" s="159" t="str"/>
      <x:c r="P373" s="159" t="str"/>
      <x:c r="Q373" s="159" t="str">
        <x:v>The action's primary mechanism does not directly change a terminal Food Security vulnerability indicator.</x:v>
      </x:c>
      <x:c r="R373" s="160" t="str">
        <x:v>The priority of this action is to build safe housing and implement urban rehabilitation projects for the population living in areas prone to landslides and flooding, as the housing deficit is one of the main factors related to these threats. This will be implemented through the construction of new housing units in safe locations for family resettlement, and infrastructure upgrades like slope stabilization and improved drainage systems within vulnerable communities.</x:v>
      </x:c>
    </x:row>
    <x:row r="374" ht="66" customHeight="1">
      <x:c r="A374" s="165" t="str">
        <x:v>icare_0154</x:v>
      </x:c>
      <x:c r="B374" s="159" t="str">
        <x:v>Clean and unclog drainage channels and install eco-barriers</x:v>
      </x:c>
      <x:c r="C374" s="159" t="str">
        <x:v>Food security</x:v>
      </x:c>
      <x:c r="D374" s="159" t="str">
        <x:v>Exposure</x:v>
      </x:c>
      <x:c r="E374" s="153" t="str"/>
      <x:c r="F374" s="153" t="str"/>
      <x:c r="G374" s="159" t="str">
        <x:v>Not eligible</x:v>
      </x:c>
      <x:c r="H374" s="159" t="str">
        <x:v>Not applicable</x:v>
      </x:c>
      <x:c r="I374" s="159" t="str">
        <x:v>Not applicable</x:v>
      </x:c>
      <x:c r="J374" s="159" t="str">
        <x:v>Not applicable</x:v>
      </x:c>
      <x:c r="K374" s="159" t="str">
        <x:v>No</x:v>
      </x:c>
      <x:c r="L374" s="159" t="str">
        <x:v>&lt;5 years</x:v>
      </x:c>
      <x:c r="M374" s="168" t="n">
        <x:v>0</x:v>
      </x:c>
      <x:c r="N374" s="168" t="n">
        <x:v>0</x:v>
      </x:c>
      <x:c r="O374" s="159" t="str"/>
      <x:c r="P374" s="159" t="str"/>
      <x:c r="Q374" s="159" t="str">
        <x:v>The action's primary mechanism does not directly change a terminal Food Security exposure indicator.</x:v>
      </x:c>
      <x:c r="R374" s="160" t="str">
        <x:v>Cleaning and unclogging channels in the city to reduce the risk of flooding caused by extreme rainfall events. Installation of eco-barriers to assist in cleaning efforts and raise awareness about solid waste.</x:v>
      </x:c>
    </x:row>
    <x:row r="375" ht="66" customHeight="1">
      <x:c r="A375" s="165" t="str">
        <x:v>icare_0154</x:v>
      </x:c>
      <x:c r="B375" s="159" t="str">
        <x:v>Clean and unclog drainage channels and install eco-barriers</x:v>
      </x:c>
      <x:c r="C375" s="159" t="str">
        <x:v>Food security</x:v>
      </x:c>
      <x:c r="D375" s="159" t="str">
        <x:v>Vulnerability</x:v>
      </x:c>
      <x:c r="E375" s="153" t="str"/>
      <x:c r="F375" s="153" t="str"/>
      <x:c r="G375" s="159" t="str">
        <x:v>Not eligible</x:v>
      </x:c>
      <x:c r="H375" s="159" t="str">
        <x:v>Not applicable</x:v>
      </x:c>
      <x:c r="I375" s="159" t="str">
        <x:v>Not applicable</x:v>
      </x:c>
      <x:c r="J375" s="159" t="str">
        <x:v>Not applicable</x:v>
      </x:c>
      <x:c r="K375" s="159" t="str">
        <x:v>No</x:v>
      </x:c>
      <x:c r="L375" s="159" t="str">
        <x:v>&lt;5 years</x:v>
      </x:c>
      <x:c r="M375" s="168" t="n">
        <x:v>0</x:v>
      </x:c>
      <x:c r="N375" s="168" t="n">
        <x:v>0</x:v>
      </x:c>
      <x:c r="O375" s="159" t="str"/>
      <x:c r="P375" s="159" t="str"/>
      <x:c r="Q375" s="159" t="str">
        <x:v>The action's primary mechanism does not directly change a terminal Food Security vulnerability indicator.</x:v>
      </x:c>
      <x:c r="R375" s="160" t="str">
        <x:v>Cleaning and unclogging channels in the city to reduce the risk of flooding caused by extreme rainfall events. Installation of eco-barriers to assist in cleaning efforts and raise awareness about solid waste.</x:v>
      </x:c>
    </x:row>
    <x:row r="376" ht="66" customHeight="1">
      <x:c r="A376" s="165" t="str">
        <x:v>icare_0188</x:v>
      </x:c>
      <x:c r="B376" s="159" t="str">
        <x:v>Create an Environmental Health Surveillance Program related to Populations Exposed to Air Pollution, Noise Pollution, Water Pollution, and Soil Pollution.</x:v>
      </x:c>
      <x:c r="C376" s="159" t="str">
        <x:v>Food security</x:v>
      </x:c>
      <x:c r="D376" s="159" t="str">
        <x:v>Exposure</x:v>
      </x:c>
      <x:c r="E376" s="153" t="str"/>
      <x:c r="F376" s="153" t="str"/>
      <x:c r="G376" s="159" t="str">
        <x:v>Not eligible</x:v>
      </x:c>
      <x:c r="H376" s="159" t="str">
        <x:v>Not applicable</x:v>
      </x:c>
      <x:c r="I376" s="159" t="str">
        <x:v>Not applicable</x:v>
      </x:c>
      <x:c r="J376" s="159" t="str">
        <x:v>Not applicable</x:v>
      </x:c>
      <x:c r="K376" s="159" t="str">
        <x:v>No</x:v>
      </x:c>
      <x:c r="L376" s="159" t="str">
        <x:v>5-10 years</x:v>
      </x:c>
      <x:c r="M376" s="168" t="n">
        <x:v>0</x:v>
      </x:c>
      <x:c r="N376" s="168" t="n">
        <x:v>0</x:v>
      </x:c>
      <x:c r="O376" s="159" t="str"/>
      <x:c r="P376" s="159" t="str"/>
      <x:c r="Q376" s="159" t="str">
        <x:v>The action's primary mechanism does not directly change a terminal Food Security exposure indicator.</x:v>
      </x:c>
      <x:c r="R376" s="160" t="str">
        <x:v>Develop actions aimed at promoting the health of the population exposed to environmental factors related to atmospheric, noise, and sanitation pollutants. Identify and evaluate the acute and chronic risks and effects of exposure to fixed and mobile sources of air, noise, water, and soil pollution, and act in the surveillance of diseases derived from these pollutants through physical units and work groups, especially among the most vulnerable people.</x:v>
      </x:c>
    </x:row>
    <x:row r="377" ht="66" customHeight="1">
      <x:c r="A377" s="165" t="str">
        <x:v>c40_0052</x:v>
      </x:c>
      <x:c r="B377" s="159" t="str">
        <x:v>Deploy cool pavements and cool roofs on heat‑exposed streets and buildings</x:v>
      </x:c>
      <x:c r="C377" s="159" t="str">
        <x:v>Food security</x:v>
      </x:c>
      <x:c r="D377" s="159" t="str">
        <x:v>Exposure</x:v>
      </x:c>
      <x:c r="E377" s="153" t="str"/>
      <x:c r="F377" s="153" t="str"/>
      <x:c r="G377" s="159" t="str">
        <x:v>Not eligible</x:v>
      </x:c>
      <x:c r="H377" s="159" t="str">
        <x:v>Not applicable</x:v>
      </x:c>
      <x:c r="I377" s="159" t="str">
        <x:v>Not applicable</x:v>
      </x:c>
      <x:c r="J377" s="159" t="str">
        <x:v>Not applicable</x:v>
      </x:c>
      <x:c r="K377" s="159" t="str">
        <x:v>No</x:v>
      </x:c>
      <x:c r="L377" s="159" t="str">
        <x:v>5-10 years</x:v>
      </x:c>
      <x:c r="M377" s="168" t="n">
        <x:v>0</x:v>
      </x:c>
      <x:c r="N377" s="168" t="n">
        <x:v>0</x:v>
      </x:c>
      <x:c r="O377" s="159" t="str"/>
      <x:c r="P377" s="159" t="str"/>
      <x:c r="Q377" s="159" t="str">
        <x:v>The action's primary mechanism does not directly change a terminal Food Security exposure indicator.</x:v>
      </x:c>
      <x:c r="R377" s="160" t="str">
        <x:v>Introduce reflective coatings, light-colored materials, permeable surfaces and cool roofs in street paving and buildings to reduce heat absorption and mitigate the urban heat island effect. Municipal governments can pilot these approaches in the most heat-exposed areas, integrate them into routine street upgrades and public building refrofits, and assess cost–benefit outcomes to guide broader implementation. These measures improve thermal comfort, reduce energy demand for cooling, and enhance urban resilience to rising temperatures.</x:v>
      </x:c>
    </x:row>
    <x:row r="378" ht="66" customHeight="1">
      <x:c r="A378" s="165" t="str">
        <x:v>c40_0052</x:v>
      </x:c>
      <x:c r="B378" s="159" t="str">
        <x:v>Deploy cool pavements and cool roofs on heat‑exposed streets and buildings</x:v>
      </x:c>
      <x:c r="C378" s="159" t="str">
        <x:v>Food security</x:v>
      </x:c>
      <x:c r="D378" s="159" t="str">
        <x:v>Vulnerability</x:v>
      </x:c>
      <x:c r="E378" s="153" t="str"/>
      <x:c r="F378" s="153" t="str"/>
      <x:c r="G378" s="159" t="str">
        <x:v>Not eligible</x:v>
      </x:c>
      <x:c r="H378" s="159" t="str">
        <x:v>Not applicable</x:v>
      </x:c>
      <x:c r="I378" s="159" t="str">
        <x:v>Not applicable</x:v>
      </x:c>
      <x:c r="J378" s="159" t="str">
        <x:v>Not applicable</x:v>
      </x:c>
      <x:c r="K378" s="159" t="str">
        <x:v>No</x:v>
      </x:c>
      <x:c r="L378" s="159" t="str">
        <x:v>5-10 years</x:v>
      </x:c>
      <x:c r="M378" s="168" t="n">
        <x:v>0</x:v>
      </x:c>
      <x:c r="N378" s="168" t="n">
        <x:v>0</x:v>
      </x:c>
      <x:c r="O378" s="159" t="str"/>
      <x:c r="P378" s="159" t="str"/>
      <x:c r="Q378" s="159" t="str">
        <x:v>The action's primary mechanism does not directly change a terminal Food Security vulnerability indicator.</x:v>
      </x:c>
      <x:c r="R378" s="160" t="str">
        <x:v>Introduce reflective coatings, light-colored materials, permeable surfaces and cool roofs in street paving and buildings to reduce heat absorption and mitigate the urban heat island effect. Municipal governments can pilot these approaches in the most heat-exposed areas, integrate them into routine street upgrades and public building refrofits, and assess cost–benefit outcomes to guide broader implementation. These measures improve thermal comfort, reduce energy demand for cooling, and enhance urban resilience to rising temperatures.</x:v>
      </x:c>
    </x:row>
    <x:row r="379" ht="66" customHeight="1">
      <x:c r="A379" s="165" t="str">
        <x:v>icare_0176</x:v>
      </x:c>
      <x:c r="B379" s="159" t="str">
        <x:v>Develop a Climate Action Plan</x:v>
      </x:c>
      <x:c r="C379" s="159" t="str">
        <x:v>Food security</x:v>
      </x:c>
      <x:c r="D379" s="159" t="str">
        <x:v>Exposure</x:v>
      </x:c>
      <x:c r="E379" s="153" t="str"/>
      <x:c r="F379" s="153" t="str"/>
      <x:c r="G379" s="159" t="str">
        <x:v>Not eligible</x:v>
      </x:c>
      <x:c r="H379" s="159" t="str">
        <x:v>Not applicable</x:v>
      </x:c>
      <x:c r="I379" s="159" t="str">
        <x:v>Not applicable</x:v>
      </x:c>
      <x:c r="J379" s="159" t="str">
        <x:v>Not applicable</x:v>
      </x:c>
      <x:c r="K379" s="159" t="str">
        <x:v>No</x:v>
      </x:c>
      <x:c r="L379" s="159" t="str">
        <x:v>&lt;5 years</x:v>
      </x:c>
      <x:c r="M379" s="168" t="n">
        <x:v>0</x:v>
      </x:c>
      <x:c r="N379" s="168" t="n">
        <x:v>0</x:v>
      </x:c>
      <x:c r="O379" s="159" t="str"/>
      <x:c r="P379" s="159" t="str"/>
      <x:c r="Q379" s="159" t="str">
        <x:v>The action's primary mechanism does not directly change a terminal Food Security exposure indicator.</x:v>
      </x:c>
      <x:c r="R379" s="160" t="str">
        <x:v>A comprehensive plan outlining a city's strategies and actions to mitigate greenhouse gas emissions and adapt to the impacts of climate change which typically includes an assessment of the city's climate risks and vulnerabilities, setting emission reduction targets, and implementation of actions across various sectors such as energy, transportation, waste management, and urban planning.</x:v>
      </x:c>
    </x:row>
    <x:row r="380" ht="66" customHeight="1">
      <x:c r="A380" s="165" t="str">
        <x:v>icare_0165</x:v>
      </x:c>
      <x:c r="B380" s="159" t="str">
        <x:v>Develop an Environmental Education Plan</x:v>
      </x:c>
      <x:c r="C380" s="159" t="str">
        <x:v>Food security</x:v>
      </x:c>
      <x:c r="D380" s="159" t="str">
        <x:v>Exposure</x:v>
      </x:c>
      <x:c r="E380" s="153" t="str"/>
      <x:c r="F380" s="153" t="str"/>
      <x:c r="G380" s="159" t="str">
        <x:v>Not eligible</x:v>
      </x:c>
      <x:c r="H380" s="159" t="str">
        <x:v>Not applicable</x:v>
      </x:c>
      <x:c r="I380" s="159" t="str">
        <x:v>Not applicable</x:v>
      </x:c>
      <x:c r="J380" s="159" t="str">
        <x:v>Not applicable</x:v>
      </x:c>
      <x:c r="K380" s="159" t="str">
        <x:v>No</x:v>
      </x:c>
      <x:c r="L380" s="159" t="str">
        <x:v>&lt;5 years</x:v>
      </x:c>
      <x:c r="M380" s="168" t="n">
        <x:v>0</x:v>
      </x:c>
      <x:c r="N380" s="168" t="n">
        <x:v>0</x:v>
      </x:c>
      <x:c r="O380" s="159" t="str"/>
      <x:c r="P380" s="159" t="str"/>
      <x:c r="Q380" s="159" t="str">
        <x:v>The action's primary mechanism does not directly change a terminal Food Security exposure indicator.</x:v>
      </x:c>
      <x:c r="R380" s="160" t="str">
        <x:v>Design and implement a comprehensive environmental education plan that fosters climate literacy and awareness across schools, communities, and the media. Municipal governments can organize workshops, awareness campaigns, and nature-based activities such as tree planting to reconnect residents with their environment. The plan should integrate themes of climate change, adaptation, mitigation, and climate justice, with particular attention to youth, women, and vulnerable groups. By embedding equity and inclusion, cities can strengthen long-term engagement and empower communities to take part in climate action.</x:v>
      </x:c>
    </x:row>
    <x:row r="381" ht="66" customHeight="1">
      <x:c r="A381" s="165" t="str">
        <x:v>icare_0165</x:v>
      </x:c>
      <x:c r="B381" s="159" t="str">
        <x:v>Develop an Environmental Education Plan</x:v>
      </x:c>
      <x:c r="C381" s="159" t="str">
        <x:v>Food security</x:v>
      </x:c>
      <x:c r="D381" s="159" t="str">
        <x:v>Vulnerability</x:v>
      </x:c>
      <x:c r="E381" s="153" t="str"/>
      <x:c r="F381" s="153" t="str"/>
      <x:c r="G381" s="159" t="str">
        <x:v>Not eligible</x:v>
      </x:c>
      <x:c r="H381" s="159" t="str">
        <x:v>Not applicable</x:v>
      </x:c>
      <x:c r="I381" s="159" t="str">
        <x:v>Not applicable</x:v>
      </x:c>
      <x:c r="J381" s="159" t="str">
        <x:v>Not applicable</x:v>
      </x:c>
      <x:c r="K381" s="159" t="str">
        <x:v>No</x:v>
      </x:c>
      <x:c r="L381" s="159" t="str">
        <x:v>&lt;5 years</x:v>
      </x:c>
      <x:c r="M381" s="168" t="n">
        <x:v>0</x:v>
      </x:c>
      <x:c r="N381" s="168" t="n">
        <x:v>0</x:v>
      </x:c>
      <x:c r="O381" s="159" t="str"/>
      <x:c r="P381" s="159" t="str"/>
      <x:c r="Q381" s="159" t="str">
        <x:v>The action's primary mechanism does not directly change a terminal Food Security vulnerability indicator.</x:v>
      </x:c>
      <x:c r="R381" s="160" t="str">
        <x:v>Design and implement a comprehensive environmental education plan that fosters climate literacy and awareness across schools, communities, and the media. Municipal governments can organize workshops, awareness campaigns, and nature-based activities such as tree planting to reconnect residents with their environment. The plan should integrate themes of climate change, adaptation, mitigation, and climate justice, with particular attention to youth, women, and vulnerable groups. By embedding equity and inclusion, cities can strengthen long-term engagement and empower communities to take part in climate action.</x:v>
      </x:c>
    </x:row>
    <x:row r="382" ht="66" customHeight="1">
      <x:c r="A382" s="165" t="str">
        <x:v>icare_0182</x:v>
      </x:c>
      <x:c r="B382" s="159" t="str">
        <x:v>Develop an Urban Afforestation Plan</x:v>
      </x:c>
      <x:c r="C382" s="159" t="str">
        <x:v>Food security</x:v>
      </x:c>
      <x:c r="D382" s="159" t="str">
        <x:v>Exposure</x:v>
      </x:c>
      <x:c r="E382" s="153" t="str"/>
      <x:c r="F382" s="153" t="str"/>
      <x:c r="G382" s="159" t="str">
        <x:v>Not eligible</x:v>
      </x:c>
      <x:c r="H382" s="159" t="str">
        <x:v>Not applicable</x:v>
      </x:c>
      <x:c r="I382" s="159" t="str">
        <x:v>Not applicable</x:v>
      </x:c>
      <x:c r="J382" s="159" t="str">
        <x:v>Not applicable</x:v>
      </x:c>
      <x:c r="K382" s="159" t="str">
        <x:v>No</x:v>
      </x:c>
      <x:c r="L382" s="159" t="str">
        <x:v>5-10 years</x:v>
      </x:c>
      <x:c r="M382" s="168" t="n">
        <x:v>0</x:v>
      </x:c>
      <x:c r="N382" s="168" t="n">
        <x:v>0</x:v>
      </x:c>
      <x:c r="O382" s="159" t="str"/>
      <x:c r="P382" s="159" t="str"/>
      <x:c r="Q382" s="159" t="str">
        <x:v>The action's primary mechanism does not directly change a terminal Food Security exposure indicator.</x:v>
      </x:c>
      <x:c r="R382" s="160" t="str">
        <x:v>This action focuses on expanding green areas in the city through urban afforestation. This includes planting trees in sidewalks, squares, public buildings, and schools, as well as creating ecological parks to revitalize watercourses and/or restore forests.</x:v>
      </x:c>
    </x:row>
    <x:row r="383" ht="66" customHeight="1">
      <x:c r="A383" s="165" t="str">
        <x:v>icare_0172</x:v>
      </x:c>
      <x:c r="B383" s="159" t="str">
        <x:v>Develop and implement the Municipal Risk Reduction Plan (PMRR) and identify population groups vulnerable to climate risks.</x:v>
      </x:c>
      <x:c r="C383" s="159" t="str">
        <x:v>Food security</x:v>
      </x:c>
      <x:c r="D383" s="159" t="str">
        <x:v>Exposure</x:v>
      </x:c>
      <x:c r="E383" s="153" t="str"/>
      <x:c r="F383" s="153" t="str"/>
      <x:c r="G383" s="159" t="str">
        <x:v>Not eligible</x:v>
      </x:c>
      <x:c r="H383" s="159" t="str">
        <x:v>Not applicable</x:v>
      </x:c>
      <x:c r="I383" s="159" t="str">
        <x:v>Not applicable</x:v>
      </x:c>
      <x:c r="J383" s="159" t="str">
        <x:v>Not applicable</x:v>
      </x:c>
      <x:c r="K383" s="159" t="str">
        <x:v>No</x:v>
      </x:c>
      <x:c r="L383" s="159" t="str">
        <x:v>&lt;5 years</x:v>
      </x:c>
      <x:c r="M383" s="168" t="n">
        <x:v>0</x:v>
      </x:c>
      <x:c r="N383" s="168" t="n">
        <x:v>0</x:v>
      </x:c>
      <x:c r="O383" s="159" t="str"/>
      <x:c r="P383" s="159" t="str"/>
      <x:c r="Q383" s="159" t="str">
        <x:v>The action's primary mechanism does not directly change a terminal Food Security exposure indicator.</x:v>
      </x:c>
      <x:c r="R383" s="160" t="str">
        <x:v>This action aims to strengthen the development of the Municipal Risk Reduction Plan (PMRR) in the municipality, as it is a highly relevant tool for managing climate risks, especially river floods and landslides.</x:v>
      </x:c>
    </x:row>
    <x:row r="384" ht="66" customHeight="1">
      <x:c r="A384" s="165" t="str">
        <x:v>icare_0172</x:v>
      </x:c>
      <x:c r="B384" s="159" t="str">
        <x:v>Develop and implement the Municipal Risk Reduction Plan (PMRR) and identify population groups vulnerable to climate risks.</x:v>
      </x:c>
      <x:c r="C384" s="159" t="str">
        <x:v>Food security</x:v>
      </x:c>
      <x:c r="D384" s="159" t="str">
        <x:v>Vulnerability</x:v>
      </x:c>
      <x:c r="E384" s="153" t="str"/>
      <x:c r="F384" s="153" t="str"/>
      <x:c r="G384" s="159" t="str">
        <x:v>Not eligible</x:v>
      </x:c>
      <x:c r="H384" s="159" t="str">
        <x:v>Not applicable</x:v>
      </x:c>
      <x:c r="I384" s="159" t="str">
        <x:v>Not applicable</x:v>
      </x:c>
      <x:c r="J384" s="159" t="str">
        <x:v>Not applicable</x:v>
      </x:c>
      <x:c r="K384" s="159" t="str">
        <x:v>No</x:v>
      </x:c>
      <x:c r="L384" s="159" t="str">
        <x:v>&lt;5 years</x:v>
      </x:c>
      <x:c r="M384" s="168" t="n">
        <x:v>0</x:v>
      </x:c>
      <x:c r="N384" s="168" t="n">
        <x:v>0</x:v>
      </x:c>
      <x:c r="O384" s="159" t="str"/>
      <x:c r="P384" s="159" t="str"/>
      <x:c r="Q384" s="159" t="str">
        <x:v>The action's primary mechanism does not directly change a terminal Food Security vulnerability indicator.</x:v>
      </x:c>
      <x:c r="R384" s="160" t="str">
        <x:v>This action aims to strengthen the development of the Municipal Risk Reduction Plan (PMRR) in the municipality, as it is a highly relevant tool for managing climate risks, especially river floods and landslides.</x:v>
      </x:c>
    </x:row>
    <x:row r="385" ht="66" customHeight="1">
      <x:c r="A385" s="165" t="str">
        <x:v>icare_0144</x:v>
      </x:c>
      <x:c r="B385" s="159" t="str">
        <x:v>Establish a financial support program for extreme weather events</x:v>
      </x:c>
      <x:c r="C385" s="159" t="str">
        <x:v>Food security</x:v>
      </x:c>
      <x:c r="D385" s="159" t="str">
        <x:v>Exposure</x:v>
      </x:c>
      <x:c r="E385" s="153" t="str"/>
      <x:c r="F385" s="153" t="str"/>
      <x:c r="G385" s="159" t="str">
        <x:v>Not eligible</x:v>
      </x:c>
      <x:c r="H385" s="159" t="str">
        <x:v>Not applicable</x:v>
      </x:c>
      <x:c r="I385" s="159" t="str">
        <x:v>Not applicable</x:v>
      </x:c>
      <x:c r="J385" s="159" t="str">
        <x:v>Not applicable</x:v>
      </x:c>
      <x:c r="K385" s="159" t="str">
        <x:v>No</x:v>
      </x:c>
      <x:c r="L385" s="159" t="str">
        <x:v>&lt;5 years</x:v>
      </x:c>
      <x:c r="M385" s="168" t="n">
        <x:v>0</x:v>
      </x:c>
      <x:c r="N385" s="168" t="n">
        <x:v>0</x:v>
      </x:c>
      <x:c r="O385" s="159" t="str"/>
      <x:c r="P385" s="159" t="str"/>
      <x:c r="Q385" s="159" t="str">
        <x:v>The action's primary mechanism does not directly change a terminal Food Security exposure indicator.</x:v>
      </x:c>
      <x:c r="R385" s="160" t="str">
        <x:v>Creation of a program to mitigate the effects of climate tragedies, including financial assistance to affected families, efforts to increase access to affordable hazard insurance, and efforts to secure additional resources for recovery and reconstruction, including partnerships with state and federal government bodies. Recovery and reconstruction measures should include adaptive measures with the emphasis on build back better to withstand future hazards and helping residents retrofit buildings.</x:v>
      </x:c>
    </x:row>
    <x:row r="386" ht="66" customHeight="1">
      <x:c r="A386" s="165" t="str">
        <x:v>icare_0163</x:v>
      </x:c>
      <x:c r="B386" s="159" t="str">
        <x:v>Establish a first‑response firefighting brigade</x:v>
      </x:c>
      <x:c r="C386" s="159" t="str">
        <x:v>Food security</x:v>
      </x:c>
      <x:c r="D386" s="159" t="str">
        <x:v>Exposure</x:v>
      </x:c>
      <x:c r="E386" s="153" t="str"/>
      <x:c r="F386" s="153" t="str"/>
      <x:c r="G386" s="159" t="str">
        <x:v>Not eligible</x:v>
      </x:c>
      <x:c r="H386" s="159" t="str">
        <x:v>Not applicable</x:v>
      </x:c>
      <x:c r="I386" s="159" t="str">
        <x:v>Not applicable</x:v>
      </x:c>
      <x:c r="J386" s="159" t="str">
        <x:v>Not applicable</x:v>
      </x:c>
      <x:c r="K386" s="159" t="str">
        <x:v>No</x:v>
      </x:c>
      <x:c r="L386" s="159" t="str">
        <x:v>&lt;5 years</x:v>
      </x:c>
      <x:c r="M386" s="168" t="n">
        <x:v>0</x:v>
      </x:c>
      <x:c r="N386" s="168" t="n">
        <x:v>0</x:v>
      </x:c>
      <x:c r="O386" s="159" t="str"/>
      <x:c r="P386" s="159" t="str"/>
      <x:c r="Q386" s="159" t="str">
        <x:v>The action's primary mechanism does not directly change a terminal Food Security exposure indicator.</x:v>
      </x:c>
      <x:c r="R386" s="160" t="str">
        <x:v>Creation of a First Response Brigade in rural communities to provide them with training and equipment for fire prevention and firefighting.</x:v>
      </x:c>
    </x:row>
    <x:row r="387" ht="66" customHeight="1">
      <x:c r="A387" s="165" t="str">
        <x:v>icare_0169</x:v>
      </x:c>
      <x:c r="B387" s="159" t="str">
        <x:v>Establish a Plan for Preparation and Emergency Response Measures in the event of extreme weather events</x:v>
      </x:c>
      <x:c r="C387" s="159" t="str">
        <x:v>Food security</x:v>
      </x:c>
      <x:c r="D387" s="159" t="str">
        <x:v>Exposure</x:v>
      </x:c>
      <x:c r="E387" s="153" t="str"/>
      <x:c r="F387" s="153" t="str"/>
      <x:c r="G387" s="159" t="str">
        <x:v>Not eligible</x:v>
      </x:c>
      <x:c r="H387" s="159" t="str">
        <x:v>Not applicable</x:v>
      </x:c>
      <x:c r="I387" s="159" t="str">
        <x:v>Not applicable</x:v>
      </x:c>
      <x:c r="J387" s="159" t="str">
        <x:v>Not applicable</x:v>
      </x:c>
      <x:c r="K387" s="159" t="str">
        <x:v>No</x:v>
      </x:c>
      <x:c r="L387" s="159" t="str">
        <x:v>5-10 years</x:v>
      </x:c>
      <x:c r="M387" s="168" t="n">
        <x:v>0</x:v>
      </x:c>
      <x:c r="N387" s="168" t="n">
        <x:v>0</x:v>
      </x:c>
      <x:c r="O387" s="159" t="str"/>
      <x:c r="P387" s="159" t="str"/>
      <x:c r="Q387" s="159" t="str">
        <x:v>The action's primary mechanism does not directly change a terminal Food Security exposure indicator.</x:v>
      </x:c>
      <x:c r="R387" s="160" t="str">
        <x:v>This action focuses on preparing the municipality to respond to extreme events, aiming to provide a rapid response that minimizes the impacts on the population.</x:v>
      </x:c>
    </x:row>
    <x:row r="388" ht="66" customHeight="1">
      <x:c r="A388" s="165" t="str">
        <x:v>icare_0169</x:v>
      </x:c>
      <x:c r="B388" s="159" t="str">
        <x:v>Establish a Plan for Preparation and Emergency Response Measures in the event of extreme weather events</x:v>
      </x:c>
      <x:c r="C388" s="159" t="str">
        <x:v>Food security</x:v>
      </x:c>
      <x:c r="D388" s="159" t="str">
        <x:v>Vulnerability</x:v>
      </x:c>
      <x:c r="E388" s="153" t="str"/>
      <x:c r="F388" s="153" t="str"/>
      <x:c r="G388" s="159" t="str">
        <x:v>Not eligible</x:v>
      </x:c>
      <x:c r="H388" s="159" t="str">
        <x:v>Not applicable</x:v>
      </x:c>
      <x:c r="I388" s="159" t="str">
        <x:v>Not applicable</x:v>
      </x:c>
      <x:c r="J388" s="159" t="str">
        <x:v>Not applicable</x:v>
      </x:c>
      <x:c r="K388" s="159" t="str">
        <x:v>No</x:v>
      </x:c>
      <x:c r="L388" s="159" t="str">
        <x:v>5-10 years</x:v>
      </x:c>
      <x:c r="M388" s="168" t="n">
        <x:v>0</x:v>
      </x:c>
      <x:c r="N388" s="168" t="n">
        <x:v>0</x:v>
      </x:c>
      <x:c r="O388" s="159" t="str"/>
      <x:c r="P388" s="159" t="str"/>
      <x:c r="Q388" s="159" t="str">
        <x:v>The action's primary mechanism does not directly change a terminal Food Security vulnerability indicator.</x:v>
      </x:c>
      <x:c r="R388" s="160" t="str">
        <x:v>This action focuses on preparing the municipality to respond to extreme events, aiming to provide a rapid response that minimizes the impacts on the population.</x:v>
      </x:c>
    </x:row>
    <x:row r="389" ht="66" customHeight="1">
      <x:c r="A389" s="165" t="str">
        <x:v>icare_0160</x:v>
      </x:c>
      <x:c r="B389" s="159" t="str">
        <x:v>Establish mechanisms for intersectoral coordination and public participation in climate policy</x:v>
      </x:c>
      <x:c r="C389" s="159" t="str">
        <x:v>Food security</x:v>
      </x:c>
      <x:c r="D389" s="159" t="str">
        <x:v>Exposure</x:v>
      </x:c>
      <x:c r="E389" s="153" t="str"/>
      <x:c r="F389" s="153" t="str"/>
      <x:c r="G389" s="159" t="str">
        <x:v>Not eligible</x:v>
      </x:c>
      <x:c r="H389" s="159" t="str">
        <x:v>Not applicable</x:v>
      </x:c>
      <x:c r="I389" s="159" t="str">
        <x:v>Not applicable</x:v>
      </x:c>
      <x:c r="J389" s="159" t="str">
        <x:v>Not applicable</x:v>
      </x:c>
      <x:c r="K389" s="159" t="str">
        <x:v>No</x:v>
      </x:c>
      <x:c r="L389" s="159" t="str">
        <x:v>&lt;5 years</x:v>
      </x:c>
      <x:c r="M389" s="168" t="n">
        <x:v>0</x:v>
      </x:c>
      <x:c r="N389" s="168" t="n">
        <x:v>0</x:v>
      </x:c>
      <x:c r="O389" s="159" t="str"/>
      <x:c r="P389" s="159" t="str"/>
      <x:c r="Q389" s="159" t="str">
        <x:v>The action's primary mechanism does not directly change a terminal Food Security exposure indicator.</x:v>
      </x:c>
      <x:c r="R389" s="160" t="str">
        <x:v>Establish more mechanisms that enable better intersectoral coordination and public participation in climate policy, including the creation of working groups with neighboring municipalities to discuss a common climate agenda.</x:v>
      </x:c>
    </x:row>
    <x:row r="390" ht="66" customHeight="1">
      <x:c r="A390" s="165" t="str">
        <x:v>ipcc_0090</x:v>
      </x:c>
      <x:c r="B390" s="159" t="str">
        <x:v>Expand climate risk insurance coverage</x:v>
      </x:c>
      <x:c r="C390" s="159" t="str">
        <x:v>Food security</x:v>
      </x:c>
      <x:c r="D390" s="159" t="str">
        <x:v>Exposure</x:v>
      </x:c>
      <x:c r="E390" s="153" t="str"/>
      <x:c r="F390" s="153" t="str"/>
      <x:c r="G390" s="159" t="str">
        <x:v>Not eligible</x:v>
      </x:c>
      <x:c r="H390" s="159" t="str">
        <x:v>Not applicable</x:v>
      </x:c>
      <x:c r="I390" s="159" t="str">
        <x:v>Not applicable</x:v>
      </x:c>
      <x:c r="J390" s="159" t="str">
        <x:v>Not applicable</x:v>
      </x:c>
      <x:c r="K390" s="159" t="str">
        <x:v>No</x:v>
      </x:c>
      <x:c r="L390" s="159" t="str">
        <x:v>&lt;5 years</x:v>
      </x:c>
      <x:c r="M390" s="168" t="n">
        <x:v>0</x:v>
      </x:c>
      <x:c r="N390" s="168" t="n">
        <x:v>0</x:v>
      </x:c>
      <x:c r="O390" s="159" t="str"/>
      <x:c r="P390" s="159" t="str"/>
      <x:c r="Q390" s="159" t="str">
        <x:v>The action's primary mechanism does not directly change a terminal Food Security exposure indicator.</x:v>
      </x:c>
      <x:c r="R390" s="160" t="str">
        <x:v>Insurance provides financial risk management tools tailored to climate-induced challenges. This includes traditional agricultural insurance to protect farmers from weather-related losses and innovative index-based insurance solutions. Index-based insurance leverages measurable weather indices, such as rainfall or temperature, to trigger payouts automatically when thresholds are reached, bypassing the need for loss verification. These tools help stabilize incomes, encourage investment in climate-resilient practices, and reduce the economic vulnerability of stakeholders in agriculture, aquaculture, and energy sectors. Furthermore, bundled insurance products with additional services like fertilizer or seed access enhance overall resilience, particularly in underserved and rural communities. By mitigating risks associated with droughts, floods, and storms, insurance supports sustainable development and adaptation goals</x:v>
      </x:c>
    </x:row>
    <x:row r="391" ht="66" customHeight="1">
      <x:c r="A391" s="165" t="str">
        <x:v>ipcc_0092</x:v>
      </x:c>
      <x:c r="B391" s="159" t="str">
        <x:v>Expand climate‑responsive social safety nets</x:v>
      </x:c>
      <x:c r="C391" s="159" t="str">
        <x:v>Food security</x:v>
      </x:c>
      <x:c r="D391" s="159" t="str">
        <x:v>Exposure</x:v>
      </x:c>
      <x:c r="E391" s="153" t="str"/>
      <x:c r="F391" s="153" t="str"/>
      <x:c r="G391" s="159" t="str">
        <x:v>Not eligible</x:v>
      </x:c>
      <x:c r="H391" s="159" t="str">
        <x:v>Not applicable</x:v>
      </x:c>
      <x:c r="I391" s="159" t="str">
        <x:v>Not applicable</x:v>
      </x:c>
      <x:c r="J391" s="159" t="str">
        <x:v>Not applicable</x:v>
      </x:c>
      <x:c r="K391" s="159" t="str">
        <x:v>No</x:v>
      </x:c>
      <x:c r="L391" s="159" t="str">
        <x:v>5-10 years</x:v>
      </x:c>
      <x:c r="M391" s="168" t="n">
        <x:v>0</x:v>
      </x:c>
      <x:c r="N391" s="168" t="n">
        <x:v>0</x:v>
      </x:c>
      <x:c r="O391" s="159" t="str"/>
      <x:c r="P391" s="159" t="str"/>
      <x:c r="Q391" s="159" t="str">
        <x:v>The action's primary mechanism does not directly change a terminal Food Security exposure indicator.</x:v>
      </x:c>
      <x:c r="R391" s="160" t="str">
        <x:v>Social safety nets encompass adaptive social protection mechanisms to reduce food insecurity and malnutrition, especially for vulnerable populations. These include cash transfers, school feeding programs, public work initiatives, unemployment compensation, land reforms, credit and insurance schemes. Integrated approaches combine climate risk assessments with disaster risk reduction, education, and social equity to enhance resilience to climate stresses.</x:v>
      </x:c>
    </x:row>
    <x:row r="392" ht="66" customHeight="1">
      <x:c r="A392" s="165" t="str">
        <x:v>icare_0180</x:v>
      </x:c>
      <x:c r="B392" s="159" t="str">
        <x:v>Expand urban green-blue networks and corridors</x:v>
      </x:c>
      <x:c r="C392" s="159" t="str">
        <x:v>Food security</x:v>
      </x:c>
      <x:c r="D392" s="159" t="str">
        <x:v>Exposure</x:v>
      </x:c>
      <x:c r="E392" s="153" t="str"/>
      <x:c r="F392" s="153" t="str"/>
      <x:c r="G392" s="159" t="str">
        <x:v>Not eligible</x:v>
      </x:c>
      <x:c r="H392" s="159" t="str">
        <x:v>Not applicable</x:v>
      </x:c>
      <x:c r="I392" s="159" t="str">
        <x:v>Not applicable</x:v>
      </x:c>
      <x:c r="J392" s="159" t="str">
        <x:v>Not applicable</x:v>
      </x:c>
      <x:c r="K392" s="159" t="str">
        <x:v>No</x:v>
      </x:c>
      <x:c r="L392" s="159" t="str">
        <x:v>&lt;5 years</x:v>
      </x:c>
      <x:c r="M392" s="168" t="n">
        <x:v>0</x:v>
      </x:c>
      <x:c r="N392" s="168" t="n">
        <x:v>0</x:v>
      </x:c>
      <x:c r="O392" s="159" t="str"/>
      <x:c r="P392" s="159" t="str"/>
      <x:c r="Q392" s="159" t="str">
        <x:v>The action's primary mechanism does not directly change a terminal Food Security exposure indicator.</x:v>
      </x:c>
      <x:c r="R392" s="160" t="str">
        <x:v>Expand and connect urban green spaces and blue-green infrastructure (BGI) in the public realm. Actions include street tree planting, establishing green corridors/greenways, pocket and large parks, and green-blue features (bioswales, rain gardens, permeable surfaces) to manage stormwater, reduce urban heat, enhance biodiversity, and support carbon sequestration. Embedding these measures in urban planning strengthens ecosystem services, resilience, and livability.</x:v>
      </x:c>
    </x:row>
    <x:row r="393" ht="66" customHeight="1">
      <x:c r="A393" s="165" t="str">
        <x:v>icare_0180</x:v>
      </x:c>
      <x:c r="B393" s="159" t="str">
        <x:v>Expand urban green-blue networks and corridors</x:v>
      </x:c>
      <x:c r="C393" s="159" t="str">
        <x:v>Food security</x:v>
      </x:c>
      <x:c r="D393" s="159" t="str">
        <x:v>Vulnerability</x:v>
      </x:c>
      <x:c r="E393" s="153" t="str"/>
      <x:c r="F393" s="153" t="str"/>
      <x:c r="G393" s="159" t="str">
        <x:v>Not eligible</x:v>
      </x:c>
      <x:c r="H393" s="159" t="str">
        <x:v>Not applicable</x:v>
      </x:c>
      <x:c r="I393" s="159" t="str">
        <x:v>Not applicable</x:v>
      </x:c>
      <x:c r="J393" s="159" t="str">
        <x:v>Not applicable</x:v>
      </x:c>
      <x:c r="K393" s="159" t="str">
        <x:v>No</x:v>
      </x:c>
      <x:c r="L393" s="159" t="str">
        <x:v>&lt;5 years</x:v>
      </x:c>
      <x:c r="M393" s="168" t="n">
        <x:v>0</x:v>
      </x:c>
      <x:c r="N393" s="168" t="n">
        <x:v>0</x:v>
      </x:c>
      <x:c r="O393" s="159" t="str"/>
      <x:c r="P393" s="159" t="str"/>
      <x:c r="Q393" s="159" t="str">
        <x:v>The action's primary mechanism does not directly change a terminal Food Security vulnerability indicator.</x:v>
      </x:c>
      <x:c r="R393" s="160" t="str">
        <x:v>Expand and connect urban green spaces and blue-green infrastructure (BGI) in the public realm. Actions include street tree planting, establishing green corridors/greenways, pocket and large parks, and green-blue features (bioswales, rain gardens, permeable surfaces) to manage stormwater, reduce urban heat, enhance biodiversity, and support carbon sequestration. Embedding these measures in urban planning strengthens ecosystem services, resilience, and livability.</x:v>
      </x:c>
    </x:row>
    <x:row r="394" ht="66" customHeight="1">
      <x:c r="A394" s="165" t="str">
        <x:v>ipcc_0102</x:v>
      </x:c>
      <x:c r="B394" s="159" t="str">
        <x:v>Facilitate seasonal and temporary mobility strategies</x:v>
      </x:c>
      <x:c r="C394" s="159" t="str">
        <x:v>Food security</x:v>
      </x:c>
      <x:c r="D394" s="159" t="str">
        <x:v>Vulnerability</x:v>
      </x:c>
      <x:c r="E394" s="153" t="str"/>
      <x:c r="F394" s="153" t="str"/>
      <x:c r="G394" s="159" t="str">
        <x:v>Not eligible</x:v>
      </x:c>
      <x:c r="H394" s="159" t="str">
        <x:v>Not applicable</x:v>
      </x:c>
      <x:c r="I394" s="159" t="str">
        <x:v>Not applicable</x:v>
      </x:c>
      <x:c r="J394" s="159" t="str">
        <x:v>Not applicable</x:v>
      </x:c>
      <x:c r="K394" s="159" t="str">
        <x:v>No</x:v>
      </x:c>
      <x:c r="L394" s="159" t="str">
        <x:v>5-10 years</x:v>
      </x:c>
      <x:c r="M394" s="168" t="n">
        <x:v>0</x:v>
      </x:c>
      <x:c r="N394" s="168" t="n">
        <x:v>0</x:v>
      </x:c>
      <x:c r="O394" s="159" t="str"/>
      <x:c r="P394" s="159" t="str"/>
      <x:c r="Q394" s="159" t="str">
        <x:v>The action's primary mechanism does not directly change a terminal Food Security vulnerability indicator.</x:v>
      </x:c>
      <x:c r="R394" s="160" t="str">
        <x:v>Facilitating mobility of fishing fleets and workers to adapt to shifting marine species distributions caused by climate change. This includes enabling seasonal or temporary migration to align with the availability of resources, improving infrastructure and technology to support mobility, and fostering flexible governance to manage transboundary resources sustainably. These actions aim to maintain livelihoods and reduce economic impacts of climate variability.</x:v>
      </x:c>
    </x:row>
    <x:row r="395" ht="66" customHeight="1">
      <x:c r="A395" s="165" t="str">
        <x:v>ipcc_0086</x:v>
      </x:c>
      <x:c r="B395" s="159" t="str">
        <x:v>Implement ecosystem‑based adaptation measures</x:v>
      </x:c>
      <x:c r="C395" s="159" t="str">
        <x:v>Food security</x:v>
      </x:c>
      <x:c r="D395" s="159" t="str">
        <x:v>Exposure</x:v>
      </x:c>
      <x:c r="E395" s="153" t="str"/>
      <x:c r="F395" s="153" t="str"/>
      <x:c r="G395" s="159" t="str">
        <x:v>Not eligible</x:v>
      </x:c>
      <x:c r="H395" s="159" t="str">
        <x:v>Not applicable</x:v>
      </x:c>
      <x:c r="I395" s="159" t="str">
        <x:v>Not applicable</x:v>
      </x:c>
      <x:c r="J395" s="159" t="str">
        <x:v>Not applicable</x:v>
      </x:c>
      <x:c r="K395" s="159" t="str">
        <x:v>No</x:v>
      </x:c>
      <x:c r="L395" s="159" t="str">
        <x:v>5-10 years</x:v>
      </x:c>
      <x:c r="M395" s="168" t="n">
        <x:v>0</x:v>
      </x:c>
      <x:c r="N395" s="168" t="n">
        <x:v>0</x:v>
      </x:c>
      <x:c r="O395" s="159" t="str"/>
      <x:c r="P395" s="159" t="str"/>
      <x:c r="Q395" s="159" t="str">
        <x:v>The action's primary mechanism does not directly change a terminal Food Security exposure indicator.</x:v>
      </x:c>
      <x:c r="R395" s="160" t="str">
        <x:v>Restoring and sustainably managing marine, coastal, urban, riverine, and wetland ecosystems to protect against climate hazards such as storm surges, floods, and heatwaves. Efforts include agroecology, coastal and marine vegetation and reefs, vegetation corridors, mangrove habitat restoration, urban green space to reduce temperatures. These actions improve biodiversity, store carbon, enhance water quality, and provide socio-economic and cultural co-benefits.</x:v>
      </x:c>
    </x:row>
    <x:row r="396" ht="66" customHeight="1">
      <x:c r="A396" s="165" t="str">
        <x:v>ipcc_0078</x:v>
      </x:c>
      <x:c r="B396" s="159" t="str">
        <x:v>Implement green roofs and walls</x:v>
      </x:c>
      <x:c r="C396" s="159" t="str">
        <x:v>Food security</x:v>
      </x:c>
      <x:c r="D396" s="159" t="str">
        <x:v>Exposure</x:v>
      </x:c>
      <x:c r="E396" s="153" t="str"/>
      <x:c r="F396" s="153" t="str"/>
      <x:c r="G396" s="159" t="str">
        <x:v>Not eligible</x:v>
      </x:c>
      <x:c r="H396" s="159" t="str">
        <x:v>Not applicable</x:v>
      </x:c>
      <x:c r="I396" s="159" t="str">
        <x:v>Not applicable</x:v>
      </x:c>
      <x:c r="J396" s="159" t="str">
        <x:v>Not applicable</x:v>
      </x:c>
      <x:c r="K396" s="159" t="str">
        <x:v>No</x:v>
      </x:c>
      <x:c r="L396" s="159" t="str">
        <x:v>5-10 years</x:v>
      </x:c>
      <x:c r="M396" s="168" t="n">
        <x:v>0</x:v>
      </x:c>
      <x:c r="N396" s="168" t="n">
        <x:v>0</x:v>
      </x:c>
      <x:c r="O396" s="159" t="str"/>
      <x:c r="P396" s="159" t="str"/>
      <x:c r="Q396" s="159" t="str">
        <x:v>The action's primary mechanism does not directly change a terminal Food Security exposure indicator.</x:v>
      </x:c>
      <x:c r="R396" s="160" t="str">
        <x:v>The implementation of green roofs and green walls mitigates urban heat island effects, improves thermal comfort, reduces energy demand in buildings, manages stormwater, and enhances urban livability and biodiversity.</x:v>
      </x:c>
    </x:row>
    <x:row r="397" ht="66" customHeight="1">
      <x:c r="A397" s="165" t="str">
        <x:v>ipcc_0078</x:v>
      </x:c>
      <x:c r="B397" s="159" t="str">
        <x:v>Implement green roofs and walls</x:v>
      </x:c>
      <x:c r="C397" s="159" t="str">
        <x:v>Food security</x:v>
      </x:c>
      <x:c r="D397" s="159" t="str">
        <x:v>Vulnerability</x:v>
      </x:c>
      <x:c r="E397" s="153" t="str"/>
      <x:c r="F397" s="153" t="str"/>
      <x:c r="G397" s="159" t="str">
        <x:v>Not eligible</x:v>
      </x:c>
      <x:c r="H397" s="159" t="str">
        <x:v>Not applicable</x:v>
      </x:c>
      <x:c r="I397" s="159" t="str">
        <x:v>Not applicable</x:v>
      </x:c>
      <x:c r="J397" s="159" t="str">
        <x:v>Not applicable</x:v>
      </x:c>
      <x:c r="K397" s="159" t="str">
        <x:v>No</x:v>
      </x:c>
      <x:c r="L397" s="159" t="str">
        <x:v>5-10 years</x:v>
      </x:c>
      <x:c r="M397" s="168" t="n">
        <x:v>0</x:v>
      </x:c>
      <x:c r="N397" s="168" t="n">
        <x:v>0</x:v>
      </x:c>
      <x:c r="O397" s="159" t="str"/>
      <x:c r="P397" s="159" t="str"/>
      <x:c r="Q397" s="159" t="str">
        <x:v>The action's primary mechanism does not directly change a terminal Food Security vulnerability indicator.</x:v>
      </x:c>
      <x:c r="R397" s="160" t="str">
        <x:v>The implementation of green roofs and green walls mitigates urban heat island effects, improves thermal comfort, reduces energy demand in buildings, manages stormwater, and enhances urban livability and biodiversity.</x:v>
      </x:c>
    </x:row>
    <x:row r="398" ht="66" customHeight="1">
      <x:c r="A398" s="165" t="str">
        <x:v>icare_0186</x:v>
      </x:c>
      <x:c r="B398" s="159" t="str">
        <x:v>Implement integrated coastal zone management</x:v>
      </x:c>
      <x:c r="C398" s="159" t="str">
        <x:v>Food security</x:v>
      </x:c>
      <x:c r="D398" s="159" t="str">
        <x:v>Exposure</x:v>
      </x:c>
      <x:c r="E398" s="153" t="str"/>
      <x:c r="F398" s="153" t="str"/>
      <x:c r="G398" s="159" t="str">
        <x:v>Not eligible</x:v>
      </x:c>
      <x:c r="H398" s="159" t="str">
        <x:v>Not applicable</x:v>
      </x:c>
      <x:c r="I398" s="159" t="str">
        <x:v>Not applicable</x:v>
      </x:c>
      <x:c r="J398" s="159" t="str">
        <x:v>Not applicable</x:v>
      </x:c>
      <x:c r="K398" s="159" t="str">
        <x:v>No</x:v>
      </x:c>
      <x:c r="L398" s="159" t="str">
        <x:v>5-10 years</x:v>
      </x:c>
      <x:c r="M398" s="168" t="n">
        <x:v>0</x:v>
      </x:c>
      <x:c r="N398" s="168" t="n">
        <x:v>0</x:v>
      </x:c>
      <x:c r="O398" s="159" t="str"/>
      <x:c r="P398" s="159" t="str"/>
      <x:c r="Q398" s="159" t="str">
        <x:v>The action's primary mechanism does not directly change a terminal Food Security exposure indicator.</x:v>
      </x:c>
      <x:c r="R398" s="160" t="str">
        <x:v>This action describes the implementation of an integrated coastal zone management plan to promote sustainable development and address the impacts of climate change in coastal areas. It includes measures to mitigate the impacts of sea-level rise and coastal erosion.</x:v>
      </x:c>
    </x:row>
    <x:row r="399" ht="66" customHeight="1">
      <x:c r="A399" s="165" t="str">
        <x:v>icare_0186</x:v>
      </x:c>
      <x:c r="B399" s="159" t="str">
        <x:v>Implement integrated coastal zone management</x:v>
      </x:c>
      <x:c r="C399" s="159" t="str">
        <x:v>Food security</x:v>
      </x:c>
      <x:c r="D399" s="159" t="str">
        <x:v>Vulnerability</x:v>
      </x:c>
      <x:c r="E399" s="153" t="str"/>
      <x:c r="F399" s="153" t="str"/>
      <x:c r="G399" s="159" t="str">
        <x:v>Not eligible</x:v>
      </x:c>
      <x:c r="H399" s="159" t="str">
        <x:v>Not applicable</x:v>
      </x:c>
      <x:c r="I399" s="159" t="str">
        <x:v>Not applicable</x:v>
      </x:c>
      <x:c r="J399" s="159" t="str">
        <x:v>Not applicable</x:v>
      </x:c>
      <x:c r="K399" s="159" t="str">
        <x:v>No</x:v>
      </x:c>
      <x:c r="L399" s="159" t="str">
        <x:v>5-10 years</x:v>
      </x:c>
      <x:c r="M399" s="168" t="n">
        <x:v>0</x:v>
      </x:c>
      <x:c r="N399" s="168" t="n">
        <x:v>0</x:v>
      </x:c>
      <x:c r="O399" s="159" t="str"/>
      <x:c r="P399" s="159" t="str"/>
      <x:c r="Q399" s="159" t="str">
        <x:v>The action's primary mechanism does not directly change a terminal Food Security vulnerability indicator.</x:v>
      </x:c>
      <x:c r="R399" s="160" t="str">
        <x:v>This action describes the implementation of an integrated coastal zone management plan to promote sustainable development and address the impacts of climate change in coastal areas. It includes measures to mitigate the impacts of sea-level rise and coastal erosion.</x:v>
      </x:c>
    </x:row>
    <x:row r="400" ht="66" customHeight="1">
      <x:c r="A400" s="165" t="str">
        <x:v>icare_0183</x:v>
      </x:c>
      <x:c r="B400" s="159" t="str">
        <x:v>Implement Multi-hazard Early Warning Systems (MH-EWS)</x:v>
      </x:c>
      <x:c r="C400" s="159" t="str">
        <x:v>Food security</x:v>
      </x:c>
      <x:c r="D400" s="159" t="str">
        <x:v>Exposure</x:v>
      </x:c>
      <x:c r="E400" s="153" t="str"/>
      <x:c r="F400" s="153" t="str"/>
      <x:c r="G400" s="159" t="str">
        <x:v>Not eligible</x:v>
      </x:c>
      <x:c r="H400" s="159" t="str">
        <x:v>Not applicable</x:v>
      </x:c>
      <x:c r="I400" s="159" t="str">
        <x:v>Not applicable</x:v>
      </x:c>
      <x:c r="J400" s="159" t="str">
        <x:v>Not applicable</x:v>
      </x:c>
      <x:c r="K400" s="159" t="str">
        <x:v>No</x:v>
      </x:c>
      <x:c r="L400" s="159" t="str">
        <x:v>5-10 years</x:v>
      </x:c>
      <x:c r="M400" s="168" t="n">
        <x:v>0</x:v>
      </x:c>
      <x:c r="N400" s="168" t="n">
        <x:v>0</x:v>
      </x:c>
      <x:c r="O400" s="159" t="str"/>
      <x:c r="P400" s="159" t="str"/>
      <x:c r="Q400" s="159" t="str">
        <x:v>The action's primary mechanism does not directly change a terminal Food Security exposure indicator.</x:v>
      </x:c>
      <x:c r="R400" s="160" t="str">
        <x:v>Early Warning systems involve the timely detection and communication of potential climate-related hazards, enabling proactive responses to mitigate risks and enhancing community preparedness. This includes intense rains and landslides, using a network of telemetry stations to monitor rainfall and other weather conditions, with clear trigger thresholds to issue public alerts (sirens/alarms, SMS/cell broadcast, radio/PA) in case of potential flooding or landslides.</x:v>
      </x:c>
    </x:row>
    <x:row r="401" ht="66" customHeight="1">
      <x:c r="A401" s="165" t="str">
        <x:v>icare_0185</x:v>
      </x:c>
      <x:c r="B401" s="159" t="str">
        <x:v>Improve Creation of An Epidemiological Intelligence Center</x:v>
      </x:c>
      <x:c r="C401" s="159" t="str">
        <x:v>Food security</x:v>
      </x:c>
      <x:c r="D401" s="159" t="str">
        <x:v>Exposure</x:v>
      </x:c>
      <x:c r="E401" s="153" t="str"/>
      <x:c r="F401" s="153" t="str"/>
      <x:c r="G401" s="159" t="str">
        <x:v>Not eligible</x:v>
      </x:c>
      <x:c r="H401" s="159" t="str">
        <x:v>Not applicable</x:v>
      </x:c>
      <x:c r="I401" s="159" t="str">
        <x:v>Not applicable</x:v>
      </x:c>
      <x:c r="J401" s="159" t="str">
        <x:v>Not applicable</x:v>
      </x:c>
      <x:c r="K401" s="159" t="str">
        <x:v>No</x:v>
      </x:c>
      <x:c r="L401" s="159" t="str">
        <x:v>5-10 years</x:v>
      </x:c>
      <x:c r="M401" s="168" t="n">
        <x:v>0</x:v>
      </x:c>
      <x:c r="N401" s="168" t="n">
        <x:v>0</x:v>
      </x:c>
      <x:c r="O401" s="159" t="str"/>
      <x:c r="P401" s="159" t="str"/>
      <x:c r="Q401" s="159" t="str">
        <x:v>The action's primary mechanism does not directly change a terminal Food Security exposure indicator.</x:v>
      </x:c>
      <x:c r="R401" s="160" t="str">
        <x:v>This action focuses on establishing an epidemiological intelligence center to monitor public health indicators and provide accessible information to the population. This helps in making informed decisions and protecting public health, particularly in relation to climate-sensitive diseases.</x:v>
      </x:c>
    </x:row>
    <x:row r="402" ht="66" customHeight="1">
      <x:c r="A402" s="165" t="str">
        <x:v>icare_0185</x:v>
      </x:c>
      <x:c r="B402" s="159" t="str">
        <x:v>Improve Creation of An Epidemiological Intelligence Center</x:v>
      </x:c>
      <x:c r="C402" s="159" t="str">
        <x:v>Food security</x:v>
      </x:c>
      <x:c r="D402" s="159" t="str">
        <x:v>Vulnerability</x:v>
      </x:c>
      <x:c r="E402" s="153" t="str"/>
      <x:c r="F402" s="153" t="str"/>
      <x:c r="G402" s="159" t="str">
        <x:v>Not eligible</x:v>
      </x:c>
      <x:c r="H402" s="159" t="str">
        <x:v>Not applicable</x:v>
      </x:c>
      <x:c r="I402" s="159" t="str">
        <x:v>Not applicable</x:v>
      </x:c>
      <x:c r="J402" s="159" t="str">
        <x:v>Not applicable</x:v>
      </x:c>
      <x:c r="K402" s="159" t="str">
        <x:v>No</x:v>
      </x:c>
      <x:c r="L402" s="159" t="str">
        <x:v>5-10 years</x:v>
      </x:c>
      <x:c r="M402" s="168" t="n">
        <x:v>0</x:v>
      </x:c>
      <x:c r="N402" s="168" t="n">
        <x:v>0</x:v>
      </x:c>
      <x:c r="O402" s="159" t="str"/>
      <x:c r="P402" s="159" t="str"/>
      <x:c r="Q402" s="159" t="str">
        <x:v>The action's primary mechanism does not directly change a terminal Food Security vulnerability indicator.</x:v>
      </x:c>
      <x:c r="R402" s="160" t="str">
        <x:v>This action focuses on establishing an epidemiological intelligence center to monitor public health indicators and provide accessible information to the population. This helps in making informed decisions and protecting public health, particularly in relation to climate-sensitive diseases.</x:v>
      </x:c>
    </x:row>
    <x:row r="403" ht="66" customHeight="1">
      <x:c r="A403" s="165" t="str">
        <x:v>ipcc_0100</x:v>
      </x:c>
      <x:c r="B403" s="159" t="str">
        <x:v>Improve Efficient water use/demand</x:v>
      </x:c>
      <x:c r="C403" s="159" t="str">
        <x:v>Food security</x:v>
      </x:c>
      <x:c r="D403" s="159" t="str">
        <x:v>Exposure</x:v>
      </x:c>
      <x:c r="E403" s="153" t="str"/>
      <x:c r="F403" s="153" t="str"/>
      <x:c r="G403" s="159" t="str">
        <x:v>Not eligible</x:v>
      </x:c>
      <x:c r="H403" s="159" t="str">
        <x:v>Not applicable</x:v>
      </x:c>
      <x:c r="I403" s="159" t="str">
        <x:v>Not applicable</x:v>
      </x:c>
      <x:c r="J403" s="159" t="str">
        <x:v>Not applicable</x:v>
      </x:c>
      <x:c r="K403" s="159" t="str">
        <x:v>No</x:v>
      </x:c>
      <x:c r="L403" s="159" t="str">
        <x:v>5-10 years</x:v>
      </x:c>
      <x:c r="M403" s="168" t="n">
        <x:v>0</x:v>
      </x:c>
      <x:c r="N403" s="168" t="n">
        <x:v>0</x:v>
      </x:c>
      <x:c r="O403" s="159" t="str"/>
      <x:c r="P403" s="159" t="str"/>
      <x:c r="Q403" s="159" t="str">
        <x:v>The action's primary mechanism does not directly change a terminal Food Security exposure indicator.</x:v>
      </x:c>
      <x:c r="R403" s="160" t="str">
        <x:v>Implementing advanced irrigation techniques such as precision and drip irrigation to enhance water use efficiency in agriculture. Managed Aquifer Recharge (MAR) is applied to replenish groundwater supplies using stormwater, treated wastewater, or other sources. These actions are complemented by cooperative policies across multiple sectors to ensure sustainable water resource management, equitable access, and regional collaboration. Additionally, promoting changes in water consumption patterns, such as reducing waste and improving efficiency in urban and agricultural water use, supports resilience against water scarcity and enhances adaptive capacity in vulnerable regions. These efforts collectively aim to address the growing demand for freshwater in the face of climate change and ensure long-term sustainability.</x:v>
      </x:c>
    </x:row>
    <x:row r="404" ht="66" customHeight="1">
      <x:c r="A404" s="165" t="str">
        <x:v>icare_0164</x:v>
      </x:c>
      <x:c r="B404" s="159" t="str">
        <x:v>Improve Hydrological Monitoring System with Telemetry Stations</x:v>
      </x:c>
      <x:c r="C404" s="159" t="str">
        <x:v>Food security</x:v>
      </x:c>
      <x:c r="D404" s="159" t="str">
        <x:v>Exposure</x:v>
      </x:c>
      <x:c r="E404" s="153" t="str"/>
      <x:c r="F404" s="153" t="str"/>
      <x:c r="G404" s="159" t="str">
        <x:v>Not eligible</x:v>
      </x:c>
      <x:c r="H404" s="159" t="str">
        <x:v>Not applicable</x:v>
      </x:c>
      <x:c r="I404" s="159" t="str">
        <x:v>Not applicable</x:v>
      </x:c>
      <x:c r="J404" s="159" t="str">
        <x:v>Not applicable</x:v>
      </x:c>
      <x:c r="K404" s="159" t="str">
        <x:v>No</x:v>
      </x:c>
      <x:c r="L404" s="159" t="str">
        <x:v>&lt;5 years</x:v>
      </x:c>
      <x:c r="M404" s="168" t="n">
        <x:v>0</x:v>
      </x:c>
      <x:c r="N404" s="168" t="n">
        <x:v>0</x:v>
      </x:c>
      <x:c r="O404" s="159" t="str"/>
      <x:c r="P404" s="159" t="str"/>
      <x:c r="Q404" s="159" t="str">
        <x:v>The action's primary mechanism does not directly change a terminal Food Security exposure indicator.</x:v>
      </x:c>
      <x:c r="R404" s="160" t="str">
        <x:v>Implementation of a hydrological monitoring system with telemetry stations to monitor rainfall, water levels, and meteorological variables in real-time.</x:v>
      </x:c>
    </x:row>
    <x:row r="405" ht="66" customHeight="1">
      <x:c r="A405" s="165" t="str">
        <x:v>ipcc_0087</x:v>
      </x:c>
      <x:c r="B405" s="159" t="str">
        <x:v>Improve Infrastructure retrofitting</x:v>
      </x:c>
      <x:c r="C405" s="159" t="str">
        <x:v>Food security</x:v>
      </x:c>
      <x:c r="D405" s="159" t="str">
        <x:v>Exposure</x:v>
      </x:c>
      <x:c r="E405" s="153" t="str"/>
      <x:c r="F405" s="153" t="str"/>
      <x:c r="G405" s="159" t="str">
        <x:v>Not eligible</x:v>
      </x:c>
      <x:c r="H405" s="159" t="str">
        <x:v>Not applicable</x:v>
      </x:c>
      <x:c r="I405" s="159" t="str">
        <x:v>Not applicable</x:v>
      </x:c>
      <x:c r="J405" s="159" t="str">
        <x:v>Not applicable</x:v>
      </x:c>
      <x:c r="K405" s="159" t="str">
        <x:v>No</x:v>
      </x:c>
      <x:c r="L405" s="159" t="str">
        <x:v>5-10 years</x:v>
      </x:c>
      <x:c r="M405" s="168" t="n">
        <x:v>0</x:v>
      </x:c>
      <x:c r="N405" s="168" t="n">
        <x:v>0</x:v>
      </x:c>
      <x:c r="O405" s="159" t="str"/>
      <x:c r="P405" s="159" t="str"/>
      <x:c r="Q405" s="159" t="str">
        <x:v>The action's primary mechanism does not directly change a terminal Food Security exposure indicator.</x:v>
      </x:c>
      <x:c r="R405" s="160" t="str">
        <x:v>Strengthen and upgrade existing infrastructure, including roads, housing, and energy systems, to improve resilience against climate risks such as floods, droughts, and heatwaves. Efforts include using thermosiphons for permafrost degradation, increasing rooftop albedo (for reflectivity) and shading</x:v>
      </x:c>
    </x:row>
    <x:row r="406" ht="66" customHeight="1">
      <x:c r="A406" s="165" t="str">
        <x:v>ipcc_0087</x:v>
      </x:c>
      <x:c r="B406" s="159" t="str">
        <x:v>Improve Infrastructure retrofitting</x:v>
      </x:c>
      <x:c r="C406" s="159" t="str">
        <x:v>Food security</x:v>
      </x:c>
      <x:c r="D406" s="159" t="str">
        <x:v>Vulnerability</x:v>
      </x:c>
      <x:c r="E406" s="153" t="str"/>
      <x:c r="F406" s="153" t="str"/>
      <x:c r="G406" s="159" t="str">
        <x:v>Not eligible</x:v>
      </x:c>
      <x:c r="H406" s="159" t="str">
        <x:v>Not applicable</x:v>
      </x:c>
      <x:c r="I406" s="159" t="str">
        <x:v>Not applicable</x:v>
      </x:c>
      <x:c r="J406" s="159" t="str">
        <x:v>Not applicable</x:v>
      </x:c>
      <x:c r="K406" s="159" t="str">
        <x:v>No</x:v>
      </x:c>
      <x:c r="L406" s="159" t="str">
        <x:v>5-10 years</x:v>
      </x:c>
      <x:c r="M406" s="168" t="n">
        <x:v>0</x:v>
      </x:c>
      <x:c r="N406" s="168" t="n">
        <x:v>0</x:v>
      </x:c>
      <x:c r="O406" s="159" t="str"/>
      <x:c r="P406" s="159" t="str"/>
      <x:c r="Q406" s="159" t="str">
        <x:v>The action's primary mechanism does not directly change a terminal Food Security vulnerability indicator.</x:v>
      </x:c>
      <x:c r="R406" s="160" t="str">
        <x:v>Strengthen and upgrade existing infrastructure, including roads, housing, and energy systems, to improve resilience against climate risks such as floods, droughts, and heatwaves. Efforts include using thermosiphons for permafrost degradation, increasing rooftop albedo (for reflectivity) and shading</x:v>
      </x:c>
    </x:row>
    <x:row r="407" ht="66" customHeight="1">
      <x:c r="A407" s="165" t="str">
        <x:v>icare_0171</x:v>
      </x:c>
      <x:c r="B407" s="159" t="str">
        <x:v>Improve the hydrometeorological forecasting, monitoring, and alert system for climate risks</x:v>
      </x:c>
      <x:c r="C407" s="159" t="str">
        <x:v>Food security</x:v>
      </x:c>
      <x:c r="D407" s="159" t="str">
        <x:v>Exposure</x:v>
      </x:c>
      <x:c r="E407" s="153" t="str"/>
      <x:c r="F407" s="153" t="str"/>
      <x:c r="G407" s="159" t="str">
        <x:v>Not eligible</x:v>
      </x:c>
      <x:c r="H407" s="159" t="str">
        <x:v>Not applicable</x:v>
      </x:c>
      <x:c r="I407" s="159" t="str">
        <x:v>Not applicable</x:v>
      </x:c>
      <x:c r="J407" s="159" t="str">
        <x:v>Not applicable</x:v>
      </x:c>
      <x:c r="K407" s="159" t="str">
        <x:v>No</x:v>
      </x:c>
      <x:c r="L407" s="159" t="str">
        <x:v>5-10 years</x:v>
      </x:c>
      <x:c r="M407" s="168" t="n">
        <x:v>0</x:v>
      </x:c>
      <x:c r="N407" s="168" t="n">
        <x:v>0</x:v>
      </x:c>
      <x:c r="O407" s="159" t="str"/>
      <x:c r="P407" s="159" t="str"/>
      <x:c r="Q407" s="159" t="str">
        <x:v>The action's primary mechanism does not directly change a terminal Food Security exposure indicator.</x:v>
      </x:c>
      <x:c r="R407" s="160" t="str">
        <x:v>This action aims to expand the procedures related to the existing climate risk forecasting, monitoring, and alert system in the municipality.</x:v>
      </x:c>
    </x:row>
    <x:row r="408" ht="66" customHeight="1">
      <x:c r="A408" s="165" t="str">
        <x:v>ipcc_0101</x:v>
      </x:c>
      <x:c r="B408" s="159" t="str">
        <x:v>Improve urban water management</x:v>
      </x:c>
      <x:c r="C408" s="159" t="str">
        <x:v>Food security</x:v>
      </x:c>
      <x:c r="D408" s="159" t="str">
        <x:v>Exposure</x:v>
      </x:c>
      <x:c r="E408" s="153" t="str"/>
      <x:c r="F408" s="153" t="str"/>
      <x:c r="G408" s="159" t="str">
        <x:v>Not eligible</x:v>
      </x:c>
      <x:c r="H408" s="159" t="str">
        <x:v>Not applicable</x:v>
      </x:c>
      <x:c r="I408" s="159" t="str">
        <x:v>Not applicable</x:v>
      </x:c>
      <x:c r="J408" s="159" t="str">
        <x:v>Not applicable</x:v>
      </x:c>
      <x:c r="K408" s="159" t="str">
        <x:v>No</x:v>
      </x:c>
      <x:c r="L408" s="159" t="str">
        <x:v>5-10 years</x:v>
      </x:c>
      <x:c r="M408" s="168" t="n">
        <x:v>0</x:v>
      </x:c>
      <x:c r="N408" s="168" t="n">
        <x:v>0</x:v>
      </x:c>
      <x:c r="O408" s="159" t="str"/>
      <x:c r="P408" s="159" t="str"/>
      <x:c r="Q408" s="159" t="str">
        <x:v>The action's primary mechanism does not directly change a terminal Food Security exposure indicator.</x:v>
      </x:c>
      <x:c r="R408" s="160" t="str">
        <x:v>Implementing sustainable water supply systems by constructing irrigation infrastructure, promoting inter-basin water transfers, utilizing nature-based solutions (NBS) such as rain gardens, bioswales, and wetlands, and integrating advanced techniques like water reuse and water upgrading. Water reuse involves treating and recycling wastewater for non-potable or potable purposes, while water upgrading focuses on improving the quality of available water for diverse uses. These approaches enhance stormwater infiltration, improve urban water management, increase drought resilience, and support groundwater recharge. They provide energy-efficient and economical water solutions while maintaining sustainable urban development.</x:v>
      </x:c>
    </x:row>
    <x:row r="409" ht="66" customHeight="1">
      <x:c r="A409" s="165" t="str">
        <x:v>c40_0056</x:v>
      </x:c>
      <x:c r="B409" s="159" t="str">
        <x:v>Improve Watershed Protection and Management</x:v>
      </x:c>
      <x:c r="C409" s="159" t="str">
        <x:v>Food security</x:v>
      </x:c>
      <x:c r="D409" s="159" t="str">
        <x:v>Exposure</x:v>
      </x:c>
      <x:c r="E409" s="153" t="str"/>
      <x:c r="F409" s="153" t="str"/>
      <x:c r="G409" s="159" t="str">
        <x:v>Not eligible</x:v>
      </x:c>
      <x:c r="H409" s="159" t="str">
        <x:v>Not applicable</x:v>
      </x:c>
      <x:c r="I409" s="159" t="str">
        <x:v>Not applicable</x:v>
      </x:c>
      <x:c r="J409" s="159" t="str">
        <x:v>Not applicable</x:v>
      </x:c>
      <x:c r="K409" s="159" t="str">
        <x:v>No</x:v>
      </x:c>
      <x:c r="L409" s="159" t="str">
        <x:v>&lt;5 years</x:v>
      </x:c>
      <x:c r="M409" s="168" t="n">
        <x:v>0</x:v>
      </x:c>
      <x:c r="N409" s="168" t="n">
        <x:v>0</x:v>
      </x:c>
      <x:c r="O409" s="159" t="str"/>
      <x:c r="P409" s="159" t="str"/>
      <x:c r="Q409" s="159" t="str">
        <x:v>The action's primary mechanism does not directly change a terminal Food Security exposure indicator.</x:v>
      </x:c>
      <x:c r="R409" s="160" t="str">
        <x:v>"Watershed Protection and Management" involves the protection and conservation of natural watershed areas to safeguard water quality, biodiversity, and ecosystem services, including measures such as preventing pollution and encrouchment. This initiative aims to ensure sustainable water management and resilience to the impacts of climate change.</x:v>
      </x:c>
    </x:row>
    <x:row r="410" ht="66" customHeight="1">
      <x:c r="A410" s="165" t="str">
        <x:v>ipcc_0098</x:v>
      </x:c>
      <x:c r="B410" s="159" t="str">
        <x:v>Increase resilience by improving access to food, improving livelihoods and promoting dietary shifts and food waste reduction</x:v>
      </x:c>
      <x:c r="C410" s="159" t="str">
        <x:v>Food security</x:v>
      </x:c>
      <x:c r="D410" s="159" t="str">
        <x:v>Exposure</x:v>
      </x:c>
      <x:c r="E410" s="153" t="str"/>
      <x:c r="F410" s="153" t="str"/>
      <x:c r="G410" s="159" t="str">
        <x:v>Not eligible</x:v>
      </x:c>
      <x:c r="H410" s="159" t="str">
        <x:v>Not applicable</x:v>
      </x:c>
      <x:c r="I410" s="159" t="str">
        <x:v>Not applicable</x:v>
      </x:c>
      <x:c r="J410" s="159" t="str">
        <x:v>Not applicable</x:v>
      </x:c>
      <x:c r="K410" s="159" t="str">
        <x:v>No</x:v>
      </x:c>
      <x:c r="L410" s="159" t="str">
        <x:v>5-10 years</x:v>
      </x:c>
      <x:c r="M410" s="168" t="n">
        <x:v>0</x:v>
      </x:c>
      <x:c r="N410" s="168" t="n">
        <x:v>0</x:v>
      </x:c>
      <x:c r="O410" s="159" t="str"/>
      <x:c r="P410" s="159" t="str"/>
      <x:c r="Q410" s="159" t="str">
        <x:v>The action's primary mechanism does not directly change a terminal Food Security exposure indicator.</x:v>
      </x:c>
      <x:c r="R410" s="160" t="str">
        <x:v>Increase resilience through improved food production, distribution, and consumption practices. Actions include enhancing agricultural techniques, adopting water-saving technologies, implementing low-cost storage solutions, and promoting plant-based diets. Policymakers can encourage these behaviors with appropriate pricing policies, sustainable agriculture initiatives, and support for disadvantaged groups. The action emphasizes shifting to healthier diets, reducing overconsumption, and supporting local food systems to mitigate greenhouse gas emissions and ensure food security under climate change.</x:v>
      </x:c>
    </x:row>
    <x:row r="411" ht="66" customHeight="1">
      <x:c r="A411" s="165" t="str">
        <x:v>ipcc_0099</x:v>
      </x:c>
      <x:c r="B411" s="159" t="str">
        <x:v>Increase Water Capture and Storage</x:v>
      </x:c>
      <x:c r="C411" s="159" t="str">
        <x:v>Food security</x:v>
      </x:c>
      <x:c r="D411" s="159" t="str">
        <x:v>Exposure</x:v>
      </x:c>
      <x:c r="E411" s="153" t="str"/>
      <x:c r="F411" s="153" t="str"/>
      <x:c r="G411" s="159" t="str">
        <x:v>Not eligible</x:v>
      </x:c>
      <x:c r="H411" s="159" t="str">
        <x:v>Not applicable</x:v>
      </x:c>
      <x:c r="I411" s="159" t="str">
        <x:v>Not applicable</x:v>
      </x:c>
      <x:c r="J411" s="159" t="str">
        <x:v>Not applicable</x:v>
      </x:c>
      <x:c r="K411" s="159" t="str">
        <x:v>No</x:v>
      </x:c>
      <x:c r="L411" s="159" t="str">
        <x:v>5-10 years</x:v>
      </x:c>
      <x:c r="M411" s="168" t="n">
        <x:v>0</x:v>
      </x:c>
      <x:c r="N411" s="168" t="n">
        <x:v>0</x:v>
      </x:c>
      <x:c r="O411" s="159" t="str"/>
      <x:c r="P411" s="159" t="str"/>
      <x:c r="Q411" s="159" t="str">
        <x:v>The action's primary mechanism does not directly change a terminal Food Security exposure indicator.</x:v>
      </x:c>
      <x:c r="R411" s="160" t="str">
        <x:v>Implementation of water harvesting and storage solutions, such as on-farm ponds, water body revitalization, rain gardens, bioswales, retention ponds, pumped storage, and water storage tanks. These measures aim to mitigate climate-induced impacts by improving water management, reducing stormwater runoff, improving water quality, and supporting agriculture and energy production in changing climate scenarios. Water reservoirs and multipurpose dams offer additional benefits by addressing water scarcity and managing risks associated with natural disasters. These adaptation strategies contribute to sustainable water use and resilience to climate-related challenges.</x:v>
      </x:c>
    </x:row>
    <x:row r="412" ht="66" customHeight="1">
      <x:c r="A412" s="165" t="str">
        <x:v>ipcc_0104</x:v>
      </x:c>
      <x:c r="B412" s="159" t="str">
        <x:v>Plan and support permanent climate‑related migration</x:v>
      </x:c>
      <x:c r="C412" s="159" t="str">
        <x:v>Food security</x:v>
      </x:c>
      <x:c r="D412" s="159" t="str">
        <x:v>Vulnerability</x:v>
      </x:c>
      <x:c r="E412" s="153" t="str"/>
      <x:c r="F412" s="153" t="str"/>
      <x:c r="G412" s="159" t="str">
        <x:v>Not eligible</x:v>
      </x:c>
      <x:c r="H412" s="159" t="str">
        <x:v>Not applicable</x:v>
      </x:c>
      <x:c r="I412" s="159" t="str">
        <x:v>Not applicable</x:v>
      </x:c>
      <x:c r="J412" s="159" t="str">
        <x:v>Not applicable</x:v>
      </x:c>
      <x:c r="K412" s="159" t="str">
        <x:v>No</x:v>
      </x:c>
      <x:c r="L412" s="159" t="str">
        <x:v>5-10 years</x:v>
      </x:c>
      <x:c r="M412" s="168" t="n">
        <x:v>0</x:v>
      </x:c>
      <x:c r="N412" s="168" t="n">
        <x:v>0</x:v>
      </x:c>
      <x:c r="O412" s="159" t="str"/>
      <x:c r="P412" s="159" t="str"/>
      <x:c r="Q412" s="159" t="str">
        <x:v>The action's primary mechanism does not directly change a terminal Food Security vulnerability indicator.</x:v>
      </x:c>
      <x:c r="R412" s="160" t="str">
        <x:v>Resettlement of communities from flood-prone areas and rural–urban migration as a strategy to mitigate vulnerabilities caused by climate change. This includes addressing urbanization challenges, such as unplanned development, water insecurity, and socioeconomic disparities, while providing equitable opportunities for migrants in urban centers. Measures include enhancing urban planning, water resource management, and social support systems for displaced populations.</x:v>
      </x:c>
    </x:row>
    <x:row r="413" ht="66" customHeight="1">
      <x:c r="A413" s="165" t="str">
        <x:v>ipcc_0083</x:v>
      </x:c>
      <x:c r="B413" s="159" t="str">
        <x:v>Plan strategic coastal retreat for vulnerable communities</x:v>
      </x:c>
      <x:c r="C413" s="159" t="str">
        <x:v>Food security</x:v>
      </x:c>
      <x:c r="D413" s="159" t="str">
        <x:v>Vulnerability</x:v>
      </x:c>
      <x:c r="E413" s="153" t="str"/>
      <x:c r="F413" s="153" t="str"/>
      <x:c r="G413" s="159" t="str">
        <x:v>Not eligible</x:v>
      </x:c>
      <x:c r="H413" s="159" t="str">
        <x:v>Not applicable</x:v>
      </x:c>
      <x:c r="I413" s="159" t="str">
        <x:v>Not applicable</x:v>
      </x:c>
      <x:c r="J413" s="159" t="str">
        <x:v>Not applicable</x:v>
      </x:c>
      <x:c r="K413" s="159" t="str">
        <x:v>No</x:v>
      </x:c>
      <x:c r="L413" s="159" t="str">
        <x:v>&gt;10 years</x:v>
      </x:c>
      <x:c r="M413" s="168" t="n">
        <x:v>0</x:v>
      </x:c>
      <x:c r="N413" s="168" t="n">
        <x:v>0</x:v>
      </x:c>
      <x:c r="O413" s="159" t="str"/>
      <x:c r="P413" s="159" t="str"/>
      <x:c r="Q413" s="159" t="str">
        <x:v>The action's primary mechanism does not directly change a terminal Food Security vulnerability indicator.</x:v>
      </x:c>
      <x:c r="R413" s="160" t="str">
        <x:v>Planned relocation and retreat of people, assets, and activities from coastal hazard zones to reduce exposure and risks caused by sea-level rise and associated coastal hazards.</x:v>
      </x:c>
    </x:row>
    <x:row r="414" ht="66" customHeight="1">
      <x:c r="A414" s="165" t="str">
        <x:v>icare_0173</x:v>
      </x:c>
      <x:c r="B414" s="159" t="str">
        <x:v>Preventive maintenance of drainage systems</x:v>
      </x:c>
      <x:c r="C414" s="159" t="str">
        <x:v>Food security</x:v>
      </x:c>
      <x:c r="D414" s="159" t="str">
        <x:v>Exposure</x:v>
      </x:c>
      <x:c r="E414" s="153" t="str"/>
      <x:c r="F414" s="153" t="str"/>
      <x:c r="G414" s="159" t="str">
        <x:v>Not eligible</x:v>
      </x:c>
      <x:c r="H414" s="159" t="str">
        <x:v>Not applicable</x:v>
      </x:c>
      <x:c r="I414" s="159" t="str">
        <x:v>Not applicable</x:v>
      </x:c>
      <x:c r="J414" s="159" t="str">
        <x:v>Not applicable</x:v>
      </x:c>
      <x:c r="K414" s="159" t="str">
        <x:v>No</x:v>
      </x:c>
      <x:c r="L414" s="159" t="str">
        <x:v>5-10 years</x:v>
      </x:c>
      <x:c r="M414" s="168" t="n">
        <x:v>0</x:v>
      </x:c>
      <x:c r="N414" s="168" t="n">
        <x:v>0</x:v>
      </x:c>
      <x:c r="O414" s="159" t="str"/>
      <x:c r="P414" s="159" t="str"/>
      <x:c r="Q414" s="159" t="str">
        <x:v>The action's primary mechanism does not directly change a terminal Food Security exposure indicator.</x:v>
      </x:c>
      <x:c r="R414" s="160" t="str">
        <x:v>Regular upkeep and cleaning of urban drainage systems, including storm drains, sewers, and retention basins, to ensure efficient water flow and prevent blockages that can lead to flooding during heavy rainfall events.</x:v>
      </x:c>
    </x:row>
    <x:row r="415" ht="66" customHeight="1">
      <x:c r="A415" s="165" t="str">
        <x:v>icare_0173</x:v>
      </x:c>
      <x:c r="B415" s="159" t="str">
        <x:v>Preventive maintenance of drainage systems</x:v>
      </x:c>
      <x:c r="C415" s="159" t="str">
        <x:v>Food security</x:v>
      </x:c>
      <x:c r="D415" s="159" t="str">
        <x:v>Vulnerability</x:v>
      </x:c>
      <x:c r="E415" s="153" t="str"/>
      <x:c r="F415" s="153" t="str"/>
      <x:c r="G415" s="159" t="str">
        <x:v>Not eligible</x:v>
      </x:c>
      <x:c r="H415" s="159" t="str">
        <x:v>Not applicable</x:v>
      </x:c>
      <x:c r="I415" s="159" t="str">
        <x:v>Not applicable</x:v>
      </x:c>
      <x:c r="J415" s="159" t="str">
        <x:v>Not applicable</x:v>
      </x:c>
      <x:c r="K415" s="159" t="str">
        <x:v>No</x:v>
      </x:c>
      <x:c r="L415" s="159" t="str">
        <x:v>5-10 years</x:v>
      </x:c>
      <x:c r="M415" s="168" t="n">
        <x:v>0</x:v>
      </x:c>
      <x:c r="N415" s="168" t="n">
        <x:v>0</x:v>
      </x:c>
      <x:c r="O415" s="159" t="str"/>
      <x:c r="P415" s="159" t="str"/>
      <x:c r="Q415" s="159" t="str">
        <x:v>The action's primary mechanism does not directly change a terminal Food Security vulnerability indicator.</x:v>
      </x:c>
      <x:c r="R415" s="160" t="str">
        <x:v>Regular upkeep and cleaning of urban drainage systems, including storm drains, sewers, and retention basins, to ensure efficient water flow and prevent blockages that can lead to flooding during heavy rainfall events.</x:v>
      </x:c>
    </x:row>
    <x:row r="416" ht="66" customHeight="1">
      <x:c r="A416" s="165" t="str">
        <x:v>c40_0053</x:v>
      </x:c>
      <x:c r="B416" s="159" t="str">
        <x:v>Promote water-saving technologies and practices</x:v>
      </x:c>
      <x:c r="C416" s="159" t="str">
        <x:v>Food security</x:v>
      </x:c>
      <x:c r="D416" s="159" t="str">
        <x:v>Exposure</x:v>
      </x:c>
      <x:c r="E416" s="153" t="str"/>
      <x:c r="F416" s="153" t="str"/>
      <x:c r="G416" s="159" t="str">
        <x:v>Not eligible</x:v>
      </x:c>
      <x:c r="H416" s="159" t="str">
        <x:v>Not applicable</x:v>
      </x:c>
      <x:c r="I416" s="159" t="str">
        <x:v>Not applicable</x:v>
      </x:c>
      <x:c r="J416" s="159" t="str">
        <x:v>Not applicable</x:v>
      </x:c>
      <x:c r="K416" s="159" t="str">
        <x:v>No</x:v>
      </x:c>
      <x:c r="L416" s="159" t="str">
        <x:v>5-10 years</x:v>
      </x:c>
      <x:c r="M416" s="168" t="n">
        <x:v>0</x:v>
      </x:c>
      <x:c r="N416" s="168" t="n">
        <x:v>0</x:v>
      </x:c>
      <x:c r="O416" s="159" t="str"/>
      <x:c r="P416" s="159" t="str"/>
      <x:c r="Q416" s="159" t="str">
        <x:v>The action's primary mechanism does not directly change a terminal Food Security exposure indicator.</x:v>
      </x:c>
      <x:c r="R416" s="160" t="str">
        <x:v>Encourages the adoption of water-saving technologies and practices to conserve water resources and strengthen resilience to climate change. This includes measures such as rainwater harvesting, low-flow appliances, leak detection systems, and municipal incentive programs that support households and businesses in reducing consumption. These actions enhance sustainable water use and complement broader eco-engineering and adaptation efforts.</x:v>
      </x:c>
    </x:row>
    <x:row r="417" ht="66" customHeight="1">
      <x:c r="A417" s="165" t="str">
        <x:v>c40_0051</x:v>
      </x:c>
      <x:c r="B417" s="159" t="str">
        <x:v>Provide public shading in heat hotspots</x:v>
      </x:c>
      <x:c r="C417" s="159" t="str">
        <x:v>Food security</x:v>
      </x:c>
      <x:c r="D417" s="159" t="str">
        <x:v>Exposure</x:v>
      </x:c>
      <x:c r="E417" s="153" t="str"/>
      <x:c r="F417" s="153" t="str"/>
      <x:c r="G417" s="159" t="str">
        <x:v>Not eligible</x:v>
      </x:c>
      <x:c r="H417" s="159" t="str">
        <x:v>Not applicable</x:v>
      </x:c>
      <x:c r="I417" s="159" t="str">
        <x:v>Not applicable</x:v>
      </x:c>
      <x:c r="J417" s="159" t="str">
        <x:v>Not applicable</x:v>
      </x:c>
      <x:c r="K417" s="159" t="str">
        <x:v>No</x:v>
      </x:c>
      <x:c r="L417" s="159" t="str">
        <x:v>&lt;5 years</x:v>
      </x:c>
      <x:c r="M417" s="168" t="n">
        <x:v>0</x:v>
      </x:c>
      <x:c r="N417" s="168" t="n">
        <x:v>0</x:v>
      </x:c>
      <x:c r="O417" s="159" t="str"/>
      <x:c r="P417" s="159" t="str"/>
      <x:c r="Q417" s="159" t="str">
        <x:v>The action's primary mechanism does not directly change a terminal Food Security exposure indicator.</x:v>
      </x:c>
      <x:c r="R417" s="160" t="str">
        <x:v>"Provide public shading in heat hotspots" involves the implementation of shade structures in public spaces, such as shade sails and canopies, and drought-tolerant trees, contributing to eco-engineering efforts. This adaptation measure enhances outdoor comfort, reduces heat stress, and promotes sustainable urban design.</x:v>
      </x:c>
    </x:row>
    <x:row r="418" ht="66" customHeight="1">
      <x:c r="A418" s="165" t="str">
        <x:v>c40_0051</x:v>
      </x:c>
      <x:c r="B418" s="159" t="str">
        <x:v>Provide public shading in heat hotspots</x:v>
      </x:c>
      <x:c r="C418" s="159" t="str">
        <x:v>Food security</x:v>
      </x:c>
      <x:c r="D418" s="159" t="str">
        <x:v>Vulnerability</x:v>
      </x:c>
      <x:c r="E418" s="153" t="str"/>
      <x:c r="F418" s="153" t="str"/>
      <x:c r="G418" s="159" t="str">
        <x:v>Not eligible</x:v>
      </x:c>
      <x:c r="H418" s="159" t="str">
        <x:v>Not applicable</x:v>
      </x:c>
      <x:c r="I418" s="159" t="str">
        <x:v>Not applicable</x:v>
      </x:c>
      <x:c r="J418" s="159" t="str">
        <x:v>Not applicable</x:v>
      </x:c>
      <x:c r="K418" s="159" t="str">
        <x:v>No</x:v>
      </x:c>
      <x:c r="L418" s="159" t="str">
        <x:v>&lt;5 years</x:v>
      </x:c>
      <x:c r="M418" s="168" t="n">
        <x:v>0</x:v>
      </x:c>
      <x:c r="N418" s="168" t="n">
        <x:v>0</x:v>
      </x:c>
      <x:c r="O418" s="159" t="str"/>
      <x:c r="P418" s="159" t="str"/>
      <x:c r="Q418" s="159" t="str">
        <x:v>The action's primary mechanism does not directly change a terminal Food Security vulnerability indicator.</x:v>
      </x:c>
      <x:c r="R418" s="160" t="str">
        <x:v>"Provide public shading in heat hotspots" involves the implementation of shade structures in public spaces, such as shade sails and canopies, and drought-tolerant trees, contributing to eco-engineering efforts. This adaptation measure enhances outdoor comfort, reduces heat stress, and promotes sustainable urban design.</x:v>
      </x:c>
    </x:row>
    <x:row r="419" ht="66" customHeight="1">
      <x:c r="A419" s="165" t="str">
        <x:v>icare_0178</x:v>
      </x:c>
      <x:c r="B419" s="159" t="str">
        <x:v>Redirect urban development through climate‑risk spatial planning</x:v>
      </x:c>
      <x:c r="C419" s="159" t="str">
        <x:v>Food security</x:v>
      </x:c>
      <x:c r="D419" s="159" t="str">
        <x:v>Vulnerability</x:v>
      </x:c>
      <x:c r="E419" s="153" t="str"/>
      <x:c r="F419" s="153" t="str"/>
      <x:c r="G419" s="159" t="str">
        <x:v>Not eligible</x:v>
      </x:c>
      <x:c r="H419" s="159" t="str">
        <x:v>Not applicable</x:v>
      </x:c>
      <x:c r="I419" s="159" t="str">
        <x:v>Not applicable</x:v>
      </x:c>
      <x:c r="J419" s="159" t="str">
        <x:v>Not applicable</x:v>
      </x:c>
      <x:c r="K419" s="159" t="str">
        <x:v>No</x:v>
      </x:c>
      <x:c r="L419" s="159" t="str">
        <x:v>&lt;5 years</x:v>
      </x:c>
      <x:c r="M419" s="168" t="n">
        <x:v>0</x:v>
      </x:c>
      <x:c r="N419" s="168" t="n">
        <x:v>0</x:v>
      </x:c>
      <x:c r="O419" s="159" t="str"/>
      <x:c r="P419" s="159" t="str"/>
      <x:c r="Q419" s="159" t="str">
        <x:v>The action's primary mechanism does not directly change a terminal Food Security vulnerability indicator.</x:v>
      </x:c>
      <x:c r="R419" s="160" t="str">
        <x:v>Mapping of critical flood-prone areas with the aim of revising and harmonizing legislation related to land use, given the intensification of the impacts of extreme weather events.</x:v>
      </x:c>
    </x:row>
    <x:row r="420" ht="66" customHeight="1">
      <x:c r="A420" s="165" t="str">
        <x:v>ipcc_0085</x:v>
      </x:c>
      <x:c r="B420" s="159" t="str">
        <x:v>Reduce pressures on ecosystems to build resilience</x:v>
      </x:c>
      <x:c r="C420" s="159" t="str">
        <x:v>Food security</x:v>
      </x:c>
      <x:c r="D420" s="159" t="str">
        <x:v>Exposure</x:v>
      </x:c>
      <x:c r="E420" s="153" t="str"/>
      <x:c r="F420" s="153" t="str"/>
      <x:c r="G420" s="159" t="str">
        <x:v>Not eligible</x:v>
      </x:c>
      <x:c r="H420" s="159" t="str">
        <x:v>Not applicable</x:v>
      </x:c>
      <x:c r="I420" s="159" t="str">
        <x:v>Not applicable</x:v>
      </x:c>
      <x:c r="J420" s="159" t="str">
        <x:v>Not applicable</x:v>
      </x:c>
      <x:c r="K420" s="159" t="str">
        <x:v>No</x:v>
      </x:c>
      <x:c r="L420" s="159" t="str">
        <x:v>5-10 years</x:v>
      </x:c>
      <x:c r="M420" s="168" t="n">
        <x:v>0</x:v>
      </x:c>
      <x:c r="N420" s="168" t="n">
        <x:v>0</x:v>
      </x:c>
      <x:c r="O420" s="159" t="str"/>
      <x:c r="P420" s="159" t="str"/>
      <x:c r="Q420" s="159" t="str">
        <x:v>The action's primary mechanism does not directly change a terminal Food Security exposure indicator.</x:v>
      </x:c>
      <x:c r="R420" s="160" t="str">
        <x:v>Reduce pollution, eutrophication, and anthropogenic pressures on natural systems, including marine and terrestrial ecosystems. Efforts include managing runoff, protecting sensitive habitats like the Great Barrier Reef, addressing non-climate drivers, promoting sustainable fisheries harvest, and increasing connectivity between natural areas to enhance ecosystem resilience.</x:v>
      </x:c>
    </x:row>
    <x:row r="421" ht="66" customHeight="1">
      <x:c r="A421" s="165" t="str">
        <x:v>c40_0062</x:v>
      </x:c>
      <x:c r="B421" s="159" t="str">
        <x:v>Reform water tariffs to support efficiency and equity</x:v>
      </x:c>
      <x:c r="C421" s="159" t="str">
        <x:v>Food security</x:v>
      </x:c>
      <x:c r="D421" s="159" t="str">
        <x:v>Exposure</x:v>
      </x:c>
      <x:c r="E421" s="153" t="str"/>
      <x:c r="F421" s="153" t="str"/>
      <x:c r="G421" s="159" t="str">
        <x:v>Not eligible</x:v>
      </x:c>
      <x:c r="H421" s="159" t="str">
        <x:v>Not applicable</x:v>
      </x:c>
      <x:c r="I421" s="159" t="str">
        <x:v>Not applicable</x:v>
      </x:c>
      <x:c r="J421" s="159" t="str">
        <x:v>Not applicable</x:v>
      </x:c>
      <x:c r="K421" s="159" t="str">
        <x:v>No</x:v>
      </x:c>
      <x:c r="L421" s="159" t="str">
        <x:v>5-10 years</x:v>
      </x:c>
      <x:c r="M421" s="168" t="n">
        <x:v>0</x:v>
      </x:c>
      <x:c r="N421" s="168" t="n">
        <x:v>0</x:v>
      </x:c>
      <x:c r="O421" s="159" t="str"/>
      <x:c r="P421" s="159" t="str"/>
      <x:c r="Q421" s="159" t="str">
        <x:v>The action's primary mechanism does not directly change a terminal Food Security exposure indicator.</x:v>
      </x:c>
      <x:c r="R421" s="160" t="str">
        <x:v>"Reform water tariffs to support efficiency and equity" involve pricing structures for water use, encouraging conservation and efficient use of water resources. This initiative aims to promote responsible water consumption and contribute to sustainable water management.</x:v>
      </x:c>
    </x:row>
    <x:row r="422" ht="66" customHeight="1">
      <x:c r="A422" s="165" t="str">
        <x:v>c40_0062</x:v>
      </x:c>
      <x:c r="B422" s="159" t="str">
        <x:v>Reform water tariffs to support efficiency and equity</x:v>
      </x:c>
      <x:c r="C422" s="159" t="str">
        <x:v>Food security</x:v>
      </x:c>
      <x:c r="D422" s="159" t="str">
        <x:v>Vulnerability</x:v>
      </x:c>
      <x:c r="E422" s="153" t="str"/>
      <x:c r="F422" s="153" t="str"/>
      <x:c r="G422" s="159" t="str">
        <x:v>Not eligible</x:v>
      </x:c>
      <x:c r="H422" s="159" t="str">
        <x:v>Not applicable</x:v>
      </x:c>
      <x:c r="I422" s="159" t="str">
        <x:v>Not applicable</x:v>
      </x:c>
      <x:c r="J422" s="159" t="str">
        <x:v>Not applicable</x:v>
      </x:c>
      <x:c r="K422" s="159" t="str">
        <x:v>No</x:v>
      </x:c>
      <x:c r="L422" s="159" t="str">
        <x:v>5-10 years</x:v>
      </x:c>
      <x:c r="M422" s="168" t="n">
        <x:v>0</x:v>
      </x:c>
      <x:c r="N422" s="168" t="n">
        <x:v>0</x:v>
      </x:c>
      <x:c r="O422" s="159" t="str"/>
      <x:c r="P422" s="159" t="str"/>
      <x:c r="Q422" s="159" t="str">
        <x:v>The action's primary mechanism does not directly change a terminal Food Security vulnerability indicator.</x:v>
      </x:c>
      <x:c r="R422" s="160" t="str">
        <x:v>"Reform water tariffs to support efficiency and equity" involve pricing structures for water use, encouraging conservation and efficient use of water resources. This initiative aims to promote responsible water consumption and contribute to sustainable water management.</x:v>
      </x:c>
    </x:row>
    <x:row r="423" ht="66" customHeight="1">
      <x:c r="A423" s="165" t="str">
        <x:v>icare_0181</x:v>
      </x:c>
      <x:c r="B423" s="159" t="str">
        <x:v>Restore in Vulnerable Areas</x:v>
      </x:c>
      <x:c r="C423" s="159" t="str">
        <x:v>Food security</x:v>
      </x:c>
      <x:c r="D423" s="159" t="str">
        <x:v>Vulnerability</x:v>
      </x:c>
      <x:c r="E423" s="153" t="str"/>
      <x:c r="F423" s="153" t="str"/>
      <x:c r="G423" s="159" t="str">
        <x:v>Not eligible</x:v>
      </x:c>
      <x:c r="H423" s="159" t="str">
        <x:v>Not applicable</x:v>
      </x:c>
      <x:c r="I423" s="159" t="str">
        <x:v>Not applicable</x:v>
      </x:c>
      <x:c r="J423" s="159" t="str">
        <x:v>Not applicable</x:v>
      </x:c>
      <x:c r="K423" s="159" t="str">
        <x:v>No</x:v>
      </x:c>
      <x:c r="L423" s="159" t="str">
        <x:v>5-10 years</x:v>
      </x:c>
      <x:c r="M423" s="168" t="n">
        <x:v>0</x:v>
      </x:c>
      <x:c r="N423" s="168" t="n">
        <x:v>0</x:v>
      </x:c>
      <x:c r="O423" s="159" t="str"/>
      <x:c r="P423" s="159" t="str"/>
      <x:c r="Q423" s="159" t="str">
        <x:v>The action's primary mechanism does not directly change a terminal Food Security vulnerability indicator.</x:v>
      </x:c>
      <x:c r="R423" s="160" t="str">
        <x:v>A comprehensive project addressing the socio-environmental vulnerability of an informal settlement. It includes relocating residents from flood-prone areas, restoring the environment, and providing infrastructure and social services.</x:v>
      </x:c>
    </x:row>
    <x:row r="424" ht="66" customHeight="1">
      <x:c r="A424" s="165" t="str">
        <x:v>ipcc_0084</x:v>
      </x:c>
      <x:c r="B424" s="159" t="str">
        <x:v>Restore/create natural areas</x:v>
      </x:c>
      <x:c r="C424" s="159" t="str">
        <x:v>Food security</x:v>
      </x:c>
      <x:c r="D424" s="159" t="str">
        <x:v>Exposure</x:v>
      </x:c>
      <x:c r="E424" s="153" t="str"/>
      <x:c r="F424" s="153" t="str"/>
      <x:c r="G424" s="159" t="str">
        <x:v>Not eligible</x:v>
      </x:c>
      <x:c r="H424" s="159" t="str">
        <x:v>Not applicable</x:v>
      </x:c>
      <x:c r="I424" s="159" t="str">
        <x:v>Not applicable</x:v>
      </x:c>
      <x:c r="J424" s="159" t="str">
        <x:v>Not applicable</x:v>
      </x:c>
      <x:c r="K424" s="159" t="str">
        <x:v>No</x:v>
      </x:c>
      <x:c r="L424" s="159" t="str">
        <x:v>5-10 years</x:v>
      </x:c>
      <x:c r="M424" s="168" t="n">
        <x:v>0</x:v>
      </x:c>
      <x:c r="N424" s="168" t="n">
        <x:v>0</x:v>
      </x:c>
      <x:c r="O424" s="159" t="str"/>
      <x:c r="P424" s="159" t="str"/>
      <x:c r="Q424" s="159" t="str">
        <x:v>The action's primary mechanism does not directly change a terminal Food Security exposure indicator.</x:v>
      </x:c>
      <x:c r="R424" s="160" t="str">
        <x:v>Restoration and conservation of marine and coastal habitats, such as mangroves, vegetated dunes, seagrasses, coral reefs, and kelp forests, to protect coastal communities, support biodiversity, sequester carbon, and mitigate climate change. Efforts include creating marine protected areas, active restoration of coral reefs, ridge-to-reef management, restoring dunes, planting salinity-tolerant trees, increasing forest cover, detect and manage forest pests.</x:v>
      </x:c>
    </x:row>
    <x:row r="425" ht="66" customHeight="1">
      <x:c r="A425" s="165" t="str">
        <x:v>ipcc_0089</x:v>
      </x:c>
      <x:c r="B425" s="159" t="str">
        <x:v>Spatially redirect development</x:v>
      </x:c>
      <x:c r="C425" s="159" t="str">
        <x:v>Food security</x:v>
      </x:c>
      <x:c r="D425" s="159" t="str">
        <x:v>Vulnerability</x:v>
      </x:c>
      <x:c r="E425" s="153" t="str"/>
      <x:c r="F425" s="153" t="str"/>
      <x:c r="G425" s="159" t="str">
        <x:v>Not eligible</x:v>
      </x:c>
      <x:c r="H425" s="159" t="str">
        <x:v>Not applicable</x:v>
      </x:c>
      <x:c r="I425" s="159" t="str">
        <x:v>Not applicable</x:v>
      </x:c>
      <x:c r="J425" s="159" t="str">
        <x:v>Not applicable</x:v>
      </x:c>
      <x:c r="K425" s="159" t="str">
        <x:v>No</x:v>
      </x:c>
      <x:c r="L425" s="159" t="str">
        <x:v>5-10 years</x:v>
      </x:c>
      <x:c r="M425" s="168" t="n">
        <x:v>0</x:v>
      </x:c>
      <x:c r="N425" s="168" t="n">
        <x:v>0</x:v>
      </x:c>
      <x:c r="O425" s="159" t="str"/>
      <x:c r="P425" s="159" t="str"/>
      <x:c r="Q425" s="159" t="str">
        <x:v>The action's primary mechanism does not directly change a terminal Food Security vulnerability indicator.</x:v>
      </x:c>
      <x:c r="R425" s="160" t="str">
        <x:v>Use zoning and land-use planning to regulate coastal development by implementing spatial development strategies that consider environmental vulnerabilities, protect ecosystems, and mitigate risks from flooding, heatwaves, and sea-level rise. This includes ensuring that development is directed away from high-risk areas, integrating climate adaptation considerations into urban planning, and promoting sustainable practices to close adaptation gaps while addressing urban inequality.</x:v>
      </x:c>
    </x:row>
    <x:row r="426" ht="66" customHeight="1">
      <x:c r="A426" s="165" t="str">
        <x:v>ipcc_0096</x:v>
      </x:c>
      <x:c r="B426" s="159" t="str">
        <x:v>Strengthen climate resilience in farming and fisheries</x:v>
      </x:c>
      <x:c r="C426" s="159" t="str">
        <x:v>Food security</x:v>
      </x:c>
      <x:c r="D426" s="159" t="str">
        <x:v>Exposure</x:v>
      </x:c>
      <x:c r="E426" s="153" t="str"/>
      <x:c r="F426" s="153" t="str"/>
      <x:c r="G426" s="159" t="str">
        <x:v>Not eligible</x:v>
      </x:c>
      <x:c r="H426" s="159" t="str">
        <x:v>Not applicable</x:v>
      </x:c>
      <x:c r="I426" s="159" t="str">
        <x:v>Not applicable</x:v>
      </x:c>
      <x:c r="J426" s="159" t="str">
        <x:v>Not applicable</x:v>
      </x:c>
      <x:c r="K426" s="159" t="str">
        <x:v>No</x:v>
      </x:c>
      <x:c r="L426" s="159" t="str">
        <x:v>5-10 years</x:v>
      </x:c>
      <x:c r="M426" s="168" t="n">
        <x:v>0</x:v>
      </x:c>
      <x:c r="N426" s="168" t="n">
        <x:v>0</x:v>
      </x:c>
      <x:c r="O426" s="159" t="str"/>
      <x:c r="P426" s="159" t="str"/>
      <x:c r="Q426" s="159" t="str">
        <x:v>The action's primary mechanism does not directly change a terminal Food Security exposure indicator.</x:v>
      </x:c>
      <x:c r="R426" s="160" t="str">
        <x:v>Support the adoption of climate-smart agricultural and aquaculture practices by creating enabling conditions for farmers and fishers. Municipal governments can promote improved breeds, feed, and fertilizers, enhance irrigation efficiency, and foster aquaculture resilience through extension services, research partnerships, and targeted procurement. By offering incentives, technical assistance, and facilitating access to innovation and finance, cities can help producers adopt agroecological systems, diversify crops, and strengthen sustainable practices that build resilience to climate impacts.</x:v>
      </x:c>
    </x:row>
    <x:row r="427" ht="66" customHeight="1">
      <x:c r="A427" s="165" t="str">
        <x:v>ipcc_0094</x:v>
      </x:c>
      <x:c r="B427" s="159" t="str">
        <x:v>Strengthen climate‑resilient health services</x:v>
      </x:c>
      <x:c r="C427" s="159" t="str">
        <x:v>Food security</x:v>
      </x:c>
      <x:c r="D427" s="159" t="str">
        <x:v>Exposure</x:v>
      </x:c>
      <x:c r="E427" s="153" t="str"/>
      <x:c r="F427" s="153" t="str"/>
      <x:c r="G427" s="159" t="str">
        <x:v>Not eligible</x:v>
      </x:c>
      <x:c r="H427" s="159" t="str">
        <x:v>Not applicable</x:v>
      </x:c>
      <x:c r="I427" s="159" t="str">
        <x:v>Not applicable</x:v>
      </x:c>
      <x:c r="J427" s="159" t="str">
        <x:v>Not applicable</x:v>
      </x:c>
      <x:c r="K427" s="159" t="str">
        <x:v>No</x:v>
      </x:c>
      <x:c r="L427" s="159" t="str">
        <x:v>5-10 years</x:v>
      </x:c>
      <x:c r="M427" s="168" t="n">
        <x:v>0</x:v>
      </x:c>
      <x:c r="N427" s="168" t="n">
        <x:v>0</x:v>
      </x:c>
      <x:c r="O427" s="159" t="str"/>
      <x:c r="P427" s="159" t="str"/>
      <x:c r="Q427" s="159" t="str">
        <x:v>The action's primary mechanism does not directly change a terminal Food Security exposure indicator.</x:v>
      </x:c>
      <x:c r="R427" s="160" t="str">
        <x:v>Enhancing access to health care services, including health and nutrition services, clean water, sanitation, and culturally appropriate mental health resources. Expanding telemedicine capabilities enables efficient health service delivery, particularly for remote and underserved populations. Strengthening basic public health systems and disaster preparedness can rapidly reduce vulnerability to climate-related health risks.</x:v>
      </x:c>
    </x:row>
    <x:row r="428" ht="66" customHeight="1">
      <x:c r="A428" s="165" t="str">
        <x:v>c40_0046</x:v>
      </x:c>
      <x:c r="B428" s="159" t="str">
        <x:v>Strengthen coastal protection infrastructure</x:v>
      </x:c>
      <x:c r="C428" s="159" t="str">
        <x:v>Food security</x:v>
      </x:c>
      <x:c r="D428" s="159" t="str">
        <x:v>Exposure</x:v>
      </x:c>
      <x:c r="E428" s="153" t="str"/>
      <x:c r="F428" s="153" t="str"/>
      <x:c r="G428" s="159" t="str">
        <x:v>Not eligible</x:v>
      </x:c>
      <x:c r="H428" s="159" t="str">
        <x:v>Not applicable</x:v>
      </x:c>
      <x:c r="I428" s="159" t="str">
        <x:v>Not applicable</x:v>
      </x:c>
      <x:c r="J428" s="159" t="str">
        <x:v>Not applicable</x:v>
      </x:c>
      <x:c r="K428" s="159" t="str">
        <x:v>No</x:v>
      </x:c>
      <x:c r="L428" s="159" t="str">
        <x:v>5-10 years</x:v>
      </x:c>
      <x:c r="M428" s="168" t="n">
        <x:v>0</x:v>
      </x:c>
      <x:c r="N428" s="168" t="n">
        <x:v>0</x:v>
      </x:c>
      <x:c r="O428" s="159" t="str"/>
      <x:c r="P428" s="159" t="str"/>
      <x:c r="Q428" s="159" t="str">
        <x:v>The action's primary mechanism does not directly change a terminal Food Security exposure indicator.</x:v>
      </x:c>
      <x:c r="R428" s="160" t="str">
        <x:v>Strengthen coastal protection infrastructure strategies include the construction of sea walls and protective structures to mitigate the impact of rising sea levels and coastal erosion. This adaptation measure enhances the resilience of coastal areas and protects communities from the impacts of climate change. Crucially, these interventions must be developed through an integrated coastal management framework, prioritizing nature-based solutions where feasible, to avoid negative downstream effects and ensure equitable protection for all vulnerable communities.</x:v>
      </x:c>
    </x:row>
    <x:row r="429" ht="66" customHeight="1">
      <x:c r="A429" s="165" t="str">
        <x:v>c40_0046</x:v>
      </x:c>
      <x:c r="B429" s="159" t="str">
        <x:v>Strengthen coastal protection infrastructure</x:v>
      </x:c>
      <x:c r="C429" s="159" t="str">
        <x:v>Food security</x:v>
      </x:c>
      <x:c r="D429" s="159" t="str">
        <x:v>Vulnerability</x:v>
      </x:c>
      <x:c r="E429" s="153" t="str"/>
      <x:c r="F429" s="153" t="str"/>
      <x:c r="G429" s="159" t="str">
        <x:v>Not eligible</x:v>
      </x:c>
      <x:c r="H429" s="159" t="str">
        <x:v>Not applicable</x:v>
      </x:c>
      <x:c r="I429" s="159" t="str">
        <x:v>Not applicable</x:v>
      </x:c>
      <x:c r="J429" s="159" t="str">
        <x:v>Not applicable</x:v>
      </x:c>
      <x:c r="K429" s="159" t="str">
        <x:v>No</x:v>
      </x:c>
      <x:c r="L429" s="159" t="str">
        <x:v>5-10 years</x:v>
      </x:c>
      <x:c r="M429" s="168" t="n">
        <x:v>0</x:v>
      </x:c>
      <x:c r="N429" s="168" t="n">
        <x:v>0</x:v>
      </x:c>
      <x:c r="O429" s="159" t="str"/>
      <x:c r="P429" s="159" t="str"/>
      <x:c r="Q429" s="159" t="str">
        <x:v>The action's primary mechanism does not directly change a terminal Food Security vulnerability indicator.</x:v>
      </x:c>
      <x:c r="R429" s="160" t="str">
        <x:v>Strengthen coastal protection infrastructure strategies include the construction of sea walls and protective structures to mitigate the impact of rising sea levels and coastal erosion. This adaptation measure enhances the resilience of coastal areas and protects communities from the impacts of climate change. Crucially, these interventions must be developed through an integrated coastal management framework, prioritizing nature-based solutions where feasible, to avoid negative downstream effects and ensure equitable protection for all vulnerable communities.</x:v>
      </x:c>
    </x:row>
    <x:row r="430" ht="66" customHeight="1">
      <x:c r="A430" s="165" t="str">
        <x:v>ipcc_0103</x:v>
      </x:c>
      <x:c r="B430" s="159" t="str">
        <x:v>Strengthen cooperative climate governance</x:v>
      </x:c>
      <x:c r="C430" s="159" t="str">
        <x:v>Food security</x:v>
      </x:c>
      <x:c r="D430" s="159" t="str">
        <x:v>Exposure</x:v>
      </x:c>
      <x:c r="E430" s="153" t="str"/>
      <x:c r="F430" s="153" t="str"/>
      <x:c r="G430" s="159" t="str">
        <x:v>Not eligible</x:v>
      </x:c>
      <x:c r="H430" s="159" t="str">
        <x:v>Not applicable</x:v>
      </x:c>
      <x:c r="I430" s="159" t="str">
        <x:v>Not applicable</x:v>
      </x:c>
      <x:c r="J430" s="159" t="str">
        <x:v>Not applicable</x:v>
      </x:c>
      <x:c r="K430" s="159" t="str">
        <x:v>No</x:v>
      </x:c>
      <x:c r="L430" s="159" t="str">
        <x:v>5-10 years</x:v>
      </x:c>
      <x:c r="M430" s="168" t="n">
        <x:v>0</x:v>
      </x:c>
      <x:c r="N430" s="168" t="n">
        <x:v>0</x:v>
      </x:c>
      <x:c r="O430" s="159" t="str"/>
      <x:c r="P430" s="159" t="str"/>
      <x:c r="Q430" s="159" t="str">
        <x:v>The action's primary mechanism does not directly change a terminal Food Security exposure indicator.</x:v>
      </x:c>
      <x:c r="R430" s="160" t="str">
        <x:v>Enhancing cooperative governance through transboundary fishing agreements and inclusive ocean governance. This involves participatory approaches, structured decision-making tools, and decentralized frameworks that couple top-down management with community-driven initiatives. Additional strategies include collective water management systems to optimize resource use under climate-induced variability, indigenous water-sharing systems rooted in traditional practices to ensure sustainable and equitable resource allocation, and enforcing the land rights of Indigenous populations to protect biodiversity and cultural heritage. Adaptive co-management in Arctic fisheries integrates local and scientific knowledge to address climate impacts on marine resources. The international compact on migration fosters orderly and safe migration as an adaptive response to climate risks, and policies for adaptive governance promote ecosystem-based solutions, legal frameworks, and institutional adaptations to enhance resilience to climate change. These combined measures address geopolitical complexities, ensure equitable resource distribution, and strengthen resilience to climate-induced hazards.</x:v>
      </x:c>
    </x:row>
    <x:row r="431" ht="66" customHeight="1">
      <x:c r="A431" s="165" t="str">
        <x:v>icare_0162</x:v>
      </x:c>
      <x:c r="B431" s="159" t="str">
        <x:v>Strengthen programs for control and conservation of protected areas</x:v>
      </x:c>
      <x:c r="C431" s="159" t="str">
        <x:v>Food security</x:v>
      </x:c>
      <x:c r="D431" s="159" t="str">
        <x:v>Exposure</x:v>
      </x:c>
      <x:c r="E431" s="153" t="str"/>
      <x:c r="F431" s="153" t="str"/>
      <x:c r="G431" s="159" t="str">
        <x:v>Not eligible</x:v>
      </x:c>
      <x:c r="H431" s="159" t="str">
        <x:v>Not applicable</x:v>
      </x:c>
      <x:c r="I431" s="159" t="str">
        <x:v>Not applicable</x:v>
      </x:c>
      <x:c r="J431" s="159" t="str">
        <x:v>Not applicable</x:v>
      </x:c>
      <x:c r="K431" s="159" t="str">
        <x:v>No</x:v>
      </x:c>
      <x:c r="L431" s="159" t="str">
        <x:v>5-10 years</x:v>
      </x:c>
      <x:c r="M431" s="168" t="n">
        <x:v>0</x:v>
      </x:c>
      <x:c r="N431" s="168" t="n">
        <x:v>0</x:v>
      </x:c>
      <x:c r="O431" s="159" t="str"/>
      <x:c r="P431" s="159" t="str"/>
      <x:c r="Q431" s="159" t="str">
        <x:v>The action's primary mechanism does not directly change a terminal Food Security exposure indicator.</x:v>
      </x:c>
      <x:c r="R431" s="160" t="str">
        <x:v>This action focuses on implementing a series of integrated strategies to enhance environmental conservation and maximize its benefits, such as expanding protected areas, developing management plans for conservation units, and training ecotourism guides to strengthen sustainable tourism.</x:v>
      </x:c>
    </x:row>
    <x:row r="432" ht="66" customHeight="1">
      <x:c r="A432" s="165" t="str">
        <x:v>icare_0162</x:v>
      </x:c>
      <x:c r="B432" s="159" t="str">
        <x:v>Strengthen programs for control and conservation of protected areas</x:v>
      </x:c>
      <x:c r="C432" s="159" t="str">
        <x:v>Food security</x:v>
      </x:c>
      <x:c r="D432" s="159" t="str">
        <x:v>Vulnerability</x:v>
      </x:c>
      <x:c r="E432" s="153" t="str"/>
      <x:c r="F432" s="153" t="str"/>
      <x:c r="G432" s="159" t="str">
        <x:v>Not eligible</x:v>
      </x:c>
      <x:c r="H432" s="159" t="str">
        <x:v>Not applicable</x:v>
      </x:c>
      <x:c r="I432" s="159" t="str">
        <x:v>Not applicable</x:v>
      </x:c>
      <x:c r="J432" s="159" t="str">
        <x:v>Not applicable</x:v>
      </x:c>
      <x:c r="K432" s="159" t="str">
        <x:v>No</x:v>
      </x:c>
      <x:c r="L432" s="159" t="str">
        <x:v>5-10 years</x:v>
      </x:c>
      <x:c r="M432" s="168" t="n">
        <x:v>0</x:v>
      </x:c>
      <x:c r="N432" s="168" t="n">
        <x:v>0</x:v>
      </x:c>
      <x:c r="O432" s="159" t="str"/>
      <x:c r="P432" s="159" t="str"/>
      <x:c r="Q432" s="159" t="str">
        <x:v>The action's primary mechanism does not directly change a terminal Food Security vulnerability indicator.</x:v>
      </x:c>
      <x:c r="R432" s="160" t="str">
        <x:v>This action focuses on implementing a series of integrated strategies to enhance environmental conservation and maximize its benefits, such as expanding protected areas, developing management plans for conservation units, and training ecotourism guides to strengthen sustainable tourism.</x:v>
      </x:c>
    </x:row>
    <x:row r="433" ht="66" customHeight="1">
      <x:c r="A433" s="165" t="str">
        <x:v>icare_0145</x:v>
      </x:c>
      <x:c r="B433" s="159" t="str">
        <x:v>Strengthen the healthcare system to respond effectively to extreme events</x:v>
      </x:c>
      <x:c r="C433" s="159" t="str">
        <x:v>Food security</x:v>
      </x:c>
      <x:c r="D433" s="159" t="str">
        <x:v>Exposure</x:v>
      </x:c>
      <x:c r="E433" s="153" t="str"/>
      <x:c r="F433" s="153" t="str"/>
      <x:c r="G433" s="159" t="str">
        <x:v>Not eligible</x:v>
      </x:c>
      <x:c r="H433" s="159" t="str">
        <x:v>Not applicable</x:v>
      </x:c>
      <x:c r="I433" s="159" t="str">
        <x:v>Not applicable</x:v>
      </x:c>
      <x:c r="J433" s="159" t="str">
        <x:v>Not applicable</x:v>
      </x:c>
      <x:c r="K433" s="159" t="str">
        <x:v>No</x:v>
      </x:c>
      <x:c r="L433" s="159" t="str">
        <x:v>&gt;10 years</x:v>
      </x:c>
      <x:c r="M433" s="168" t="n">
        <x:v>0</x:v>
      </x:c>
      <x:c r="N433" s="168" t="n">
        <x:v>0</x:v>
      </x:c>
      <x:c r="O433" s="159" t="str"/>
      <x:c r="P433" s="159" t="str"/>
      <x:c r="Q433" s="159" t="str">
        <x:v>The action's primary mechanism does not directly change a terminal Food Security exposure indicator.</x:v>
      </x:c>
      <x:c r="R433" s="160" t="str">
        <x:v>Improve the infrastructure of healthcare units to assist people who require medical care due to impacts associated with climate risks (climate victims), such as those affected by heat waves or floods, especially in more vulnerable areas. Develop action plans to prepare the healthcare network for extreme climate-related situations.</x:v>
      </x:c>
    </x:row>
    <x:row r="434" ht="66" customHeight="1">
      <x:c r="A434" s="165" t="str">
        <x:v>icare_0145</x:v>
      </x:c>
      <x:c r="B434" s="159" t="str">
        <x:v>Strengthen the healthcare system to respond effectively to extreme events</x:v>
      </x:c>
      <x:c r="C434" s="159" t="str">
        <x:v>Food security</x:v>
      </x:c>
      <x:c r="D434" s="159" t="str">
        <x:v>Vulnerability</x:v>
      </x:c>
      <x:c r="E434" s="153" t="str"/>
      <x:c r="F434" s="153" t="str"/>
      <x:c r="G434" s="159" t="str">
        <x:v>Not eligible</x:v>
      </x:c>
      <x:c r="H434" s="159" t="str">
        <x:v>Not applicable</x:v>
      </x:c>
      <x:c r="I434" s="159" t="str">
        <x:v>Not applicable</x:v>
      </x:c>
      <x:c r="J434" s="159" t="str">
        <x:v>Not applicable</x:v>
      </x:c>
      <x:c r="K434" s="159" t="str">
        <x:v>No</x:v>
      </x:c>
      <x:c r="L434" s="159" t="str">
        <x:v>&gt;10 years</x:v>
      </x:c>
      <x:c r="M434" s="168" t="n">
        <x:v>0</x:v>
      </x:c>
      <x:c r="N434" s="168" t="n">
        <x:v>0</x:v>
      </x:c>
      <x:c r="O434" s="159" t="str"/>
      <x:c r="P434" s="159" t="str"/>
      <x:c r="Q434" s="159" t="str">
        <x:v>The action's primary mechanism does not directly change a terminal Food Security vulnerability indicator.</x:v>
      </x:c>
      <x:c r="R434" s="160" t="str">
        <x:v>Improve the infrastructure of healthcare units to assist people who require medical care due to impacts associated with climate risks (climate victims), such as those affected by heat waves or floods, especially in more vulnerable areas. Develop action plans to prepare the healthcare network for extreme climate-related situations.</x:v>
      </x:c>
    </x:row>
    <x:row r="435" ht="66" customHeight="1">
      <x:c r="A435" s="165" t="str">
        <x:v>ipcc_0091</x:v>
      </x:c>
      <x:c r="B435" s="159" t="str">
        <x:v>Support livelihood diversification for climate resilience</x:v>
      </x:c>
      <x:c r="C435" s="159" t="str">
        <x:v>Food security</x:v>
      </x:c>
      <x:c r="D435" s="159" t="str">
        <x:v>Exposure</x:v>
      </x:c>
      <x:c r="E435" s="153" t="str"/>
      <x:c r="F435" s="153" t="str"/>
      <x:c r="G435" s="159" t="str">
        <x:v>Not eligible</x:v>
      </x:c>
      <x:c r="H435" s="159" t="str">
        <x:v>Not applicable</x:v>
      </x:c>
      <x:c r="I435" s="159" t="str">
        <x:v>Not applicable</x:v>
      </x:c>
      <x:c r="J435" s="159" t="str">
        <x:v>Not applicable</x:v>
      </x:c>
      <x:c r="K435" s="159" t="str">
        <x:v>No</x:v>
      </x:c>
      <x:c r="L435" s="159" t="str">
        <x:v>&lt;5 years</x:v>
      </x:c>
      <x:c r="M435" s="168" t="n">
        <x:v>0</x:v>
      </x:c>
      <x:c r="N435" s="168" t="n">
        <x:v>0</x:v>
      </x:c>
      <x:c r="O435" s="159" t="str"/>
      <x:c r="P435" s="159" t="str"/>
      <x:c r="Q435" s="159" t="str">
        <x:v>The action's primary mechanism does not directly change a terminal Food Security exposure indicator.</x:v>
      </x:c>
      <x:c r="R435" s="160" t="str">
        <x:v>Promote alternative income opportunities to reduce the vulnerability of communities dependent on fisheries and mariculture. Municipal governments can facilitate training, microcredit programs, and connections to value chains that enable diversification into eco-tourism, agro-processing, crafts, and service sectors. By supporting infrastructure upgrades, skills development, and access to finance, cities can help stabilize incomes, strengthen local economies, and protect livelihoods from the impacts of shifting marine species distributions and climate variability.</x:v>
      </x:c>
    </x:row>
    <x:row r="436" ht="66" customHeight="1">
      <x:c r="A436" s="165" t="str">
        <x:v>ipcc_0088</x:v>
      </x:c>
      <x:c r="B436" s="159" t="str">
        <x:v>Update and enforce climate‑resilient building codes</x:v>
      </x:c>
      <x:c r="C436" s="159" t="str">
        <x:v>Food security</x:v>
      </x:c>
      <x:c r="D436" s="159" t="str">
        <x:v>Exposure</x:v>
      </x:c>
      <x:c r="E436" s="153" t="str"/>
      <x:c r="F436" s="153" t="str"/>
      <x:c r="G436" s="159" t="str">
        <x:v>Not eligible</x:v>
      </x:c>
      <x:c r="H436" s="159" t="str">
        <x:v>Not applicable</x:v>
      </x:c>
      <x:c r="I436" s="159" t="str">
        <x:v>Not applicable</x:v>
      </x:c>
      <x:c r="J436" s="159" t="str">
        <x:v>Not applicable</x:v>
      </x:c>
      <x:c r="K436" s="159" t="str">
        <x:v>No</x:v>
      </x:c>
      <x:c r="L436" s="159" t="str">
        <x:v>5-10 years</x:v>
      </x:c>
      <x:c r="M436" s="168" t="n">
        <x:v>0</x:v>
      </x:c>
      <x:c r="N436" s="168" t="n">
        <x:v>0</x:v>
      </x:c>
      <x:c r="O436" s="159" t="str"/>
      <x:c r="P436" s="159" t="str"/>
      <x:c r="Q436" s="159" t="str">
        <x:v>The action's primary mechanism does not directly change a terminal Food Security exposure indicator.</x:v>
      </x:c>
      <x:c r="R436" s="160" t="str">
        <x:v>The development and implementation of building codes and architectural design regulations aimed at integrating climate adaptation parameters. These codes are focused on reducing risks from climate-induced hazards like floods and landslides. They also support climate-resilient urban development by guiding land use, construction practices, and infrastructure standards. The initiative fosters strategic long-term urban planning to coordinate public and private investments in adaptation, including the creation of safe zones and the transformation of precarious settlements. It ensures that new infrastructure is resilient to climate risks and that urban spaces are safe and sustainable for current and future populations.</x:v>
      </x:c>
    </x:row>
    <x:row r="437" ht="66" customHeight="1">
      <x:c r="A437" s="165" t="str">
        <x:v>ipcc_0088</x:v>
      </x:c>
      <x:c r="B437" s="159" t="str">
        <x:v>Update and enforce climate‑resilient building codes</x:v>
      </x:c>
      <x:c r="C437" s="159" t="str">
        <x:v>Food security</x:v>
      </x:c>
      <x:c r="D437" s="159" t="str">
        <x:v>Vulnerability</x:v>
      </x:c>
      <x:c r="E437" s="153" t="str"/>
      <x:c r="F437" s="153" t="str"/>
      <x:c r="G437" s="159" t="str">
        <x:v>Not eligible</x:v>
      </x:c>
      <x:c r="H437" s="159" t="str">
        <x:v>Not applicable</x:v>
      </x:c>
      <x:c r="I437" s="159" t="str">
        <x:v>Not applicable</x:v>
      </x:c>
      <x:c r="J437" s="159" t="str">
        <x:v>Not applicable</x:v>
      </x:c>
      <x:c r="K437" s="159" t="str">
        <x:v>No</x:v>
      </x:c>
      <x:c r="L437" s="159" t="str">
        <x:v>5-10 years</x:v>
      </x:c>
      <x:c r="M437" s="168" t="n">
        <x:v>0</x:v>
      </x:c>
      <x:c r="N437" s="168" t="n">
        <x:v>0</x:v>
      </x:c>
      <x:c r="O437" s="159" t="str"/>
      <x:c r="P437" s="159" t="str"/>
      <x:c r="Q437" s="159" t="str">
        <x:v>The action's primary mechanism does not directly change a terminal Food Security vulnerability indicator.</x:v>
      </x:c>
      <x:c r="R437" s="160" t="str">
        <x:v>The development and implementation of building codes and architectural design regulations aimed at integrating climate adaptation parameters. These codes are focused on reducing risks from climate-induced hazards like floods and landslides. They also support climate-resilient urban development by guiding land use, construction practices, and infrastructure standards. The initiative fosters strategic long-term urban planning to coordinate public and private investments in adaptation, including the creation of safe zones and the transformation of precarious settlements. It ensures that new infrastructure is resilient to climate risks and that urban spaces are safe and sustainable for current and future populations.</x:v>
      </x:c>
    </x:row>
    <x:row r="438" ht="66" customHeight="1">
      <x:c r="A438" s="165" t="str">
        <x:v>ipcc_0097</x:v>
      </x:c>
      <x:c r="B438" s="159" t="str">
        <x:v>Upgrade food storage and distribution for climate resilience</x:v>
      </x:c>
      <x:c r="C438" s="159" t="str">
        <x:v>Food security</x:v>
      </x:c>
      <x:c r="D438" s="159" t="str">
        <x:v>Exposure</x:v>
      </x:c>
      <x:c r="E438" s="153" t="str"/>
      <x:c r="F438" s="153" t="str"/>
      <x:c r="G438" s="159" t="str">
        <x:v>Not eligible</x:v>
      </x:c>
      <x:c r="H438" s="159" t="str">
        <x:v>Not applicable</x:v>
      </x:c>
      <x:c r="I438" s="159" t="str">
        <x:v>Not applicable</x:v>
      </x:c>
      <x:c r="J438" s="159" t="str">
        <x:v>Not applicable</x:v>
      </x:c>
      <x:c r="K438" s="159" t="str">
        <x:v>No</x:v>
      </x:c>
      <x:c r="L438" s="159" t="str">
        <x:v>5-10 years</x:v>
      </x:c>
      <x:c r="M438" s="168" t="n">
        <x:v>0</x:v>
      </x:c>
      <x:c r="N438" s="168" t="n">
        <x:v>0</x:v>
      </x:c>
      <x:c r="O438" s="159" t="str"/>
      <x:c r="P438" s="159" t="str"/>
      <x:c r="Q438" s="159" t="str">
        <x:v>The action's primary mechanism does not directly change a terminal Food Security exposure indicator.</x:v>
      </x:c>
      <x:c r="R438" s="160" t="str">
        <x:v>Strengthen local food systems by improving storage and distribution infrastructure to reduce losses and enhance resilience to climate impacts. Municipal governments can invest in public facilities such as cool storage units, silos, and warehouses, while upgrading logistics to handle perishable goods more efficiently. By supporting local markets, optimizing distribution networks, and facilitating access to reliable storage for producers and vendors, cities can improve food security, reduce waste, and ensure stable food availability during crises and extreme events.</x:v>
      </x:c>
    </x:row>
    <x:row r="439" ht="66" customHeight="1">
      <x:c r="A439" s="165" t="str">
        <x:v>icare_0184</x:v>
      </x:c>
      <x:c r="B439" s="159" t="str">
        <x:v>Upgrade Slope stabilization and drainage</x:v>
      </x:c>
      <x:c r="C439" s="159" t="str">
        <x:v>Food security</x:v>
      </x:c>
      <x:c r="D439" s="159" t="str">
        <x:v>Exposure</x:v>
      </x:c>
      <x:c r="E439" s="153" t="str"/>
      <x:c r="F439" s="153" t="str"/>
      <x:c r="G439" s="159" t="str">
        <x:v>Not eligible</x:v>
      </x:c>
      <x:c r="H439" s="159" t="str">
        <x:v>Not applicable</x:v>
      </x:c>
      <x:c r="I439" s="159" t="str">
        <x:v>Not applicable</x:v>
      </x:c>
      <x:c r="J439" s="159" t="str">
        <x:v>Not applicable</x:v>
      </x:c>
      <x:c r="K439" s="159" t="str">
        <x:v>No</x:v>
      </x:c>
      <x:c r="L439" s="159" t="str">
        <x:v>5-10 years</x:v>
      </x:c>
      <x:c r="M439" s="168" t="n">
        <x:v>0</x:v>
      </x:c>
      <x:c r="N439" s="168" t="n">
        <x:v>0</x:v>
      </x:c>
      <x:c r="O439" s="159" t="str"/>
      <x:c r="P439" s="159" t="str"/>
      <x:c r="Q439" s="159" t="str">
        <x:v>The action's primary mechanism does not directly change a terminal Food Security exposure indicator.</x:v>
      </x:c>
      <x:c r="R439" s="160" t="str">
        <x:v>This action involves stabilizing slopes and maintaining or restoring drainage systems in hillside areas. This helps to prevent landslides and erosion, reducing the risk of disasters.</x:v>
      </x:c>
    </x:row>
    <x:row r="440" ht="66" customHeight="1">
      <x:c r="A440" s="165" t="str">
        <x:v>c40_0048</x:v>
      </x:c>
      <x:c r="B440" s="159" t="str">
        <x:v>Upgrade urban drainage systems</x:v>
      </x:c>
      <x:c r="C440" s="159" t="str">
        <x:v>Food security</x:v>
      </x:c>
      <x:c r="D440" s="159" t="str">
        <x:v>Exposure</x:v>
      </x:c>
      <x:c r="E440" s="153" t="str"/>
      <x:c r="F440" s="153" t="str"/>
      <x:c r="G440" s="159" t="str">
        <x:v>Not eligible</x:v>
      </x:c>
      <x:c r="H440" s="159" t="str">
        <x:v>Not applicable</x:v>
      </x:c>
      <x:c r="I440" s="159" t="str">
        <x:v>Not applicable</x:v>
      </x:c>
      <x:c r="J440" s="159" t="str">
        <x:v>Not applicable</x:v>
      </x:c>
      <x:c r="K440" s="159" t="str">
        <x:v>No</x:v>
      </x:c>
      <x:c r="L440" s="159" t="str">
        <x:v>5-10 years</x:v>
      </x:c>
      <x:c r="M440" s="168" t="n">
        <x:v>0</x:v>
      </x:c>
      <x:c r="N440" s="168" t="n">
        <x:v>0</x:v>
      </x:c>
      <x:c r="O440" s="159" t="str"/>
      <x:c r="P440" s="159" t="str"/>
      <x:c r="Q440" s="159" t="str">
        <x:v>The action's primary mechanism does not directly change a terminal Food Security exposure indicator.</x:v>
      </x:c>
      <x:c r="R440" s="160" t="str">
        <x:v>"Upgrade urban drainage systems" involves eco-engineering solutions to enhance drainage systems, through capacity upgrade and network expansion. This adaptation measure aims to improve urban resilience by minimizing the impact of extreme weather events such as flooding.</x:v>
      </x:c>
    </x:row>
    <x:row r="441" ht="66" customHeight="1">
      <x:c r="A441" s="165" t="str">
        <x:v>c40_0048</x:v>
      </x:c>
      <x:c r="B441" s="159" t="str">
        <x:v>Upgrade urban drainage systems</x:v>
      </x:c>
      <x:c r="C441" s="159" t="str">
        <x:v>Food security</x:v>
      </x:c>
      <x:c r="D441" s="159" t="str">
        <x:v>Vulnerability</x:v>
      </x:c>
      <x:c r="E441" s="153" t="str"/>
      <x:c r="F441" s="153" t="str"/>
      <x:c r="G441" s="159" t="str">
        <x:v>Not eligible</x:v>
      </x:c>
      <x:c r="H441" s="159" t="str">
        <x:v>Not applicable</x:v>
      </x:c>
      <x:c r="I441" s="159" t="str">
        <x:v>Not applicable</x:v>
      </x:c>
      <x:c r="J441" s="159" t="str">
        <x:v>Not applicable</x:v>
      </x:c>
      <x:c r="K441" s="159" t="str">
        <x:v>No</x:v>
      </x:c>
      <x:c r="L441" s="159" t="str">
        <x:v>5-10 years</x:v>
      </x:c>
      <x:c r="M441" s="168" t="n">
        <x:v>0</x:v>
      </x:c>
      <x:c r="N441" s="168" t="n">
        <x:v>0</x:v>
      </x:c>
      <x:c r="O441" s="159" t="str"/>
      <x:c r="P441" s="159" t="str"/>
      <x:c r="Q441" s="159" t="str">
        <x:v>The action's primary mechanism does not directly change a terminal Food Security vulnerability indicator.</x:v>
      </x:c>
      <x:c r="R441" s="160" t="str">
        <x:v>"Upgrade urban drainage systems" involves eco-engineering solutions to enhance drainage systems, through capacity upgrade and network expansion. This adaptation measure aims to improve urban resilience by minimizing the impact of extreme weather events such as flooding.</x:v>
      </x:c>
    </x:row>
    <x:row r="442" ht="66" customHeight="1">
      <x:c r="A442" s="165" t="str">
        <x:v>c40_0049</x:v>
      </x:c>
      <x:c r="B442" s="159" t="str">
        <x:v>Build and maintain shelters for critical climate hazards</x:v>
      </x:c>
      <x:c r="C442" s="159" t="str">
        <x:v>Geohydrological disasters</x:v>
      </x:c>
      <x:c r="D442" s="159" t="str">
        <x:v>Exposure</x:v>
      </x:c>
      <x:c r="E442" s="153" t="str"/>
      <x:c r="F442" s="153" t="str"/>
      <x:c r="G442" s="159" t="str">
        <x:v>Not eligible</x:v>
      </x:c>
      <x:c r="H442" s="159" t="str">
        <x:v>Not applicable</x:v>
      </x:c>
      <x:c r="I442" s="159" t="str">
        <x:v>Not applicable</x:v>
      </x:c>
      <x:c r="J442" s="159" t="str">
        <x:v>Not applicable</x:v>
      </x:c>
      <x:c r="K442" s="159" t="str">
        <x:v>No</x:v>
      </x:c>
      <x:c r="L442" s="159" t="str">
        <x:v>&lt;5 years</x:v>
      </x:c>
      <x:c r="M442" s="168" t="n">
        <x:v>0</x:v>
      </x:c>
      <x:c r="N442" s="168" t="n">
        <x:v>0</x:v>
      </x:c>
      <x:c r="O442" s="159" t="str"/>
      <x:c r="P442" s="159" t="str"/>
      <x:c r="Q442" s="159" t="str">
        <x:v>The action's primary mechanism does not directly change a terminal Geohydrological Disasters exposure indicator.</x:v>
      </x:c>
      <x:c r="R442" s="160" t="str">
        <x:v>"Build and maintain shelters for critical climate hazards" involves building and maintaining shelters in high-risk areas to protect residents during extreme weather events such as floods, cyclones, storms, landslides, extreme heat events or other critical climate hazards. Shelters should meet resilient design standards, including wind- and flood-resistant construction, and be strategically located to maximize accessibility for vulnerable populations. Where possible, shelters can serve multipurpose roles as schools or community centers. Clear funding mechanisms and defined responsibilities for operations and maintenance are essential to ensure long-term reliability and effectiveness.</x:v>
      </x:c>
    </x:row>
    <x:row r="443" ht="66" customHeight="1">
      <x:c r="A443" s="165" t="str">
        <x:v>icare_0154</x:v>
      </x:c>
      <x:c r="B443" s="159" t="str">
        <x:v>Clean and unclog drainage channels and install eco-barriers</x:v>
      </x:c>
      <x:c r="C443" s="159" t="str">
        <x:v>Geohydrological disasters</x:v>
      </x:c>
      <x:c r="D443" s="159" t="str">
        <x:v>Exposure</x:v>
      </x:c>
      <x:c r="E443" s="153" t="str"/>
      <x:c r="F443" s="153" t="str"/>
      <x:c r="G443" s="159" t="str">
        <x:v>Not eligible</x:v>
      </x:c>
      <x:c r="H443" s="159" t="str">
        <x:v>Not applicable</x:v>
      </x:c>
      <x:c r="I443" s="159" t="str">
        <x:v>Not applicable</x:v>
      </x:c>
      <x:c r="J443" s="159" t="str">
        <x:v>Not applicable</x:v>
      </x:c>
      <x:c r="K443" s="159" t="str">
        <x:v>No</x:v>
      </x:c>
      <x:c r="L443" s="159" t="str">
        <x:v>&lt;5 years</x:v>
      </x:c>
      <x:c r="M443" s="168" t="n">
        <x:v>0</x:v>
      </x:c>
      <x:c r="N443" s="168" t="n">
        <x:v>0</x:v>
      </x:c>
      <x:c r="O443" s="159" t="str"/>
      <x:c r="P443" s="159" t="str"/>
      <x:c r="Q443" s="159" t="str">
        <x:v>The action's primary mechanism does not directly change a terminal Geohydrological Disasters exposure indicator.</x:v>
      </x:c>
      <x:c r="R443" s="160" t="str">
        <x:v>Cleaning and unclogging channels in the city to reduce the risk of flooding caused by extreme rainfall events. Installation of eco-barriers to assist in cleaning efforts and raise awareness about solid waste.</x:v>
      </x:c>
    </x:row>
    <x:row r="444" ht="66" customHeight="1">
      <x:c r="A444" s="165" t="str">
        <x:v>icare_0188</x:v>
      </x:c>
      <x:c r="B444" s="159" t="str">
        <x:v>Create an Environmental Health Surveillance Program related to Populations Exposed to Air Pollution, Noise Pollution, Water Pollution, and Soil Pollution.</x:v>
      </x:c>
      <x:c r="C444" s="159" t="str">
        <x:v>Geohydrological disasters</x:v>
      </x:c>
      <x:c r="D444" s="159" t="str">
        <x:v>Exposure</x:v>
      </x:c>
      <x:c r="E444" s="153" t="str"/>
      <x:c r="F444" s="153" t="str"/>
      <x:c r="G444" s="159" t="str">
        <x:v>Not eligible</x:v>
      </x:c>
      <x:c r="H444" s="159" t="str">
        <x:v>Not applicable</x:v>
      </x:c>
      <x:c r="I444" s="159" t="str">
        <x:v>Not applicable</x:v>
      </x:c>
      <x:c r="J444" s="159" t="str">
        <x:v>Not applicable</x:v>
      </x:c>
      <x:c r="K444" s="159" t="str">
        <x:v>No</x:v>
      </x:c>
      <x:c r="L444" s="159" t="str">
        <x:v>5-10 years</x:v>
      </x:c>
      <x:c r="M444" s="168" t="n">
        <x:v>0</x:v>
      </x:c>
      <x:c r="N444" s="168" t="n">
        <x:v>0</x:v>
      </x:c>
      <x:c r="O444" s="159" t="str"/>
      <x:c r="P444" s="159" t="str"/>
      <x:c r="Q444" s="159" t="str">
        <x:v>The action's primary mechanism does not directly change a terminal Geohydrological Disasters exposure indicator.</x:v>
      </x:c>
      <x:c r="R444" s="160" t="str">
        <x:v>Develop actions aimed at promoting the health of the population exposed to environmental factors related to atmospheric, noise, and sanitation pollutants. Identify and evaluate the acute and chronic risks and effects of exposure to fixed and mobile sources of air, noise, water, and soil pollution, and act in the surveillance of diseases derived from these pollutants through physical units and work groups, especially among the most vulnerable people.</x:v>
      </x:c>
    </x:row>
    <x:row r="445" ht="66" customHeight="1">
      <x:c r="A445" s="165" t="str">
        <x:v>icare_0188</x:v>
      </x:c>
      <x:c r="B445" s="159" t="str">
        <x:v>Create an Environmental Health Surveillance Program related to Populations Exposed to Air Pollution, Noise Pollution, Water Pollution, and Soil Pollution.</x:v>
      </x:c>
      <x:c r="C445" s="159" t="str">
        <x:v>Geohydrological disasters</x:v>
      </x:c>
      <x:c r="D445" s="159" t="str">
        <x:v>Vulnerability</x:v>
      </x:c>
      <x:c r="E445" s="153" t="str"/>
      <x:c r="F445" s="153" t="str"/>
      <x:c r="G445" s="159" t="str">
        <x:v>Not eligible</x:v>
      </x:c>
      <x:c r="H445" s="159" t="str">
        <x:v>Not applicable</x:v>
      </x:c>
      <x:c r="I445" s="159" t="str">
        <x:v>Not applicable</x:v>
      </x:c>
      <x:c r="J445" s="159" t="str">
        <x:v>Not applicable</x:v>
      </x:c>
      <x:c r="K445" s="159" t="str">
        <x:v>No</x:v>
      </x:c>
      <x:c r="L445" s="159" t="str">
        <x:v>5-10 years</x:v>
      </x:c>
      <x:c r="M445" s="168" t="n">
        <x:v>0</x:v>
      </x:c>
      <x:c r="N445" s="168" t="n">
        <x:v>0</x:v>
      </x:c>
      <x:c r="O445" s="159" t="str"/>
      <x:c r="P445" s="159" t="str"/>
      <x:c r="Q445" s="159" t="str">
        <x:v>The action's primary mechanism does not directly change a terminal Geohydrological Disasters vulnerability indicator.</x:v>
      </x:c>
      <x:c r="R445" s="160" t="str">
        <x:v>Develop actions aimed at promoting the health of the population exposed to environmental factors related to atmospheric, noise, and sanitation pollutants. Identify and evaluate the acute and chronic risks and effects of exposure to fixed and mobile sources of air, noise, water, and soil pollution, and act in the surveillance of diseases derived from these pollutants through physical units and work groups, especially among the most vulnerable people.</x:v>
      </x:c>
    </x:row>
    <x:row r="446" ht="66" customHeight="1">
      <x:c r="A446" s="165" t="str">
        <x:v>c40_0052</x:v>
      </x:c>
      <x:c r="B446" s="159" t="str">
        <x:v>Deploy cool pavements and cool roofs on heat‑exposed streets and buildings</x:v>
      </x:c>
      <x:c r="C446" s="159" t="str">
        <x:v>Geohydrological disasters</x:v>
      </x:c>
      <x:c r="D446" s="159" t="str">
        <x:v>Exposure</x:v>
      </x:c>
      <x:c r="E446" s="153" t="str"/>
      <x:c r="F446" s="153" t="str"/>
      <x:c r="G446" s="159" t="str">
        <x:v>Not eligible</x:v>
      </x:c>
      <x:c r="H446" s="159" t="str">
        <x:v>Not applicable</x:v>
      </x:c>
      <x:c r="I446" s="159" t="str">
        <x:v>Not applicable</x:v>
      </x:c>
      <x:c r="J446" s="159" t="str">
        <x:v>Not applicable</x:v>
      </x:c>
      <x:c r="K446" s="159" t="str">
        <x:v>No</x:v>
      </x:c>
      <x:c r="L446" s="159" t="str">
        <x:v>5-10 years</x:v>
      </x:c>
      <x:c r="M446" s="168" t="n">
        <x:v>0</x:v>
      </x:c>
      <x:c r="N446" s="168" t="n">
        <x:v>0</x:v>
      </x:c>
      <x:c r="O446" s="159" t="str"/>
      <x:c r="P446" s="159" t="str"/>
      <x:c r="Q446" s="159" t="str">
        <x:v>The action's primary mechanism does not directly change a terminal Geohydrological Disasters exposure indicator.</x:v>
      </x:c>
      <x:c r="R446" s="160" t="str">
        <x:v>Introduce reflective coatings, light-colored materials, permeable surfaces and cool roofs in street paving and buildings to reduce heat absorption and mitigate the urban heat island effect. Municipal governments can pilot these approaches in the most heat-exposed areas, integrate them into routine street upgrades and public building refrofits, and assess cost–benefit outcomes to guide broader implementation. These measures improve thermal comfort, reduce energy demand for cooling, and enhance urban resilience to rising temperatures.</x:v>
      </x:c>
    </x:row>
    <x:row r="447" ht="66" customHeight="1">
      <x:c r="A447" s="165" t="str">
        <x:v>c40_0052</x:v>
      </x:c>
      <x:c r="B447" s="159" t="str">
        <x:v>Deploy cool pavements and cool roofs on heat‑exposed streets and buildings</x:v>
      </x:c>
      <x:c r="C447" s="159" t="str">
        <x:v>Geohydrological disasters</x:v>
      </x:c>
      <x:c r="D447" s="159" t="str">
        <x:v>Vulnerability</x:v>
      </x:c>
      <x:c r="E447" s="153" t="str"/>
      <x:c r="F447" s="153" t="str"/>
      <x:c r="G447" s="159" t="str">
        <x:v>Not eligible</x:v>
      </x:c>
      <x:c r="H447" s="159" t="str">
        <x:v>Not applicable</x:v>
      </x:c>
      <x:c r="I447" s="159" t="str">
        <x:v>Not applicable</x:v>
      </x:c>
      <x:c r="J447" s="159" t="str">
        <x:v>Not applicable</x:v>
      </x:c>
      <x:c r="K447" s="159" t="str">
        <x:v>No</x:v>
      </x:c>
      <x:c r="L447" s="159" t="str">
        <x:v>5-10 years</x:v>
      </x:c>
      <x:c r="M447" s="168" t="n">
        <x:v>0</x:v>
      </x:c>
      <x:c r="N447" s="168" t="n">
        <x:v>0</x:v>
      </x:c>
      <x:c r="O447" s="159" t="str"/>
      <x:c r="P447" s="159" t="str"/>
      <x:c r="Q447" s="159" t="str">
        <x:v>The action's primary mechanism does not directly change a terminal Geohydrological Disasters vulnerability indicator.</x:v>
      </x:c>
      <x:c r="R447" s="160" t="str">
        <x:v>Introduce reflective coatings, light-colored materials, permeable surfaces and cool roofs in street paving and buildings to reduce heat absorption and mitigate the urban heat island effect. Municipal governments can pilot these approaches in the most heat-exposed areas, integrate them into routine street upgrades and public building refrofits, and assess cost–benefit outcomes to guide broader implementation. These measures improve thermal comfort, reduce energy demand for cooling, and enhance urban resilience to rising temperatures.</x:v>
      </x:c>
    </x:row>
    <x:row r="448" ht="66" customHeight="1">
      <x:c r="A448" s="165" t="str">
        <x:v>icare_0176</x:v>
      </x:c>
      <x:c r="B448" s="159" t="str">
        <x:v>Develop a Climate Action Plan</x:v>
      </x:c>
      <x:c r="C448" s="159" t="str">
        <x:v>Geohydrological disasters</x:v>
      </x:c>
      <x:c r="D448" s="159" t="str">
        <x:v>Exposure</x:v>
      </x:c>
      <x:c r="E448" s="153" t="str"/>
      <x:c r="F448" s="153" t="str"/>
      <x:c r="G448" s="159" t="str">
        <x:v>Not eligible</x:v>
      </x:c>
      <x:c r="H448" s="159" t="str">
        <x:v>Not applicable</x:v>
      </x:c>
      <x:c r="I448" s="159" t="str">
        <x:v>Not applicable</x:v>
      </x:c>
      <x:c r="J448" s="159" t="str">
        <x:v>Not applicable</x:v>
      </x:c>
      <x:c r="K448" s="159" t="str">
        <x:v>No</x:v>
      </x:c>
      <x:c r="L448" s="159" t="str">
        <x:v>&lt;5 years</x:v>
      </x:c>
      <x:c r="M448" s="168" t="n">
        <x:v>0</x:v>
      </x:c>
      <x:c r="N448" s="168" t="n">
        <x:v>0</x:v>
      </x:c>
      <x:c r="O448" s="159" t="str"/>
      <x:c r="P448" s="159" t="str"/>
      <x:c r="Q448" s="159" t="str">
        <x:v>The action's primary mechanism does not directly change a terminal Geohydrological Disasters exposure indicator.</x:v>
      </x:c>
      <x:c r="R448" s="160" t="str">
        <x:v>A comprehensive plan outlining a city's strategies and actions to mitigate greenhouse gas emissions and adapt to the impacts of climate change which typically includes an assessment of the city's climate risks and vulnerabilities, setting emission reduction targets, and implementation of actions across various sectors such as energy, transportation, waste management, and urban planning.</x:v>
      </x:c>
    </x:row>
    <x:row r="449" ht="66" customHeight="1">
      <x:c r="A449" s="165" t="str">
        <x:v>icare_0165</x:v>
      </x:c>
      <x:c r="B449" s="159" t="str">
        <x:v>Develop an Environmental Education Plan</x:v>
      </x:c>
      <x:c r="C449" s="159" t="str">
        <x:v>Geohydrological disasters</x:v>
      </x:c>
      <x:c r="D449" s="159" t="str">
        <x:v>Exposure</x:v>
      </x:c>
      <x:c r="E449" s="153" t="str"/>
      <x:c r="F449" s="153" t="str"/>
      <x:c r="G449" s="159" t="str">
        <x:v>Not eligible</x:v>
      </x:c>
      <x:c r="H449" s="159" t="str">
        <x:v>Not applicable</x:v>
      </x:c>
      <x:c r="I449" s="159" t="str">
        <x:v>Not applicable</x:v>
      </x:c>
      <x:c r="J449" s="159" t="str">
        <x:v>Not applicable</x:v>
      </x:c>
      <x:c r="K449" s="159" t="str">
        <x:v>No</x:v>
      </x:c>
      <x:c r="L449" s="159" t="str">
        <x:v>&lt;5 years</x:v>
      </x:c>
      <x:c r="M449" s="168" t="n">
        <x:v>0</x:v>
      </x:c>
      <x:c r="N449" s="168" t="n">
        <x:v>0</x:v>
      </x:c>
      <x:c r="O449" s="159" t="str"/>
      <x:c r="P449" s="159" t="str"/>
      <x:c r="Q449" s="159" t="str">
        <x:v>The action's primary mechanism does not directly change a terminal Geohydrological Disasters exposure indicator.</x:v>
      </x:c>
      <x:c r="R449" s="160" t="str">
        <x:v>Design and implement a comprehensive environmental education plan that fosters climate literacy and awareness across schools, communities, and the media. Municipal governments can organize workshops, awareness campaigns, and nature-based activities such as tree planting to reconnect residents with their environment. The plan should integrate themes of climate change, adaptation, mitigation, and climate justice, with particular attention to youth, women, and vulnerable groups. By embedding equity and inclusion, cities can strengthen long-term engagement and empower communities to take part in climate action.</x:v>
      </x:c>
    </x:row>
    <x:row r="450" ht="66" customHeight="1">
      <x:c r="A450" s="165" t="str">
        <x:v>icare_0165</x:v>
      </x:c>
      <x:c r="B450" s="159" t="str">
        <x:v>Develop an Environmental Education Plan</x:v>
      </x:c>
      <x:c r="C450" s="159" t="str">
        <x:v>Geohydrological disasters</x:v>
      </x:c>
      <x:c r="D450" s="159" t="str">
        <x:v>Vulnerability</x:v>
      </x:c>
      <x:c r="E450" s="153" t="str"/>
      <x:c r="F450" s="153" t="str"/>
      <x:c r="G450" s="159" t="str">
        <x:v>Not eligible</x:v>
      </x:c>
      <x:c r="H450" s="159" t="str">
        <x:v>Not applicable</x:v>
      </x:c>
      <x:c r="I450" s="159" t="str">
        <x:v>Not applicable</x:v>
      </x:c>
      <x:c r="J450" s="159" t="str">
        <x:v>Not applicable</x:v>
      </x:c>
      <x:c r="K450" s="159" t="str">
        <x:v>No</x:v>
      </x:c>
      <x:c r="L450" s="159" t="str">
        <x:v>&lt;5 years</x:v>
      </x:c>
      <x:c r="M450" s="168" t="n">
        <x:v>0</x:v>
      </x:c>
      <x:c r="N450" s="168" t="n">
        <x:v>0</x:v>
      </x:c>
      <x:c r="O450" s="159" t="str"/>
      <x:c r="P450" s="159" t="str"/>
      <x:c r="Q450" s="159" t="str">
        <x:v>The action's primary mechanism does not directly change a terminal Geohydrological Disasters vulnerability indicator.</x:v>
      </x:c>
      <x:c r="R450" s="160" t="str">
        <x:v>Design and implement a comprehensive environmental education plan that fosters climate literacy and awareness across schools, communities, and the media. Municipal governments can organize workshops, awareness campaigns, and nature-based activities such as tree planting to reconnect residents with their environment. The plan should integrate themes of climate change, adaptation, mitigation, and climate justice, with particular attention to youth, women, and vulnerable groups. By embedding equity and inclusion, cities can strengthen long-term engagement and empower communities to take part in climate action.</x:v>
      </x:c>
    </x:row>
    <x:row r="451" ht="66" customHeight="1">
      <x:c r="A451" s="165" t="str">
        <x:v>icare_0182</x:v>
      </x:c>
      <x:c r="B451" s="159" t="str">
        <x:v>Develop an Urban Afforestation Plan</x:v>
      </x:c>
      <x:c r="C451" s="159" t="str">
        <x:v>Geohydrological disasters</x:v>
      </x:c>
      <x:c r="D451" s="159" t="str">
        <x:v>Exposure</x:v>
      </x:c>
      <x:c r="E451" s="153" t="str"/>
      <x:c r="F451" s="153" t="str"/>
      <x:c r="G451" s="159" t="str">
        <x:v>Not eligible</x:v>
      </x:c>
      <x:c r="H451" s="159" t="str">
        <x:v>Not applicable</x:v>
      </x:c>
      <x:c r="I451" s="159" t="str">
        <x:v>Not applicable</x:v>
      </x:c>
      <x:c r="J451" s="159" t="str">
        <x:v>Not applicable</x:v>
      </x:c>
      <x:c r="K451" s="159" t="str">
        <x:v>No</x:v>
      </x:c>
      <x:c r="L451" s="159" t="str">
        <x:v>5-10 years</x:v>
      </x:c>
      <x:c r="M451" s="168" t="n">
        <x:v>0</x:v>
      </x:c>
      <x:c r="N451" s="168" t="n">
        <x:v>0</x:v>
      </x:c>
      <x:c r="O451" s="159" t="str"/>
      <x:c r="P451" s="159" t="str"/>
      <x:c r="Q451" s="159" t="str">
        <x:v>The action's primary mechanism does not directly change a terminal Geohydrological Disasters exposure indicator.</x:v>
      </x:c>
      <x:c r="R451" s="160" t="str">
        <x:v>This action focuses on expanding green areas in the city through urban afforestation. This includes planting trees in sidewalks, squares, public buildings, and schools, as well as creating ecological parks to revitalize watercourses and/or restore forests.</x:v>
      </x:c>
    </x:row>
    <x:row r="452" ht="66" customHeight="1">
      <x:c r="A452" s="165" t="str">
        <x:v>icare_0172</x:v>
      </x:c>
      <x:c r="B452" s="159" t="str">
        <x:v>Develop and implement the Municipal Risk Reduction Plan (PMRR) and identify population groups vulnerable to climate risks.</x:v>
      </x:c>
      <x:c r="C452" s="159" t="str">
        <x:v>Geohydrological disasters</x:v>
      </x:c>
      <x:c r="D452" s="159" t="str">
        <x:v>Exposure</x:v>
      </x:c>
      <x:c r="E452" s="153" t="str"/>
      <x:c r="F452" s="153" t="str"/>
      <x:c r="G452" s="159" t="str">
        <x:v>Not eligible</x:v>
      </x:c>
      <x:c r="H452" s="159" t="str">
        <x:v>Not applicable</x:v>
      </x:c>
      <x:c r="I452" s="159" t="str">
        <x:v>Not applicable</x:v>
      </x:c>
      <x:c r="J452" s="159" t="str">
        <x:v>Not applicable</x:v>
      </x:c>
      <x:c r="K452" s="159" t="str">
        <x:v>No</x:v>
      </x:c>
      <x:c r="L452" s="159" t="str">
        <x:v>&lt;5 years</x:v>
      </x:c>
      <x:c r="M452" s="168" t="n">
        <x:v>0</x:v>
      </x:c>
      <x:c r="N452" s="168" t="n">
        <x:v>0</x:v>
      </x:c>
      <x:c r="O452" s="159" t="str"/>
      <x:c r="P452" s="159" t="str"/>
      <x:c r="Q452" s="159" t="str">
        <x:v>The action's primary mechanism does not directly change a terminal Geohydrological Disasters exposure indicator.</x:v>
      </x:c>
      <x:c r="R452" s="160" t="str">
        <x:v>This action aims to strengthen the development of the Municipal Risk Reduction Plan (PMRR) in the municipality, as it is a highly relevant tool for managing climate risks, especially river floods and landslides.</x:v>
      </x:c>
    </x:row>
    <x:row r="453" ht="66" customHeight="1">
      <x:c r="A453" s="165" t="str">
        <x:v>icare_0144</x:v>
      </x:c>
      <x:c r="B453" s="159" t="str">
        <x:v>Establish a financial support program for extreme weather events</x:v>
      </x:c>
      <x:c r="C453" s="159" t="str">
        <x:v>Geohydrological disasters</x:v>
      </x:c>
      <x:c r="D453" s="159" t="str">
        <x:v>Exposure</x:v>
      </x:c>
      <x:c r="E453" s="153" t="str"/>
      <x:c r="F453" s="153" t="str"/>
      <x:c r="G453" s="159" t="str">
        <x:v>Not eligible</x:v>
      </x:c>
      <x:c r="H453" s="159" t="str">
        <x:v>Not applicable</x:v>
      </x:c>
      <x:c r="I453" s="159" t="str">
        <x:v>Not applicable</x:v>
      </x:c>
      <x:c r="J453" s="159" t="str">
        <x:v>Not applicable</x:v>
      </x:c>
      <x:c r="K453" s="159" t="str">
        <x:v>No</x:v>
      </x:c>
      <x:c r="L453" s="159" t="str">
        <x:v>&lt;5 years</x:v>
      </x:c>
      <x:c r="M453" s="168" t="n">
        <x:v>0</x:v>
      </x:c>
      <x:c r="N453" s="168" t="n">
        <x:v>0</x:v>
      </x:c>
      <x:c r="O453" s="159" t="str"/>
      <x:c r="P453" s="159" t="str"/>
      <x:c r="Q453" s="159" t="str">
        <x:v>The action's primary mechanism does not directly change a terminal Geohydrological Disasters exposure indicator.</x:v>
      </x:c>
      <x:c r="R453" s="160" t="str">
        <x:v>Creation of a program to mitigate the effects of climate tragedies, including financial assistance to affected families, efforts to increase access to affordable hazard insurance, and efforts to secure additional resources for recovery and reconstruction, including partnerships with state and federal government bodies. Recovery and reconstruction measures should include adaptive measures with the emphasis on build back better to withstand future hazards and helping residents retrofit buildings.</x:v>
      </x:c>
    </x:row>
    <x:row r="454" ht="66" customHeight="1">
      <x:c r="A454" s="165" t="str">
        <x:v>icare_0163</x:v>
      </x:c>
      <x:c r="B454" s="159" t="str">
        <x:v>Establish a first‑response firefighting brigade</x:v>
      </x:c>
      <x:c r="C454" s="159" t="str">
        <x:v>Geohydrological disasters</x:v>
      </x:c>
      <x:c r="D454" s="159" t="str">
        <x:v>Exposure</x:v>
      </x:c>
      <x:c r="E454" s="153" t="str"/>
      <x:c r="F454" s="153" t="str"/>
      <x:c r="G454" s="159" t="str">
        <x:v>Not eligible</x:v>
      </x:c>
      <x:c r="H454" s="159" t="str">
        <x:v>Not applicable</x:v>
      </x:c>
      <x:c r="I454" s="159" t="str">
        <x:v>Not applicable</x:v>
      </x:c>
      <x:c r="J454" s="159" t="str">
        <x:v>Not applicable</x:v>
      </x:c>
      <x:c r="K454" s="159" t="str">
        <x:v>No</x:v>
      </x:c>
      <x:c r="L454" s="159" t="str">
        <x:v>&lt;5 years</x:v>
      </x:c>
      <x:c r="M454" s="168" t="n">
        <x:v>0</x:v>
      </x:c>
      <x:c r="N454" s="168" t="n">
        <x:v>0</x:v>
      </x:c>
      <x:c r="O454" s="159" t="str"/>
      <x:c r="P454" s="159" t="str"/>
      <x:c r="Q454" s="159" t="str">
        <x:v>The action's primary mechanism does not directly change a terminal Geohydrological Disasters exposure indicator.</x:v>
      </x:c>
      <x:c r="R454" s="160" t="str">
        <x:v>Creation of a First Response Brigade in rural communities to provide them with training and equipment for fire prevention and firefighting.</x:v>
      </x:c>
    </x:row>
    <x:row r="455" ht="66" customHeight="1">
      <x:c r="A455" s="165" t="str">
        <x:v>icare_0163</x:v>
      </x:c>
      <x:c r="B455" s="159" t="str">
        <x:v>Establish a first‑response firefighting brigade</x:v>
      </x:c>
      <x:c r="C455" s="159" t="str">
        <x:v>Geohydrological disasters</x:v>
      </x:c>
      <x:c r="D455" s="159" t="str">
        <x:v>Vulnerability</x:v>
      </x:c>
      <x:c r="E455" s="153" t="str"/>
      <x:c r="F455" s="153" t="str"/>
      <x:c r="G455" s="159" t="str">
        <x:v>Not eligible</x:v>
      </x:c>
      <x:c r="H455" s="159" t="str">
        <x:v>Not applicable</x:v>
      </x:c>
      <x:c r="I455" s="159" t="str">
        <x:v>Not applicable</x:v>
      </x:c>
      <x:c r="J455" s="159" t="str">
        <x:v>Not applicable</x:v>
      </x:c>
      <x:c r="K455" s="159" t="str">
        <x:v>No</x:v>
      </x:c>
      <x:c r="L455" s="159" t="str">
        <x:v>&lt;5 years</x:v>
      </x:c>
      <x:c r="M455" s="168" t="n">
        <x:v>0</x:v>
      </x:c>
      <x:c r="N455" s="168" t="n">
        <x:v>0</x:v>
      </x:c>
      <x:c r="O455" s="159" t="str"/>
      <x:c r="P455" s="159" t="str"/>
      <x:c r="Q455" s="159" t="str">
        <x:v>The action's primary mechanism does not directly change a terminal Geohydrological Disasters vulnerability indicator.</x:v>
      </x:c>
      <x:c r="R455" s="160" t="str">
        <x:v>Creation of a First Response Brigade in rural communities to provide them with training and equipment for fire prevention and firefighting.</x:v>
      </x:c>
    </x:row>
    <x:row r="456" ht="66" customHeight="1">
      <x:c r="A456" s="165" t="str">
        <x:v>icare_0169</x:v>
      </x:c>
      <x:c r="B456" s="159" t="str">
        <x:v>Establish a Plan for Preparation and Emergency Response Measures in the event of extreme weather events</x:v>
      </x:c>
      <x:c r="C456" s="159" t="str">
        <x:v>Geohydrological disasters</x:v>
      </x:c>
      <x:c r="D456" s="159" t="str">
        <x:v>Exposure</x:v>
      </x:c>
      <x:c r="E456" s="153" t="str"/>
      <x:c r="F456" s="153" t="str"/>
      <x:c r="G456" s="159" t="str">
        <x:v>Not eligible</x:v>
      </x:c>
      <x:c r="H456" s="159" t="str">
        <x:v>Not applicable</x:v>
      </x:c>
      <x:c r="I456" s="159" t="str">
        <x:v>Not applicable</x:v>
      </x:c>
      <x:c r="J456" s="159" t="str">
        <x:v>Not applicable</x:v>
      </x:c>
      <x:c r="K456" s="159" t="str">
        <x:v>No</x:v>
      </x:c>
      <x:c r="L456" s="159" t="str">
        <x:v>5-10 years</x:v>
      </x:c>
      <x:c r="M456" s="168" t="n">
        <x:v>0</x:v>
      </x:c>
      <x:c r="N456" s="168" t="n">
        <x:v>0</x:v>
      </x:c>
      <x:c r="O456" s="159" t="str"/>
      <x:c r="P456" s="159" t="str"/>
      <x:c r="Q456" s="159" t="str">
        <x:v>The action's primary mechanism does not directly change a terminal Geohydrological Disasters exposure indicator.</x:v>
      </x:c>
      <x:c r="R456" s="160" t="str">
        <x:v>This action focuses on preparing the municipality to respond to extreme events, aiming to provide a rapid response that minimizes the impacts on the population.</x:v>
      </x:c>
    </x:row>
    <x:row r="457" ht="66" customHeight="1">
      <x:c r="A457" s="165" t="str">
        <x:v>icare_0160</x:v>
      </x:c>
      <x:c r="B457" s="159" t="str">
        <x:v>Establish mechanisms for intersectoral coordination and public participation in climate policy</x:v>
      </x:c>
      <x:c r="C457" s="159" t="str">
        <x:v>Geohydrological disasters</x:v>
      </x:c>
      <x:c r="D457" s="159" t="str">
        <x:v>Exposure</x:v>
      </x:c>
      <x:c r="E457" s="153" t="str"/>
      <x:c r="F457" s="153" t="str"/>
      <x:c r="G457" s="159" t="str">
        <x:v>Not eligible</x:v>
      </x:c>
      <x:c r="H457" s="159" t="str">
        <x:v>Not applicable</x:v>
      </x:c>
      <x:c r="I457" s="159" t="str">
        <x:v>Not applicable</x:v>
      </x:c>
      <x:c r="J457" s="159" t="str">
        <x:v>Not applicable</x:v>
      </x:c>
      <x:c r="K457" s="159" t="str">
        <x:v>No</x:v>
      </x:c>
      <x:c r="L457" s="159" t="str">
        <x:v>&lt;5 years</x:v>
      </x:c>
      <x:c r="M457" s="168" t="n">
        <x:v>0</x:v>
      </x:c>
      <x:c r="N457" s="168" t="n">
        <x:v>0</x:v>
      </x:c>
      <x:c r="O457" s="159" t="str"/>
      <x:c r="P457" s="159" t="str"/>
      <x:c r="Q457" s="159" t="str">
        <x:v>The action's primary mechanism does not directly change a terminal Geohydrological Disasters exposure indicator.</x:v>
      </x:c>
      <x:c r="R457" s="160" t="str">
        <x:v>Establish more mechanisms that enable better intersectoral coordination and public participation in climate policy, including the creation of working groups with neighboring municipalities to discuss a common climate agenda.</x:v>
      </x:c>
    </x:row>
    <x:row r="458" ht="66" customHeight="1">
      <x:c r="A458" s="165" t="str">
        <x:v>ipcc_0090</x:v>
      </x:c>
      <x:c r="B458" s="159" t="str">
        <x:v>Expand climate risk insurance coverage</x:v>
      </x:c>
      <x:c r="C458" s="159" t="str">
        <x:v>Geohydrological disasters</x:v>
      </x:c>
      <x:c r="D458" s="159" t="str">
        <x:v>Exposure</x:v>
      </x:c>
      <x:c r="E458" s="153" t="str"/>
      <x:c r="F458" s="153" t="str"/>
      <x:c r="G458" s="159" t="str">
        <x:v>Not eligible</x:v>
      </x:c>
      <x:c r="H458" s="159" t="str">
        <x:v>Not applicable</x:v>
      </x:c>
      <x:c r="I458" s="159" t="str">
        <x:v>Not applicable</x:v>
      </x:c>
      <x:c r="J458" s="159" t="str">
        <x:v>Not applicable</x:v>
      </x:c>
      <x:c r="K458" s="159" t="str">
        <x:v>No</x:v>
      </x:c>
      <x:c r="L458" s="159" t="str">
        <x:v>&lt;5 years</x:v>
      </x:c>
      <x:c r="M458" s="168" t="n">
        <x:v>0</x:v>
      </x:c>
      <x:c r="N458" s="168" t="n">
        <x:v>0</x:v>
      </x:c>
      <x:c r="O458" s="159" t="str"/>
      <x:c r="P458" s="159" t="str"/>
      <x:c r="Q458" s="159" t="str">
        <x:v>The action's primary mechanism does not directly change a terminal Geohydrological Disasters exposure indicator.</x:v>
      </x:c>
      <x:c r="R458" s="160" t="str">
        <x:v>Insurance provides financial risk management tools tailored to climate-induced challenges. This includes traditional agricultural insurance to protect farmers from weather-related losses and innovative index-based insurance solutions. Index-based insurance leverages measurable weather indices, such as rainfall or temperature, to trigger payouts automatically when thresholds are reached, bypassing the need for loss verification. These tools help stabilize incomes, encourage investment in climate-resilient practices, and reduce the economic vulnerability of stakeholders in agriculture, aquaculture, and energy sectors. Furthermore, bundled insurance products with additional services like fertilizer or seed access enhance overall resilience, particularly in underserved and rural communities. By mitigating risks associated with droughts, floods, and storms, insurance supports sustainable development and adaptation goals</x:v>
      </x:c>
    </x:row>
    <x:row r="459" ht="66" customHeight="1">
      <x:c r="A459" s="165" t="str">
        <x:v>ipcc_0092</x:v>
      </x:c>
      <x:c r="B459" s="159" t="str">
        <x:v>Expand climate‑responsive social safety nets</x:v>
      </x:c>
      <x:c r="C459" s="159" t="str">
        <x:v>Geohydrological disasters</x:v>
      </x:c>
      <x:c r="D459" s="159" t="str">
        <x:v>Exposure</x:v>
      </x:c>
      <x:c r="E459" s="153" t="str"/>
      <x:c r="F459" s="153" t="str"/>
      <x:c r="G459" s="159" t="str">
        <x:v>Not eligible</x:v>
      </x:c>
      <x:c r="H459" s="159" t="str">
        <x:v>Not applicable</x:v>
      </x:c>
      <x:c r="I459" s="159" t="str">
        <x:v>Not applicable</x:v>
      </x:c>
      <x:c r="J459" s="159" t="str">
        <x:v>Not applicable</x:v>
      </x:c>
      <x:c r="K459" s="159" t="str">
        <x:v>No</x:v>
      </x:c>
      <x:c r="L459" s="159" t="str">
        <x:v>5-10 years</x:v>
      </x:c>
      <x:c r="M459" s="168" t="n">
        <x:v>0</x:v>
      </x:c>
      <x:c r="N459" s="168" t="n">
        <x:v>0</x:v>
      </x:c>
      <x:c r="O459" s="159" t="str"/>
      <x:c r="P459" s="159" t="str"/>
      <x:c r="Q459" s="159" t="str">
        <x:v>The action's primary mechanism does not directly change a terminal Geohydrological Disasters exposure indicator.</x:v>
      </x:c>
      <x:c r="R459" s="160" t="str">
        <x:v>Social safety nets encompass adaptive social protection mechanisms to reduce food insecurity and malnutrition, especially for vulnerable populations. These include cash transfers, school feeding programs, public work initiatives, unemployment compensation, land reforms, credit and insurance schemes. Integrated approaches combine climate risk assessments with disaster risk reduction, education, and social equity to enhance resilience to climate stresses.</x:v>
      </x:c>
    </x:row>
    <x:row r="460" ht="66" customHeight="1">
      <x:c r="A460" s="165" t="str">
        <x:v>icare_0180</x:v>
      </x:c>
      <x:c r="B460" s="159" t="str">
        <x:v>Expand urban green-blue networks and corridors</x:v>
      </x:c>
      <x:c r="C460" s="159" t="str">
        <x:v>Geohydrological disasters</x:v>
      </x:c>
      <x:c r="D460" s="159" t="str">
        <x:v>Exposure</x:v>
      </x:c>
      <x:c r="E460" s="153" t="str"/>
      <x:c r="F460" s="153" t="str"/>
      <x:c r="G460" s="159" t="str">
        <x:v>Not eligible</x:v>
      </x:c>
      <x:c r="H460" s="159" t="str">
        <x:v>Not applicable</x:v>
      </x:c>
      <x:c r="I460" s="159" t="str">
        <x:v>Not applicable</x:v>
      </x:c>
      <x:c r="J460" s="159" t="str">
        <x:v>Not applicable</x:v>
      </x:c>
      <x:c r="K460" s="159" t="str">
        <x:v>No</x:v>
      </x:c>
      <x:c r="L460" s="159" t="str">
        <x:v>&lt;5 years</x:v>
      </x:c>
      <x:c r="M460" s="168" t="n">
        <x:v>0</x:v>
      </x:c>
      <x:c r="N460" s="168" t="n">
        <x:v>0</x:v>
      </x:c>
      <x:c r="O460" s="159" t="str"/>
      <x:c r="P460" s="159" t="str"/>
      <x:c r="Q460" s="159" t="str">
        <x:v>The action's primary mechanism does not directly change a terminal Geohydrological Disasters exposure indicator.</x:v>
      </x:c>
      <x:c r="R460" s="160" t="str">
        <x:v>Expand and connect urban green spaces and blue-green infrastructure (BGI) in the public realm. Actions include street tree planting, establishing green corridors/greenways, pocket and large parks, and green-blue features (bioswales, rain gardens, permeable surfaces) to manage stormwater, reduce urban heat, enhance biodiversity, and support carbon sequestration. Embedding these measures in urban planning strengthens ecosystem services, resilience, and livability.</x:v>
      </x:c>
    </x:row>
    <x:row r="461" ht="66" customHeight="1">
      <x:c r="A461" s="165" t="str">
        <x:v>ipcc_0102</x:v>
      </x:c>
      <x:c r="B461" s="159" t="str">
        <x:v>Facilitate seasonal and temporary mobility strategies</x:v>
      </x:c>
      <x:c r="C461" s="159" t="str">
        <x:v>Geohydrological disasters</x:v>
      </x:c>
      <x:c r="D461" s="159" t="str">
        <x:v>Exposure</x:v>
      </x:c>
      <x:c r="E461" s="153" t="str"/>
      <x:c r="F461" s="153" t="str"/>
      <x:c r="G461" s="159" t="str">
        <x:v>Not eligible</x:v>
      </x:c>
      <x:c r="H461" s="159" t="str">
        <x:v>Not applicable</x:v>
      </x:c>
      <x:c r="I461" s="159" t="str">
        <x:v>Not applicable</x:v>
      </x:c>
      <x:c r="J461" s="159" t="str">
        <x:v>Not applicable</x:v>
      </x:c>
      <x:c r="K461" s="159" t="str">
        <x:v>No</x:v>
      </x:c>
      <x:c r="L461" s="159" t="str">
        <x:v>5-10 years</x:v>
      </x:c>
      <x:c r="M461" s="168" t="n">
        <x:v>0</x:v>
      </x:c>
      <x:c r="N461" s="168" t="n">
        <x:v>0</x:v>
      </x:c>
      <x:c r="O461" s="159" t="str"/>
      <x:c r="P461" s="159" t="str"/>
      <x:c r="Q461" s="159" t="str">
        <x:v>The action's primary mechanism does not directly change a terminal Geohydrological Disasters exposure indicator.</x:v>
      </x:c>
      <x:c r="R461" s="160" t="str">
        <x:v>Facilitating mobility of fishing fleets and workers to adapt to shifting marine species distributions caused by climate change. This includes enabling seasonal or temporary migration to align with the availability of resources, improving infrastructure and technology to support mobility, and fostering flexible governance to manage transboundary resources sustainably. These actions aim to maintain livelihoods and reduce economic impacts of climate variability.</x:v>
      </x:c>
    </x:row>
    <x:row r="462" ht="66" customHeight="1">
      <x:c r="A462" s="165" t="str">
        <x:v>ipcc_0102</x:v>
      </x:c>
      <x:c r="B462" s="159" t="str">
        <x:v>Facilitate seasonal and temporary mobility strategies</x:v>
      </x:c>
      <x:c r="C462" s="159" t="str">
        <x:v>Geohydrological disasters</x:v>
      </x:c>
      <x:c r="D462" s="159" t="str">
        <x:v>Vulnerability</x:v>
      </x:c>
      <x:c r="E462" s="153" t="str"/>
      <x:c r="F462" s="153" t="str"/>
      <x:c r="G462" s="159" t="str">
        <x:v>Not eligible</x:v>
      </x:c>
      <x:c r="H462" s="159" t="str">
        <x:v>Not applicable</x:v>
      </x:c>
      <x:c r="I462" s="159" t="str">
        <x:v>Not applicable</x:v>
      </x:c>
      <x:c r="J462" s="159" t="str">
        <x:v>Not applicable</x:v>
      </x:c>
      <x:c r="K462" s="159" t="str">
        <x:v>No</x:v>
      </x:c>
      <x:c r="L462" s="159" t="str">
        <x:v>5-10 years</x:v>
      </x:c>
      <x:c r="M462" s="168" t="n">
        <x:v>0</x:v>
      </x:c>
      <x:c r="N462" s="168" t="n">
        <x:v>0</x:v>
      </x:c>
      <x:c r="O462" s="159" t="str"/>
      <x:c r="P462" s="159" t="str"/>
      <x:c r="Q462" s="159" t="str">
        <x:v>The action's primary mechanism does not directly change a terminal Geohydrological Disasters vulnerability indicator.</x:v>
      </x:c>
      <x:c r="R462" s="160" t="str">
        <x:v>Facilitating mobility of fishing fleets and workers to adapt to shifting marine species distributions caused by climate change. This includes enabling seasonal or temporary migration to align with the availability of resources, improving infrastructure and technology to support mobility, and fostering flexible governance to manage transboundary resources sustainably. These actions aim to maintain livelihoods and reduce economic impacts of climate variability.</x:v>
      </x:c>
    </x:row>
    <x:row r="463" ht="66" customHeight="1">
      <x:c r="A463" s="165" t="str">
        <x:v>ipcc_0086</x:v>
      </x:c>
      <x:c r="B463" s="159" t="str">
        <x:v>Implement ecosystem‑based adaptation measures</x:v>
      </x:c>
      <x:c r="C463" s="159" t="str">
        <x:v>Geohydrological disasters</x:v>
      </x:c>
      <x:c r="D463" s="159" t="str">
        <x:v>Exposure</x:v>
      </x:c>
      <x:c r="E463" s="153" t="str"/>
      <x:c r="F463" s="153" t="str"/>
      <x:c r="G463" s="159" t="str">
        <x:v>Not eligible</x:v>
      </x:c>
      <x:c r="H463" s="159" t="str">
        <x:v>Not applicable</x:v>
      </x:c>
      <x:c r="I463" s="159" t="str">
        <x:v>Not applicable</x:v>
      </x:c>
      <x:c r="J463" s="159" t="str">
        <x:v>Not applicable</x:v>
      </x:c>
      <x:c r="K463" s="159" t="str">
        <x:v>No</x:v>
      </x:c>
      <x:c r="L463" s="159" t="str">
        <x:v>5-10 years</x:v>
      </x:c>
      <x:c r="M463" s="168" t="n">
        <x:v>0</x:v>
      </x:c>
      <x:c r="N463" s="168" t="n">
        <x:v>0</x:v>
      </x:c>
      <x:c r="O463" s="159" t="str"/>
      <x:c r="P463" s="159" t="str"/>
      <x:c r="Q463" s="159" t="str">
        <x:v>The action's primary mechanism does not directly change a terminal Geohydrological Disasters exposure indicator.</x:v>
      </x:c>
      <x:c r="R463" s="160" t="str">
        <x:v>Restoring and sustainably managing marine, coastal, urban, riverine, and wetland ecosystems to protect against climate hazards such as storm surges, floods, and heatwaves. Efforts include agroecology, coastal and marine vegetation and reefs, vegetation corridors, mangrove habitat restoration, urban green space to reduce temperatures. These actions improve biodiversity, store carbon, enhance water quality, and provide socio-economic and cultural co-benefits.</x:v>
      </x:c>
    </x:row>
    <x:row r="464" ht="66" customHeight="1">
      <x:c r="A464" s="165" t="str">
        <x:v>ipcc_0086</x:v>
      </x:c>
      <x:c r="B464" s="159" t="str">
        <x:v>Implement ecosystem‑based adaptation measures</x:v>
      </x:c>
      <x:c r="C464" s="159" t="str">
        <x:v>Geohydrological disasters</x:v>
      </x:c>
      <x:c r="D464" s="159" t="str">
        <x:v>Vulnerability</x:v>
      </x:c>
      <x:c r="E464" s="153" t="str"/>
      <x:c r="F464" s="153" t="str"/>
      <x:c r="G464" s="159" t="str">
        <x:v>Not eligible</x:v>
      </x:c>
      <x:c r="H464" s="159" t="str">
        <x:v>Not applicable</x:v>
      </x:c>
      <x:c r="I464" s="159" t="str">
        <x:v>Not applicable</x:v>
      </x:c>
      <x:c r="J464" s="159" t="str">
        <x:v>Not applicable</x:v>
      </x:c>
      <x:c r="K464" s="159" t="str">
        <x:v>No</x:v>
      </x:c>
      <x:c r="L464" s="159" t="str">
        <x:v>5-10 years</x:v>
      </x:c>
      <x:c r="M464" s="168" t="n">
        <x:v>0</x:v>
      </x:c>
      <x:c r="N464" s="168" t="n">
        <x:v>0</x:v>
      </x:c>
      <x:c r="O464" s="159" t="str"/>
      <x:c r="P464" s="159" t="str"/>
      <x:c r="Q464" s="159" t="str">
        <x:v>The action's primary mechanism does not directly change a terminal Geohydrological Disasters vulnerability indicator.</x:v>
      </x:c>
      <x:c r="R464" s="160" t="str">
        <x:v>Restoring and sustainably managing marine, coastal, urban, riverine, and wetland ecosystems to protect against climate hazards such as storm surges, floods, and heatwaves. Efforts include agroecology, coastal and marine vegetation and reefs, vegetation corridors, mangrove habitat restoration, urban green space to reduce temperatures. These actions improve biodiversity, store carbon, enhance water quality, and provide socio-economic and cultural co-benefits.</x:v>
      </x:c>
    </x:row>
    <x:row r="465" ht="66" customHeight="1">
      <x:c r="A465" s="165" t="str">
        <x:v>ipcc_0078</x:v>
      </x:c>
      <x:c r="B465" s="159" t="str">
        <x:v>Implement green roofs and walls</x:v>
      </x:c>
      <x:c r="C465" s="159" t="str">
        <x:v>Geohydrological disasters</x:v>
      </x:c>
      <x:c r="D465" s="159" t="str">
        <x:v>Exposure</x:v>
      </x:c>
      <x:c r="E465" s="153" t="str"/>
      <x:c r="F465" s="153" t="str"/>
      <x:c r="G465" s="159" t="str">
        <x:v>Not eligible</x:v>
      </x:c>
      <x:c r="H465" s="159" t="str">
        <x:v>Not applicable</x:v>
      </x:c>
      <x:c r="I465" s="159" t="str">
        <x:v>Not applicable</x:v>
      </x:c>
      <x:c r="J465" s="159" t="str">
        <x:v>Not applicable</x:v>
      </x:c>
      <x:c r="K465" s="159" t="str">
        <x:v>No</x:v>
      </x:c>
      <x:c r="L465" s="159" t="str">
        <x:v>5-10 years</x:v>
      </x:c>
      <x:c r="M465" s="168" t="n">
        <x:v>0</x:v>
      </x:c>
      <x:c r="N465" s="168" t="n">
        <x:v>0</x:v>
      </x:c>
      <x:c r="O465" s="159" t="str"/>
      <x:c r="P465" s="159" t="str"/>
      <x:c r="Q465" s="159" t="str">
        <x:v>The action's primary mechanism does not directly change a terminal Geohydrological Disasters exposure indicator.</x:v>
      </x:c>
      <x:c r="R465" s="160" t="str">
        <x:v>The implementation of green roofs and green walls mitigates urban heat island effects, improves thermal comfort, reduces energy demand in buildings, manages stormwater, and enhances urban livability and biodiversity.</x:v>
      </x:c>
    </x:row>
    <x:row r="466" ht="66" customHeight="1">
      <x:c r="A466" s="165" t="str">
        <x:v>ipcc_0078</x:v>
      </x:c>
      <x:c r="B466" s="159" t="str">
        <x:v>Implement green roofs and walls</x:v>
      </x:c>
      <x:c r="C466" s="159" t="str">
        <x:v>Geohydrological disasters</x:v>
      </x:c>
      <x:c r="D466" s="159" t="str">
        <x:v>Vulnerability</x:v>
      </x:c>
      <x:c r="E466" s="153" t="str"/>
      <x:c r="F466" s="153" t="str"/>
      <x:c r="G466" s="159" t="str">
        <x:v>Not eligible</x:v>
      </x:c>
      <x:c r="H466" s="159" t="str">
        <x:v>Not applicable</x:v>
      </x:c>
      <x:c r="I466" s="159" t="str">
        <x:v>Not applicable</x:v>
      </x:c>
      <x:c r="J466" s="159" t="str">
        <x:v>Not applicable</x:v>
      </x:c>
      <x:c r="K466" s="159" t="str">
        <x:v>No</x:v>
      </x:c>
      <x:c r="L466" s="159" t="str">
        <x:v>5-10 years</x:v>
      </x:c>
      <x:c r="M466" s="168" t="n">
        <x:v>0</x:v>
      </x:c>
      <x:c r="N466" s="168" t="n">
        <x:v>0</x:v>
      </x:c>
      <x:c r="O466" s="159" t="str"/>
      <x:c r="P466" s="159" t="str"/>
      <x:c r="Q466" s="159" t="str">
        <x:v>The action's primary mechanism does not directly change a terminal Geohydrological Disasters vulnerability indicator.</x:v>
      </x:c>
      <x:c r="R466" s="160" t="str">
        <x:v>The implementation of green roofs and green walls mitigates urban heat island effects, improves thermal comfort, reduces energy demand in buildings, manages stormwater, and enhances urban livability and biodiversity.</x:v>
      </x:c>
    </x:row>
    <x:row r="467" ht="66" customHeight="1">
      <x:c r="A467" s="165" t="str">
        <x:v>icare_0186</x:v>
      </x:c>
      <x:c r="B467" s="159" t="str">
        <x:v>Implement integrated coastal zone management</x:v>
      </x:c>
      <x:c r="C467" s="159" t="str">
        <x:v>Geohydrological disasters</x:v>
      </x:c>
      <x:c r="D467" s="159" t="str">
        <x:v>Exposure</x:v>
      </x:c>
      <x:c r="E467" s="153" t="str"/>
      <x:c r="F467" s="153" t="str"/>
      <x:c r="G467" s="159" t="str">
        <x:v>Not eligible</x:v>
      </x:c>
      <x:c r="H467" s="159" t="str">
        <x:v>Not applicable</x:v>
      </x:c>
      <x:c r="I467" s="159" t="str">
        <x:v>Not applicable</x:v>
      </x:c>
      <x:c r="J467" s="159" t="str">
        <x:v>Not applicable</x:v>
      </x:c>
      <x:c r="K467" s="159" t="str">
        <x:v>No</x:v>
      </x:c>
      <x:c r="L467" s="159" t="str">
        <x:v>5-10 years</x:v>
      </x:c>
      <x:c r="M467" s="168" t="n">
        <x:v>0</x:v>
      </x:c>
      <x:c r="N467" s="168" t="n">
        <x:v>0</x:v>
      </x:c>
      <x:c r="O467" s="159" t="str"/>
      <x:c r="P467" s="159" t="str"/>
      <x:c r="Q467" s="159" t="str">
        <x:v>The action's primary mechanism does not directly change a terminal Geohydrological Disasters exposure indicator.</x:v>
      </x:c>
      <x:c r="R467" s="160" t="str">
        <x:v>This action describes the implementation of an integrated coastal zone management plan to promote sustainable development and address the impacts of climate change in coastal areas. It includes measures to mitigate the impacts of sea-level rise and coastal erosion.</x:v>
      </x:c>
    </x:row>
    <x:row r="468" ht="66" customHeight="1">
      <x:c r="A468" s="165" t="str">
        <x:v>icare_0186</x:v>
      </x:c>
      <x:c r="B468" s="159" t="str">
        <x:v>Implement integrated coastal zone management</x:v>
      </x:c>
      <x:c r="C468" s="159" t="str">
        <x:v>Geohydrological disasters</x:v>
      </x:c>
      <x:c r="D468" s="159" t="str">
        <x:v>Vulnerability</x:v>
      </x:c>
      <x:c r="E468" s="153" t="str"/>
      <x:c r="F468" s="153" t="str"/>
      <x:c r="G468" s="159" t="str">
        <x:v>Not eligible</x:v>
      </x:c>
      <x:c r="H468" s="159" t="str">
        <x:v>Not applicable</x:v>
      </x:c>
      <x:c r="I468" s="159" t="str">
        <x:v>Not applicable</x:v>
      </x:c>
      <x:c r="J468" s="159" t="str">
        <x:v>Not applicable</x:v>
      </x:c>
      <x:c r="K468" s="159" t="str">
        <x:v>No</x:v>
      </x:c>
      <x:c r="L468" s="159" t="str">
        <x:v>5-10 years</x:v>
      </x:c>
      <x:c r="M468" s="168" t="n">
        <x:v>0</x:v>
      </x:c>
      <x:c r="N468" s="168" t="n">
        <x:v>0</x:v>
      </x:c>
      <x:c r="O468" s="159" t="str"/>
      <x:c r="P468" s="159" t="str"/>
      <x:c r="Q468" s="159" t="str">
        <x:v>The action's primary mechanism does not directly change a terminal Geohydrological Disasters vulnerability indicator.</x:v>
      </x:c>
      <x:c r="R468" s="160" t="str">
        <x:v>This action describes the implementation of an integrated coastal zone management plan to promote sustainable development and address the impacts of climate change in coastal areas. It includes measures to mitigate the impacts of sea-level rise and coastal erosion.</x:v>
      </x:c>
    </x:row>
    <x:row r="469" ht="66" customHeight="1">
      <x:c r="A469" s="165" t="str">
        <x:v>icare_0183</x:v>
      </x:c>
      <x:c r="B469" s="159" t="str">
        <x:v>Implement Multi-hazard Early Warning Systems (MH-EWS)</x:v>
      </x:c>
      <x:c r="C469" s="159" t="str">
        <x:v>Geohydrological disasters</x:v>
      </x:c>
      <x:c r="D469" s="159" t="str">
        <x:v>Exposure</x:v>
      </x:c>
      <x:c r="E469" s="153" t="str"/>
      <x:c r="F469" s="153" t="str"/>
      <x:c r="G469" s="159" t="str">
        <x:v>Not eligible</x:v>
      </x:c>
      <x:c r="H469" s="159" t="str">
        <x:v>Not applicable</x:v>
      </x:c>
      <x:c r="I469" s="159" t="str">
        <x:v>Not applicable</x:v>
      </x:c>
      <x:c r="J469" s="159" t="str">
        <x:v>Not applicable</x:v>
      </x:c>
      <x:c r="K469" s="159" t="str">
        <x:v>No</x:v>
      </x:c>
      <x:c r="L469" s="159" t="str">
        <x:v>5-10 years</x:v>
      </x:c>
      <x:c r="M469" s="168" t="n">
        <x:v>0</x:v>
      </x:c>
      <x:c r="N469" s="168" t="n">
        <x:v>0</x:v>
      </x:c>
      <x:c r="O469" s="159" t="str"/>
      <x:c r="P469" s="159" t="str"/>
      <x:c r="Q469" s="159" t="str">
        <x:v>The action's primary mechanism does not directly change a terminal Geohydrological Disasters exposure indicator.</x:v>
      </x:c>
      <x:c r="R469" s="160" t="str">
        <x:v>Early Warning systems involve the timely detection and communication of potential climate-related hazards, enabling proactive responses to mitigate risks and enhancing community preparedness. This includes intense rains and landslides, using a network of telemetry stations to monitor rainfall and other weather conditions, with clear trigger thresholds to issue public alerts (sirens/alarms, SMS/cell broadcast, radio/PA) in case of potential flooding or landslides.</x:v>
      </x:c>
    </x:row>
    <x:row r="470" ht="66" customHeight="1">
      <x:c r="A470" s="165" t="str">
        <x:v>icare_0185</x:v>
      </x:c>
      <x:c r="B470" s="159" t="str">
        <x:v>Improve Creation of An Epidemiological Intelligence Center</x:v>
      </x:c>
      <x:c r="C470" s="159" t="str">
        <x:v>Geohydrological disasters</x:v>
      </x:c>
      <x:c r="D470" s="159" t="str">
        <x:v>Exposure</x:v>
      </x:c>
      <x:c r="E470" s="153" t="str"/>
      <x:c r="F470" s="153" t="str"/>
      <x:c r="G470" s="159" t="str">
        <x:v>Not eligible</x:v>
      </x:c>
      <x:c r="H470" s="159" t="str">
        <x:v>Not applicable</x:v>
      </x:c>
      <x:c r="I470" s="159" t="str">
        <x:v>Not applicable</x:v>
      </x:c>
      <x:c r="J470" s="159" t="str">
        <x:v>Not applicable</x:v>
      </x:c>
      <x:c r="K470" s="159" t="str">
        <x:v>No</x:v>
      </x:c>
      <x:c r="L470" s="159" t="str">
        <x:v>5-10 years</x:v>
      </x:c>
      <x:c r="M470" s="168" t="n">
        <x:v>0</x:v>
      </x:c>
      <x:c r="N470" s="168" t="n">
        <x:v>0</x:v>
      </x:c>
      <x:c r="O470" s="159" t="str"/>
      <x:c r="P470" s="159" t="str"/>
      <x:c r="Q470" s="159" t="str">
        <x:v>The action's primary mechanism does not directly change a terminal Geohydrological Disasters exposure indicator.</x:v>
      </x:c>
      <x:c r="R470" s="160" t="str">
        <x:v>This action focuses on establishing an epidemiological intelligence center to monitor public health indicators and provide accessible information to the population. This helps in making informed decisions and protecting public health, particularly in relation to climate-sensitive diseases.</x:v>
      </x:c>
    </x:row>
    <x:row r="471" ht="66" customHeight="1">
      <x:c r="A471" s="165" t="str">
        <x:v>icare_0185</x:v>
      </x:c>
      <x:c r="B471" s="159" t="str">
        <x:v>Improve Creation of An Epidemiological Intelligence Center</x:v>
      </x:c>
      <x:c r="C471" s="159" t="str">
        <x:v>Geohydrological disasters</x:v>
      </x:c>
      <x:c r="D471" s="159" t="str">
        <x:v>Vulnerability</x:v>
      </x:c>
      <x:c r="E471" s="153" t="str"/>
      <x:c r="F471" s="153" t="str"/>
      <x:c r="G471" s="159" t="str">
        <x:v>Not eligible</x:v>
      </x:c>
      <x:c r="H471" s="159" t="str">
        <x:v>Not applicable</x:v>
      </x:c>
      <x:c r="I471" s="159" t="str">
        <x:v>Not applicable</x:v>
      </x:c>
      <x:c r="J471" s="159" t="str">
        <x:v>Not applicable</x:v>
      </x:c>
      <x:c r="K471" s="159" t="str">
        <x:v>No</x:v>
      </x:c>
      <x:c r="L471" s="159" t="str">
        <x:v>5-10 years</x:v>
      </x:c>
      <x:c r="M471" s="168" t="n">
        <x:v>0</x:v>
      </x:c>
      <x:c r="N471" s="168" t="n">
        <x:v>0</x:v>
      </x:c>
      <x:c r="O471" s="159" t="str"/>
      <x:c r="P471" s="159" t="str"/>
      <x:c r="Q471" s="159" t="str">
        <x:v>The action's primary mechanism does not directly change a terminal Geohydrological Disasters vulnerability indicator.</x:v>
      </x:c>
      <x:c r="R471" s="160" t="str">
        <x:v>This action focuses on establishing an epidemiological intelligence center to monitor public health indicators and provide accessible information to the population. This helps in making informed decisions and protecting public health, particularly in relation to climate-sensitive diseases.</x:v>
      </x:c>
    </x:row>
    <x:row r="472" ht="66" customHeight="1">
      <x:c r="A472" s="165" t="str">
        <x:v>ipcc_0100</x:v>
      </x:c>
      <x:c r="B472" s="159" t="str">
        <x:v>Improve Efficient water use/demand</x:v>
      </x:c>
      <x:c r="C472" s="159" t="str">
        <x:v>Geohydrological disasters</x:v>
      </x:c>
      <x:c r="D472" s="159" t="str">
        <x:v>Exposure</x:v>
      </x:c>
      <x:c r="E472" s="153" t="str"/>
      <x:c r="F472" s="153" t="str"/>
      <x:c r="G472" s="159" t="str">
        <x:v>Not eligible</x:v>
      </x:c>
      <x:c r="H472" s="159" t="str">
        <x:v>Not applicable</x:v>
      </x:c>
      <x:c r="I472" s="159" t="str">
        <x:v>Not applicable</x:v>
      </x:c>
      <x:c r="J472" s="159" t="str">
        <x:v>Not applicable</x:v>
      </x:c>
      <x:c r="K472" s="159" t="str">
        <x:v>No</x:v>
      </x:c>
      <x:c r="L472" s="159" t="str">
        <x:v>5-10 years</x:v>
      </x:c>
      <x:c r="M472" s="168" t="n">
        <x:v>0</x:v>
      </x:c>
      <x:c r="N472" s="168" t="n">
        <x:v>0</x:v>
      </x:c>
      <x:c r="O472" s="159" t="str"/>
      <x:c r="P472" s="159" t="str"/>
      <x:c r="Q472" s="159" t="str">
        <x:v>The action's primary mechanism does not directly change a terminal Geohydrological Disasters exposure indicator.</x:v>
      </x:c>
      <x:c r="R472" s="160" t="str">
        <x:v>Implementing advanced irrigation techniques such as precision and drip irrigation to enhance water use efficiency in agriculture. Managed Aquifer Recharge (MAR) is applied to replenish groundwater supplies using stormwater, treated wastewater, or other sources. These actions are complemented by cooperative policies across multiple sectors to ensure sustainable water resource management, equitable access, and regional collaboration. Additionally, promoting changes in water consumption patterns, such as reducing waste and improving efficiency in urban and agricultural water use, supports resilience against water scarcity and enhances adaptive capacity in vulnerable regions. These efforts collectively aim to address the growing demand for freshwater in the face of climate change and ensure long-term sustainability.</x:v>
      </x:c>
    </x:row>
    <x:row r="473" ht="66" customHeight="1">
      <x:c r="A473" s="165" t="str">
        <x:v>ipcc_0100</x:v>
      </x:c>
      <x:c r="B473" s="159" t="str">
        <x:v>Improve Efficient water use/demand</x:v>
      </x:c>
      <x:c r="C473" s="159" t="str">
        <x:v>Geohydrological disasters</x:v>
      </x:c>
      <x:c r="D473" s="159" t="str">
        <x:v>Vulnerability</x:v>
      </x:c>
      <x:c r="E473" s="153" t="str"/>
      <x:c r="F473" s="153" t="str"/>
      <x:c r="G473" s="159" t="str">
        <x:v>Not eligible</x:v>
      </x:c>
      <x:c r="H473" s="159" t="str">
        <x:v>Not applicable</x:v>
      </x:c>
      <x:c r="I473" s="159" t="str">
        <x:v>Not applicable</x:v>
      </x:c>
      <x:c r="J473" s="159" t="str">
        <x:v>Not applicable</x:v>
      </x:c>
      <x:c r="K473" s="159" t="str">
        <x:v>No</x:v>
      </x:c>
      <x:c r="L473" s="159" t="str">
        <x:v>5-10 years</x:v>
      </x:c>
      <x:c r="M473" s="168" t="n">
        <x:v>0</x:v>
      </x:c>
      <x:c r="N473" s="168" t="n">
        <x:v>0</x:v>
      </x:c>
      <x:c r="O473" s="159" t="str"/>
      <x:c r="P473" s="159" t="str"/>
      <x:c r="Q473" s="159" t="str">
        <x:v>The action's primary mechanism does not directly change a terminal Geohydrological Disasters vulnerability indicator.</x:v>
      </x:c>
      <x:c r="R473" s="160" t="str">
        <x:v>Implementing advanced irrigation techniques such as precision and drip irrigation to enhance water use efficiency in agriculture. Managed Aquifer Recharge (MAR) is applied to replenish groundwater supplies using stormwater, treated wastewater, or other sources. These actions are complemented by cooperative policies across multiple sectors to ensure sustainable water resource management, equitable access, and regional collaboration. Additionally, promoting changes in water consumption patterns, such as reducing waste and improving efficiency in urban and agricultural water use, supports resilience against water scarcity and enhances adaptive capacity in vulnerable regions. These efforts collectively aim to address the growing demand for freshwater in the face of climate change and ensure long-term sustainability.</x:v>
      </x:c>
    </x:row>
    <x:row r="474" ht="66" customHeight="1">
      <x:c r="A474" s="165" t="str">
        <x:v>icare_0164</x:v>
      </x:c>
      <x:c r="B474" s="159" t="str">
        <x:v>Improve Hydrological Monitoring System with Telemetry Stations</x:v>
      </x:c>
      <x:c r="C474" s="159" t="str">
        <x:v>Geohydrological disasters</x:v>
      </x:c>
      <x:c r="D474" s="159" t="str">
        <x:v>Exposure</x:v>
      </x:c>
      <x:c r="E474" s="153" t="str"/>
      <x:c r="F474" s="153" t="str"/>
      <x:c r="G474" s="159" t="str">
        <x:v>Not eligible</x:v>
      </x:c>
      <x:c r="H474" s="159" t="str">
        <x:v>Not applicable</x:v>
      </x:c>
      <x:c r="I474" s="159" t="str">
        <x:v>Not applicable</x:v>
      </x:c>
      <x:c r="J474" s="159" t="str">
        <x:v>Not applicable</x:v>
      </x:c>
      <x:c r="K474" s="159" t="str">
        <x:v>No</x:v>
      </x:c>
      <x:c r="L474" s="159" t="str">
        <x:v>&lt;5 years</x:v>
      </x:c>
      <x:c r="M474" s="168" t="n">
        <x:v>0</x:v>
      </x:c>
      <x:c r="N474" s="168" t="n">
        <x:v>0</x:v>
      </x:c>
      <x:c r="O474" s="159" t="str"/>
      <x:c r="P474" s="159" t="str"/>
      <x:c r="Q474" s="159" t="str">
        <x:v>The action's primary mechanism does not directly change a terminal Geohydrological Disasters exposure indicator.</x:v>
      </x:c>
      <x:c r="R474" s="160" t="str">
        <x:v>Implementation of a hydrological monitoring system with telemetry stations to monitor rainfall, water levels, and meteorological variables in real-time.</x:v>
      </x:c>
    </x:row>
    <x:row r="475" ht="66" customHeight="1">
      <x:c r="A475" s="165" t="str">
        <x:v>icare_0156</x:v>
      </x:c>
      <x:c r="B475" s="159" t="str">
        <x:v>Improve Implementation of urban gardens</x:v>
      </x:c>
      <x:c r="C475" s="159" t="str">
        <x:v>Geohydrological disasters</x:v>
      </x:c>
      <x:c r="D475" s="159" t="str">
        <x:v>Exposure</x:v>
      </x:c>
      <x:c r="E475" s="153" t="str"/>
      <x:c r="F475" s="153" t="str"/>
      <x:c r="G475" s="159" t="str">
        <x:v>Not eligible</x:v>
      </x:c>
      <x:c r="H475" s="159" t="str">
        <x:v>Not applicable</x:v>
      </x:c>
      <x:c r="I475" s="159" t="str">
        <x:v>Not applicable</x:v>
      </x:c>
      <x:c r="J475" s="159" t="str">
        <x:v>Not applicable</x:v>
      </x:c>
      <x:c r="K475" s="159" t="str">
        <x:v>No</x:v>
      </x:c>
      <x:c r="L475" s="159" t="str">
        <x:v>&lt;5 years</x:v>
      </x:c>
      <x:c r="M475" s="168" t="n">
        <x:v>0</x:v>
      </x:c>
      <x:c r="N475" s="168" t="n">
        <x:v>0</x:v>
      </x:c>
      <x:c r="O475" s="159" t="str"/>
      <x:c r="P475" s="159" t="str"/>
      <x:c r="Q475" s="159" t="str">
        <x:v>The action's primary mechanism does not directly change a terminal Geohydrological Disasters exposure indicator.</x:v>
      </x:c>
      <x:c r="R475" s="160" t="str">
        <x:v>Identify and assess the feasibility of suitable areas for the installation of urban gardens and ensure that the sites chosen meet the expectations of the community.</x:v>
      </x:c>
    </x:row>
    <x:row r="476" ht="66" customHeight="1">
      <x:c r="A476" s="165" t="str">
        <x:v>icare_0156</x:v>
      </x:c>
      <x:c r="B476" s="159" t="str">
        <x:v>Improve Implementation of urban gardens</x:v>
      </x:c>
      <x:c r="C476" s="159" t="str">
        <x:v>Geohydrological disasters</x:v>
      </x:c>
      <x:c r="D476" s="159" t="str">
        <x:v>Vulnerability</x:v>
      </x:c>
      <x:c r="E476" s="153" t="str"/>
      <x:c r="F476" s="153" t="str"/>
      <x:c r="G476" s="159" t="str">
        <x:v>Not eligible</x:v>
      </x:c>
      <x:c r="H476" s="159" t="str">
        <x:v>Not applicable</x:v>
      </x:c>
      <x:c r="I476" s="159" t="str">
        <x:v>Not applicable</x:v>
      </x:c>
      <x:c r="J476" s="159" t="str">
        <x:v>Not applicable</x:v>
      </x:c>
      <x:c r="K476" s="159" t="str">
        <x:v>No</x:v>
      </x:c>
      <x:c r="L476" s="159" t="str">
        <x:v>&lt;5 years</x:v>
      </x:c>
      <x:c r="M476" s="168" t="n">
        <x:v>0</x:v>
      </x:c>
      <x:c r="N476" s="168" t="n">
        <x:v>0</x:v>
      </x:c>
      <x:c r="O476" s="159" t="str"/>
      <x:c r="P476" s="159" t="str"/>
      <x:c r="Q476" s="159" t="str">
        <x:v>The action's primary mechanism does not directly change a terminal Geohydrological Disasters vulnerability indicator.</x:v>
      </x:c>
      <x:c r="R476" s="160" t="str">
        <x:v>Identify and assess the feasibility of suitable areas for the installation of urban gardens and ensure that the sites chosen meet the expectations of the community.</x:v>
      </x:c>
    </x:row>
    <x:row r="477" ht="66" customHeight="1">
      <x:c r="A477" s="165" t="str">
        <x:v>ipcc_0087</x:v>
      </x:c>
      <x:c r="B477" s="159" t="str">
        <x:v>Improve Infrastructure retrofitting</x:v>
      </x:c>
      <x:c r="C477" s="159" t="str">
        <x:v>Geohydrological disasters</x:v>
      </x:c>
      <x:c r="D477" s="159" t="str">
        <x:v>Exposure</x:v>
      </x:c>
      <x:c r="E477" s="153" t="str"/>
      <x:c r="F477" s="153" t="str"/>
      <x:c r="G477" s="159" t="str">
        <x:v>Not eligible</x:v>
      </x:c>
      <x:c r="H477" s="159" t="str">
        <x:v>Not applicable</x:v>
      </x:c>
      <x:c r="I477" s="159" t="str">
        <x:v>Not applicable</x:v>
      </x:c>
      <x:c r="J477" s="159" t="str">
        <x:v>Not applicable</x:v>
      </x:c>
      <x:c r="K477" s="159" t="str">
        <x:v>No</x:v>
      </x:c>
      <x:c r="L477" s="159" t="str">
        <x:v>5-10 years</x:v>
      </x:c>
      <x:c r="M477" s="168" t="n">
        <x:v>0</x:v>
      </x:c>
      <x:c r="N477" s="168" t="n">
        <x:v>0</x:v>
      </x:c>
      <x:c r="O477" s="159" t="str"/>
      <x:c r="P477" s="159" t="str"/>
      <x:c r="Q477" s="159" t="str">
        <x:v>The action's primary mechanism does not directly change a terminal Geohydrological Disasters exposure indicator.</x:v>
      </x:c>
      <x:c r="R477" s="160" t="str">
        <x:v>Strengthen and upgrade existing infrastructure, including roads, housing, and energy systems, to improve resilience against climate risks such as floods, droughts, and heatwaves. Efforts include using thermosiphons for permafrost degradation, increasing rooftop albedo (for reflectivity) and shading</x:v>
      </x:c>
    </x:row>
    <x:row r="478" ht="66" customHeight="1">
      <x:c r="A478" s="165" t="str">
        <x:v>icare_0171</x:v>
      </x:c>
      <x:c r="B478" s="159" t="str">
        <x:v>Improve the hydrometeorological forecasting, monitoring, and alert system for climate risks</x:v>
      </x:c>
      <x:c r="C478" s="159" t="str">
        <x:v>Geohydrological disasters</x:v>
      </x:c>
      <x:c r="D478" s="159" t="str">
        <x:v>Exposure</x:v>
      </x:c>
      <x:c r="E478" s="153" t="str"/>
      <x:c r="F478" s="153" t="str"/>
      <x:c r="G478" s="159" t="str">
        <x:v>Not eligible</x:v>
      </x:c>
      <x:c r="H478" s="159" t="str">
        <x:v>Not applicable</x:v>
      </x:c>
      <x:c r="I478" s="159" t="str">
        <x:v>Not applicable</x:v>
      </x:c>
      <x:c r="J478" s="159" t="str">
        <x:v>Not applicable</x:v>
      </x:c>
      <x:c r="K478" s="159" t="str">
        <x:v>No</x:v>
      </x:c>
      <x:c r="L478" s="159" t="str">
        <x:v>5-10 years</x:v>
      </x:c>
      <x:c r="M478" s="168" t="n">
        <x:v>0</x:v>
      </x:c>
      <x:c r="N478" s="168" t="n">
        <x:v>0</x:v>
      </x:c>
      <x:c r="O478" s="159" t="str"/>
      <x:c r="P478" s="159" t="str"/>
      <x:c r="Q478" s="159" t="str">
        <x:v>The action's primary mechanism does not directly change a terminal Geohydrological Disasters exposure indicator.</x:v>
      </x:c>
      <x:c r="R478" s="160" t="str">
        <x:v>This action aims to expand the procedures related to the existing climate risk forecasting, monitoring, and alert system in the municipality.</x:v>
      </x:c>
    </x:row>
    <x:row r="479" ht="66" customHeight="1">
      <x:c r="A479" s="165" t="str">
        <x:v>ipcc_0101</x:v>
      </x:c>
      <x:c r="B479" s="159" t="str">
        <x:v>Improve urban water management</x:v>
      </x:c>
      <x:c r="C479" s="159" t="str">
        <x:v>Geohydrological disasters</x:v>
      </x:c>
      <x:c r="D479" s="159" t="str">
        <x:v>Exposure</x:v>
      </x:c>
      <x:c r="E479" s="153" t="str"/>
      <x:c r="F479" s="153" t="str"/>
      <x:c r="G479" s="159" t="str">
        <x:v>Not eligible</x:v>
      </x:c>
      <x:c r="H479" s="159" t="str">
        <x:v>Not applicable</x:v>
      </x:c>
      <x:c r="I479" s="159" t="str">
        <x:v>Not applicable</x:v>
      </x:c>
      <x:c r="J479" s="159" t="str">
        <x:v>Not applicable</x:v>
      </x:c>
      <x:c r="K479" s="159" t="str">
        <x:v>No</x:v>
      </x:c>
      <x:c r="L479" s="159" t="str">
        <x:v>5-10 years</x:v>
      </x:c>
      <x:c r="M479" s="168" t="n">
        <x:v>0</x:v>
      </x:c>
      <x:c r="N479" s="168" t="n">
        <x:v>0</x:v>
      </x:c>
      <x:c r="O479" s="159" t="str"/>
      <x:c r="P479" s="159" t="str"/>
      <x:c r="Q479" s="159" t="str">
        <x:v>The action's primary mechanism does not directly change a terminal Geohydrological Disasters exposure indicator.</x:v>
      </x:c>
      <x:c r="R479" s="160" t="str">
        <x:v>Implementing sustainable water supply systems by constructing irrigation infrastructure, promoting inter-basin water transfers, utilizing nature-based solutions (NBS) such as rain gardens, bioswales, and wetlands, and integrating advanced techniques like water reuse and water upgrading. Water reuse involves treating and recycling wastewater for non-potable or potable purposes, while water upgrading focuses on improving the quality of available water for diverse uses. These approaches enhance stormwater infiltration, improve urban water management, increase drought resilience, and support groundwater recharge. They provide energy-efficient and economical water solutions while maintaining sustainable urban development.</x:v>
      </x:c>
    </x:row>
    <x:row r="480" ht="66" customHeight="1">
      <x:c r="A480" s="165" t="str">
        <x:v>c40_0056</x:v>
      </x:c>
      <x:c r="B480" s="159" t="str">
        <x:v>Improve Watershed Protection and Management</x:v>
      </x:c>
      <x:c r="C480" s="159" t="str">
        <x:v>Geohydrological disasters</x:v>
      </x:c>
      <x:c r="D480" s="159" t="str">
        <x:v>Exposure</x:v>
      </x:c>
      <x:c r="E480" s="153" t="str"/>
      <x:c r="F480" s="153" t="str"/>
      <x:c r="G480" s="159" t="str">
        <x:v>Not eligible</x:v>
      </x:c>
      <x:c r="H480" s="159" t="str">
        <x:v>Not applicable</x:v>
      </x:c>
      <x:c r="I480" s="159" t="str">
        <x:v>Not applicable</x:v>
      </x:c>
      <x:c r="J480" s="159" t="str">
        <x:v>Not applicable</x:v>
      </x:c>
      <x:c r="K480" s="159" t="str">
        <x:v>No</x:v>
      </x:c>
      <x:c r="L480" s="159" t="str">
        <x:v>&lt;5 years</x:v>
      </x:c>
      <x:c r="M480" s="168" t="n">
        <x:v>0</x:v>
      </x:c>
      <x:c r="N480" s="168" t="n">
        <x:v>0</x:v>
      </x:c>
      <x:c r="O480" s="159" t="str"/>
      <x:c r="P480" s="159" t="str"/>
      <x:c r="Q480" s="159" t="str">
        <x:v>The action's primary mechanism does not directly change a terminal Geohydrological Disasters exposure indicator.</x:v>
      </x:c>
      <x:c r="R480" s="160" t="str">
        <x:v>"Watershed Protection and Management" involves the protection and conservation of natural watershed areas to safeguard water quality, biodiversity, and ecosystem services, including measures such as preventing pollution and encrouchment. This initiative aims to ensure sustainable water management and resilience to the impacts of climate change.</x:v>
      </x:c>
    </x:row>
    <x:row r="481" ht="66" customHeight="1">
      <x:c r="A481" s="165" t="str">
        <x:v>ipcc_0098</x:v>
      </x:c>
      <x:c r="B481" s="159" t="str">
        <x:v>Increase resilience by improving access to food, improving livelihoods and promoting dietary shifts and food waste reduction</x:v>
      </x:c>
      <x:c r="C481" s="159" t="str">
        <x:v>Geohydrological disasters</x:v>
      </x:c>
      <x:c r="D481" s="159" t="str">
        <x:v>Exposure</x:v>
      </x:c>
      <x:c r="E481" s="153" t="str"/>
      <x:c r="F481" s="153" t="str"/>
      <x:c r="G481" s="159" t="str">
        <x:v>Not eligible</x:v>
      </x:c>
      <x:c r="H481" s="159" t="str">
        <x:v>Not applicable</x:v>
      </x:c>
      <x:c r="I481" s="159" t="str">
        <x:v>Not applicable</x:v>
      </x:c>
      <x:c r="J481" s="159" t="str">
        <x:v>Not applicable</x:v>
      </x:c>
      <x:c r="K481" s="159" t="str">
        <x:v>No</x:v>
      </x:c>
      <x:c r="L481" s="159" t="str">
        <x:v>5-10 years</x:v>
      </x:c>
      <x:c r="M481" s="168" t="n">
        <x:v>0</x:v>
      </x:c>
      <x:c r="N481" s="168" t="n">
        <x:v>0</x:v>
      </x:c>
      <x:c r="O481" s="159" t="str"/>
      <x:c r="P481" s="159" t="str"/>
      <x:c r="Q481" s="159" t="str">
        <x:v>The action's primary mechanism does not directly change a terminal Geohydrological Disasters exposure indicator.</x:v>
      </x:c>
      <x:c r="R481" s="160" t="str">
        <x:v>Increase resilience through improved food production, distribution, and consumption practices. Actions include enhancing agricultural techniques, adopting water-saving technologies, implementing low-cost storage solutions, and promoting plant-based diets. Policymakers can encourage these behaviors with appropriate pricing policies, sustainable agriculture initiatives, and support for disadvantaged groups. The action emphasizes shifting to healthier diets, reducing overconsumption, and supporting local food systems to mitigate greenhouse gas emissions and ensure food security under climate change.</x:v>
      </x:c>
    </x:row>
    <x:row r="482" ht="66" customHeight="1">
      <x:c r="A482" s="165" t="str">
        <x:v>ipcc_0098</x:v>
      </x:c>
      <x:c r="B482" s="159" t="str">
        <x:v>Increase resilience by improving access to food, improving livelihoods and promoting dietary shifts and food waste reduction</x:v>
      </x:c>
      <x:c r="C482" s="159" t="str">
        <x:v>Geohydrological disasters</x:v>
      </x:c>
      <x:c r="D482" s="159" t="str">
        <x:v>Vulnerability</x:v>
      </x:c>
      <x:c r="E482" s="153" t="str"/>
      <x:c r="F482" s="153" t="str"/>
      <x:c r="G482" s="159" t="str">
        <x:v>Not eligible</x:v>
      </x:c>
      <x:c r="H482" s="159" t="str">
        <x:v>Not applicable</x:v>
      </x:c>
      <x:c r="I482" s="159" t="str">
        <x:v>Not applicable</x:v>
      </x:c>
      <x:c r="J482" s="159" t="str">
        <x:v>Not applicable</x:v>
      </x:c>
      <x:c r="K482" s="159" t="str">
        <x:v>No</x:v>
      </x:c>
      <x:c r="L482" s="159" t="str">
        <x:v>5-10 years</x:v>
      </x:c>
      <x:c r="M482" s="168" t="n">
        <x:v>0</x:v>
      </x:c>
      <x:c r="N482" s="168" t="n">
        <x:v>0</x:v>
      </x:c>
      <x:c r="O482" s="159" t="str"/>
      <x:c r="P482" s="159" t="str"/>
      <x:c r="Q482" s="159" t="str">
        <x:v>The action's primary mechanism does not directly change a terminal Geohydrological Disasters vulnerability indicator.</x:v>
      </x:c>
      <x:c r="R482" s="160" t="str">
        <x:v>Increase resilience through improved food production, distribution, and consumption practices. Actions include enhancing agricultural techniques, adopting water-saving technologies, implementing low-cost storage solutions, and promoting plant-based diets. Policymakers can encourage these behaviors with appropriate pricing policies, sustainable agriculture initiatives, and support for disadvantaged groups. The action emphasizes shifting to healthier diets, reducing overconsumption, and supporting local food systems to mitigate greenhouse gas emissions and ensure food security under climate change.</x:v>
      </x:c>
    </x:row>
    <x:row r="483" ht="66" customHeight="1">
      <x:c r="A483" s="165" t="str">
        <x:v>ipcc_0099</x:v>
      </x:c>
      <x:c r="B483" s="159" t="str">
        <x:v>Increase Water Capture and Storage</x:v>
      </x:c>
      <x:c r="C483" s="159" t="str">
        <x:v>Geohydrological disasters</x:v>
      </x:c>
      <x:c r="D483" s="159" t="str">
        <x:v>Exposure</x:v>
      </x:c>
      <x:c r="E483" s="153" t="str"/>
      <x:c r="F483" s="153" t="str"/>
      <x:c r="G483" s="159" t="str">
        <x:v>Not eligible</x:v>
      </x:c>
      <x:c r="H483" s="159" t="str">
        <x:v>Not applicable</x:v>
      </x:c>
      <x:c r="I483" s="159" t="str">
        <x:v>Not applicable</x:v>
      </x:c>
      <x:c r="J483" s="159" t="str">
        <x:v>Not applicable</x:v>
      </x:c>
      <x:c r="K483" s="159" t="str">
        <x:v>No</x:v>
      </x:c>
      <x:c r="L483" s="159" t="str">
        <x:v>5-10 years</x:v>
      </x:c>
      <x:c r="M483" s="168" t="n">
        <x:v>0</x:v>
      </x:c>
      <x:c r="N483" s="168" t="n">
        <x:v>0</x:v>
      </x:c>
      <x:c r="O483" s="159" t="str"/>
      <x:c r="P483" s="159" t="str"/>
      <x:c r="Q483" s="159" t="str">
        <x:v>The action's primary mechanism does not directly change a terminal Geohydrological Disasters exposure indicator.</x:v>
      </x:c>
      <x:c r="R483" s="160" t="str">
        <x:v>Implementation of water harvesting and storage solutions, such as on-farm ponds, water body revitalization, rain gardens, bioswales, retention ponds, pumped storage, and water storage tanks. These measures aim to mitigate climate-induced impacts by improving water management, reducing stormwater runoff, improving water quality, and supporting agriculture and energy production in changing climate scenarios. Water reservoirs and multipurpose dams offer additional benefits by addressing water scarcity and managing risks associated with natural disasters. These adaptation strategies contribute to sustainable water use and resilience to climate-related challenges.</x:v>
      </x:c>
    </x:row>
    <x:row r="484" ht="66" customHeight="1">
      <x:c r="A484" s="165" t="str">
        <x:v>ipcc_0083</x:v>
      </x:c>
      <x:c r="B484" s="159" t="str">
        <x:v>Plan strategic coastal retreat for vulnerable communities</x:v>
      </x:c>
      <x:c r="C484" s="159" t="str">
        <x:v>Geohydrological disasters</x:v>
      </x:c>
      <x:c r="D484" s="159" t="str">
        <x:v>Exposure</x:v>
      </x:c>
      <x:c r="E484" s="153" t="str"/>
      <x:c r="F484" s="153" t="str"/>
      <x:c r="G484" s="159" t="str">
        <x:v>Not eligible</x:v>
      </x:c>
      <x:c r="H484" s="159" t="str">
        <x:v>Not applicable</x:v>
      </x:c>
      <x:c r="I484" s="159" t="str">
        <x:v>Not applicable</x:v>
      </x:c>
      <x:c r="J484" s="159" t="str">
        <x:v>Not applicable</x:v>
      </x:c>
      <x:c r="K484" s="159" t="str">
        <x:v>No</x:v>
      </x:c>
      <x:c r="L484" s="159" t="str">
        <x:v>&gt;10 years</x:v>
      </x:c>
      <x:c r="M484" s="168" t="n">
        <x:v>0</x:v>
      </x:c>
      <x:c r="N484" s="168" t="n">
        <x:v>0</x:v>
      </x:c>
      <x:c r="O484" s="159" t="str"/>
      <x:c r="P484" s="159" t="str"/>
      <x:c r="Q484" s="159" t="str">
        <x:v>The action's primary mechanism does not directly change a terminal Geohydrological Disasters exposure indicator.</x:v>
      </x:c>
      <x:c r="R484" s="160" t="str">
        <x:v>Planned relocation and retreat of people, assets, and activities from coastal hazard zones to reduce exposure and risks caused by sea-level rise and associated coastal hazards.</x:v>
      </x:c>
    </x:row>
    <x:row r="485" ht="66" customHeight="1">
      <x:c r="A485" s="165" t="str">
        <x:v>ipcc_0083</x:v>
      </x:c>
      <x:c r="B485" s="159" t="str">
        <x:v>Plan strategic coastal retreat for vulnerable communities</x:v>
      </x:c>
      <x:c r="C485" s="159" t="str">
        <x:v>Geohydrological disasters</x:v>
      </x:c>
      <x:c r="D485" s="159" t="str">
        <x:v>Vulnerability</x:v>
      </x:c>
      <x:c r="E485" s="153" t="str"/>
      <x:c r="F485" s="153" t="str"/>
      <x:c r="G485" s="159" t="str">
        <x:v>Not eligible</x:v>
      </x:c>
      <x:c r="H485" s="159" t="str">
        <x:v>Not applicable</x:v>
      </x:c>
      <x:c r="I485" s="159" t="str">
        <x:v>Not applicable</x:v>
      </x:c>
      <x:c r="J485" s="159" t="str">
        <x:v>Not applicable</x:v>
      </x:c>
      <x:c r="K485" s="159" t="str">
        <x:v>No</x:v>
      </x:c>
      <x:c r="L485" s="159" t="str">
        <x:v>&gt;10 years</x:v>
      </x:c>
      <x:c r="M485" s="168" t="n">
        <x:v>0</x:v>
      </x:c>
      <x:c r="N485" s="168" t="n">
        <x:v>0</x:v>
      </x:c>
      <x:c r="O485" s="159" t="str"/>
      <x:c r="P485" s="159" t="str"/>
      <x:c r="Q485" s="159" t="str">
        <x:v>The action's primary mechanism does not directly change a terminal Geohydrological Disasters vulnerability indicator.</x:v>
      </x:c>
      <x:c r="R485" s="160" t="str">
        <x:v>Planned relocation and retreat of people, assets, and activities from coastal hazard zones to reduce exposure and risks caused by sea-level rise and associated coastal hazards.</x:v>
      </x:c>
    </x:row>
    <x:row r="486" ht="66" customHeight="1">
      <x:c r="A486" s="165" t="str">
        <x:v>icare_0173</x:v>
      </x:c>
      <x:c r="B486" s="159" t="str">
        <x:v>Preventive maintenance of drainage systems</x:v>
      </x:c>
      <x:c r="C486" s="159" t="str">
        <x:v>Geohydrological disasters</x:v>
      </x:c>
      <x:c r="D486" s="159" t="str">
        <x:v>Exposure</x:v>
      </x:c>
      <x:c r="E486" s="153" t="str"/>
      <x:c r="F486" s="153" t="str"/>
      <x:c r="G486" s="159" t="str">
        <x:v>Not eligible</x:v>
      </x:c>
      <x:c r="H486" s="159" t="str">
        <x:v>Not applicable</x:v>
      </x:c>
      <x:c r="I486" s="159" t="str">
        <x:v>Not applicable</x:v>
      </x:c>
      <x:c r="J486" s="159" t="str">
        <x:v>Not applicable</x:v>
      </x:c>
      <x:c r="K486" s="159" t="str">
        <x:v>No</x:v>
      </x:c>
      <x:c r="L486" s="159" t="str">
        <x:v>5-10 years</x:v>
      </x:c>
      <x:c r="M486" s="168" t="n">
        <x:v>0</x:v>
      </x:c>
      <x:c r="N486" s="168" t="n">
        <x:v>0</x:v>
      </x:c>
      <x:c r="O486" s="159" t="str"/>
      <x:c r="P486" s="159" t="str"/>
      <x:c r="Q486" s="159" t="str">
        <x:v>The action's primary mechanism does not directly change a terminal Geohydrological Disasters exposure indicator.</x:v>
      </x:c>
      <x:c r="R486" s="160" t="str">
        <x:v>Regular upkeep and cleaning of urban drainage systems, including storm drains, sewers, and retention basins, to ensure efficient water flow and prevent blockages that can lead to flooding during heavy rainfall events.</x:v>
      </x:c>
    </x:row>
    <x:row r="487" ht="66" customHeight="1">
      <x:c r="A487" s="165" t="str">
        <x:v>c40_0053</x:v>
      </x:c>
      <x:c r="B487" s="159" t="str">
        <x:v>Promote water-saving technologies and practices</x:v>
      </x:c>
      <x:c r="C487" s="159" t="str">
        <x:v>Geohydrological disasters</x:v>
      </x:c>
      <x:c r="D487" s="159" t="str">
        <x:v>Exposure</x:v>
      </x:c>
      <x:c r="E487" s="153" t="str"/>
      <x:c r="F487" s="153" t="str"/>
      <x:c r="G487" s="159" t="str">
        <x:v>Not eligible</x:v>
      </x:c>
      <x:c r="H487" s="159" t="str">
        <x:v>Not applicable</x:v>
      </x:c>
      <x:c r="I487" s="159" t="str">
        <x:v>Not applicable</x:v>
      </x:c>
      <x:c r="J487" s="159" t="str">
        <x:v>Not applicable</x:v>
      </x:c>
      <x:c r="K487" s="159" t="str">
        <x:v>No</x:v>
      </x:c>
      <x:c r="L487" s="159" t="str">
        <x:v>5-10 years</x:v>
      </x:c>
      <x:c r="M487" s="168" t="n">
        <x:v>0</x:v>
      </x:c>
      <x:c r="N487" s="168" t="n">
        <x:v>0</x:v>
      </x:c>
      <x:c r="O487" s="159" t="str"/>
      <x:c r="P487" s="159" t="str"/>
      <x:c r="Q487" s="159" t="str">
        <x:v>The action's primary mechanism does not directly change a terminal Geohydrological Disasters exposure indicator.</x:v>
      </x:c>
      <x:c r="R487" s="160" t="str">
        <x:v>Encourages the adoption of water-saving technologies and practices to conserve water resources and strengthen resilience to climate change. This includes measures such as rainwater harvesting, low-flow appliances, leak detection systems, and municipal incentive programs that support households and businesses in reducing consumption. These actions enhance sustainable water use and complement broader eco-engineering and adaptation efforts.</x:v>
      </x:c>
    </x:row>
    <x:row r="488" ht="66" customHeight="1">
      <x:c r="A488" s="165" t="str">
        <x:v>c40_0053</x:v>
      </x:c>
      <x:c r="B488" s="159" t="str">
        <x:v>Promote water-saving technologies and practices</x:v>
      </x:c>
      <x:c r="C488" s="159" t="str">
        <x:v>Geohydrological disasters</x:v>
      </x:c>
      <x:c r="D488" s="159" t="str">
        <x:v>Vulnerability</x:v>
      </x:c>
      <x:c r="E488" s="153" t="str"/>
      <x:c r="F488" s="153" t="str"/>
      <x:c r="G488" s="159" t="str">
        <x:v>Not eligible</x:v>
      </x:c>
      <x:c r="H488" s="159" t="str">
        <x:v>Not applicable</x:v>
      </x:c>
      <x:c r="I488" s="159" t="str">
        <x:v>Not applicable</x:v>
      </x:c>
      <x:c r="J488" s="159" t="str">
        <x:v>Not applicable</x:v>
      </x:c>
      <x:c r="K488" s="159" t="str">
        <x:v>No</x:v>
      </x:c>
      <x:c r="L488" s="159" t="str">
        <x:v>5-10 years</x:v>
      </x:c>
      <x:c r="M488" s="168" t="n">
        <x:v>0</x:v>
      </x:c>
      <x:c r="N488" s="168" t="n">
        <x:v>0</x:v>
      </x:c>
      <x:c r="O488" s="159" t="str"/>
      <x:c r="P488" s="159" t="str"/>
      <x:c r="Q488" s="159" t="str">
        <x:v>The action's primary mechanism does not directly change a terminal Geohydrological Disasters vulnerability indicator.</x:v>
      </x:c>
      <x:c r="R488" s="160" t="str">
        <x:v>Encourages the adoption of water-saving technologies and practices to conserve water resources and strengthen resilience to climate change. This includes measures such as rainwater harvesting, low-flow appliances, leak detection systems, and municipal incentive programs that support households and businesses in reducing consumption. These actions enhance sustainable water use and complement broader eco-engineering and adaptation efforts.</x:v>
      </x:c>
    </x:row>
    <x:row r="489" ht="66" customHeight="1">
      <x:c r="A489" s="165" t="str">
        <x:v>c40_0051</x:v>
      </x:c>
      <x:c r="B489" s="159" t="str">
        <x:v>Provide public shading in heat hotspots</x:v>
      </x:c>
      <x:c r="C489" s="159" t="str">
        <x:v>Geohydrological disasters</x:v>
      </x:c>
      <x:c r="D489" s="159" t="str">
        <x:v>Exposure</x:v>
      </x:c>
      <x:c r="E489" s="153" t="str"/>
      <x:c r="F489" s="153" t="str"/>
      <x:c r="G489" s="159" t="str">
        <x:v>Not eligible</x:v>
      </x:c>
      <x:c r="H489" s="159" t="str">
        <x:v>Not applicable</x:v>
      </x:c>
      <x:c r="I489" s="159" t="str">
        <x:v>Not applicable</x:v>
      </x:c>
      <x:c r="J489" s="159" t="str">
        <x:v>Not applicable</x:v>
      </x:c>
      <x:c r="K489" s="159" t="str">
        <x:v>No</x:v>
      </x:c>
      <x:c r="L489" s="159" t="str">
        <x:v>&lt;5 years</x:v>
      </x:c>
      <x:c r="M489" s="168" t="n">
        <x:v>0</x:v>
      </x:c>
      <x:c r="N489" s="168" t="n">
        <x:v>0</x:v>
      </x:c>
      <x:c r="O489" s="159" t="str"/>
      <x:c r="P489" s="159" t="str"/>
      <x:c r="Q489" s="159" t="str">
        <x:v>The action's primary mechanism does not directly change a terminal Geohydrological Disasters exposure indicator.</x:v>
      </x:c>
      <x:c r="R489" s="160" t="str">
        <x:v>"Provide public shading in heat hotspots" involves the implementation of shade structures in public spaces, such as shade sails and canopies, and drought-tolerant trees, contributing to eco-engineering efforts. This adaptation measure enhances outdoor comfort, reduces heat stress, and promotes sustainable urban design.</x:v>
      </x:c>
    </x:row>
    <x:row r="490" ht="66" customHeight="1">
      <x:c r="A490" s="165" t="str">
        <x:v>c40_0051</x:v>
      </x:c>
      <x:c r="B490" s="159" t="str">
        <x:v>Provide public shading in heat hotspots</x:v>
      </x:c>
      <x:c r="C490" s="159" t="str">
        <x:v>Geohydrological disasters</x:v>
      </x:c>
      <x:c r="D490" s="159" t="str">
        <x:v>Vulnerability</x:v>
      </x:c>
      <x:c r="E490" s="153" t="str"/>
      <x:c r="F490" s="153" t="str"/>
      <x:c r="G490" s="159" t="str">
        <x:v>Not eligible</x:v>
      </x:c>
      <x:c r="H490" s="159" t="str">
        <x:v>Not applicable</x:v>
      </x:c>
      <x:c r="I490" s="159" t="str">
        <x:v>Not applicable</x:v>
      </x:c>
      <x:c r="J490" s="159" t="str">
        <x:v>Not applicable</x:v>
      </x:c>
      <x:c r="K490" s="159" t="str">
        <x:v>No</x:v>
      </x:c>
      <x:c r="L490" s="159" t="str">
        <x:v>&lt;5 years</x:v>
      </x:c>
      <x:c r="M490" s="168" t="n">
        <x:v>0</x:v>
      </x:c>
      <x:c r="N490" s="168" t="n">
        <x:v>0</x:v>
      </x:c>
      <x:c r="O490" s="159" t="str"/>
      <x:c r="P490" s="159" t="str"/>
      <x:c r="Q490" s="159" t="str">
        <x:v>The action's primary mechanism does not directly change a terminal Geohydrological Disasters vulnerability indicator.</x:v>
      </x:c>
      <x:c r="R490" s="160" t="str">
        <x:v>"Provide public shading in heat hotspots" involves the implementation of shade structures in public spaces, such as shade sails and canopies, and drought-tolerant trees, contributing to eco-engineering efforts. This adaptation measure enhances outdoor comfort, reduces heat stress, and promotes sustainable urban design.</x:v>
      </x:c>
    </x:row>
    <x:row r="491" ht="66" customHeight="1">
      <x:c r="A491" s="165" t="str">
        <x:v>ipcc_0085</x:v>
      </x:c>
      <x:c r="B491" s="159" t="str">
        <x:v>Reduce pressures on ecosystems to build resilience</x:v>
      </x:c>
      <x:c r="C491" s="159" t="str">
        <x:v>Geohydrological disasters</x:v>
      </x:c>
      <x:c r="D491" s="159" t="str">
        <x:v>Exposure</x:v>
      </x:c>
      <x:c r="E491" s="153" t="str"/>
      <x:c r="F491" s="153" t="str"/>
      <x:c r="G491" s="159" t="str">
        <x:v>Not eligible</x:v>
      </x:c>
      <x:c r="H491" s="159" t="str">
        <x:v>Not applicable</x:v>
      </x:c>
      <x:c r="I491" s="159" t="str">
        <x:v>Not applicable</x:v>
      </x:c>
      <x:c r="J491" s="159" t="str">
        <x:v>Not applicable</x:v>
      </x:c>
      <x:c r="K491" s="159" t="str">
        <x:v>No</x:v>
      </x:c>
      <x:c r="L491" s="159" t="str">
        <x:v>5-10 years</x:v>
      </x:c>
      <x:c r="M491" s="168" t="n">
        <x:v>0</x:v>
      </x:c>
      <x:c r="N491" s="168" t="n">
        <x:v>0</x:v>
      </x:c>
      <x:c r="O491" s="159" t="str"/>
      <x:c r="P491" s="159" t="str"/>
      <x:c r="Q491" s="159" t="str">
        <x:v>The action's primary mechanism does not directly change a terminal Geohydrological Disasters exposure indicator.</x:v>
      </x:c>
      <x:c r="R491" s="160" t="str">
        <x:v>Reduce pollution, eutrophication, and anthropogenic pressures on natural systems, including marine and terrestrial ecosystems. Efforts include managing runoff, protecting sensitive habitats like the Great Barrier Reef, addressing non-climate drivers, promoting sustainable fisheries harvest, and increasing connectivity between natural areas to enhance ecosystem resilience.</x:v>
      </x:c>
    </x:row>
    <x:row r="492" ht="66" customHeight="1">
      <x:c r="A492" s="165" t="str">
        <x:v>ipcc_0085</x:v>
      </x:c>
      <x:c r="B492" s="159" t="str">
        <x:v>Reduce pressures on ecosystems to build resilience</x:v>
      </x:c>
      <x:c r="C492" s="159" t="str">
        <x:v>Geohydrological disasters</x:v>
      </x:c>
      <x:c r="D492" s="159" t="str">
        <x:v>Vulnerability</x:v>
      </x:c>
      <x:c r="E492" s="153" t="str"/>
      <x:c r="F492" s="153" t="str"/>
      <x:c r="G492" s="159" t="str">
        <x:v>Not eligible</x:v>
      </x:c>
      <x:c r="H492" s="159" t="str">
        <x:v>Not applicable</x:v>
      </x:c>
      <x:c r="I492" s="159" t="str">
        <x:v>Not applicable</x:v>
      </x:c>
      <x:c r="J492" s="159" t="str">
        <x:v>Not applicable</x:v>
      </x:c>
      <x:c r="K492" s="159" t="str">
        <x:v>No</x:v>
      </x:c>
      <x:c r="L492" s="159" t="str">
        <x:v>5-10 years</x:v>
      </x:c>
      <x:c r="M492" s="168" t="n">
        <x:v>0</x:v>
      </x:c>
      <x:c r="N492" s="168" t="n">
        <x:v>0</x:v>
      </x:c>
      <x:c r="O492" s="159" t="str"/>
      <x:c r="P492" s="159" t="str"/>
      <x:c r="Q492" s="159" t="str">
        <x:v>The action's primary mechanism does not directly change a terminal Geohydrological Disasters vulnerability indicator.</x:v>
      </x:c>
      <x:c r="R492" s="160" t="str">
        <x:v>Reduce pollution, eutrophication, and anthropogenic pressures on natural systems, including marine and terrestrial ecosystems. Efforts include managing runoff, protecting sensitive habitats like the Great Barrier Reef, addressing non-climate drivers, promoting sustainable fisheries harvest, and increasing connectivity between natural areas to enhance ecosystem resilience.</x:v>
      </x:c>
    </x:row>
    <x:row r="493" ht="66" customHeight="1">
      <x:c r="A493" s="165" t="str">
        <x:v>c40_0062</x:v>
      </x:c>
      <x:c r="B493" s="159" t="str">
        <x:v>Reform water tariffs to support efficiency and equity</x:v>
      </x:c>
      <x:c r="C493" s="159" t="str">
        <x:v>Geohydrological disasters</x:v>
      </x:c>
      <x:c r="D493" s="159" t="str">
        <x:v>Exposure</x:v>
      </x:c>
      <x:c r="E493" s="153" t="str"/>
      <x:c r="F493" s="153" t="str"/>
      <x:c r="G493" s="159" t="str">
        <x:v>Not eligible</x:v>
      </x:c>
      <x:c r="H493" s="159" t="str">
        <x:v>Not applicable</x:v>
      </x:c>
      <x:c r="I493" s="159" t="str">
        <x:v>Not applicable</x:v>
      </x:c>
      <x:c r="J493" s="159" t="str">
        <x:v>Not applicable</x:v>
      </x:c>
      <x:c r="K493" s="159" t="str">
        <x:v>No</x:v>
      </x:c>
      <x:c r="L493" s="159" t="str">
        <x:v>5-10 years</x:v>
      </x:c>
      <x:c r="M493" s="168" t="n">
        <x:v>0</x:v>
      </x:c>
      <x:c r="N493" s="168" t="n">
        <x:v>0</x:v>
      </x:c>
      <x:c r="O493" s="159" t="str"/>
      <x:c r="P493" s="159" t="str"/>
      <x:c r="Q493" s="159" t="str">
        <x:v>The action's primary mechanism does not directly change a terminal Geohydrological Disasters exposure indicator.</x:v>
      </x:c>
      <x:c r="R493" s="160" t="str">
        <x:v>"Reform water tariffs to support efficiency and equity" involve pricing structures for water use, encouraging conservation and efficient use of water resources. This initiative aims to promote responsible water consumption and contribute to sustainable water management.</x:v>
      </x:c>
    </x:row>
    <x:row r="494" ht="66" customHeight="1">
      <x:c r="A494" s="165" t="str">
        <x:v>c40_0062</x:v>
      </x:c>
      <x:c r="B494" s="159" t="str">
        <x:v>Reform water tariffs to support efficiency and equity</x:v>
      </x:c>
      <x:c r="C494" s="159" t="str">
        <x:v>Geohydrological disasters</x:v>
      </x:c>
      <x:c r="D494" s="159" t="str">
        <x:v>Vulnerability</x:v>
      </x:c>
      <x:c r="E494" s="153" t="str"/>
      <x:c r="F494" s="153" t="str"/>
      <x:c r="G494" s="159" t="str">
        <x:v>Not eligible</x:v>
      </x:c>
      <x:c r="H494" s="159" t="str">
        <x:v>Not applicable</x:v>
      </x:c>
      <x:c r="I494" s="159" t="str">
        <x:v>Not applicable</x:v>
      </x:c>
      <x:c r="J494" s="159" t="str">
        <x:v>Not applicable</x:v>
      </x:c>
      <x:c r="K494" s="159" t="str">
        <x:v>No</x:v>
      </x:c>
      <x:c r="L494" s="159" t="str">
        <x:v>5-10 years</x:v>
      </x:c>
      <x:c r="M494" s="168" t="n">
        <x:v>0</x:v>
      </x:c>
      <x:c r="N494" s="168" t="n">
        <x:v>0</x:v>
      </x:c>
      <x:c r="O494" s="159" t="str"/>
      <x:c r="P494" s="159" t="str"/>
      <x:c r="Q494" s="159" t="str">
        <x:v>The action's primary mechanism does not directly change a terminal Geohydrological Disasters vulnerability indicator.</x:v>
      </x:c>
      <x:c r="R494" s="160" t="str">
        <x:v>"Reform water tariffs to support efficiency and equity" involve pricing structures for water use, encouraging conservation and efficient use of water resources. This initiative aims to promote responsible water consumption and contribute to sustainable water management.</x:v>
      </x:c>
    </x:row>
    <x:row r="495" ht="66" customHeight="1">
      <x:c r="A495" s="165" t="str">
        <x:v>ipcc_0084</x:v>
      </x:c>
      <x:c r="B495" s="159" t="str">
        <x:v>Restore/create natural areas</x:v>
      </x:c>
      <x:c r="C495" s="159" t="str">
        <x:v>Geohydrological disasters</x:v>
      </x:c>
      <x:c r="D495" s="159" t="str">
        <x:v>Exposure</x:v>
      </x:c>
      <x:c r="E495" s="153" t="str"/>
      <x:c r="F495" s="153" t="str"/>
      <x:c r="G495" s="159" t="str">
        <x:v>Not eligible</x:v>
      </x:c>
      <x:c r="H495" s="159" t="str">
        <x:v>Not applicable</x:v>
      </x:c>
      <x:c r="I495" s="159" t="str">
        <x:v>Not applicable</x:v>
      </x:c>
      <x:c r="J495" s="159" t="str">
        <x:v>Not applicable</x:v>
      </x:c>
      <x:c r="K495" s="159" t="str">
        <x:v>No</x:v>
      </x:c>
      <x:c r="L495" s="159" t="str">
        <x:v>5-10 years</x:v>
      </x:c>
      <x:c r="M495" s="168" t="n">
        <x:v>0</x:v>
      </x:c>
      <x:c r="N495" s="168" t="n">
        <x:v>0</x:v>
      </x:c>
      <x:c r="O495" s="159" t="str"/>
      <x:c r="P495" s="159" t="str"/>
      <x:c r="Q495" s="159" t="str">
        <x:v>The action's primary mechanism does not directly change a terminal Geohydrological Disasters exposure indicator.</x:v>
      </x:c>
      <x:c r="R495" s="160" t="str">
        <x:v>Restoration and conservation of marine and coastal habitats, such as mangroves, vegetated dunes, seagrasses, coral reefs, and kelp forests, to protect coastal communities, support biodiversity, sequester carbon, and mitigate climate change. Efforts include creating marine protected areas, active restoration of coral reefs, ridge-to-reef management, restoring dunes, planting salinity-tolerant trees, increasing forest cover, detect and manage forest pests.</x:v>
      </x:c>
    </x:row>
    <x:row r="496" ht="66" customHeight="1">
      <x:c r="A496" s="165" t="str">
        <x:v>ipcc_0084</x:v>
      </x:c>
      <x:c r="B496" s="159" t="str">
        <x:v>Restore/create natural areas</x:v>
      </x:c>
      <x:c r="C496" s="159" t="str">
        <x:v>Geohydrological disasters</x:v>
      </x:c>
      <x:c r="D496" s="159" t="str">
        <x:v>Vulnerability</x:v>
      </x:c>
      <x:c r="E496" s="153" t="str"/>
      <x:c r="F496" s="153" t="str"/>
      <x:c r="G496" s="159" t="str">
        <x:v>Not eligible</x:v>
      </x:c>
      <x:c r="H496" s="159" t="str">
        <x:v>Not applicable</x:v>
      </x:c>
      <x:c r="I496" s="159" t="str">
        <x:v>Not applicable</x:v>
      </x:c>
      <x:c r="J496" s="159" t="str">
        <x:v>Not applicable</x:v>
      </x:c>
      <x:c r="K496" s="159" t="str">
        <x:v>No</x:v>
      </x:c>
      <x:c r="L496" s="159" t="str">
        <x:v>5-10 years</x:v>
      </x:c>
      <x:c r="M496" s="168" t="n">
        <x:v>0</x:v>
      </x:c>
      <x:c r="N496" s="168" t="n">
        <x:v>0</x:v>
      </x:c>
      <x:c r="O496" s="159" t="str"/>
      <x:c r="P496" s="159" t="str"/>
      <x:c r="Q496" s="159" t="str">
        <x:v>The action's primary mechanism does not directly change a terminal Geohydrological Disasters vulnerability indicator.</x:v>
      </x:c>
      <x:c r="R496" s="160" t="str">
        <x:v>Restoration and conservation of marine and coastal habitats, such as mangroves, vegetated dunes, seagrasses, coral reefs, and kelp forests, to protect coastal communities, support biodiversity, sequester carbon, and mitigate climate change. Efforts include creating marine protected areas, active restoration of coral reefs, ridge-to-reef management, restoring dunes, planting salinity-tolerant trees, increasing forest cover, detect and manage forest pests.</x:v>
      </x:c>
    </x:row>
    <x:row r="497" ht="66" customHeight="1">
      <x:c r="A497" s="165" t="str">
        <x:v>ipcc_0096</x:v>
      </x:c>
      <x:c r="B497" s="159" t="str">
        <x:v>Strengthen climate resilience in farming and fisheries</x:v>
      </x:c>
      <x:c r="C497" s="159" t="str">
        <x:v>Geohydrological disasters</x:v>
      </x:c>
      <x:c r="D497" s="159" t="str">
        <x:v>Exposure</x:v>
      </x:c>
      <x:c r="E497" s="153" t="str"/>
      <x:c r="F497" s="153" t="str"/>
      <x:c r="G497" s="159" t="str">
        <x:v>Not eligible</x:v>
      </x:c>
      <x:c r="H497" s="159" t="str">
        <x:v>Not applicable</x:v>
      </x:c>
      <x:c r="I497" s="159" t="str">
        <x:v>Not applicable</x:v>
      </x:c>
      <x:c r="J497" s="159" t="str">
        <x:v>Not applicable</x:v>
      </x:c>
      <x:c r="K497" s="159" t="str">
        <x:v>No</x:v>
      </x:c>
      <x:c r="L497" s="159" t="str">
        <x:v>5-10 years</x:v>
      </x:c>
      <x:c r="M497" s="168" t="n">
        <x:v>0</x:v>
      </x:c>
      <x:c r="N497" s="168" t="n">
        <x:v>0</x:v>
      </x:c>
      <x:c r="O497" s="159" t="str"/>
      <x:c r="P497" s="159" t="str"/>
      <x:c r="Q497" s="159" t="str">
        <x:v>The action's primary mechanism does not directly change a terminal Geohydrological Disasters exposure indicator.</x:v>
      </x:c>
      <x:c r="R497" s="160" t="str">
        <x:v>Support the adoption of climate-smart agricultural and aquaculture practices by creating enabling conditions for farmers and fishers. Municipal governments can promote improved breeds, feed, and fertilizers, enhance irrigation efficiency, and foster aquaculture resilience through extension services, research partnerships, and targeted procurement. By offering incentives, technical assistance, and facilitating access to innovation and finance, cities can help producers adopt agroecological systems, diversify crops, and strengthen sustainable practices that build resilience to climate impacts.</x:v>
      </x:c>
    </x:row>
    <x:row r="498" ht="66" customHeight="1">
      <x:c r="A498" s="165" t="str">
        <x:v>ipcc_0096</x:v>
      </x:c>
      <x:c r="B498" s="159" t="str">
        <x:v>Strengthen climate resilience in farming and fisheries</x:v>
      </x:c>
      <x:c r="C498" s="159" t="str">
        <x:v>Geohydrological disasters</x:v>
      </x:c>
      <x:c r="D498" s="159" t="str">
        <x:v>Vulnerability</x:v>
      </x:c>
      <x:c r="E498" s="153" t="str"/>
      <x:c r="F498" s="153" t="str"/>
      <x:c r="G498" s="159" t="str">
        <x:v>Not eligible</x:v>
      </x:c>
      <x:c r="H498" s="159" t="str">
        <x:v>Not applicable</x:v>
      </x:c>
      <x:c r="I498" s="159" t="str">
        <x:v>Not applicable</x:v>
      </x:c>
      <x:c r="J498" s="159" t="str">
        <x:v>Not applicable</x:v>
      </x:c>
      <x:c r="K498" s="159" t="str">
        <x:v>No</x:v>
      </x:c>
      <x:c r="L498" s="159" t="str">
        <x:v>5-10 years</x:v>
      </x:c>
      <x:c r="M498" s="168" t="n">
        <x:v>0</x:v>
      </x:c>
      <x:c r="N498" s="168" t="n">
        <x:v>0</x:v>
      </x:c>
      <x:c r="O498" s="159" t="str"/>
      <x:c r="P498" s="159" t="str"/>
      <x:c r="Q498" s="159" t="str">
        <x:v>The action's primary mechanism does not directly change a terminal Geohydrological Disasters vulnerability indicator.</x:v>
      </x:c>
      <x:c r="R498" s="160" t="str">
        <x:v>Support the adoption of climate-smart agricultural and aquaculture practices by creating enabling conditions for farmers and fishers. Municipal governments can promote improved breeds, feed, and fertilizers, enhance irrigation efficiency, and foster aquaculture resilience through extension services, research partnerships, and targeted procurement. By offering incentives, technical assistance, and facilitating access to innovation and finance, cities can help producers adopt agroecological systems, diversify crops, and strengthen sustainable practices that build resilience to climate impacts.</x:v>
      </x:c>
    </x:row>
    <x:row r="499" ht="66" customHeight="1">
      <x:c r="A499" s="165" t="str">
        <x:v>ipcc_0094</x:v>
      </x:c>
      <x:c r="B499" s="159" t="str">
        <x:v>Strengthen climate‑resilient health services</x:v>
      </x:c>
      <x:c r="C499" s="159" t="str">
        <x:v>Geohydrological disasters</x:v>
      </x:c>
      <x:c r="D499" s="159" t="str">
        <x:v>Exposure</x:v>
      </x:c>
      <x:c r="E499" s="153" t="str"/>
      <x:c r="F499" s="153" t="str"/>
      <x:c r="G499" s="159" t="str">
        <x:v>Not eligible</x:v>
      </x:c>
      <x:c r="H499" s="159" t="str">
        <x:v>Not applicable</x:v>
      </x:c>
      <x:c r="I499" s="159" t="str">
        <x:v>Not applicable</x:v>
      </x:c>
      <x:c r="J499" s="159" t="str">
        <x:v>Not applicable</x:v>
      </x:c>
      <x:c r="K499" s="159" t="str">
        <x:v>No</x:v>
      </x:c>
      <x:c r="L499" s="159" t="str">
        <x:v>5-10 years</x:v>
      </x:c>
      <x:c r="M499" s="168" t="n">
        <x:v>0</x:v>
      </x:c>
      <x:c r="N499" s="168" t="n">
        <x:v>0</x:v>
      </x:c>
      <x:c r="O499" s="159" t="str"/>
      <x:c r="P499" s="159" t="str"/>
      <x:c r="Q499" s="159" t="str">
        <x:v>The action's primary mechanism does not directly change a terminal Geohydrological Disasters exposure indicator.</x:v>
      </x:c>
      <x:c r="R499" s="160" t="str">
        <x:v>Enhancing access to health care services, including health and nutrition services, clean water, sanitation, and culturally appropriate mental health resources. Expanding telemedicine capabilities enables efficient health service delivery, particularly for remote and underserved populations. Strengthening basic public health systems and disaster preparedness can rapidly reduce vulnerability to climate-related health risks.</x:v>
      </x:c>
    </x:row>
    <x:row r="500" ht="66" customHeight="1">
      <x:c r="A500" s="165" t="str">
        <x:v>c40_0046</x:v>
      </x:c>
      <x:c r="B500" s="159" t="str">
        <x:v>Strengthen coastal protection infrastructure</x:v>
      </x:c>
      <x:c r="C500" s="159" t="str">
        <x:v>Geohydrological disasters</x:v>
      </x:c>
      <x:c r="D500" s="159" t="str">
        <x:v>Exposure</x:v>
      </x:c>
      <x:c r="E500" s="153" t="str"/>
      <x:c r="F500" s="153" t="str"/>
      <x:c r="G500" s="159" t="str">
        <x:v>Not eligible</x:v>
      </x:c>
      <x:c r="H500" s="159" t="str">
        <x:v>Not applicable</x:v>
      </x:c>
      <x:c r="I500" s="159" t="str">
        <x:v>Not applicable</x:v>
      </x:c>
      <x:c r="J500" s="159" t="str">
        <x:v>Not applicable</x:v>
      </x:c>
      <x:c r="K500" s="159" t="str">
        <x:v>No</x:v>
      </x:c>
      <x:c r="L500" s="159" t="str">
        <x:v>5-10 years</x:v>
      </x:c>
      <x:c r="M500" s="168" t="n">
        <x:v>0</x:v>
      </x:c>
      <x:c r="N500" s="168" t="n">
        <x:v>0</x:v>
      </x:c>
      <x:c r="O500" s="159" t="str"/>
      <x:c r="P500" s="159" t="str"/>
      <x:c r="Q500" s="159" t="str">
        <x:v>The action's primary mechanism does not directly change a terminal Geohydrological Disasters exposure indicator.</x:v>
      </x:c>
      <x:c r="R500" s="160" t="str">
        <x:v>Strengthen coastal protection infrastructure strategies include the construction of sea walls and protective structures to mitigate the impact of rising sea levels and coastal erosion. This adaptation measure enhances the resilience of coastal areas and protects communities from the impacts of climate change. Crucially, these interventions must be developed through an integrated coastal management framework, prioritizing nature-based solutions where feasible, to avoid negative downstream effects and ensure equitable protection for all vulnerable communities.</x:v>
      </x:c>
    </x:row>
    <x:row r="501" ht="66" customHeight="1">
      <x:c r="A501" s="165" t="str">
        <x:v>c40_0046</x:v>
      </x:c>
      <x:c r="B501" s="159" t="str">
        <x:v>Strengthen coastal protection infrastructure</x:v>
      </x:c>
      <x:c r="C501" s="159" t="str">
        <x:v>Geohydrological disasters</x:v>
      </x:c>
      <x:c r="D501" s="159" t="str">
        <x:v>Vulnerability</x:v>
      </x:c>
      <x:c r="E501" s="153" t="str"/>
      <x:c r="F501" s="153" t="str"/>
      <x:c r="G501" s="159" t="str">
        <x:v>Not eligible</x:v>
      </x:c>
      <x:c r="H501" s="159" t="str">
        <x:v>Not applicable</x:v>
      </x:c>
      <x:c r="I501" s="159" t="str">
        <x:v>Not applicable</x:v>
      </x:c>
      <x:c r="J501" s="159" t="str">
        <x:v>Not applicable</x:v>
      </x:c>
      <x:c r="K501" s="159" t="str">
        <x:v>No</x:v>
      </x:c>
      <x:c r="L501" s="159" t="str">
        <x:v>5-10 years</x:v>
      </x:c>
      <x:c r="M501" s="168" t="n">
        <x:v>0</x:v>
      </x:c>
      <x:c r="N501" s="168" t="n">
        <x:v>0</x:v>
      </x:c>
      <x:c r="O501" s="159" t="str"/>
      <x:c r="P501" s="159" t="str"/>
      <x:c r="Q501" s="159" t="str">
        <x:v>The action's primary mechanism does not directly change a terminal Geohydrological Disasters vulnerability indicator.</x:v>
      </x:c>
      <x:c r="R501" s="160" t="str">
        <x:v>Strengthen coastal protection infrastructure strategies include the construction of sea walls and protective structures to mitigate the impact of rising sea levels and coastal erosion. This adaptation measure enhances the resilience of coastal areas and protects communities from the impacts of climate change. Crucially, these interventions must be developed through an integrated coastal management framework, prioritizing nature-based solutions where feasible, to avoid negative downstream effects and ensure equitable protection for all vulnerable communities.</x:v>
      </x:c>
    </x:row>
    <x:row r="502" ht="66" customHeight="1">
      <x:c r="A502" s="165" t="str">
        <x:v>ipcc_0103</x:v>
      </x:c>
      <x:c r="B502" s="159" t="str">
        <x:v>Strengthen cooperative climate governance</x:v>
      </x:c>
      <x:c r="C502" s="159" t="str">
        <x:v>Geohydrological disasters</x:v>
      </x:c>
      <x:c r="D502" s="159" t="str">
        <x:v>Exposure</x:v>
      </x:c>
      <x:c r="E502" s="153" t="str"/>
      <x:c r="F502" s="153" t="str"/>
      <x:c r="G502" s="159" t="str">
        <x:v>Not eligible</x:v>
      </x:c>
      <x:c r="H502" s="159" t="str">
        <x:v>Not applicable</x:v>
      </x:c>
      <x:c r="I502" s="159" t="str">
        <x:v>Not applicable</x:v>
      </x:c>
      <x:c r="J502" s="159" t="str">
        <x:v>Not applicable</x:v>
      </x:c>
      <x:c r="K502" s="159" t="str">
        <x:v>No</x:v>
      </x:c>
      <x:c r="L502" s="159" t="str">
        <x:v>5-10 years</x:v>
      </x:c>
      <x:c r="M502" s="168" t="n">
        <x:v>0</x:v>
      </x:c>
      <x:c r="N502" s="168" t="n">
        <x:v>0</x:v>
      </x:c>
      <x:c r="O502" s="159" t="str"/>
      <x:c r="P502" s="159" t="str"/>
      <x:c r="Q502" s="159" t="str">
        <x:v>The action's primary mechanism does not directly change a terminal Geohydrological Disasters exposure indicator.</x:v>
      </x:c>
      <x:c r="R502" s="160" t="str">
        <x:v>Enhancing cooperative governance through transboundary fishing agreements and inclusive ocean governance. This involves participatory approaches, structured decision-making tools, and decentralized frameworks that couple top-down management with community-driven initiatives. Additional strategies include collective water management systems to optimize resource use under climate-induced variability, indigenous water-sharing systems rooted in traditional practices to ensure sustainable and equitable resource allocation, and enforcing the land rights of Indigenous populations to protect biodiversity and cultural heritage. Adaptive co-management in Arctic fisheries integrates local and scientific knowledge to address climate impacts on marine resources. The international compact on migration fosters orderly and safe migration as an adaptive response to climate risks, and policies for adaptive governance promote ecosystem-based solutions, legal frameworks, and institutional adaptations to enhance resilience to climate change. These combined measures address geopolitical complexities, ensure equitable resource distribution, and strengthen resilience to climate-induced hazards.</x:v>
      </x:c>
    </x:row>
    <x:row r="503" ht="66" customHeight="1">
      <x:c r="A503" s="165" t="str">
        <x:v>icare_0162</x:v>
      </x:c>
      <x:c r="B503" s="159" t="str">
        <x:v>Strengthen programs for control and conservation of protected areas</x:v>
      </x:c>
      <x:c r="C503" s="159" t="str">
        <x:v>Geohydrological disasters</x:v>
      </x:c>
      <x:c r="D503" s="159" t="str">
        <x:v>Exposure</x:v>
      </x:c>
      <x:c r="E503" s="153" t="str"/>
      <x:c r="F503" s="153" t="str"/>
      <x:c r="G503" s="159" t="str">
        <x:v>Not eligible</x:v>
      </x:c>
      <x:c r="H503" s="159" t="str">
        <x:v>Not applicable</x:v>
      </x:c>
      <x:c r="I503" s="159" t="str">
        <x:v>Not applicable</x:v>
      </x:c>
      <x:c r="J503" s="159" t="str">
        <x:v>Not applicable</x:v>
      </x:c>
      <x:c r="K503" s="159" t="str">
        <x:v>No</x:v>
      </x:c>
      <x:c r="L503" s="159" t="str">
        <x:v>5-10 years</x:v>
      </x:c>
      <x:c r="M503" s="168" t="n">
        <x:v>0</x:v>
      </x:c>
      <x:c r="N503" s="168" t="n">
        <x:v>0</x:v>
      </x:c>
      <x:c r="O503" s="159" t="str"/>
      <x:c r="P503" s="159" t="str"/>
      <x:c r="Q503" s="159" t="str">
        <x:v>The action's primary mechanism does not directly change a terminal Geohydrological Disasters exposure indicator.</x:v>
      </x:c>
      <x:c r="R503" s="160" t="str">
        <x:v>This action focuses on implementing a series of integrated strategies to enhance environmental conservation and maximize its benefits, such as expanding protected areas, developing management plans for conservation units, and training ecotourism guides to strengthen sustainable tourism.</x:v>
      </x:c>
    </x:row>
    <x:row r="504" ht="66" customHeight="1">
      <x:c r="A504" s="165" t="str">
        <x:v>icare_0145</x:v>
      </x:c>
      <x:c r="B504" s="159" t="str">
        <x:v>Strengthen the healthcare system to respond effectively to extreme events</x:v>
      </x:c>
      <x:c r="C504" s="159" t="str">
        <x:v>Geohydrological disasters</x:v>
      </x:c>
      <x:c r="D504" s="159" t="str">
        <x:v>Exposure</x:v>
      </x:c>
      <x:c r="E504" s="153" t="str"/>
      <x:c r="F504" s="153" t="str"/>
      <x:c r="G504" s="159" t="str">
        <x:v>Not eligible</x:v>
      </x:c>
      <x:c r="H504" s="159" t="str">
        <x:v>Not applicable</x:v>
      </x:c>
      <x:c r="I504" s="159" t="str">
        <x:v>Not applicable</x:v>
      </x:c>
      <x:c r="J504" s="159" t="str">
        <x:v>Not applicable</x:v>
      </x:c>
      <x:c r="K504" s="159" t="str">
        <x:v>No</x:v>
      </x:c>
      <x:c r="L504" s="159" t="str">
        <x:v>&gt;10 years</x:v>
      </x:c>
      <x:c r="M504" s="168" t="n">
        <x:v>0</x:v>
      </x:c>
      <x:c r="N504" s="168" t="n">
        <x:v>0</x:v>
      </x:c>
      <x:c r="O504" s="159" t="str"/>
      <x:c r="P504" s="159" t="str"/>
      <x:c r="Q504" s="159" t="str">
        <x:v>The action's primary mechanism does not directly change a terminal Geohydrological Disasters exposure indicator.</x:v>
      </x:c>
      <x:c r="R504" s="160" t="str">
        <x:v>Improve the infrastructure of healthcare units to assist people who require medical care due to impacts associated with climate risks (climate victims), such as those affected by heat waves or floods, especially in more vulnerable areas. Develop action plans to prepare the healthcare network for extreme climate-related situations.</x:v>
      </x:c>
    </x:row>
    <x:row r="505" ht="66" customHeight="1">
      <x:c r="A505" s="165" t="str">
        <x:v>ipcc_0091</x:v>
      </x:c>
      <x:c r="B505" s="159" t="str">
        <x:v>Support livelihood diversification for climate resilience</x:v>
      </x:c>
      <x:c r="C505" s="159" t="str">
        <x:v>Geohydrological disasters</x:v>
      </x:c>
      <x:c r="D505" s="159" t="str">
        <x:v>Exposure</x:v>
      </x:c>
      <x:c r="E505" s="153" t="str"/>
      <x:c r="F505" s="153" t="str"/>
      <x:c r="G505" s="159" t="str">
        <x:v>Not eligible</x:v>
      </x:c>
      <x:c r="H505" s="159" t="str">
        <x:v>Not applicable</x:v>
      </x:c>
      <x:c r="I505" s="159" t="str">
        <x:v>Not applicable</x:v>
      </x:c>
      <x:c r="J505" s="159" t="str">
        <x:v>Not applicable</x:v>
      </x:c>
      <x:c r="K505" s="159" t="str">
        <x:v>No</x:v>
      </x:c>
      <x:c r="L505" s="159" t="str">
        <x:v>&lt;5 years</x:v>
      </x:c>
      <x:c r="M505" s="168" t="n">
        <x:v>0</x:v>
      </x:c>
      <x:c r="N505" s="168" t="n">
        <x:v>0</x:v>
      </x:c>
      <x:c r="O505" s="159" t="str"/>
      <x:c r="P505" s="159" t="str"/>
      <x:c r="Q505" s="159" t="str">
        <x:v>The action's primary mechanism does not directly change a terminal Geohydrological Disasters exposure indicator.</x:v>
      </x:c>
      <x:c r="R505" s="160" t="str">
        <x:v>Promote alternative income opportunities to reduce the vulnerability of communities dependent on fisheries and mariculture. Municipal governments can facilitate training, microcredit programs, and connections to value chains that enable diversification into eco-tourism, agro-processing, crafts, and service sectors. By supporting infrastructure upgrades, skills development, and access to finance, cities can help stabilize incomes, strengthen local economies, and protect livelihoods from the impacts of shifting marine species distributions and climate variability.</x:v>
      </x:c>
    </x:row>
    <x:row r="506" ht="66" customHeight="1">
      <x:c r="A506" s="165" t="str">
        <x:v>ipcc_0088</x:v>
      </x:c>
      <x:c r="B506" s="159" t="str">
        <x:v>Update and enforce climate‑resilient building codes</x:v>
      </x:c>
      <x:c r="C506" s="159" t="str">
        <x:v>Geohydrological disasters</x:v>
      </x:c>
      <x:c r="D506" s="159" t="str">
        <x:v>Exposure</x:v>
      </x:c>
      <x:c r="E506" s="153" t="str"/>
      <x:c r="F506" s="153" t="str"/>
      <x:c r="G506" s="159" t="str">
        <x:v>Not eligible</x:v>
      </x:c>
      <x:c r="H506" s="159" t="str">
        <x:v>Not applicable</x:v>
      </x:c>
      <x:c r="I506" s="159" t="str">
        <x:v>Not applicable</x:v>
      </x:c>
      <x:c r="J506" s="159" t="str">
        <x:v>Not applicable</x:v>
      </x:c>
      <x:c r="K506" s="159" t="str">
        <x:v>No</x:v>
      </x:c>
      <x:c r="L506" s="159" t="str">
        <x:v>5-10 years</x:v>
      </x:c>
      <x:c r="M506" s="168" t="n">
        <x:v>0</x:v>
      </x:c>
      <x:c r="N506" s="168" t="n">
        <x:v>0</x:v>
      </x:c>
      <x:c r="O506" s="159" t="str"/>
      <x:c r="P506" s="159" t="str"/>
      <x:c r="Q506" s="159" t="str">
        <x:v>The action's primary mechanism does not directly change a terminal Geohydrological Disasters exposure indicator.</x:v>
      </x:c>
      <x:c r="R506" s="160" t="str">
        <x:v>The development and implementation of building codes and architectural design regulations aimed at integrating climate adaptation parameters. These codes are focused on reducing risks from climate-induced hazards like floods and landslides. They also support climate-resilient urban development by guiding land use, construction practices, and infrastructure standards. The initiative fosters strategic long-term urban planning to coordinate public and private investments in adaptation, including the creation of safe zones and the transformation of precarious settlements. It ensures that new infrastructure is resilient to climate risks and that urban spaces are safe and sustainable for current and future populations.</x:v>
      </x:c>
    </x:row>
    <x:row r="507" ht="66" customHeight="1">
      <x:c r="A507" s="165" t="str">
        <x:v>ipcc_0097</x:v>
      </x:c>
      <x:c r="B507" s="159" t="str">
        <x:v>Upgrade food storage and distribution for climate resilience</x:v>
      </x:c>
      <x:c r="C507" s="159" t="str">
        <x:v>Geohydrological disasters</x:v>
      </x:c>
      <x:c r="D507" s="159" t="str">
        <x:v>Exposure</x:v>
      </x:c>
      <x:c r="E507" s="153" t="str"/>
      <x:c r="F507" s="153" t="str"/>
      <x:c r="G507" s="159" t="str">
        <x:v>Not eligible</x:v>
      </x:c>
      <x:c r="H507" s="159" t="str">
        <x:v>Not applicable</x:v>
      </x:c>
      <x:c r="I507" s="159" t="str">
        <x:v>Not applicable</x:v>
      </x:c>
      <x:c r="J507" s="159" t="str">
        <x:v>Not applicable</x:v>
      </x:c>
      <x:c r="K507" s="159" t="str">
        <x:v>No</x:v>
      </x:c>
      <x:c r="L507" s="159" t="str">
        <x:v>5-10 years</x:v>
      </x:c>
      <x:c r="M507" s="168" t="n">
        <x:v>0</x:v>
      </x:c>
      <x:c r="N507" s="168" t="n">
        <x:v>0</x:v>
      </x:c>
      <x:c r="O507" s="159" t="str"/>
      <x:c r="P507" s="159" t="str"/>
      <x:c r="Q507" s="159" t="str">
        <x:v>The action's primary mechanism does not directly change a terminal Geohydrological Disasters exposure indicator.</x:v>
      </x:c>
      <x:c r="R507" s="160" t="str">
        <x:v>Strengthen local food systems by improving storage and distribution infrastructure to reduce losses and enhance resilience to climate impacts. Municipal governments can invest in public facilities such as cool storage units, silos, and warehouses, while upgrading logistics to handle perishable goods more efficiently. By supporting local markets, optimizing distribution networks, and facilitating access to reliable storage for producers and vendors, cities can improve food security, reduce waste, and ensure stable food availability during crises and extreme events.</x:v>
      </x:c>
    </x:row>
    <x:row r="508" ht="66" customHeight="1">
      <x:c r="A508" s="165" t="str">
        <x:v>ipcc_0097</x:v>
      </x:c>
      <x:c r="B508" s="159" t="str">
        <x:v>Upgrade food storage and distribution for climate resilience</x:v>
      </x:c>
      <x:c r="C508" s="159" t="str">
        <x:v>Geohydrological disasters</x:v>
      </x:c>
      <x:c r="D508" s="159" t="str">
        <x:v>Vulnerability</x:v>
      </x:c>
      <x:c r="E508" s="153" t="str"/>
      <x:c r="F508" s="153" t="str"/>
      <x:c r="G508" s="159" t="str">
        <x:v>Not eligible</x:v>
      </x:c>
      <x:c r="H508" s="159" t="str">
        <x:v>Not applicable</x:v>
      </x:c>
      <x:c r="I508" s="159" t="str">
        <x:v>Not applicable</x:v>
      </x:c>
      <x:c r="J508" s="159" t="str">
        <x:v>Not applicable</x:v>
      </x:c>
      <x:c r="K508" s="159" t="str">
        <x:v>No</x:v>
      </x:c>
      <x:c r="L508" s="159" t="str">
        <x:v>5-10 years</x:v>
      </x:c>
      <x:c r="M508" s="168" t="n">
        <x:v>0</x:v>
      </x:c>
      <x:c r="N508" s="168" t="n">
        <x:v>0</x:v>
      </x:c>
      <x:c r="O508" s="159" t="str"/>
      <x:c r="P508" s="159" t="str"/>
      <x:c r="Q508" s="159" t="str">
        <x:v>The action's primary mechanism does not directly change a terminal Geohydrological Disasters vulnerability indicator.</x:v>
      </x:c>
      <x:c r="R508" s="160" t="str">
        <x:v>Strengthen local food systems by improving storage and distribution infrastructure to reduce losses and enhance resilience to climate impacts. Municipal governments can invest in public facilities such as cool storage units, silos, and warehouses, while upgrading logistics to handle perishable goods more efficiently. By supporting local markets, optimizing distribution networks, and facilitating access to reliable storage for producers and vendors, cities can improve food security, reduce waste, and ensure stable food availability during crises and extreme events.</x:v>
      </x:c>
    </x:row>
    <x:row r="509" ht="66" customHeight="1">
      <x:c r="A509" s="165" t="str">
        <x:v>icare_0184</x:v>
      </x:c>
      <x:c r="B509" s="159" t="str">
        <x:v>Upgrade Slope stabilization and drainage</x:v>
      </x:c>
      <x:c r="C509" s="159" t="str">
        <x:v>Geohydrological disasters</x:v>
      </x:c>
      <x:c r="D509" s="159" t="str">
        <x:v>Exposure</x:v>
      </x:c>
      <x:c r="E509" s="153" t="str"/>
      <x:c r="F509" s="153" t="str"/>
      <x:c r="G509" s="159" t="str">
        <x:v>Not eligible</x:v>
      </x:c>
      <x:c r="H509" s="159" t="str">
        <x:v>Not applicable</x:v>
      </x:c>
      <x:c r="I509" s="159" t="str">
        <x:v>Not applicable</x:v>
      </x:c>
      <x:c r="J509" s="159" t="str">
        <x:v>Not applicable</x:v>
      </x:c>
      <x:c r="K509" s="159" t="str">
        <x:v>No</x:v>
      </x:c>
      <x:c r="L509" s="159" t="str">
        <x:v>5-10 years</x:v>
      </x:c>
      <x:c r="M509" s="168" t="n">
        <x:v>0</x:v>
      </x:c>
      <x:c r="N509" s="168" t="n">
        <x:v>0</x:v>
      </x:c>
      <x:c r="O509" s="159" t="str"/>
      <x:c r="P509" s="159" t="str"/>
      <x:c r="Q509" s="159" t="str">
        <x:v>The action's primary mechanism does not directly change a terminal Geohydrological Disasters exposure indicator.</x:v>
      </x:c>
      <x:c r="R509" s="160" t="str">
        <x:v>This action involves stabilizing slopes and maintaining or restoring drainage systems in hillside areas. This helps to prevent landslides and erosion, reducing the risk of disasters.</x:v>
      </x:c>
    </x:row>
    <x:row r="510" ht="66" customHeight="1">
      <x:c r="A510" s="165" t="str">
        <x:v>c40_0048</x:v>
      </x:c>
      <x:c r="B510" s="159" t="str">
        <x:v>Upgrade urban drainage systems</x:v>
      </x:c>
      <x:c r="C510" s="159" t="str">
        <x:v>Geohydrological disasters</x:v>
      </x:c>
      <x:c r="D510" s="159" t="str">
        <x:v>Exposure</x:v>
      </x:c>
      <x:c r="E510" s="153" t="str"/>
      <x:c r="F510" s="153" t="str"/>
      <x:c r="G510" s="159" t="str">
        <x:v>Not eligible</x:v>
      </x:c>
      <x:c r="H510" s="159" t="str">
        <x:v>Not applicable</x:v>
      </x:c>
      <x:c r="I510" s="159" t="str">
        <x:v>Not applicable</x:v>
      </x:c>
      <x:c r="J510" s="159" t="str">
        <x:v>Not applicable</x:v>
      </x:c>
      <x:c r="K510" s="159" t="str">
        <x:v>No</x:v>
      </x:c>
      <x:c r="L510" s="159" t="str">
        <x:v>5-10 years</x:v>
      </x:c>
      <x:c r="M510" s="168" t="n">
        <x:v>0</x:v>
      </x:c>
      <x:c r="N510" s="168" t="n">
        <x:v>0</x:v>
      </x:c>
      <x:c r="O510" s="159" t="str"/>
      <x:c r="P510" s="159" t="str"/>
      <x:c r="Q510" s="159" t="str">
        <x:v>The action's primary mechanism does not directly change a terminal Geohydrological Disasters exposure indicator.</x:v>
      </x:c>
      <x:c r="R510" s="160" t="str">
        <x:v>"Upgrade urban drainage systems" involves eco-engineering solutions to enhance drainage systems, through capacity upgrade and network expansion. This adaptation measure aims to improve urban resilience by minimizing the impact of extreme weather events such as flooding.</x:v>
      </x:c>
    </x:row>
    <x:row r="511" ht="66" customHeight="1">
      <x:c r="A511" s="165" t="str">
        <x:v>c40_0049</x:v>
      </x:c>
      <x:c r="B511" s="159" t="str">
        <x:v>Build and maintain shelters for critical climate hazards</x:v>
      </x:c>
      <x:c r="C511" s="159" t="str">
        <x:v>Health</x:v>
      </x:c>
      <x:c r="D511" s="159" t="str">
        <x:v>Exposure</x:v>
      </x:c>
      <x:c r="E511" s="153" t="str"/>
      <x:c r="F511" s="153" t="str"/>
      <x:c r="G511" s="159" t="str">
        <x:v>Not eligible</x:v>
      </x:c>
      <x:c r="H511" s="159" t="str">
        <x:v>Not applicable</x:v>
      </x:c>
      <x:c r="I511" s="159" t="str">
        <x:v>Not applicable</x:v>
      </x:c>
      <x:c r="J511" s="159" t="str">
        <x:v>Not applicable</x:v>
      </x:c>
      <x:c r="K511" s="159" t="str">
        <x:v>No</x:v>
      </x:c>
      <x:c r="L511" s="159" t="str">
        <x:v>&lt;5 years</x:v>
      </x:c>
      <x:c r="M511" s="168" t="n">
        <x:v>0</x:v>
      </x:c>
      <x:c r="N511" s="168" t="n">
        <x:v>0</x:v>
      </x:c>
      <x:c r="O511" s="159" t="str"/>
      <x:c r="P511" s="159" t="str"/>
      <x:c r="Q511" s="159" t="str">
        <x:v>The action's primary mechanism does not directly change a terminal Health exposure indicator.</x:v>
      </x:c>
      <x:c r="R511" s="160" t="str">
        <x:v>"Build and maintain shelters for critical climate hazards" involves building and maintaining shelters in high-risk areas to protect residents during extreme weather events such as floods, cyclones, storms, landslides, extreme heat events or other critical climate hazards. Shelters should meet resilient design standards, including wind- and flood-resistant construction, and be strategically located to maximize accessibility for vulnerable populations. Where possible, shelters can serve multipurpose roles as schools or community centers. Clear funding mechanisms and defined responsibilities for operations and maintenance are essential to ensure long-term reliability and effectiveness.</x:v>
      </x:c>
    </x:row>
    <x:row r="512" ht="66" customHeight="1">
      <x:c r="A512" s="165" t="str">
        <x:v>c40_0049</x:v>
      </x:c>
      <x:c r="B512" s="159" t="str">
        <x:v>Build and maintain shelters for critical climate hazards</x:v>
      </x:c>
      <x:c r="C512" s="159" t="str">
        <x:v>Health</x:v>
      </x:c>
      <x:c r="D512" s="159" t="str">
        <x:v>Vulnerability</x:v>
      </x:c>
      <x:c r="E512" s="153" t="str"/>
      <x:c r="F512" s="153" t="str"/>
      <x:c r="G512" s="159" t="str">
        <x:v>Not eligible</x:v>
      </x:c>
      <x:c r="H512" s="159" t="str">
        <x:v>Not applicable</x:v>
      </x:c>
      <x:c r="I512" s="159" t="str">
        <x:v>Not applicable</x:v>
      </x:c>
      <x:c r="J512" s="159" t="str">
        <x:v>Not applicable</x:v>
      </x:c>
      <x:c r="K512" s="159" t="str">
        <x:v>No</x:v>
      </x:c>
      <x:c r="L512" s="159" t="str">
        <x:v>&lt;5 years</x:v>
      </x:c>
      <x:c r="M512" s="168" t="n">
        <x:v>0</x:v>
      </x:c>
      <x:c r="N512" s="168" t="n">
        <x:v>0</x:v>
      </x:c>
      <x:c r="O512" s="159" t="str"/>
      <x:c r="P512" s="159" t="str"/>
      <x:c r="Q512" s="159" t="str">
        <x:v>The action's primary mechanism does not directly change a terminal Health vulnerability indicator.</x:v>
      </x:c>
      <x:c r="R512" s="160" t="str">
        <x:v>"Build and maintain shelters for critical climate hazards" involves building and maintaining shelters in high-risk areas to protect residents during extreme weather events such as floods, cyclones, storms, landslides, extreme heat events or other critical climate hazards. Shelters should meet resilient design standards, including wind- and flood-resistant construction, and be strategically located to maximize accessibility for vulnerable populations. Where possible, shelters can serve multipurpose roles as schools or community centers. Clear funding mechanisms and defined responsibilities for operations and maintenance are essential to ensure long-term reliability and effectiveness.</x:v>
      </x:c>
    </x:row>
    <x:row r="513" ht="66" customHeight="1">
      <x:c r="A513" s="165" t="str">
        <x:v>icare_0154</x:v>
      </x:c>
      <x:c r="B513" s="159" t="str">
        <x:v>Clean and unclog drainage channels and install eco-barriers</x:v>
      </x:c>
      <x:c r="C513" s="159" t="str">
        <x:v>Health</x:v>
      </x:c>
      <x:c r="D513" s="159" t="str">
        <x:v>Exposure</x:v>
      </x:c>
      <x:c r="E513" s="153" t="str"/>
      <x:c r="F513" s="153" t="str"/>
      <x:c r="G513" s="159" t="str">
        <x:v>Not eligible</x:v>
      </x:c>
      <x:c r="H513" s="159" t="str">
        <x:v>Not applicable</x:v>
      </x:c>
      <x:c r="I513" s="159" t="str">
        <x:v>Not applicable</x:v>
      </x:c>
      <x:c r="J513" s="159" t="str">
        <x:v>Not applicable</x:v>
      </x:c>
      <x:c r="K513" s="159" t="str">
        <x:v>No</x:v>
      </x:c>
      <x:c r="L513" s="159" t="str">
        <x:v>&lt;5 years</x:v>
      </x:c>
      <x:c r="M513" s="168" t="n">
        <x:v>0</x:v>
      </x:c>
      <x:c r="N513" s="168" t="n">
        <x:v>0</x:v>
      </x:c>
      <x:c r="O513" s="159" t="str"/>
      <x:c r="P513" s="159" t="str"/>
      <x:c r="Q513" s="159" t="str">
        <x:v>The action's primary mechanism does not directly change a terminal Health exposure indicator.</x:v>
      </x:c>
      <x:c r="R513" s="160" t="str">
        <x:v>Cleaning and unclogging channels in the city to reduce the risk of flooding caused by extreme rainfall events. Installation of eco-barriers to assist in cleaning efforts and raise awareness about solid waste.</x:v>
      </x:c>
    </x:row>
    <x:row r="514" ht="66" customHeight="1">
      <x:c r="A514" s="165" t="str">
        <x:v>icare_0188</x:v>
      </x:c>
      <x:c r="B514" s="159" t="str">
        <x:v>Create an Environmental Health Surveillance Program related to Populations Exposed to Air Pollution, Noise Pollution, Water Pollution, and Soil Pollution.</x:v>
      </x:c>
      <x:c r="C514" s="159" t="str">
        <x:v>Health</x:v>
      </x:c>
      <x:c r="D514" s="159" t="str">
        <x:v>Exposure</x:v>
      </x:c>
      <x:c r="E514" s="153" t="str"/>
      <x:c r="F514" s="153" t="str"/>
      <x:c r="G514" s="159" t="str">
        <x:v>Not eligible</x:v>
      </x:c>
      <x:c r="H514" s="159" t="str">
        <x:v>Not applicable</x:v>
      </x:c>
      <x:c r="I514" s="159" t="str">
        <x:v>Not applicable</x:v>
      </x:c>
      <x:c r="J514" s="159" t="str">
        <x:v>Not applicable</x:v>
      </x:c>
      <x:c r="K514" s="159" t="str">
        <x:v>No</x:v>
      </x:c>
      <x:c r="L514" s="159" t="str">
        <x:v>5-10 years</x:v>
      </x:c>
      <x:c r="M514" s="168" t="n">
        <x:v>0</x:v>
      </x:c>
      <x:c r="N514" s="168" t="n">
        <x:v>0</x:v>
      </x:c>
      <x:c r="O514" s="159" t="str"/>
      <x:c r="P514" s="159" t="str"/>
      <x:c r="Q514" s="159" t="str">
        <x:v>The action's primary mechanism does not directly change a terminal Health exposure indicator.</x:v>
      </x:c>
      <x:c r="R514" s="160" t="str">
        <x:v>Develop actions aimed at promoting the health of the population exposed to environmental factors related to atmospheric, noise, and sanitation pollutants. Identify and evaluate the acute and chronic risks and effects of exposure to fixed and mobile sources of air, noise, water, and soil pollution, and act in the surveillance of diseases derived from these pollutants through physical units and work groups, especially among the most vulnerable people.</x:v>
      </x:c>
    </x:row>
    <x:row r="515" ht="66" customHeight="1">
      <x:c r="A515" s="165" t="str">
        <x:v>icare_0188</x:v>
      </x:c>
      <x:c r="B515" s="159" t="str">
        <x:v>Create an Environmental Health Surveillance Program related to Populations Exposed to Air Pollution, Noise Pollution, Water Pollution, and Soil Pollution.</x:v>
      </x:c>
      <x:c r="C515" s="159" t="str">
        <x:v>Health</x:v>
      </x:c>
      <x:c r="D515" s="159" t="str">
        <x:v>Vulnerability</x:v>
      </x:c>
      <x:c r="E515" s="153" t="str"/>
      <x:c r="F515" s="153" t="str"/>
      <x:c r="G515" s="159" t="str">
        <x:v>Not eligible</x:v>
      </x:c>
      <x:c r="H515" s="159" t="str">
        <x:v>Not applicable</x:v>
      </x:c>
      <x:c r="I515" s="159" t="str">
        <x:v>Not applicable</x:v>
      </x:c>
      <x:c r="J515" s="159" t="str">
        <x:v>Not applicable</x:v>
      </x:c>
      <x:c r="K515" s="159" t="str">
        <x:v>No</x:v>
      </x:c>
      <x:c r="L515" s="159" t="str">
        <x:v>5-10 years</x:v>
      </x:c>
      <x:c r="M515" s="168" t="n">
        <x:v>0</x:v>
      </x:c>
      <x:c r="N515" s="168" t="n">
        <x:v>0</x:v>
      </x:c>
      <x:c r="O515" s="159" t="str"/>
      <x:c r="P515" s="159" t="str"/>
      <x:c r="Q515" s="159" t="str">
        <x:v>The action's primary mechanism does not directly change a terminal Health vulnerability indicator.</x:v>
      </x:c>
      <x:c r="R515" s="160" t="str">
        <x:v>Develop actions aimed at promoting the health of the population exposed to environmental factors related to atmospheric, noise, and sanitation pollutants. Identify and evaluate the acute and chronic risks and effects of exposure to fixed and mobile sources of air, noise, water, and soil pollution, and act in the surveillance of diseases derived from these pollutants through physical units and work groups, especially among the most vulnerable people.</x:v>
      </x:c>
    </x:row>
    <x:row r="516" ht="66" customHeight="1">
      <x:c r="A516" s="165" t="str">
        <x:v>c40_0052</x:v>
      </x:c>
      <x:c r="B516" s="159" t="str">
        <x:v>Deploy cool pavements and cool roofs on heat‑exposed streets and buildings</x:v>
      </x:c>
      <x:c r="C516" s="159" t="str">
        <x:v>Health</x:v>
      </x:c>
      <x:c r="D516" s="159" t="str">
        <x:v>Exposure</x:v>
      </x:c>
      <x:c r="E516" s="153" t="str"/>
      <x:c r="F516" s="153" t="str"/>
      <x:c r="G516" s="159" t="str">
        <x:v>Not eligible</x:v>
      </x:c>
      <x:c r="H516" s="159" t="str">
        <x:v>Not applicable</x:v>
      </x:c>
      <x:c r="I516" s="159" t="str">
        <x:v>Not applicable</x:v>
      </x:c>
      <x:c r="J516" s="159" t="str">
        <x:v>Not applicable</x:v>
      </x:c>
      <x:c r="K516" s="159" t="str">
        <x:v>No</x:v>
      </x:c>
      <x:c r="L516" s="159" t="str">
        <x:v>5-10 years</x:v>
      </x:c>
      <x:c r="M516" s="168" t="n">
        <x:v>0</x:v>
      </x:c>
      <x:c r="N516" s="168" t="n">
        <x:v>0</x:v>
      </x:c>
      <x:c r="O516" s="159" t="str"/>
      <x:c r="P516" s="159" t="str"/>
      <x:c r="Q516" s="159" t="str">
        <x:v>The action's primary mechanism does not directly change a terminal Health exposure indicator.</x:v>
      </x:c>
      <x:c r="R516" s="160" t="str">
        <x:v>Introduce reflective coatings, light-colored materials, permeable surfaces and cool roofs in street paving and buildings to reduce heat absorption and mitigate the urban heat island effect. Municipal governments can pilot these approaches in the most heat-exposed areas, integrate them into routine street upgrades and public building refrofits, and assess cost–benefit outcomes to guide broader implementation. These measures improve thermal comfort, reduce energy demand for cooling, and enhance urban resilience to rising temperatures.</x:v>
      </x:c>
    </x:row>
    <x:row r="517" ht="66" customHeight="1">
      <x:c r="A517" s="165" t="str">
        <x:v>c40_0052</x:v>
      </x:c>
      <x:c r="B517" s="159" t="str">
        <x:v>Deploy cool pavements and cool roofs on heat‑exposed streets and buildings</x:v>
      </x:c>
      <x:c r="C517" s="159" t="str">
        <x:v>Health</x:v>
      </x:c>
      <x:c r="D517" s="159" t="str">
        <x:v>Vulnerability</x:v>
      </x:c>
      <x:c r="E517" s="153" t="str"/>
      <x:c r="F517" s="153" t="str"/>
      <x:c r="G517" s="159" t="str">
        <x:v>Not eligible</x:v>
      </x:c>
      <x:c r="H517" s="159" t="str">
        <x:v>Not applicable</x:v>
      </x:c>
      <x:c r="I517" s="159" t="str">
        <x:v>Not applicable</x:v>
      </x:c>
      <x:c r="J517" s="159" t="str">
        <x:v>Not applicable</x:v>
      </x:c>
      <x:c r="K517" s="159" t="str">
        <x:v>No</x:v>
      </x:c>
      <x:c r="L517" s="159" t="str">
        <x:v>5-10 years</x:v>
      </x:c>
      <x:c r="M517" s="168" t="n">
        <x:v>0</x:v>
      </x:c>
      <x:c r="N517" s="168" t="n">
        <x:v>0</x:v>
      </x:c>
      <x:c r="O517" s="159" t="str"/>
      <x:c r="P517" s="159" t="str"/>
      <x:c r="Q517" s="159" t="str">
        <x:v>The action's primary mechanism does not directly change a terminal Health vulnerability indicator.</x:v>
      </x:c>
      <x:c r="R517" s="160" t="str">
        <x:v>Introduce reflective coatings, light-colored materials, permeable surfaces and cool roofs in street paving and buildings to reduce heat absorption and mitigate the urban heat island effect. Municipal governments can pilot these approaches in the most heat-exposed areas, integrate them into routine street upgrades and public building refrofits, and assess cost–benefit outcomes to guide broader implementation. These measures improve thermal comfort, reduce energy demand for cooling, and enhance urban resilience to rising temperatures.</x:v>
      </x:c>
    </x:row>
    <x:row r="518" ht="66" customHeight="1">
      <x:c r="A518" s="165" t="str">
        <x:v>icare_0176</x:v>
      </x:c>
      <x:c r="B518" s="159" t="str">
        <x:v>Develop a Climate Action Plan</x:v>
      </x:c>
      <x:c r="C518" s="159" t="str">
        <x:v>Health</x:v>
      </x:c>
      <x:c r="D518" s="159" t="str">
        <x:v>Exposure</x:v>
      </x:c>
      <x:c r="E518" s="153" t="str"/>
      <x:c r="F518" s="153" t="str"/>
      <x:c r="G518" s="159" t="str">
        <x:v>Not eligible</x:v>
      </x:c>
      <x:c r="H518" s="159" t="str">
        <x:v>Not applicable</x:v>
      </x:c>
      <x:c r="I518" s="159" t="str">
        <x:v>Not applicable</x:v>
      </x:c>
      <x:c r="J518" s="159" t="str">
        <x:v>Not applicable</x:v>
      </x:c>
      <x:c r="K518" s="159" t="str">
        <x:v>No</x:v>
      </x:c>
      <x:c r="L518" s="159" t="str">
        <x:v>&lt;5 years</x:v>
      </x:c>
      <x:c r="M518" s="168" t="n">
        <x:v>0</x:v>
      </x:c>
      <x:c r="N518" s="168" t="n">
        <x:v>0</x:v>
      </x:c>
      <x:c r="O518" s="159" t="str"/>
      <x:c r="P518" s="159" t="str"/>
      <x:c r="Q518" s="159" t="str">
        <x:v>The action's primary mechanism does not directly change a terminal Health exposure indicator.</x:v>
      </x:c>
      <x:c r="R518" s="160" t="str">
        <x:v>A comprehensive plan outlining a city's strategies and actions to mitigate greenhouse gas emissions and adapt to the impacts of climate change which typically includes an assessment of the city's climate risks and vulnerabilities, setting emission reduction targets, and implementation of actions across various sectors such as energy, transportation, waste management, and urban planning.</x:v>
      </x:c>
    </x:row>
    <x:row r="519" ht="66" customHeight="1">
      <x:c r="A519" s="165" t="str">
        <x:v>icare_0176</x:v>
      </x:c>
      <x:c r="B519" s="159" t="str">
        <x:v>Develop a Climate Action Plan</x:v>
      </x:c>
      <x:c r="C519" s="159" t="str">
        <x:v>Health</x:v>
      </x:c>
      <x:c r="D519" s="159" t="str">
        <x:v>Vulnerability</x:v>
      </x:c>
      <x:c r="E519" s="153" t="str"/>
      <x:c r="F519" s="153" t="str"/>
      <x:c r="G519" s="159" t="str">
        <x:v>Not eligible</x:v>
      </x:c>
      <x:c r="H519" s="159" t="str">
        <x:v>Not applicable</x:v>
      </x:c>
      <x:c r="I519" s="159" t="str">
        <x:v>Not applicable</x:v>
      </x:c>
      <x:c r="J519" s="159" t="str">
        <x:v>Not applicable</x:v>
      </x:c>
      <x:c r="K519" s="159" t="str">
        <x:v>No</x:v>
      </x:c>
      <x:c r="L519" s="159" t="str">
        <x:v>&lt;5 years</x:v>
      </x:c>
      <x:c r="M519" s="168" t="n">
        <x:v>0</x:v>
      </x:c>
      <x:c r="N519" s="168" t="n">
        <x:v>0</x:v>
      </x:c>
      <x:c r="O519" s="159" t="str"/>
      <x:c r="P519" s="159" t="str"/>
      <x:c r="Q519" s="159" t="str">
        <x:v>The action's primary mechanism does not directly change a terminal Health vulnerability indicator.</x:v>
      </x:c>
      <x:c r="R519" s="160" t="str">
        <x:v>A comprehensive plan outlining a city's strategies and actions to mitigate greenhouse gas emissions and adapt to the impacts of climate change which typically includes an assessment of the city's climate risks and vulnerabilities, setting emission reduction targets, and implementation of actions across various sectors such as energy, transportation, waste management, and urban planning.</x:v>
      </x:c>
    </x:row>
    <x:row r="520" ht="66" customHeight="1">
      <x:c r="A520" s="165" t="str">
        <x:v>icare_0165</x:v>
      </x:c>
      <x:c r="B520" s="159" t="str">
        <x:v>Develop an Environmental Education Plan</x:v>
      </x:c>
      <x:c r="C520" s="159" t="str">
        <x:v>Health</x:v>
      </x:c>
      <x:c r="D520" s="159" t="str">
        <x:v>Exposure</x:v>
      </x:c>
      <x:c r="E520" s="153" t="str"/>
      <x:c r="F520" s="153" t="str"/>
      <x:c r="G520" s="159" t="str">
        <x:v>Not eligible</x:v>
      </x:c>
      <x:c r="H520" s="159" t="str">
        <x:v>Not applicable</x:v>
      </x:c>
      <x:c r="I520" s="159" t="str">
        <x:v>Not applicable</x:v>
      </x:c>
      <x:c r="J520" s="159" t="str">
        <x:v>Not applicable</x:v>
      </x:c>
      <x:c r="K520" s="159" t="str">
        <x:v>No</x:v>
      </x:c>
      <x:c r="L520" s="159" t="str">
        <x:v>&lt;5 years</x:v>
      </x:c>
      <x:c r="M520" s="168" t="n">
        <x:v>0</x:v>
      </x:c>
      <x:c r="N520" s="168" t="n">
        <x:v>0</x:v>
      </x:c>
      <x:c r="O520" s="159" t="str"/>
      <x:c r="P520" s="159" t="str"/>
      <x:c r="Q520" s="159" t="str">
        <x:v>The action's primary mechanism does not directly change a terminal Health exposure indicator.</x:v>
      </x:c>
      <x:c r="R520" s="160" t="str">
        <x:v>Design and implement a comprehensive environmental education plan that fosters climate literacy and awareness across schools, communities, and the media. Municipal governments can organize workshops, awareness campaigns, and nature-based activities such as tree planting to reconnect residents with their environment. The plan should integrate themes of climate change, adaptation, mitigation, and climate justice, with particular attention to youth, women, and vulnerable groups. By embedding equity and inclusion, cities can strengthen long-term engagement and empower communities to take part in climate action.</x:v>
      </x:c>
    </x:row>
    <x:row r="521" ht="66" customHeight="1">
      <x:c r="A521" s="165" t="str">
        <x:v>icare_0165</x:v>
      </x:c>
      <x:c r="B521" s="159" t="str">
        <x:v>Develop an Environmental Education Plan</x:v>
      </x:c>
      <x:c r="C521" s="159" t="str">
        <x:v>Health</x:v>
      </x:c>
      <x:c r="D521" s="159" t="str">
        <x:v>Vulnerability</x:v>
      </x:c>
      <x:c r="E521" s="153" t="str"/>
      <x:c r="F521" s="153" t="str"/>
      <x:c r="G521" s="159" t="str">
        <x:v>Not eligible</x:v>
      </x:c>
      <x:c r="H521" s="159" t="str">
        <x:v>Not applicable</x:v>
      </x:c>
      <x:c r="I521" s="159" t="str">
        <x:v>Not applicable</x:v>
      </x:c>
      <x:c r="J521" s="159" t="str">
        <x:v>Not applicable</x:v>
      </x:c>
      <x:c r="K521" s="159" t="str">
        <x:v>No</x:v>
      </x:c>
      <x:c r="L521" s="159" t="str">
        <x:v>&lt;5 years</x:v>
      </x:c>
      <x:c r="M521" s="168" t="n">
        <x:v>0</x:v>
      </x:c>
      <x:c r="N521" s="168" t="n">
        <x:v>0</x:v>
      </x:c>
      <x:c r="O521" s="159" t="str"/>
      <x:c r="P521" s="159" t="str"/>
      <x:c r="Q521" s="159" t="str">
        <x:v>The action's primary mechanism does not directly change a terminal Health vulnerability indicator.</x:v>
      </x:c>
      <x:c r="R521" s="160" t="str">
        <x:v>Design and implement a comprehensive environmental education plan that fosters climate literacy and awareness across schools, communities, and the media. Municipal governments can organize workshops, awareness campaigns, and nature-based activities such as tree planting to reconnect residents with their environment. The plan should integrate themes of climate change, adaptation, mitigation, and climate justice, with particular attention to youth, women, and vulnerable groups. By embedding equity and inclusion, cities can strengthen long-term engagement and empower communities to take part in climate action.</x:v>
      </x:c>
    </x:row>
    <x:row r="522" ht="66" customHeight="1">
      <x:c r="A522" s="165" t="str">
        <x:v>icare_0182</x:v>
      </x:c>
      <x:c r="B522" s="159" t="str">
        <x:v>Develop an Urban Afforestation Plan</x:v>
      </x:c>
      <x:c r="C522" s="159" t="str">
        <x:v>Health</x:v>
      </x:c>
      <x:c r="D522" s="159" t="str">
        <x:v>Vulnerability</x:v>
      </x:c>
      <x:c r="E522" s="153" t="str"/>
      <x:c r="F522" s="153" t="str"/>
      <x:c r="G522" s="159" t="str">
        <x:v>Not eligible</x:v>
      </x:c>
      <x:c r="H522" s="159" t="str">
        <x:v>Not applicable</x:v>
      </x:c>
      <x:c r="I522" s="159" t="str">
        <x:v>Not applicable</x:v>
      </x:c>
      <x:c r="J522" s="159" t="str">
        <x:v>Not applicable</x:v>
      </x:c>
      <x:c r="K522" s="159" t="str">
        <x:v>No</x:v>
      </x:c>
      <x:c r="L522" s="159" t="str">
        <x:v>5-10 years</x:v>
      </x:c>
      <x:c r="M522" s="168" t="n">
        <x:v>0</x:v>
      </x:c>
      <x:c r="N522" s="168" t="n">
        <x:v>0</x:v>
      </x:c>
      <x:c r="O522" s="159" t="str"/>
      <x:c r="P522" s="159" t="str"/>
      <x:c r="Q522" s="159" t="str">
        <x:v>The action's primary mechanism does not directly change a terminal Health vulnerability indicator.</x:v>
      </x:c>
      <x:c r="R522" s="160" t="str">
        <x:v>This action focuses on expanding green areas in the city through urban afforestation. This includes planting trees in sidewalks, squares, public buildings, and schools, as well as creating ecological parks to revitalize watercourses and/or restore forests.</x:v>
      </x:c>
    </x:row>
    <x:row r="523" ht="66" customHeight="1">
      <x:c r="A523" s="165" t="str">
        <x:v>icare_0172</x:v>
      </x:c>
      <x:c r="B523" s="159" t="str">
        <x:v>Develop and implement the Municipal Risk Reduction Plan (PMRR) and identify population groups vulnerable to climate risks.</x:v>
      </x:c>
      <x:c r="C523" s="159" t="str">
        <x:v>Health</x:v>
      </x:c>
      <x:c r="D523" s="159" t="str">
        <x:v>Exposure</x:v>
      </x:c>
      <x:c r="E523" s="153" t="str"/>
      <x:c r="F523" s="153" t="str"/>
      <x:c r="G523" s="159" t="str">
        <x:v>Not eligible</x:v>
      </x:c>
      <x:c r="H523" s="159" t="str">
        <x:v>Not applicable</x:v>
      </x:c>
      <x:c r="I523" s="159" t="str">
        <x:v>Not applicable</x:v>
      </x:c>
      <x:c r="J523" s="159" t="str">
        <x:v>Not applicable</x:v>
      </x:c>
      <x:c r="K523" s="159" t="str">
        <x:v>No</x:v>
      </x:c>
      <x:c r="L523" s="159" t="str">
        <x:v>&lt;5 years</x:v>
      </x:c>
      <x:c r="M523" s="168" t="n">
        <x:v>0</x:v>
      </x:c>
      <x:c r="N523" s="168" t="n">
        <x:v>0</x:v>
      </x:c>
      <x:c r="O523" s="159" t="str"/>
      <x:c r="P523" s="159" t="str"/>
      <x:c r="Q523" s="159" t="str">
        <x:v>The action's primary mechanism does not directly change a terminal Health exposure indicator.</x:v>
      </x:c>
      <x:c r="R523" s="160" t="str">
        <x:v>This action aims to strengthen the development of the Municipal Risk Reduction Plan (PMRR) in the municipality, as it is a highly relevant tool for managing climate risks, especially river floods and landslides.</x:v>
      </x:c>
    </x:row>
    <x:row r="524" ht="66" customHeight="1">
      <x:c r="A524" s="165" t="str">
        <x:v>icare_0172</x:v>
      </x:c>
      <x:c r="B524" s="159" t="str">
        <x:v>Develop and implement the Municipal Risk Reduction Plan (PMRR) and identify population groups vulnerable to climate risks.</x:v>
      </x:c>
      <x:c r="C524" s="159" t="str">
        <x:v>Health</x:v>
      </x:c>
      <x:c r="D524" s="159" t="str">
        <x:v>Vulnerability</x:v>
      </x:c>
      <x:c r="E524" s="153" t="str"/>
      <x:c r="F524" s="153" t="str"/>
      <x:c r="G524" s="159" t="str">
        <x:v>Not eligible</x:v>
      </x:c>
      <x:c r="H524" s="159" t="str">
        <x:v>Not applicable</x:v>
      </x:c>
      <x:c r="I524" s="159" t="str">
        <x:v>Not applicable</x:v>
      </x:c>
      <x:c r="J524" s="159" t="str">
        <x:v>Not applicable</x:v>
      </x:c>
      <x:c r="K524" s="159" t="str">
        <x:v>No</x:v>
      </x:c>
      <x:c r="L524" s="159" t="str">
        <x:v>&lt;5 years</x:v>
      </x:c>
      <x:c r="M524" s="168" t="n">
        <x:v>0</x:v>
      </x:c>
      <x:c r="N524" s="168" t="n">
        <x:v>0</x:v>
      </x:c>
      <x:c r="O524" s="159" t="str"/>
      <x:c r="P524" s="159" t="str"/>
      <x:c r="Q524" s="159" t="str">
        <x:v>The action's primary mechanism does not directly change a terminal Health vulnerability indicator.</x:v>
      </x:c>
      <x:c r="R524" s="160" t="str">
        <x:v>This action aims to strengthen the development of the Municipal Risk Reduction Plan (PMRR) in the municipality, as it is a highly relevant tool for managing climate risks, especially river floods and landslides.</x:v>
      </x:c>
    </x:row>
    <x:row r="525" ht="66" customHeight="1">
      <x:c r="A525" s="165" t="str">
        <x:v>icare_0144</x:v>
      </x:c>
      <x:c r="B525" s="159" t="str">
        <x:v>Establish a financial support program for extreme weather events</x:v>
      </x:c>
      <x:c r="C525" s="159" t="str">
        <x:v>Health</x:v>
      </x:c>
      <x:c r="D525" s="159" t="str">
        <x:v>Exposure</x:v>
      </x:c>
      <x:c r="E525" s="153" t="str"/>
      <x:c r="F525" s="153" t="str"/>
      <x:c r="G525" s="159" t="str">
        <x:v>Not eligible</x:v>
      </x:c>
      <x:c r="H525" s="159" t="str">
        <x:v>Not applicable</x:v>
      </x:c>
      <x:c r="I525" s="159" t="str">
        <x:v>Not applicable</x:v>
      </x:c>
      <x:c r="J525" s="159" t="str">
        <x:v>Not applicable</x:v>
      </x:c>
      <x:c r="K525" s="159" t="str">
        <x:v>No</x:v>
      </x:c>
      <x:c r="L525" s="159" t="str">
        <x:v>&lt;5 years</x:v>
      </x:c>
      <x:c r="M525" s="168" t="n">
        <x:v>0</x:v>
      </x:c>
      <x:c r="N525" s="168" t="n">
        <x:v>0</x:v>
      </x:c>
      <x:c r="O525" s="159" t="str"/>
      <x:c r="P525" s="159" t="str"/>
      <x:c r="Q525" s="159" t="str">
        <x:v>The action's primary mechanism does not directly change a terminal Health exposure indicator.</x:v>
      </x:c>
      <x:c r="R525" s="160" t="str">
        <x:v>Creation of a program to mitigate the effects of climate tragedies, including financial assistance to affected families, efforts to increase access to affordable hazard insurance, and efforts to secure additional resources for recovery and reconstruction, including partnerships with state and federal government bodies. Recovery and reconstruction measures should include adaptive measures with the emphasis on build back better to withstand future hazards and helping residents retrofit buildings.</x:v>
      </x:c>
    </x:row>
    <x:row r="526" ht="66" customHeight="1">
      <x:c r="A526" s="165" t="str">
        <x:v>icare_0144</x:v>
      </x:c>
      <x:c r="B526" s="159" t="str">
        <x:v>Establish a financial support program for extreme weather events</x:v>
      </x:c>
      <x:c r="C526" s="159" t="str">
        <x:v>Health</x:v>
      </x:c>
      <x:c r="D526" s="159" t="str">
        <x:v>Vulnerability</x:v>
      </x:c>
      <x:c r="E526" s="153" t="str"/>
      <x:c r="F526" s="153" t="str"/>
      <x:c r="G526" s="159" t="str">
        <x:v>Not eligible</x:v>
      </x:c>
      <x:c r="H526" s="159" t="str">
        <x:v>Not applicable</x:v>
      </x:c>
      <x:c r="I526" s="159" t="str">
        <x:v>Not applicable</x:v>
      </x:c>
      <x:c r="J526" s="159" t="str">
        <x:v>Not applicable</x:v>
      </x:c>
      <x:c r="K526" s="159" t="str">
        <x:v>No</x:v>
      </x:c>
      <x:c r="L526" s="159" t="str">
        <x:v>&lt;5 years</x:v>
      </x:c>
      <x:c r="M526" s="168" t="n">
        <x:v>0</x:v>
      </x:c>
      <x:c r="N526" s="168" t="n">
        <x:v>0</x:v>
      </x:c>
      <x:c r="O526" s="159" t="str"/>
      <x:c r="P526" s="159" t="str"/>
      <x:c r="Q526" s="159" t="str">
        <x:v>The action's primary mechanism does not directly change a terminal Health vulnerability indicator.</x:v>
      </x:c>
      <x:c r="R526" s="160" t="str">
        <x:v>Creation of a program to mitigate the effects of climate tragedies, including financial assistance to affected families, efforts to increase access to affordable hazard insurance, and efforts to secure additional resources for recovery and reconstruction, including partnerships with state and federal government bodies. Recovery and reconstruction measures should include adaptive measures with the emphasis on build back better to withstand future hazards and helping residents retrofit buildings.</x:v>
      </x:c>
    </x:row>
    <x:row r="527" ht="66" customHeight="1">
      <x:c r="A527" s="165" t="str">
        <x:v>icare_0163</x:v>
      </x:c>
      <x:c r="B527" s="159" t="str">
        <x:v>Establish a first‑response firefighting brigade</x:v>
      </x:c>
      <x:c r="C527" s="159" t="str">
        <x:v>Health</x:v>
      </x:c>
      <x:c r="D527" s="159" t="str">
        <x:v>Vulnerability</x:v>
      </x:c>
      <x:c r="E527" s="153" t="str"/>
      <x:c r="F527" s="153" t="str"/>
      <x:c r="G527" s="159" t="str">
        <x:v>Not eligible</x:v>
      </x:c>
      <x:c r="H527" s="159" t="str">
        <x:v>Not applicable</x:v>
      </x:c>
      <x:c r="I527" s="159" t="str">
        <x:v>Not applicable</x:v>
      </x:c>
      <x:c r="J527" s="159" t="str">
        <x:v>Not applicable</x:v>
      </x:c>
      <x:c r="K527" s="159" t="str">
        <x:v>No</x:v>
      </x:c>
      <x:c r="L527" s="159" t="str">
        <x:v>&lt;5 years</x:v>
      </x:c>
      <x:c r="M527" s="168" t="n">
        <x:v>0</x:v>
      </x:c>
      <x:c r="N527" s="168" t="n">
        <x:v>0</x:v>
      </x:c>
      <x:c r="O527" s="159" t="str"/>
      <x:c r="P527" s="159" t="str"/>
      <x:c r="Q527" s="159" t="str">
        <x:v>The action's primary mechanism does not directly change a terminal Health vulnerability indicator.</x:v>
      </x:c>
      <x:c r="R527" s="160" t="str">
        <x:v>Creation of a First Response Brigade in rural communities to provide them with training and equipment for fire prevention and firefighting.</x:v>
      </x:c>
    </x:row>
    <x:row r="528" ht="66" customHeight="1">
      <x:c r="A528" s="165" t="str">
        <x:v>icare_0169</x:v>
      </x:c>
      <x:c r="B528" s="159" t="str">
        <x:v>Establish a Plan for Preparation and Emergency Response Measures in the event of extreme weather events</x:v>
      </x:c>
      <x:c r="C528" s="159" t="str">
        <x:v>Health</x:v>
      </x:c>
      <x:c r="D528" s="159" t="str">
        <x:v>Exposure</x:v>
      </x:c>
      <x:c r="E528" s="153" t="str"/>
      <x:c r="F528" s="153" t="str"/>
      <x:c r="G528" s="159" t="str">
        <x:v>Not eligible</x:v>
      </x:c>
      <x:c r="H528" s="159" t="str">
        <x:v>Not applicable</x:v>
      </x:c>
      <x:c r="I528" s="159" t="str">
        <x:v>Not applicable</x:v>
      </x:c>
      <x:c r="J528" s="159" t="str">
        <x:v>Not applicable</x:v>
      </x:c>
      <x:c r="K528" s="159" t="str">
        <x:v>No</x:v>
      </x:c>
      <x:c r="L528" s="159" t="str">
        <x:v>5-10 years</x:v>
      </x:c>
      <x:c r="M528" s="168" t="n">
        <x:v>0</x:v>
      </x:c>
      <x:c r="N528" s="168" t="n">
        <x:v>0</x:v>
      </x:c>
      <x:c r="O528" s="159" t="str"/>
      <x:c r="P528" s="159" t="str"/>
      <x:c r="Q528" s="159" t="str">
        <x:v>The action's primary mechanism does not directly change a terminal Health exposure indicator.</x:v>
      </x:c>
      <x:c r="R528" s="160" t="str">
        <x:v>This action focuses on preparing the municipality to respond to extreme events, aiming to provide a rapid response that minimizes the impacts on the population.</x:v>
      </x:c>
    </x:row>
    <x:row r="529" ht="66" customHeight="1">
      <x:c r="A529" s="165" t="str">
        <x:v>icare_0169</x:v>
      </x:c>
      <x:c r="B529" s="159" t="str">
        <x:v>Establish a Plan for Preparation and Emergency Response Measures in the event of extreme weather events</x:v>
      </x:c>
      <x:c r="C529" s="159" t="str">
        <x:v>Health</x:v>
      </x:c>
      <x:c r="D529" s="159" t="str">
        <x:v>Vulnerability</x:v>
      </x:c>
      <x:c r="E529" s="153" t="str"/>
      <x:c r="F529" s="153" t="str"/>
      <x:c r="G529" s="159" t="str">
        <x:v>Not eligible</x:v>
      </x:c>
      <x:c r="H529" s="159" t="str">
        <x:v>Not applicable</x:v>
      </x:c>
      <x:c r="I529" s="159" t="str">
        <x:v>Not applicable</x:v>
      </x:c>
      <x:c r="J529" s="159" t="str">
        <x:v>Not applicable</x:v>
      </x:c>
      <x:c r="K529" s="159" t="str">
        <x:v>No</x:v>
      </x:c>
      <x:c r="L529" s="159" t="str">
        <x:v>5-10 years</x:v>
      </x:c>
      <x:c r="M529" s="168" t="n">
        <x:v>0</x:v>
      </x:c>
      <x:c r="N529" s="168" t="n">
        <x:v>0</x:v>
      </x:c>
      <x:c r="O529" s="159" t="str"/>
      <x:c r="P529" s="159" t="str"/>
      <x:c r="Q529" s="159" t="str">
        <x:v>The action's primary mechanism does not directly change a terminal Health vulnerability indicator.</x:v>
      </x:c>
      <x:c r="R529" s="160" t="str">
        <x:v>This action focuses on preparing the municipality to respond to extreme events, aiming to provide a rapid response that minimizes the impacts on the population.</x:v>
      </x:c>
    </x:row>
    <x:row r="530" ht="66" customHeight="1">
      <x:c r="A530" s="165" t="str">
        <x:v>icare_0160</x:v>
      </x:c>
      <x:c r="B530" s="159" t="str">
        <x:v>Establish mechanisms for intersectoral coordination and public participation in climate policy</x:v>
      </x:c>
      <x:c r="C530" s="159" t="str">
        <x:v>Health</x:v>
      </x:c>
      <x:c r="D530" s="159" t="str">
        <x:v>Exposure</x:v>
      </x:c>
      <x:c r="E530" s="153" t="str"/>
      <x:c r="F530" s="153" t="str"/>
      <x:c r="G530" s="159" t="str">
        <x:v>Not eligible</x:v>
      </x:c>
      <x:c r="H530" s="159" t="str">
        <x:v>Not applicable</x:v>
      </x:c>
      <x:c r="I530" s="159" t="str">
        <x:v>Not applicable</x:v>
      </x:c>
      <x:c r="J530" s="159" t="str">
        <x:v>Not applicable</x:v>
      </x:c>
      <x:c r="K530" s="159" t="str">
        <x:v>No</x:v>
      </x:c>
      <x:c r="L530" s="159" t="str">
        <x:v>&lt;5 years</x:v>
      </x:c>
      <x:c r="M530" s="168" t="n">
        <x:v>0</x:v>
      </x:c>
      <x:c r="N530" s="168" t="n">
        <x:v>0</x:v>
      </x:c>
      <x:c r="O530" s="159" t="str"/>
      <x:c r="P530" s="159" t="str"/>
      <x:c r="Q530" s="159" t="str">
        <x:v>The action's primary mechanism does not directly change a terminal Health exposure indicator.</x:v>
      </x:c>
      <x:c r="R530" s="160" t="str">
        <x:v>Establish more mechanisms that enable better intersectoral coordination and public participation in climate policy, including the creation of working groups with neighboring municipalities to discuss a common climate agenda.</x:v>
      </x:c>
    </x:row>
    <x:row r="531" ht="66" customHeight="1">
      <x:c r="A531" s="165" t="str">
        <x:v>icare_0160</x:v>
      </x:c>
      <x:c r="B531" s="159" t="str">
        <x:v>Establish mechanisms for intersectoral coordination and public participation in climate policy</x:v>
      </x:c>
      <x:c r="C531" s="159" t="str">
        <x:v>Health</x:v>
      </x:c>
      <x:c r="D531" s="159" t="str">
        <x:v>Vulnerability</x:v>
      </x:c>
      <x:c r="E531" s="153" t="str"/>
      <x:c r="F531" s="153" t="str"/>
      <x:c r="G531" s="159" t="str">
        <x:v>Not eligible</x:v>
      </x:c>
      <x:c r="H531" s="159" t="str">
        <x:v>Not applicable</x:v>
      </x:c>
      <x:c r="I531" s="159" t="str">
        <x:v>Not applicable</x:v>
      </x:c>
      <x:c r="J531" s="159" t="str">
        <x:v>Not applicable</x:v>
      </x:c>
      <x:c r="K531" s="159" t="str">
        <x:v>No</x:v>
      </x:c>
      <x:c r="L531" s="159" t="str">
        <x:v>&lt;5 years</x:v>
      </x:c>
      <x:c r="M531" s="168" t="n">
        <x:v>0</x:v>
      </x:c>
      <x:c r="N531" s="168" t="n">
        <x:v>0</x:v>
      </x:c>
      <x:c r="O531" s="159" t="str"/>
      <x:c r="P531" s="159" t="str"/>
      <x:c r="Q531" s="159" t="str">
        <x:v>The action's primary mechanism does not directly change a terminal Health vulnerability indicator.</x:v>
      </x:c>
      <x:c r="R531" s="160" t="str">
        <x:v>Establish more mechanisms that enable better intersectoral coordination and public participation in climate policy, including the creation of working groups with neighboring municipalities to discuss a common climate agenda.</x:v>
      </x:c>
    </x:row>
    <x:row r="532" ht="66" customHeight="1">
      <x:c r="A532" s="165" t="str">
        <x:v>ipcc_0090</x:v>
      </x:c>
      <x:c r="B532" s="159" t="str">
        <x:v>Expand climate risk insurance coverage</x:v>
      </x:c>
      <x:c r="C532" s="159" t="str">
        <x:v>Health</x:v>
      </x:c>
      <x:c r="D532" s="159" t="str">
        <x:v>Exposure</x:v>
      </x:c>
      <x:c r="E532" s="153" t="str"/>
      <x:c r="F532" s="153" t="str"/>
      <x:c r="G532" s="159" t="str">
        <x:v>Not eligible</x:v>
      </x:c>
      <x:c r="H532" s="159" t="str">
        <x:v>Not applicable</x:v>
      </x:c>
      <x:c r="I532" s="159" t="str">
        <x:v>Not applicable</x:v>
      </x:c>
      <x:c r="J532" s="159" t="str">
        <x:v>Not applicable</x:v>
      </x:c>
      <x:c r="K532" s="159" t="str">
        <x:v>No</x:v>
      </x:c>
      <x:c r="L532" s="159" t="str">
        <x:v>&lt;5 years</x:v>
      </x:c>
      <x:c r="M532" s="168" t="n">
        <x:v>0</x:v>
      </x:c>
      <x:c r="N532" s="168" t="n">
        <x:v>0</x:v>
      </x:c>
      <x:c r="O532" s="159" t="str"/>
      <x:c r="P532" s="159" t="str"/>
      <x:c r="Q532" s="159" t="str">
        <x:v>The action's primary mechanism does not directly change a terminal Health exposure indicator.</x:v>
      </x:c>
      <x:c r="R532" s="160" t="str">
        <x:v>Insurance provides financial risk management tools tailored to climate-induced challenges. This includes traditional agricultural insurance to protect farmers from weather-related losses and innovative index-based insurance solutions. Index-based insurance leverages measurable weather indices, such as rainfall or temperature, to trigger payouts automatically when thresholds are reached, bypassing the need for loss verification. These tools help stabilize incomes, encourage investment in climate-resilient practices, and reduce the economic vulnerability of stakeholders in agriculture, aquaculture, and energy sectors. Furthermore, bundled insurance products with additional services like fertilizer or seed access enhance overall resilience, particularly in underserved and rural communities. By mitigating risks associated with droughts, floods, and storms, insurance supports sustainable development and adaptation goals</x:v>
      </x:c>
    </x:row>
    <x:row r="533" ht="66" customHeight="1">
      <x:c r="A533" s="165" t="str">
        <x:v>ipcc_0090</x:v>
      </x:c>
      <x:c r="B533" s="159" t="str">
        <x:v>Expand climate risk insurance coverage</x:v>
      </x:c>
      <x:c r="C533" s="159" t="str">
        <x:v>Health</x:v>
      </x:c>
      <x:c r="D533" s="159" t="str">
        <x:v>Vulnerability</x:v>
      </x:c>
      <x:c r="E533" s="153" t="str"/>
      <x:c r="F533" s="153" t="str"/>
      <x:c r="G533" s="159" t="str">
        <x:v>Not eligible</x:v>
      </x:c>
      <x:c r="H533" s="159" t="str">
        <x:v>Not applicable</x:v>
      </x:c>
      <x:c r="I533" s="159" t="str">
        <x:v>Not applicable</x:v>
      </x:c>
      <x:c r="J533" s="159" t="str">
        <x:v>Not applicable</x:v>
      </x:c>
      <x:c r="K533" s="159" t="str">
        <x:v>No</x:v>
      </x:c>
      <x:c r="L533" s="159" t="str">
        <x:v>&lt;5 years</x:v>
      </x:c>
      <x:c r="M533" s="168" t="n">
        <x:v>0</x:v>
      </x:c>
      <x:c r="N533" s="168" t="n">
        <x:v>0</x:v>
      </x:c>
      <x:c r="O533" s="159" t="str"/>
      <x:c r="P533" s="159" t="str"/>
      <x:c r="Q533" s="159" t="str">
        <x:v>The action's primary mechanism does not directly change a terminal Health vulnerability indicator.</x:v>
      </x:c>
      <x:c r="R533" s="160" t="str">
        <x:v>Insurance provides financial risk management tools tailored to climate-induced challenges. This includes traditional agricultural insurance to protect farmers from weather-related losses and innovative index-based insurance solutions. Index-based insurance leverages measurable weather indices, such as rainfall or temperature, to trigger payouts automatically when thresholds are reached, bypassing the need for loss verification. These tools help stabilize incomes, encourage investment in climate-resilient practices, and reduce the economic vulnerability of stakeholders in agriculture, aquaculture, and energy sectors. Furthermore, bundled insurance products with additional services like fertilizer or seed access enhance overall resilience, particularly in underserved and rural communities. By mitigating risks associated with droughts, floods, and storms, insurance supports sustainable development and adaptation goals</x:v>
      </x:c>
    </x:row>
    <x:row r="534" ht="66" customHeight="1">
      <x:c r="A534" s="165" t="str">
        <x:v>ipcc_0092</x:v>
      </x:c>
      <x:c r="B534" s="159" t="str">
        <x:v>Expand climate‑responsive social safety nets</x:v>
      </x:c>
      <x:c r="C534" s="159" t="str">
        <x:v>Health</x:v>
      </x:c>
      <x:c r="D534" s="159" t="str">
        <x:v>Exposure</x:v>
      </x:c>
      <x:c r="E534" s="153" t="str"/>
      <x:c r="F534" s="153" t="str"/>
      <x:c r="G534" s="159" t="str">
        <x:v>Not eligible</x:v>
      </x:c>
      <x:c r="H534" s="159" t="str">
        <x:v>Not applicable</x:v>
      </x:c>
      <x:c r="I534" s="159" t="str">
        <x:v>Not applicable</x:v>
      </x:c>
      <x:c r="J534" s="159" t="str">
        <x:v>Not applicable</x:v>
      </x:c>
      <x:c r="K534" s="159" t="str">
        <x:v>No</x:v>
      </x:c>
      <x:c r="L534" s="159" t="str">
        <x:v>5-10 years</x:v>
      </x:c>
      <x:c r="M534" s="168" t="n">
        <x:v>0</x:v>
      </x:c>
      <x:c r="N534" s="168" t="n">
        <x:v>0</x:v>
      </x:c>
      <x:c r="O534" s="159" t="str"/>
      <x:c r="P534" s="159" t="str"/>
      <x:c r="Q534" s="159" t="str">
        <x:v>The action's primary mechanism does not directly change a terminal Health exposure indicator.</x:v>
      </x:c>
      <x:c r="R534" s="160" t="str">
        <x:v>Social safety nets encompass adaptive social protection mechanisms to reduce food insecurity and malnutrition, especially for vulnerable populations. These include cash transfers, school feeding programs, public work initiatives, unemployment compensation, land reforms, credit and insurance schemes. Integrated approaches combine climate risk assessments with disaster risk reduction, education, and social equity to enhance resilience to climate stresses.</x:v>
      </x:c>
    </x:row>
    <x:row r="535" ht="66" customHeight="1">
      <x:c r="A535" s="165" t="str">
        <x:v>ipcc_0092</x:v>
      </x:c>
      <x:c r="B535" s="159" t="str">
        <x:v>Expand climate‑responsive social safety nets</x:v>
      </x:c>
      <x:c r="C535" s="159" t="str">
        <x:v>Health</x:v>
      </x:c>
      <x:c r="D535" s="159" t="str">
        <x:v>Vulnerability</x:v>
      </x:c>
      <x:c r="E535" s="153" t="str"/>
      <x:c r="F535" s="153" t="str"/>
      <x:c r="G535" s="159" t="str">
        <x:v>Not eligible</x:v>
      </x:c>
      <x:c r="H535" s="159" t="str">
        <x:v>Not applicable</x:v>
      </x:c>
      <x:c r="I535" s="159" t="str">
        <x:v>Not applicable</x:v>
      </x:c>
      <x:c r="J535" s="159" t="str">
        <x:v>Not applicable</x:v>
      </x:c>
      <x:c r="K535" s="159" t="str">
        <x:v>No</x:v>
      </x:c>
      <x:c r="L535" s="159" t="str">
        <x:v>5-10 years</x:v>
      </x:c>
      <x:c r="M535" s="168" t="n">
        <x:v>0</x:v>
      </x:c>
      <x:c r="N535" s="168" t="n">
        <x:v>0</x:v>
      </x:c>
      <x:c r="O535" s="159" t="str"/>
      <x:c r="P535" s="159" t="str"/>
      <x:c r="Q535" s="159" t="str">
        <x:v>The action's primary mechanism does not directly change a terminal Health vulnerability indicator.</x:v>
      </x:c>
      <x:c r="R535" s="160" t="str">
        <x:v>Social safety nets encompass adaptive social protection mechanisms to reduce food insecurity and malnutrition, especially for vulnerable populations. These include cash transfers, school feeding programs, public work initiatives, unemployment compensation, land reforms, credit and insurance schemes. Integrated approaches combine climate risk assessments with disaster risk reduction, education, and social equity to enhance resilience to climate stresses.</x:v>
      </x:c>
    </x:row>
    <x:row r="536" ht="66" customHeight="1">
      <x:c r="A536" s="165" t="str">
        <x:v>icare_0180</x:v>
      </x:c>
      <x:c r="B536" s="159" t="str">
        <x:v>Expand urban green-blue networks and corridors</x:v>
      </x:c>
      <x:c r="C536" s="159" t="str">
        <x:v>Health</x:v>
      </x:c>
      <x:c r="D536" s="159" t="str">
        <x:v>Vulnerability</x:v>
      </x:c>
      <x:c r="E536" s="153" t="str"/>
      <x:c r="F536" s="153" t="str"/>
      <x:c r="G536" s="159" t="str">
        <x:v>Not eligible</x:v>
      </x:c>
      <x:c r="H536" s="159" t="str">
        <x:v>Not applicable</x:v>
      </x:c>
      <x:c r="I536" s="159" t="str">
        <x:v>Not applicable</x:v>
      </x:c>
      <x:c r="J536" s="159" t="str">
        <x:v>Not applicable</x:v>
      </x:c>
      <x:c r="K536" s="159" t="str">
        <x:v>No</x:v>
      </x:c>
      <x:c r="L536" s="159" t="str">
        <x:v>&lt;5 years</x:v>
      </x:c>
      <x:c r="M536" s="168" t="n">
        <x:v>0</x:v>
      </x:c>
      <x:c r="N536" s="168" t="n">
        <x:v>0</x:v>
      </x:c>
      <x:c r="O536" s="159" t="str"/>
      <x:c r="P536" s="159" t="str"/>
      <x:c r="Q536" s="159" t="str">
        <x:v>The action's primary mechanism does not directly change a terminal Health vulnerability indicator.</x:v>
      </x:c>
      <x:c r="R536" s="160" t="str">
        <x:v>Expand and connect urban green spaces and blue-green infrastructure (BGI) in the public realm. Actions include street tree planting, establishing green corridors/greenways, pocket and large parks, and green-blue features (bioswales, rain gardens, permeable surfaces) to manage stormwater, reduce urban heat, enhance biodiversity, and support carbon sequestration. Embedding these measures in urban planning strengthens ecosystem services, resilience, and livability.</x:v>
      </x:c>
    </x:row>
    <x:row r="537" ht="66" customHeight="1">
      <x:c r="A537" s="165" t="str">
        <x:v>ipcc_0086</x:v>
      </x:c>
      <x:c r="B537" s="159" t="str">
        <x:v>Implement ecosystem‑based adaptation measures</x:v>
      </x:c>
      <x:c r="C537" s="159" t="str">
        <x:v>Health</x:v>
      </x:c>
      <x:c r="D537" s="159" t="str">
        <x:v>Vulnerability</x:v>
      </x:c>
      <x:c r="E537" s="153" t="str"/>
      <x:c r="F537" s="153" t="str"/>
      <x:c r="G537" s="159" t="str">
        <x:v>Not eligible</x:v>
      </x:c>
      <x:c r="H537" s="159" t="str">
        <x:v>Not applicable</x:v>
      </x:c>
      <x:c r="I537" s="159" t="str">
        <x:v>Not applicable</x:v>
      </x:c>
      <x:c r="J537" s="159" t="str">
        <x:v>Not applicable</x:v>
      </x:c>
      <x:c r="K537" s="159" t="str">
        <x:v>No</x:v>
      </x:c>
      <x:c r="L537" s="159" t="str">
        <x:v>5-10 years</x:v>
      </x:c>
      <x:c r="M537" s="168" t="n">
        <x:v>0</x:v>
      </x:c>
      <x:c r="N537" s="168" t="n">
        <x:v>0</x:v>
      </x:c>
      <x:c r="O537" s="159" t="str"/>
      <x:c r="P537" s="159" t="str"/>
      <x:c r="Q537" s="159" t="str">
        <x:v>The action's primary mechanism does not directly change a terminal Health vulnerability indicator.</x:v>
      </x:c>
      <x:c r="R537" s="160" t="str">
        <x:v>Restoring and sustainably managing marine, coastal, urban, riverine, and wetland ecosystems to protect against climate hazards such as storm surges, floods, and heatwaves. Efforts include agroecology, coastal and marine vegetation and reefs, vegetation corridors, mangrove habitat restoration, urban green space to reduce temperatures. These actions improve biodiversity, store carbon, enhance water quality, and provide socio-economic and cultural co-benefits.</x:v>
      </x:c>
    </x:row>
    <x:row r="538" ht="66" customHeight="1">
      <x:c r="A538" s="165" t="str">
        <x:v>ipcc_0078</x:v>
      </x:c>
      <x:c r="B538" s="159" t="str">
        <x:v>Implement green roofs and walls</x:v>
      </x:c>
      <x:c r="C538" s="159" t="str">
        <x:v>Health</x:v>
      </x:c>
      <x:c r="D538" s="159" t="str">
        <x:v>Exposure</x:v>
      </x:c>
      <x:c r="E538" s="153" t="str"/>
      <x:c r="F538" s="153" t="str"/>
      <x:c r="G538" s="159" t="str">
        <x:v>Not eligible</x:v>
      </x:c>
      <x:c r="H538" s="159" t="str">
        <x:v>Not applicable</x:v>
      </x:c>
      <x:c r="I538" s="159" t="str">
        <x:v>Not applicable</x:v>
      </x:c>
      <x:c r="J538" s="159" t="str">
        <x:v>Not applicable</x:v>
      </x:c>
      <x:c r="K538" s="159" t="str">
        <x:v>No</x:v>
      </x:c>
      <x:c r="L538" s="159" t="str">
        <x:v>5-10 years</x:v>
      </x:c>
      <x:c r="M538" s="168" t="n">
        <x:v>0</x:v>
      </x:c>
      <x:c r="N538" s="168" t="n">
        <x:v>0</x:v>
      </x:c>
      <x:c r="O538" s="159" t="str"/>
      <x:c r="P538" s="159" t="str"/>
      <x:c r="Q538" s="159" t="str">
        <x:v>The action's primary mechanism does not directly change a terminal Health exposure indicator.</x:v>
      </x:c>
      <x:c r="R538" s="160" t="str">
        <x:v>The implementation of green roofs and green walls mitigates urban heat island effects, improves thermal comfort, reduces energy demand in buildings, manages stormwater, and enhances urban livability and biodiversity.</x:v>
      </x:c>
    </x:row>
    <x:row r="539" ht="66" customHeight="1">
      <x:c r="A539" s="165" t="str">
        <x:v>ipcc_0078</x:v>
      </x:c>
      <x:c r="B539" s="159" t="str">
        <x:v>Implement green roofs and walls</x:v>
      </x:c>
      <x:c r="C539" s="159" t="str">
        <x:v>Health</x:v>
      </x:c>
      <x:c r="D539" s="159" t="str">
        <x:v>Vulnerability</x:v>
      </x:c>
      <x:c r="E539" s="153" t="str"/>
      <x:c r="F539" s="153" t="str"/>
      <x:c r="G539" s="159" t="str">
        <x:v>Not eligible</x:v>
      </x:c>
      <x:c r="H539" s="159" t="str">
        <x:v>Not applicable</x:v>
      </x:c>
      <x:c r="I539" s="159" t="str">
        <x:v>Not applicable</x:v>
      </x:c>
      <x:c r="J539" s="159" t="str">
        <x:v>Not applicable</x:v>
      </x:c>
      <x:c r="K539" s="159" t="str">
        <x:v>No</x:v>
      </x:c>
      <x:c r="L539" s="159" t="str">
        <x:v>5-10 years</x:v>
      </x:c>
      <x:c r="M539" s="168" t="n">
        <x:v>0</x:v>
      </x:c>
      <x:c r="N539" s="168" t="n">
        <x:v>0</x:v>
      </x:c>
      <x:c r="O539" s="159" t="str"/>
      <x:c r="P539" s="159" t="str"/>
      <x:c r="Q539" s="159" t="str">
        <x:v>The action's primary mechanism does not directly change a terminal Health vulnerability indicator.</x:v>
      </x:c>
      <x:c r="R539" s="160" t="str">
        <x:v>The implementation of green roofs and green walls mitigates urban heat island effects, improves thermal comfort, reduces energy demand in buildings, manages stormwater, and enhances urban livability and biodiversity.</x:v>
      </x:c>
    </x:row>
    <x:row r="540" ht="66" customHeight="1">
      <x:c r="A540" s="165" t="str">
        <x:v>icare_0186</x:v>
      </x:c>
      <x:c r="B540" s="159" t="str">
        <x:v>Implement integrated coastal zone management</x:v>
      </x:c>
      <x:c r="C540" s="159" t="str">
        <x:v>Health</x:v>
      </x:c>
      <x:c r="D540" s="159" t="str">
        <x:v>Vulnerability</x:v>
      </x:c>
      <x:c r="E540" s="153" t="str"/>
      <x:c r="F540" s="153" t="str"/>
      <x:c r="G540" s="159" t="str">
        <x:v>Not eligible</x:v>
      </x:c>
      <x:c r="H540" s="159" t="str">
        <x:v>Not applicable</x:v>
      </x:c>
      <x:c r="I540" s="159" t="str">
        <x:v>Not applicable</x:v>
      </x:c>
      <x:c r="J540" s="159" t="str">
        <x:v>Not applicable</x:v>
      </x:c>
      <x:c r="K540" s="159" t="str">
        <x:v>No</x:v>
      </x:c>
      <x:c r="L540" s="159" t="str">
        <x:v>5-10 years</x:v>
      </x:c>
      <x:c r="M540" s="168" t="n">
        <x:v>0</x:v>
      </x:c>
      <x:c r="N540" s="168" t="n">
        <x:v>0</x:v>
      </x:c>
      <x:c r="O540" s="159" t="str"/>
      <x:c r="P540" s="159" t="str"/>
      <x:c r="Q540" s="159" t="str">
        <x:v>The action's primary mechanism does not directly change a terminal Health vulnerability indicator.</x:v>
      </x:c>
      <x:c r="R540" s="160" t="str">
        <x:v>This action describes the implementation of an integrated coastal zone management plan to promote sustainable development and address the impacts of climate change in coastal areas. It includes measures to mitigate the impacts of sea-level rise and coastal erosion.</x:v>
      </x:c>
    </x:row>
    <x:row r="541" ht="66" customHeight="1">
      <x:c r="A541" s="165" t="str">
        <x:v>icare_0183</x:v>
      </x:c>
      <x:c r="B541" s="159" t="str">
        <x:v>Implement Multi-hazard Early Warning Systems (MH-EWS)</x:v>
      </x:c>
      <x:c r="C541" s="159" t="str">
        <x:v>Health</x:v>
      </x:c>
      <x:c r="D541" s="159" t="str">
        <x:v>Exposure</x:v>
      </x:c>
      <x:c r="E541" s="153" t="str"/>
      <x:c r="F541" s="153" t="str"/>
      <x:c r="G541" s="159" t="str">
        <x:v>Not eligible</x:v>
      </x:c>
      <x:c r="H541" s="159" t="str">
        <x:v>Not applicable</x:v>
      </x:c>
      <x:c r="I541" s="159" t="str">
        <x:v>Not applicable</x:v>
      </x:c>
      <x:c r="J541" s="159" t="str">
        <x:v>Not applicable</x:v>
      </x:c>
      <x:c r="K541" s="159" t="str">
        <x:v>No</x:v>
      </x:c>
      <x:c r="L541" s="159" t="str">
        <x:v>5-10 years</x:v>
      </x:c>
      <x:c r="M541" s="168" t="n">
        <x:v>0</x:v>
      </x:c>
      <x:c r="N541" s="168" t="n">
        <x:v>0</x:v>
      </x:c>
      <x:c r="O541" s="159" t="str"/>
      <x:c r="P541" s="159" t="str"/>
      <x:c r="Q541" s="159" t="str">
        <x:v>The action's primary mechanism does not directly change a terminal Health exposure indicator.</x:v>
      </x:c>
      <x:c r="R541" s="160" t="str">
        <x:v>Early Warning systems involve the timely detection and communication of potential climate-related hazards, enabling proactive responses to mitigate risks and enhancing community preparedness. This includes intense rains and landslides, using a network of telemetry stations to monitor rainfall and other weather conditions, with clear trigger thresholds to issue public alerts (sirens/alarms, SMS/cell broadcast, radio/PA) in case of potential flooding or landslides.</x:v>
      </x:c>
    </x:row>
    <x:row r="542" ht="66" customHeight="1">
      <x:c r="A542" s="165" t="str">
        <x:v>icare_0183</x:v>
      </x:c>
      <x:c r="B542" s="159" t="str">
        <x:v>Implement Multi-hazard Early Warning Systems (MH-EWS)</x:v>
      </x:c>
      <x:c r="C542" s="159" t="str">
        <x:v>Health</x:v>
      </x:c>
      <x:c r="D542" s="159" t="str">
        <x:v>Vulnerability</x:v>
      </x:c>
      <x:c r="E542" s="153" t="str"/>
      <x:c r="F542" s="153" t="str"/>
      <x:c r="G542" s="159" t="str">
        <x:v>Not eligible</x:v>
      </x:c>
      <x:c r="H542" s="159" t="str">
        <x:v>Not applicable</x:v>
      </x:c>
      <x:c r="I542" s="159" t="str">
        <x:v>Not applicable</x:v>
      </x:c>
      <x:c r="J542" s="159" t="str">
        <x:v>Not applicable</x:v>
      </x:c>
      <x:c r="K542" s="159" t="str">
        <x:v>No</x:v>
      </x:c>
      <x:c r="L542" s="159" t="str">
        <x:v>5-10 years</x:v>
      </x:c>
      <x:c r="M542" s="168" t="n">
        <x:v>0</x:v>
      </x:c>
      <x:c r="N542" s="168" t="n">
        <x:v>0</x:v>
      </x:c>
      <x:c r="O542" s="159" t="str"/>
      <x:c r="P542" s="159" t="str"/>
      <x:c r="Q542" s="159" t="str">
        <x:v>The action's primary mechanism does not directly change a terminal Health vulnerability indicator.</x:v>
      </x:c>
      <x:c r="R542" s="160" t="str">
        <x:v>Early Warning systems involve the timely detection and communication of potential climate-related hazards, enabling proactive responses to mitigate risks and enhancing community preparedness. This includes intense rains and landslides, using a network of telemetry stations to monitor rainfall and other weather conditions, with clear trigger thresholds to issue public alerts (sirens/alarms, SMS/cell broadcast, radio/PA) in case of potential flooding or landslides.</x:v>
      </x:c>
    </x:row>
    <x:row r="543" ht="66" customHeight="1">
      <x:c r="A543" s="165" t="str">
        <x:v>icare_0185</x:v>
      </x:c>
      <x:c r="B543" s="159" t="str">
        <x:v>Improve Creation of An Epidemiological Intelligence Center</x:v>
      </x:c>
      <x:c r="C543" s="159" t="str">
        <x:v>Health</x:v>
      </x:c>
      <x:c r="D543" s="159" t="str">
        <x:v>Exposure</x:v>
      </x:c>
      <x:c r="E543" s="153" t="str"/>
      <x:c r="F543" s="153" t="str"/>
      <x:c r="G543" s="159" t="str">
        <x:v>Not eligible</x:v>
      </x:c>
      <x:c r="H543" s="159" t="str">
        <x:v>Not applicable</x:v>
      </x:c>
      <x:c r="I543" s="159" t="str">
        <x:v>Not applicable</x:v>
      </x:c>
      <x:c r="J543" s="159" t="str">
        <x:v>Not applicable</x:v>
      </x:c>
      <x:c r="K543" s="159" t="str">
        <x:v>No</x:v>
      </x:c>
      <x:c r="L543" s="159" t="str">
        <x:v>5-10 years</x:v>
      </x:c>
      <x:c r="M543" s="168" t="n">
        <x:v>0</x:v>
      </x:c>
      <x:c r="N543" s="168" t="n">
        <x:v>0</x:v>
      </x:c>
      <x:c r="O543" s="159" t="str"/>
      <x:c r="P543" s="159" t="str"/>
      <x:c r="Q543" s="159" t="str">
        <x:v>The action's primary mechanism does not directly change a terminal Health exposure indicator.</x:v>
      </x:c>
      <x:c r="R543" s="160" t="str">
        <x:v>This action focuses on establishing an epidemiological intelligence center to monitor public health indicators and provide accessible information to the population. This helps in making informed decisions and protecting public health, particularly in relation to climate-sensitive diseases.</x:v>
      </x:c>
    </x:row>
    <x:row r="544" ht="66" customHeight="1">
      <x:c r="A544" s="165" t="str">
        <x:v>ipcc_0100</x:v>
      </x:c>
      <x:c r="B544" s="159" t="str">
        <x:v>Improve Efficient water use/demand</x:v>
      </x:c>
      <x:c r="C544" s="159" t="str">
        <x:v>Health</x:v>
      </x:c>
      <x:c r="D544" s="159" t="str">
        <x:v>Exposure</x:v>
      </x:c>
      <x:c r="E544" s="153" t="str"/>
      <x:c r="F544" s="153" t="str"/>
      <x:c r="G544" s="159" t="str">
        <x:v>Not eligible</x:v>
      </x:c>
      <x:c r="H544" s="159" t="str">
        <x:v>Not applicable</x:v>
      </x:c>
      <x:c r="I544" s="159" t="str">
        <x:v>Not applicable</x:v>
      </x:c>
      <x:c r="J544" s="159" t="str">
        <x:v>Not applicable</x:v>
      </x:c>
      <x:c r="K544" s="159" t="str">
        <x:v>No</x:v>
      </x:c>
      <x:c r="L544" s="159" t="str">
        <x:v>5-10 years</x:v>
      </x:c>
      <x:c r="M544" s="168" t="n">
        <x:v>0</x:v>
      </x:c>
      <x:c r="N544" s="168" t="n">
        <x:v>0</x:v>
      </x:c>
      <x:c r="O544" s="159" t="str"/>
      <x:c r="P544" s="159" t="str"/>
      <x:c r="Q544" s="159" t="str">
        <x:v>The action's primary mechanism does not directly change a terminal Health exposure indicator.</x:v>
      </x:c>
      <x:c r="R544" s="160" t="str">
        <x:v>Implementing advanced irrigation techniques such as precision and drip irrigation to enhance water use efficiency in agriculture. Managed Aquifer Recharge (MAR) is applied to replenish groundwater supplies using stormwater, treated wastewater, or other sources. These actions are complemented by cooperative policies across multiple sectors to ensure sustainable water resource management, equitable access, and regional collaboration. Additionally, promoting changes in water consumption patterns, such as reducing waste and improving efficiency in urban and agricultural water use, supports resilience against water scarcity and enhances adaptive capacity in vulnerable regions. These efforts collectively aim to address the growing demand for freshwater in the face of climate change and ensure long-term sustainability.</x:v>
      </x:c>
    </x:row>
    <x:row r="545" ht="66" customHeight="1">
      <x:c r="A545" s="165" t="str">
        <x:v>icare_0164</x:v>
      </x:c>
      <x:c r="B545" s="159" t="str">
        <x:v>Improve Hydrological Monitoring System with Telemetry Stations</x:v>
      </x:c>
      <x:c r="C545" s="159" t="str">
        <x:v>Health</x:v>
      </x:c>
      <x:c r="D545" s="159" t="str">
        <x:v>Exposure</x:v>
      </x:c>
      <x:c r="E545" s="153" t="str"/>
      <x:c r="F545" s="153" t="str"/>
      <x:c r="G545" s="159" t="str">
        <x:v>Not eligible</x:v>
      </x:c>
      <x:c r="H545" s="159" t="str">
        <x:v>Not applicable</x:v>
      </x:c>
      <x:c r="I545" s="159" t="str">
        <x:v>Not applicable</x:v>
      </x:c>
      <x:c r="J545" s="159" t="str">
        <x:v>Not applicable</x:v>
      </x:c>
      <x:c r="K545" s="159" t="str">
        <x:v>No</x:v>
      </x:c>
      <x:c r="L545" s="159" t="str">
        <x:v>&lt;5 years</x:v>
      </x:c>
      <x:c r="M545" s="168" t="n">
        <x:v>0</x:v>
      </x:c>
      <x:c r="N545" s="168" t="n">
        <x:v>0</x:v>
      </x:c>
      <x:c r="O545" s="159" t="str"/>
      <x:c r="P545" s="159" t="str"/>
      <x:c r="Q545" s="159" t="str">
        <x:v>The action's primary mechanism does not directly change a terminal Health exposure indicator.</x:v>
      </x:c>
      <x:c r="R545" s="160" t="str">
        <x:v>Implementation of a hydrological monitoring system with telemetry stations to monitor rainfall, water levels, and meteorological variables in real-time.</x:v>
      </x:c>
    </x:row>
    <x:row r="546" ht="66" customHeight="1">
      <x:c r="A546" s="165" t="str">
        <x:v>icare_0164</x:v>
      </x:c>
      <x:c r="B546" s="159" t="str">
        <x:v>Improve Hydrological Monitoring System with Telemetry Stations</x:v>
      </x:c>
      <x:c r="C546" s="159" t="str">
        <x:v>Health</x:v>
      </x:c>
      <x:c r="D546" s="159" t="str">
        <x:v>Vulnerability</x:v>
      </x:c>
      <x:c r="E546" s="153" t="str"/>
      <x:c r="F546" s="153" t="str"/>
      <x:c r="G546" s="159" t="str">
        <x:v>Not eligible</x:v>
      </x:c>
      <x:c r="H546" s="159" t="str">
        <x:v>Not applicable</x:v>
      </x:c>
      <x:c r="I546" s="159" t="str">
        <x:v>Not applicable</x:v>
      </x:c>
      <x:c r="J546" s="159" t="str">
        <x:v>Not applicable</x:v>
      </x:c>
      <x:c r="K546" s="159" t="str">
        <x:v>No</x:v>
      </x:c>
      <x:c r="L546" s="159" t="str">
        <x:v>&lt;5 years</x:v>
      </x:c>
      <x:c r="M546" s="168" t="n">
        <x:v>0</x:v>
      </x:c>
      <x:c r="N546" s="168" t="n">
        <x:v>0</x:v>
      </x:c>
      <x:c r="O546" s="159" t="str"/>
      <x:c r="P546" s="159" t="str"/>
      <x:c r="Q546" s="159" t="str">
        <x:v>The action's primary mechanism does not directly change a terminal Health vulnerability indicator.</x:v>
      </x:c>
      <x:c r="R546" s="160" t="str">
        <x:v>Implementation of a hydrological monitoring system with telemetry stations to monitor rainfall, water levels, and meteorological variables in real-time.</x:v>
      </x:c>
    </x:row>
    <x:row r="547" ht="66" customHeight="1">
      <x:c r="A547" s="165" t="str">
        <x:v>icare_0156</x:v>
      </x:c>
      <x:c r="B547" s="159" t="str">
        <x:v>Improve Implementation of urban gardens</x:v>
      </x:c>
      <x:c r="C547" s="159" t="str">
        <x:v>Health</x:v>
      </x:c>
      <x:c r="D547" s="159" t="str">
        <x:v>Exposure</x:v>
      </x:c>
      <x:c r="E547" s="153" t="str"/>
      <x:c r="F547" s="153" t="str"/>
      <x:c r="G547" s="159" t="str">
        <x:v>Not eligible</x:v>
      </x:c>
      <x:c r="H547" s="159" t="str">
        <x:v>Not applicable</x:v>
      </x:c>
      <x:c r="I547" s="159" t="str">
        <x:v>Not applicable</x:v>
      </x:c>
      <x:c r="J547" s="159" t="str">
        <x:v>Not applicable</x:v>
      </x:c>
      <x:c r="K547" s="159" t="str">
        <x:v>No</x:v>
      </x:c>
      <x:c r="L547" s="159" t="str">
        <x:v>&lt;5 years</x:v>
      </x:c>
      <x:c r="M547" s="168" t="n">
        <x:v>0</x:v>
      </x:c>
      <x:c r="N547" s="168" t="n">
        <x:v>0</x:v>
      </x:c>
      <x:c r="O547" s="159" t="str"/>
      <x:c r="P547" s="159" t="str"/>
      <x:c r="Q547" s="159" t="str">
        <x:v>The action's primary mechanism does not directly change a terminal Health exposure indicator.</x:v>
      </x:c>
      <x:c r="R547" s="160" t="str">
        <x:v>Identify and assess the feasibility of suitable areas for the installation of urban gardens and ensure that the sites chosen meet the expectations of the community.</x:v>
      </x:c>
    </x:row>
    <x:row r="548" ht="66" customHeight="1">
      <x:c r="A548" s="165" t="str">
        <x:v>icare_0156</x:v>
      </x:c>
      <x:c r="B548" s="159" t="str">
        <x:v>Improve Implementation of urban gardens</x:v>
      </x:c>
      <x:c r="C548" s="159" t="str">
        <x:v>Health</x:v>
      </x:c>
      <x:c r="D548" s="159" t="str">
        <x:v>Vulnerability</x:v>
      </x:c>
      <x:c r="E548" s="153" t="str"/>
      <x:c r="F548" s="153" t="str"/>
      <x:c r="G548" s="159" t="str">
        <x:v>Not eligible</x:v>
      </x:c>
      <x:c r="H548" s="159" t="str">
        <x:v>Not applicable</x:v>
      </x:c>
      <x:c r="I548" s="159" t="str">
        <x:v>Not applicable</x:v>
      </x:c>
      <x:c r="J548" s="159" t="str">
        <x:v>Not applicable</x:v>
      </x:c>
      <x:c r="K548" s="159" t="str">
        <x:v>No</x:v>
      </x:c>
      <x:c r="L548" s="159" t="str">
        <x:v>&lt;5 years</x:v>
      </x:c>
      <x:c r="M548" s="168" t="n">
        <x:v>0</x:v>
      </x:c>
      <x:c r="N548" s="168" t="n">
        <x:v>0</x:v>
      </x:c>
      <x:c r="O548" s="159" t="str"/>
      <x:c r="P548" s="159" t="str"/>
      <x:c r="Q548" s="159" t="str">
        <x:v>The action's primary mechanism does not directly change a terminal Health vulnerability indicator.</x:v>
      </x:c>
      <x:c r="R548" s="160" t="str">
        <x:v>Identify and assess the feasibility of suitable areas for the installation of urban gardens and ensure that the sites chosen meet the expectations of the community.</x:v>
      </x:c>
    </x:row>
    <x:row r="549" ht="66" customHeight="1">
      <x:c r="A549" s="165" t="str">
        <x:v>ipcc_0087</x:v>
      </x:c>
      <x:c r="B549" s="159" t="str">
        <x:v>Improve Infrastructure retrofitting</x:v>
      </x:c>
      <x:c r="C549" s="159" t="str">
        <x:v>Health</x:v>
      </x:c>
      <x:c r="D549" s="159" t="str">
        <x:v>Exposure</x:v>
      </x:c>
      <x:c r="E549" s="153" t="str"/>
      <x:c r="F549" s="153" t="str"/>
      <x:c r="G549" s="159" t="str">
        <x:v>Not eligible</x:v>
      </x:c>
      <x:c r="H549" s="159" t="str">
        <x:v>Not applicable</x:v>
      </x:c>
      <x:c r="I549" s="159" t="str">
        <x:v>Not applicable</x:v>
      </x:c>
      <x:c r="J549" s="159" t="str">
        <x:v>Not applicable</x:v>
      </x:c>
      <x:c r="K549" s="159" t="str">
        <x:v>No</x:v>
      </x:c>
      <x:c r="L549" s="159" t="str">
        <x:v>5-10 years</x:v>
      </x:c>
      <x:c r="M549" s="168" t="n">
        <x:v>0</x:v>
      </x:c>
      <x:c r="N549" s="168" t="n">
        <x:v>0</x:v>
      </x:c>
      <x:c r="O549" s="159" t="str"/>
      <x:c r="P549" s="159" t="str"/>
      <x:c r="Q549" s="159" t="str">
        <x:v>The action's primary mechanism does not directly change a terminal Health exposure indicator.</x:v>
      </x:c>
      <x:c r="R549" s="160" t="str">
        <x:v>Strengthen and upgrade existing infrastructure, including roads, housing, and energy systems, to improve resilience against climate risks such as floods, droughts, and heatwaves. Efforts include using thermosiphons for permafrost degradation, increasing rooftop albedo (for reflectivity) and shading</x:v>
      </x:c>
    </x:row>
    <x:row r="550" ht="66" customHeight="1">
      <x:c r="A550" s="165" t="str">
        <x:v>ipcc_0087</x:v>
      </x:c>
      <x:c r="B550" s="159" t="str">
        <x:v>Improve Infrastructure retrofitting</x:v>
      </x:c>
      <x:c r="C550" s="159" t="str">
        <x:v>Health</x:v>
      </x:c>
      <x:c r="D550" s="159" t="str">
        <x:v>Vulnerability</x:v>
      </x:c>
      <x:c r="E550" s="153" t="str"/>
      <x:c r="F550" s="153" t="str"/>
      <x:c r="G550" s="159" t="str">
        <x:v>Not eligible</x:v>
      </x:c>
      <x:c r="H550" s="159" t="str">
        <x:v>Not applicable</x:v>
      </x:c>
      <x:c r="I550" s="159" t="str">
        <x:v>Not applicable</x:v>
      </x:c>
      <x:c r="J550" s="159" t="str">
        <x:v>Not applicable</x:v>
      </x:c>
      <x:c r="K550" s="159" t="str">
        <x:v>No</x:v>
      </x:c>
      <x:c r="L550" s="159" t="str">
        <x:v>5-10 years</x:v>
      </x:c>
      <x:c r="M550" s="168" t="n">
        <x:v>0</x:v>
      </x:c>
      <x:c r="N550" s="168" t="n">
        <x:v>0</x:v>
      </x:c>
      <x:c r="O550" s="159" t="str"/>
      <x:c r="P550" s="159" t="str"/>
      <x:c r="Q550" s="159" t="str">
        <x:v>The action's primary mechanism does not directly change a terminal Health vulnerability indicator.</x:v>
      </x:c>
      <x:c r="R550" s="160" t="str">
        <x:v>Strengthen and upgrade existing infrastructure, including roads, housing, and energy systems, to improve resilience against climate risks such as floods, droughts, and heatwaves. Efforts include using thermosiphons for permafrost degradation, increasing rooftop albedo (for reflectivity) and shading</x:v>
      </x:c>
    </x:row>
    <x:row r="551" ht="66" customHeight="1">
      <x:c r="A551" s="165" t="str">
        <x:v>icare_0171</x:v>
      </x:c>
      <x:c r="B551" s="159" t="str">
        <x:v>Improve the hydrometeorological forecasting, monitoring, and alert system for climate risks</x:v>
      </x:c>
      <x:c r="C551" s="159" t="str">
        <x:v>Health</x:v>
      </x:c>
      <x:c r="D551" s="159" t="str">
        <x:v>Exposure</x:v>
      </x:c>
      <x:c r="E551" s="153" t="str"/>
      <x:c r="F551" s="153" t="str"/>
      <x:c r="G551" s="159" t="str">
        <x:v>Not eligible</x:v>
      </x:c>
      <x:c r="H551" s="159" t="str">
        <x:v>Not applicable</x:v>
      </x:c>
      <x:c r="I551" s="159" t="str">
        <x:v>Not applicable</x:v>
      </x:c>
      <x:c r="J551" s="159" t="str">
        <x:v>Not applicable</x:v>
      </x:c>
      <x:c r="K551" s="159" t="str">
        <x:v>No</x:v>
      </x:c>
      <x:c r="L551" s="159" t="str">
        <x:v>5-10 years</x:v>
      </x:c>
      <x:c r="M551" s="168" t="n">
        <x:v>0</x:v>
      </x:c>
      <x:c r="N551" s="168" t="n">
        <x:v>0</x:v>
      </x:c>
      <x:c r="O551" s="159" t="str"/>
      <x:c r="P551" s="159" t="str"/>
      <x:c r="Q551" s="159" t="str">
        <x:v>The action's primary mechanism does not directly change a terminal Health exposure indicator.</x:v>
      </x:c>
      <x:c r="R551" s="160" t="str">
        <x:v>This action aims to expand the procedures related to the existing climate risk forecasting, monitoring, and alert system in the municipality.</x:v>
      </x:c>
    </x:row>
    <x:row r="552" ht="66" customHeight="1">
      <x:c r="A552" s="165" t="str">
        <x:v>icare_0171</x:v>
      </x:c>
      <x:c r="B552" s="159" t="str">
        <x:v>Improve the hydrometeorological forecasting, monitoring, and alert system for climate risks</x:v>
      </x:c>
      <x:c r="C552" s="159" t="str">
        <x:v>Health</x:v>
      </x:c>
      <x:c r="D552" s="159" t="str">
        <x:v>Vulnerability</x:v>
      </x:c>
      <x:c r="E552" s="153" t="str"/>
      <x:c r="F552" s="153" t="str"/>
      <x:c r="G552" s="159" t="str">
        <x:v>Not eligible</x:v>
      </x:c>
      <x:c r="H552" s="159" t="str">
        <x:v>Not applicable</x:v>
      </x:c>
      <x:c r="I552" s="159" t="str">
        <x:v>Not applicable</x:v>
      </x:c>
      <x:c r="J552" s="159" t="str">
        <x:v>Not applicable</x:v>
      </x:c>
      <x:c r="K552" s="159" t="str">
        <x:v>No</x:v>
      </x:c>
      <x:c r="L552" s="159" t="str">
        <x:v>5-10 years</x:v>
      </x:c>
      <x:c r="M552" s="168" t="n">
        <x:v>0</x:v>
      </x:c>
      <x:c r="N552" s="168" t="n">
        <x:v>0</x:v>
      </x:c>
      <x:c r="O552" s="159" t="str"/>
      <x:c r="P552" s="159" t="str"/>
      <x:c r="Q552" s="159" t="str">
        <x:v>The action's primary mechanism does not directly change a terminal Health vulnerability indicator.</x:v>
      </x:c>
      <x:c r="R552" s="160" t="str">
        <x:v>This action aims to expand the procedures related to the existing climate risk forecasting, monitoring, and alert system in the municipality.</x:v>
      </x:c>
    </x:row>
    <x:row r="553" ht="66" customHeight="1">
      <x:c r="A553" s="165" t="str">
        <x:v>ipcc_0098</x:v>
      </x:c>
      <x:c r="B553" s="159" t="str">
        <x:v>Increase resilience by improving access to food, improving livelihoods and promoting dietary shifts and food waste reduction</x:v>
      </x:c>
      <x:c r="C553" s="159" t="str">
        <x:v>Health</x:v>
      </x:c>
      <x:c r="D553" s="159" t="str">
        <x:v>Exposure</x:v>
      </x:c>
      <x:c r="E553" s="153" t="str"/>
      <x:c r="F553" s="153" t="str"/>
      <x:c r="G553" s="159" t="str">
        <x:v>Not eligible</x:v>
      </x:c>
      <x:c r="H553" s="159" t="str">
        <x:v>Not applicable</x:v>
      </x:c>
      <x:c r="I553" s="159" t="str">
        <x:v>Not applicable</x:v>
      </x:c>
      <x:c r="J553" s="159" t="str">
        <x:v>Not applicable</x:v>
      </x:c>
      <x:c r="K553" s="159" t="str">
        <x:v>No</x:v>
      </x:c>
      <x:c r="L553" s="159" t="str">
        <x:v>5-10 years</x:v>
      </x:c>
      <x:c r="M553" s="168" t="n">
        <x:v>0</x:v>
      </x:c>
      <x:c r="N553" s="168" t="n">
        <x:v>0</x:v>
      </x:c>
      <x:c r="O553" s="159" t="str"/>
      <x:c r="P553" s="159" t="str"/>
      <x:c r="Q553" s="159" t="str">
        <x:v>The action's primary mechanism does not directly change a terminal Health exposure indicator.</x:v>
      </x:c>
      <x:c r="R553" s="160" t="str">
        <x:v>Increase resilience through improved food production, distribution, and consumption practices. Actions include enhancing agricultural techniques, adopting water-saving technologies, implementing low-cost storage solutions, and promoting plant-based diets. Policymakers can encourage these behaviors with appropriate pricing policies, sustainable agriculture initiatives, and support for disadvantaged groups. The action emphasizes shifting to healthier diets, reducing overconsumption, and supporting local food systems to mitigate greenhouse gas emissions and ensure food security under climate change.</x:v>
      </x:c>
    </x:row>
    <x:row r="554" ht="66" customHeight="1">
      <x:c r="A554" s="165" t="str">
        <x:v>ipcc_0098</x:v>
      </x:c>
      <x:c r="B554" s="159" t="str">
        <x:v>Increase resilience by improving access to food, improving livelihoods and promoting dietary shifts and food waste reduction</x:v>
      </x:c>
      <x:c r="C554" s="159" t="str">
        <x:v>Health</x:v>
      </x:c>
      <x:c r="D554" s="159" t="str">
        <x:v>Vulnerability</x:v>
      </x:c>
      <x:c r="E554" s="153" t="str"/>
      <x:c r="F554" s="153" t="str"/>
      <x:c r="G554" s="159" t="str">
        <x:v>Not eligible</x:v>
      </x:c>
      <x:c r="H554" s="159" t="str">
        <x:v>Not applicable</x:v>
      </x:c>
      <x:c r="I554" s="159" t="str">
        <x:v>Not applicable</x:v>
      </x:c>
      <x:c r="J554" s="159" t="str">
        <x:v>Not applicable</x:v>
      </x:c>
      <x:c r="K554" s="159" t="str">
        <x:v>No</x:v>
      </x:c>
      <x:c r="L554" s="159" t="str">
        <x:v>5-10 years</x:v>
      </x:c>
      <x:c r="M554" s="168" t="n">
        <x:v>0</x:v>
      </x:c>
      <x:c r="N554" s="168" t="n">
        <x:v>0</x:v>
      </x:c>
      <x:c r="O554" s="159" t="str"/>
      <x:c r="P554" s="159" t="str"/>
      <x:c r="Q554" s="159" t="str">
        <x:v>The action's primary mechanism does not directly change a terminal Health vulnerability indicator.</x:v>
      </x:c>
      <x:c r="R554" s="160" t="str">
        <x:v>Increase resilience through improved food production, distribution, and consumption practices. Actions include enhancing agricultural techniques, adopting water-saving technologies, implementing low-cost storage solutions, and promoting plant-based diets. Policymakers can encourage these behaviors with appropriate pricing policies, sustainable agriculture initiatives, and support for disadvantaged groups. The action emphasizes shifting to healthier diets, reducing overconsumption, and supporting local food systems to mitigate greenhouse gas emissions and ensure food security under climate change.</x:v>
      </x:c>
    </x:row>
    <x:row r="555" ht="66" customHeight="1">
      <x:c r="A555" s="165" t="str">
        <x:v>ipcc_0083</x:v>
      </x:c>
      <x:c r="B555" s="159" t="str">
        <x:v>Plan strategic coastal retreat for vulnerable communities</x:v>
      </x:c>
      <x:c r="C555" s="159" t="str">
        <x:v>Health</x:v>
      </x:c>
      <x:c r="D555" s="159" t="str">
        <x:v>Exposure</x:v>
      </x:c>
      <x:c r="E555" s="153" t="str"/>
      <x:c r="F555" s="153" t="str"/>
      <x:c r="G555" s="159" t="str">
        <x:v>Not eligible</x:v>
      </x:c>
      <x:c r="H555" s="159" t="str">
        <x:v>Not applicable</x:v>
      </x:c>
      <x:c r="I555" s="159" t="str">
        <x:v>Not applicable</x:v>
      </x:c>
      <x:c r="J555" s="159" t="str">
        <x:v>Not applicable</x:v>
      </x:c>
      <x:c r="K555" s="159" t="str">
        <x:v>No</x:v>
      </x:c>
      <x:c r="L555" s="159" t="str">
        <x:v>&gt;10 years</x:v>
      </x:c>
      <x:c r="M555" s="168" t="n">
        <x:v>0</x:v>
      </x:c>
      <x:c r="N555" s="168" t="n">
        <x:v>0</x:v>
      </x:c>
      <x:c r="O555" s="159" t="str"/>
      <x:c r="P555" s="159" t="str"/>
      <x:c r="Q555" s="159" t="str">
        <x:v>The action's primary mechanism does not directly change a terminal Health exposure indicator.</x:v>
      </x:c>
      <x:c r="R555" s="160" t="str">
        <x:v>Planned relocation and retreat of people, assets, and activities from coastal hazard zones to reduce exposure and risks caused by sea-level rise and associated coastal hazards.</x:v>
      </x:c>
    </x:row>
    <x:row r="556" ht="66" customHeight="1">
      <x:c r="A556" s="165" t="str">
        <x:v>ipcc_0083</x:v>
      </x:c>
      <x:c r="B556" s="159" t="str">
        <x:v>Plan strategic coastal retreat for vulnerable communities</x:v>
      </x:c>
      <x:c r="C556" s="159" t="str">
        <x:v>Health</x:v>
      </x:c>
      <x:c r="D556" s="159" t="str">
        <x:v>Vulnerability</x:v>
      </x:c>
      <x:c r="E556" s="153" t="str"/>
      <x:c r="F556" s="153" t="str"/>
      <x:c r="G556" s="159" t="str">
        <x:v>Not eligible</x:v>
      </x:c>
      <x:c r="H556" s="159" t="str">
        <x:v>Not applicable</x:v>
      </x:c>
      <x:c r="I556" s="159" t="str">
        <x:v>Not applicable</x:v>
      </x:c>
      <x:c r="J556" s="159" t="str">
        <x:v>Not applicable</x:v>
      </x:c>
      <x:c r="K556" s="159" t="str">
        <x:v>No</x:v>
      </x:c>
      <x:c r="L556" s="159" t="str">
        <x:v>&gt;10 years</x:v>
      </x:c>
      <x:c r="M556" s="168" t="n">
        <x:v>0</x:v>
      </x:c>
      <x:c r="N556" s="168" t="n">
        <x:v>0</x:v>
      </x:c>
      <x:c r="O556" s="159" t="str"/>
      <x:c r="P556" s="159" t="str"/>
      <x:c r="Q556" s="159" t="str">
        <x:v>The action's primary mechanism does not directly change a terminal Health vulnerability indicator.</x:v>
      </x:c>
      <x:c r="R556" s="160" t="str">
        <x:v>Planned relocation and retreat of people, assets, and activities from coastal hazard zones to reduce exposure and risks caused by sea-level rise and associated coastal hazards.</x:v>
      </x:c>
    </x:row>
    <x:row r="557" ht="66" customHeight="1">
      <x:c r="A557" s="165" t="str">
        <x:v>icare_0173</x:v>
      </x:c>
      <x:c r="B557" s="159" t="str">
        <x:v>Preventive maintenance of drainage systems</x:v>
      </x:c>
      <x:c r="C557" s="159" t="str">
        <x:v>Health</x:v>
      </x:c>
      <x:c r="D557" s="159" t="str">
        <x:v>Exposure</x:v>
      </x:c>
      <x:c r="E557" s="153" t="str"/>
      <x:c r="F557" s="153" t="str"/>
      <x:c r="G557" s="159" t="str">
        <x:v>Not eligible</x:v>
      </x:c>
      <x:c r="H557" s="159" t="str">
        <x:v>Not applicable</x:v>
      </x:c>
      <x:c r="I557" s="159" t="str">
        <x:v>Not applicable</x:v>
      </x:c>
      <x:c r="J557" s="159" t="str">
        <x:v>Not applicable</x:v>
      </x:c>
      <x:c r="K557" s="159" t="str">
        <x:v>No</x:v>
      </x:c>
      <x:c r="L557" s="159" t="str">
        <x:v>5-10 years</x:v>
      </x:c>
      <x:c r="M557" s="168" t="n">
        <x:v>0</x:v>
      </x:c>
      <x:c r="N557" s="168" t="n">
        <x:v>0</x:v>
      </x:c>
      <x:c r="O557" s="159" t="str"/>
      <x:c r="P557" s="159" t="str"/>
      <x:c r="Q557" s="159" t="str">
        <x:v>The action's primary mechanism does not directly change a terminal Health exposure indicator.</x:v>
      </x:c>
      <x:c r="R557" s="160" t="str">
        <x:v>Regular upkeep and cleaning of urban drainage systems, including storm drains, sewers, and retention basins, to ensure efficient water flow and prevent blockages that can lead to flooding during heavy rainfall events.</x:v>
      </x:c>
    </x:row>
    <x:row r="558" ht="66" customHeight="1">
      <x:c r="A558" s="165" t="str">
        <x:v>c40_0053</x:v>
      </x:c>
      <x:c r="B558" s="159" t="str">
        <x:v>Promote water-saving technologies and practices</x:v>
      </x:c>
      <x:c r="C558" s="159" t="str">
        <x:v>Health</x:v>
      </x:c>
      <x:c r="D558" s="159" t="str">
        <x:v>Exposure</x:v>
      </x:c>
      <x:c r="E558" s="153" t="str"/>
      <x:c r="F558" s="153" t="str"/>
      <x:c r="G558" s="159" t="str">
        <x:v>Not eligible</x:v>
      </x:c>
      <x:c r="H558" s="159" t="str">
        <x:v>Not applicable</x:v>
      </x:c>
      <x:c r="I558" s="159" t="str">
        <x:v>Not applicable</x:v>
      </x:c>
      <x:c r="J558" s="159" t="str">
        <x:v>Not applicable</x:v>
      </x:c>
      <x:c r="K558" s="159" t="str">
        <x:v>No</x:v>
      </x:c>
      <x:c r="L558" s="159" t="str">
        <x:v>5-10 years</x:v>
      </x:c>
      <x:c r="M558" s="168" t="n">
        <x:v>0</x:v>
      </x:c>
      <x:c r="N558" s="168" t="n">
        <x:v>0</x:v>
      </x:c>
      <x:c r="O558" s="159" t="str"/>
      <x:c r="P558" s="159" t="str"/>
      <x:c r="Q558" s="159" t="str">
        <x:v>The action's primary mechanism does not directly change a terminal Health exposure indicator.</x:v>
      </x:c>
      <x:c r="R558" s="160" t="str">
        <x:v>Encourages the adoption of water-saving technologies and practices to conserve water resources and strengthen resilience to climate change. This includes measures such as rainwater harvesting, low-flow appliances, leak detection systems, and municipal incentive programs that support households and businesses in reducing consumption. These actions enhance sustainable water use and complement broader eco-engineering and adaptation efforts.</x:v>
      </x:c>
    </x:row>
    <x:row r="559" ht="66" customHeight="1">
      <x:c r="A559" s="165" t="str">
        <x:v>c40_0051</x:v>
      </x:c>
      <x:c r="B559" s="159" t="str">
        <x:v>Provide public shading in heat hotspots</x:v>
      </x:c>
      <x:c r="C559" s="159" t="str">
        <x:v>Health</x:v>
      </x:c>
      <x:c r="D559" s="159" t="str">
        <x:v>Exposure</x:v>
      </x:c>
      <x:c r="E559" s="153" t="str"/>
      <x:c r="F559" s="153" t="str"/>
      <x:c r="G559" s="159" t="str">
        <x:v>Not eligible</x:v>
      </x:c>
      <x:c r="H559" s="159" t="str">
        <x:v>Not applicable</x:v>
      </x:c>
      <x:c r="I559" s="159" t="str">
        <x:v>Not applicable</x:v>
      </x:c>
      <x:c r="J559" s="159" t="str">
        <x:v>Not applicable</x:v>
      </x:c>
      <x:c r="K559" s="159" t="str">
        <x:v>No</x:v>
      </x:c>
      <x:c r="L559" s="159" t="str">
        <x:v>&lt;5 years</x:v>
      </x:c>
      <x:c r="M559" s="168" t="n">
        <x:v>0</x:v>
      </x:c>
      <x:c r="N559" s="168" t="n">
        <x:v>0</x:v>
      </x:c>
      <x:c r="O559" s="159" t="str"/>
      <x:c r="P559" s="159" t="str"/>
      <x:c r="Q559" s="159" t="str">
        <x:v>The action's primary mechanism does not directly change a terminal Health exposure indicator.</x:v>
      </x:c>
      <x:c r="R559" s="160" t="str">
        <x:v>"Provide public shading in heat hotspots" involves the implementation of shade structures in public spaces, such as shade sails and canopies, and drought-tolerant trees, contributing to eco-engineering efforts. This adaptation measure enhances outdoor comfort, reduces heat stress, and promotes sustainable urban design.</x:v>
      </x:c>
    </x:row>
    <x:row r="560" ht="66" customHeight="1">
      <x:c r="A560" s="165" t="str">
        <x:v>c40_0051</x:v>
      </x:c>
      <x:c r="B560" s="159" t="str">
        <x:v>Provide public shading in heat hotspots</x:v>
      </x:c>
      <x:c r="C560" s="159" t="str">
        <x:v>Health</x:v>
      </x:c>
      <x:c r="D560" s="159" t="str">
        <x:v>Vulnerability</x:v>
      </x:c>
      <x:c r="E560" s="153" t="str"/>
      <x:c r="F560" s="153" t="str"/>
      <x:c r="G560" s="159" t="str">
        <x:v>Not eligible</x:v>
      </x:c>
      <x:c r="H560" s="159" t="str">
        <x:v>Not applicable</x:v>
      </x:c>
      <x:c r="I560" s="159" t="str">
        <x:v>Not applicable</x:v>
      </x:c>
      <x:c r="J560" s="159" t="str">
        <x:v>Not applicable</x:v>
      </x:c>
      <x:c r="K560" s="159" t="str">
        <x:v>No</x:v>
      </x:c>
      <x:c r="L560" s="159" t="str">
        <x:v>&lt;5 years</x:v>
      </x:c>
      <x:c r="M560" s="168" t="n">
        <x:v>0</x:v>
      </x:c>
      <x:c r="N560" s="168" t="n">
        <x:v>0</x:v>
      </x:c>
      <x:c r="O560" s="159" t="str"/>
      <x:c r="P560" s="159" t="str"/>
      <x:c r="Q560" s="159" t="str">
        <x:v>The action's primary mechanism does not directly change a terminal Health vulnerability indicator.</x:v>
      </x:c>
      <x:c r="R560" s="160" t="str">
        <x:v>"Provide public shading in heat hotspots" involves the implementation of shade structures in public spaces, such as shade sails and canopies, and drought-tolerant trees, contributing to eco-engineering efforts. This adaptation measure enhances outdoor comfort, reduces heat stress, and promotes sustainable urban design.</x:v>
      </x:c>
    </x:row>
    <x:row r="561" ht="66" customHeight="1">
      <x:c r="A561" s="165" t="str">
        <x:v>icare_0178</x:v>
      </x:c>
      <x:c r="B561" s="159" t="str">
        <x:v>Redirect urban development through climate‑risk spatial planning</x:v>
      </x:c>
      <x:c r="C561" s="159" t="str">
        <x:v>Health</x:v>
      </x:c>
      <x:c r="D561" s="159" t="str">
        <x:v>Vulnerability</x:v>
      </x:c>
      <x:c r="E561" s="153" t="str"/>
      <x:c r="F561" s="153" t="str"/>
      <x:c r="G561" s="159" t="str">
        <x:v>Not eligible</x:v>
      </x:c>
      <x:c r="H561" s="159" t="str">
        <x:v>Not applicable</x:v>
      </x:c>
      <x:c r="I561" s="159" t="str">
        <x:v>Not applicable</x:v>
      </x:c>
      <x:c r="J561" s="159" t="str">
        <x:v>Not applicable</x:v>
      </x:c>
      <x:c r="K561" s="159" t="str">
        <x:v>No</x:v>
      </x:c>
      <x:c r="L561" s="159" t="str">
        <x:v>&lt;5 years</x:v>
      </x:c>
      <x:c r="M561" s="168" t="n">
        <x:v>0</x:v>
      </x:c>
      <x:c r="N561" s="168" t="n">
        <x:v>0</x:v>
      </x:c>
      <x:c r="O561" s="159" t="str"/>
      <x:c r="P561" s="159" t="str"/>
      <x:c r="Q561" s="159" t="str">
        <x:v>The action's primary mechanism does not directly change a terminal Health vulnerability indicator.</x:v>
      </x:c>
      <x:c r="R561" s="160" t="str">
        <x:v>Mapping of critical flood-prone areas with the aim of revising and harmonizing legislation related to land use, given the intensification of the impacts of extreme weather events.</x:v>
      </x:c>
    </x:row>
    <x:row r="562" ht="66" customHeight="1">
      <x:c r="A562" s="165" t="str">
        <x:v>ipcc_0085</x:v>
      </x:c>
      <x:c r="B562" s="159" t="str">
        <x:v>Reduce pressures on ecosystems to build resilience</x:v>
      </x:c>
      <x:c r="C562" s="159" t="str">
        <x:v>Health</x:v>
      </x:c>
      <x:c r="D562" s="159" t="str">
        <x:v>Vulnerability</x:v>
      </x:c>
      <x:c r="E562" s="153" t="str"/>
      <x:c r="F562" s="153" t="str"/>
      <x:c r="G562" s="159" t="str">
        <x:v>Not eligible</x:v>
      </x:c>
      <x:c r="H562" s="159" t="str">
        <x:v>Not applicable</x:v>
      </x:c>
      <x:c r="I562" s="159" t="str">
        <x:v>Not applicable</x:v>
      </x:c>
      <x:c r="J562" s="159" t="str">
        <x:v>Not applicable</x:v>
      </x:c>
      <x:c r="K562" s="159" t="str">
        <x:v>No</x:v>
      </x:c>
      <x:c r="L562" s="159" t="str">
        <x:v>5-10 years</x:v>
      </x:c>
      <x:c r="M562" s="168" t="n">
        <x:v>0</x:v>
      </x:c>
      <x:c r="N562" s="168" t="n">
        <x:v>0</x:v>
      </x:c>
      <x:c r="O562" s="159" t="str"/>
      <x:c r="P562" s="159" t="str"/>
      <x:c r="Q562" s="159" t="str">
        <x:v>The action's primary mechanism does not directly change a terminal Health vulnerability indicator.</x:v>
      </x:c>
      <x:c r="R562" s="160" t="str">
        <x:v>Reduce pollution, eutrophication, and anthropogenic pressures on natural systems, including marine and terrestrial ecosystems. Efforts include managing runoff, protecting sensitive habitats like the Great Barrier Reef, addressing non-climate drivers, promoting sustainable fisheries harvest, and increasing connectivity between natural areas to enhance ecosystem resilience.</x:v>
      </x:c>
    </x:row>
    <x:row r="563" ht="66" customHeight="1">
      <x:c r="A563" s="165" t="str">
        <x:v>c40_0062</x:v>
      </x:c>
      <x:c r="B563" s="159" t="str">
        <x:v>Reform water tariffs to support efficiency and equity</x:v>
      </x:c>
      <x:c r="C563" s="159" t="str">
        <x:v>Health</x:v>
      </x:c>
      <x:c r="D563" s="159" t="str">
        <x:v>Exposure</x:v>
      </x:c>
      <x:c r="E563" s="153" t="str"/>
      <x:c r="F563" s="153" t="str"/>
      <x:c r="G563" s="159" t="str">
        <x:v>Not eligible</x:v>
      </x:c>
      <x:c r="H563" s="159" t="str">
        <x:v>Not applicable</x:v>
      </x:c>
      <x:c r="I563" s="159" t="str">
        <x:v>Not applicable</x:v>
      </x:c>
      <x:c r="J563" s="159" t="str">
        <x:v>Not applicable</x:v>
      </x:c>
      <x:c r="K563" s="159" t="str">
        <x:v>No</x:v>
      </x:c>
      <x:c r="L563" s="159" t="str">
        <x:v>5-10 years</x:v>
      </x:c>
      <x:c r="M563" s="168" t="n">
        <x:v>0</x:v>
      </x:c>
      <x:c r="N563" s="168" t="n">
        <x:v>0</x:v>
      </x:c>
      <x:c r="O563" s="159" t="str"/>
      <x:c r="P563" s="159" t="str"/>
      <x:c r="Q563" s="159" t="str">
        <x:v>The action's primary mechanism does not directly change a terminal Health exposure indicator.</x:v>
      </x:c>
      <x:c r="R563" s="160" t="str">
        <x:v>"Reform water tariffs to support efficiency and equity" involve pricing structures for water use, encouraging conservation and efficient use of water resources. This initiative aims to promote responsible water consumption and contribute to sustainable water management.</x:v>
      </x:c>
    </x:row>
    <x:row r="564" ht="66" customHeight="1">
      <x:c r="A564" s="165" t="str">
        <x:v>c40_0062</x:v>
      </x:c>
      <x:c r="B564" s="159" t="str">
        <x:v>Reform water tariffs to support efficiency and equity</x:v>
      </x:c>
      <x:c r="C564" s="159" t="str">
        <x:v>Health</x:v>
      </x:c>
      <x:c r="D564" s="159" t="str">
        <x:v>Vulnerability</x:v>
      </x:c>
      <x:c r="E564" s="153" t="str"/>
      <x:c r="F564" s="153" t="str"/>
      <x:c r="G564" s="159" t="str">
        <x:v>Not eligible</x:v>
      </x:c>
      <x:c r="H564" s="159" t="str">
        <x:v>Not applicable</x:v>
      </x:c>
      <x:c r="I564" s="159" t="str">
        <x:v>Not applicable</x:v>
      </x:c>
      <x:c r="J564" s="159" t="str">
        <x:v>Not applicable</x:v>
      </x:c>
      <x:c r="K564" s="159" t="str">
        <x:v>No</x:v>
      </x:c>
      <x:c r="L564" s="159" t="str">
        <x:v>5-10 years</x:v>
      </x:c>
      <x:c r="M564" s="168" t="n">
        <x:v>0</x:v>
      </x:c>
      <x:c r="N564" s="168" t="n">
        <x:v>0</x:v>
      </x:c>
      <x:c r="O564" s="159" t="str"/>
      <x:c r="P564" s="159" t="str"/>
      <x:c r="Q564" s="159" t="str">
        <x:v>The action's primary mechanism does not directly change a terminal Health vulnerability indicator.</x:v>
      </x:c>
      <x:c r="R564" s="160" t="str">
        <x:v>"Reform water tariffs to support efficiency and equity" involve pricing structures for water use, encouraging conservation and efficient use of water resources. This initiative aims to promote responsible water consumption and contribute to sustainable water management.</x:v>
      </x:c>
    </x:row>
    <x:row r="565" ht="66" customHeight="1">
      <x:c r="A565" s="165" t="str">
        <x:v>ipcc_0084</x:v>
      </x:c>
      <x:c r="B565" s="159" t="str">
        <x:v>Restore/create natural areas</x:v>
      </x:c>
      <x:c r="C565" s="159" t="str">
        <x:v>Health</x:v>
      </x:c>
      <x:c r="D565" s="159" t="str">
        <x:v>Vulnerability</x:v>
      </x:c>
      <x:c r="E565" s="153" t="str"/>
      <x:c r="F565" s="153" t="str"/>
      <x:c r="G565" s="159" t="str">
        <x:v>Not eligible</x:v>
      </x:c>
      <x:c r="H565" s="159" t="str">
        <x:v>Not applicable</x:v>
      </x:c>
      <x:c r="I565" s="159" t="str">
        <x:v>Not applicable</x:v>
      </x:c>
      <x:c r="J565" s="159" t="str">
        <x:v>Not applicable</x:v>
      </x:c>
      <x:c r="K565" s="159" t="str">
        <x:v>No</x:v>
      </x:c>
      <x:c r="L565" s="159" t="str">
        <x:v>5-10 years</x:v>
      </x:c>
      <x:c r="M565" s="168" t="n">
        <x:v>0</x:v>
      </x:c>
      <x:c r="N565" s="168" t="n">
        <x:v>0</x:v>
      </x:c>
      <x:c r="O565" s="159" t="str"/>
      <x:c r="P565" s="159" t="str"/>
      <x:c r="Q565" s="159" t="str">
        <x:v>The action's primary mechanism does not directly change a terminal Health vulnerability indicator.</x:v>
      </x:c>
      <x:c r="R565" s="160" t="str">
        <x:v>Restoration and conservation of marine and coastal habitats, such as mangroves, vegetated dunes, seagrasses, coral reefs, and kelp forests, to protect coastal communities, support biodiversity, sequester carbon, and mitigate climate change. Efforts include creating marine protected areas, active restoration of coral reefs, ridge-to-reef management, restoring dunes, planting salinity-tolerant trees, increasing forest cover, detect and manage forest pests.</x:v>
      </x:c>
    </x:row>
    <x:row r="566" ht="66" customHeight="1">
      <x:c r="A566" s="165" t="str">
        <x:v>ipcc_0089</x:v>
      </x:c>
      <x:c r="B566" s="159" t="str">
        <x:v>Spatially redirect development</x:v>
      </x:c>
      <x:c r="C566" s="159" t="str">
        <x:v>Health</x:v>
      </x:c>
      <x:c r="D566" s="159" t="str">
        <x:v>Vulnerability</x:v>
      </x:c>
      <x:c r="E566" s="153" t="str"/>
      <x:c r="F566" s="153" t="str"/>
      <x:c r="G566" s="159" t="str">
        <x:v>Not eligible</x:v>
      </x:c>
      <x:c r="H566" s="159" t="str">
        <x:v>Not applicable</x:v>
      </x:c>
      <x:c r="I566" s="159" t="str">
        <x:v>Not applicable</x:v>
      </x:c>
      <x:c r="J566" s="159" t="str">
        <x:v>Not applicable</x:v>
      </x:c>
      <x:c r="K566" s="159" t="str">
        <x:v>No</x:v>
      </x:c>
      <x:c r="L566" s="159" t="str">
        <x:v>5-10 years</x:v>
      </x:c>
      <x:c r="M566" s="168" t="n">
        <x:v>0</x:v>
      </x:c>
      <x:c r="N566" s="168" t="n">
        <x:v>0</x:v>
      </x:c>
      <x:c r="O566" s="159" t="str"/>
      <x:c r="P566" s="159" t="str"/>
      <x:c r="Q566" s="159" t="str">
        <x:v>The action's primary mechanism does not directly change a terminal Health vulnerability indicator.</x:v>
      </x:c>
      <x:c r="R566" s="160" t="str">
        <x:v>Use zoning and land-use planning to regulate coastal development by implementing spatial development strategies that consider environmental vulnerabilities, protect ecosystems, and mitigate risks from flooding, heatwaves, and sea-level rise. This includes ensuring that development is directed away from high-risk areas, integrating climate adaptation considerations into urban planning, and promoting sustainable practices to close adaptation gaps while addressing urban inequality.</x:v>
      </x:c>
    </x:row>
    <x:row r="567" ht="66" customHeight="1">
      <x:c r="A567" s="165" t="str">
        <x:v>ipcc_0096</x:v>
      </x:c>
      <x:c r="B567" s="159" t="str">
        <x:v>Strengthen climate resilience in farming and fisheries</x:v>
      </x:c>
      <x:c r="C567" s="159" t="str">
        <x:v>Health</x:v>
      </x:c>
      <x:c r="D567" s="159" t="str">
        <x:v>Vulnerability</x:v>
      </x:c>
      <x:c r="E567" s="153" t="str"/>
      <x:c r="F567" s="153" t="str"/>
      <x:c r="G567" s="159" t="str">
        <x:v>Not eligible</x:v>
      </x:c>
      <x:c r="H567" s="159" t="str">
        <x:v>Not applicable</x:v>
      </x:c>
      <x:c r="I567" s="159" t="str">
        <x:v>Not applicable</x:v>
      </x:c>
      <x:c r="J567" s="159" t="str">
        <x:v>Not applicable</x:v>
      </x:c>
      <x:c r="K567" s="159" t="str">
        <x:v>No</x:v>
      </x:c>
      <x:c r="L567" s="159" t="str">
        <x:v>5-10 years</x:v>
      </x:c>
      <x:c r="M567" s="168" t="n">
        <x:v>0</x:v>
      </x:c>
      <x:c r="N567" s="168" t="n">
        <x:v>0</x:v>
      </x:c>
      <x:c r="O567" s="159" t="str"/>
      <x:c r="P567" s="159" t="str"/>
      <x:c r="Q567" s="159" t="str">
        <x:v>The action's primary mechanism does not directly change a terminal Health vulnerability indicator.</x:v>
      </x:c>
      <x:c r="R567" s="160" t="str">
        <x:v>Support the adoption of climate-smart agricultural and aquaculture practices by creating enabling conditions for farmers and fishers. Municipal governments can promote improved breeds, feed, and fertilizers, enhance irrigation efficiency, and foster aquaculture resilience through extension services, research partnerships, and targeted procurement. By offering incentives, technical assistance, and facilitating access to innovation and finance, cities can help producers adopt agroecological systems, diversify crops, and strengthen sustainable practices that build resilience to climate impacts.</x:v>
      </x:c>
    </x:row>
    <x:row r="568" ht="66" customHeight="1">
      <x:c r="A568" s="165" t="str">
        <x:v>ipcc_0094</x:v>
      </x:c>
      <x:c r="B568" s="159" t="str">
        <x:v>Strengthen climate‑resilient health services</x:v>
      </x:c>
      <x:c r="C568" s="159" t="str">
        <x:v>Health</x:v>
      </x:c>
      <x:c r="D568" s="159" t="str">
        <x:v>Exposure</x:v>
      </x:c>
      <x:c r="E568" s="153" t="str"/>
      <x:c r="F568" s="153" t="str"/>
      <x:c r="G568" s="159" t="str">
        <x:v>Not eligible</x:v>
      </x:c>
      <x:c r="H568" s="159" t="str">
        <x:v>Not applicable</x:v>
      </x:c>
      <x:c r="I568" s="159" t="str">
        <x:v>Not applicable</x:v>
      </x:c>
      <x:c r="J568" s="159" t="str">
        <x:v>Not applicable</x:v>
      </x:c>
      <x:c r="K568" s="159" t="str">
        <x:v>No</x:v>
      </x:c>
      <x:c r="L568" s="159" t="str">
        <x:v>5-10 years</x:v>
      </x:c>
      <x:c r="M568" s="168" t="n">
        <x:v>0</x:v>
      </x:c>
      <x:c r="N568" s="168" t="n">
        <x:v>0</x:v>
      </x:c>
      <x:c r="O568" s="159" t="str"/>
      <x:c r="P568" s="159" t="str"/>
      <x:c r="Q568" s="159" t="str">
        <x:v>The action's primary mechanism does not directly change a terminal Health exposure indicator.</x:v>
      </x:c>
      <x:c r="R568" s="160" t="str">
        <x:v>Enhancing access to health care services, including health and nutrition services, clean water, sanitation, and culturally appropriate mental health resources. Expanding telemedicine capabilities enables efficient health service delivery, particularly for remote and underserved populations. Strengthening basic public health systems and disaster preparedness can rapidly reduce vulnerability to climate-related health risks.</x:v>
      </x:c>
    </x:row>
    <x:row r="569" ht="66" customHeight="1">
      <x:c r="A569" s="165" t="str">
        <x:v>c40_0046</x:v>
      </x:c>
      <x:c r="B569" s="159" t="str">
        <x:v>Strengthen coastal protection infrastructure</x:v>
      </x:c>
      <x:c r="C569" s="159" t="str">
        <x:v>Health</x:v>
      </x:c>
      <x:c r="D569" s="159" t="str">
        <x:v>Exposure</x:v>
      </x:c>
      <x:c r="E569" s="153" t="str"/>
      <x:c r="F569" s="153" t="str"/>
      <x:c r="G569" s="159" t="str">
        <x:v>Not eligible</x:v>
      </x:c>
      <x:c r="H569" s="159" t="str">
        <x:v>Not applicable</x:v>
      </x:c>
      <x:c r="I569" s="159" t="str">
        <x:v>Not applicable</x:v>
      </x:c>
      <x:c r="J569" s="159" t="str">
        <x:v>Not applicable</x:v>
      </x:c>
      <x:c r="K569" s="159" t="str">
        <x:v>No</x:v>
      </x:c>
      <x:c r="L569" s="159" t="str">
        <x:v>5-10 years</x:v>
      </x:c>
      <x:c r="M569" s="168" t="n">
        <x:v>0</x:v>
      </x:c>
      <x:c r="N569" s="168" t="n">
        <x:v>0</x:v>
      </x:c>
      <x:c r="O569" s="159" t="str"/>
      <x:c r="P569" s="159" t="str"/>
      <x:c r="Q569" s="159" t="str">
        <x:v>The action's primary mechanism does not directly change a terminal Health exposure indicator.</x:v>
      </x:c>
      <x:c r="R569" s="160" t="str">
        <x:v>Strengthen coastal protection infrastructure strategies include the construction of sea walls and protective structures to mitigate the impact of rising sea levels and coastal erosion. This adaptation measure enhances the resilience of coastal areas and protects communities from the impacts of climate change. Crucially, these interventions must be developed through an integrated coastal management framework, prioritizing nature-based solutions where feasible, to avoid negative downstream effects and ensure equitable protection for all vulnerable communities.</x:v>
      </x:c>
    </x:row>
    <x:row r="570" ht="66" customHeight="1">
      <x:c r="A570" s="165" t="str">
        <x:v>c40_0046</x:v>
      </x:c>
      <x:c r="B570" s="159" t="str">
        <x:v>Strengthen coastal protection infrastructure</x:v>
      </x:c>
      <x:c r="C570" s="159" t="str">
        <x:v>Health</x:v>
      </x:c>
      <x:c r="D570" s="159" t="str">
        <x:v>Vulnerability</x:v>
      </x:c>
      <x:c r="E570" s="153" t="str"/>
      <x:c r="F570" s="153" t="str"/>
      <x:c r="G570" s="159" t="str">
        <x:v>Not eligible</x:v>
      </x:c>
      <x:c r="H570" s="159" t="str">
        <x:v>Not applicable</x:v>
      </x:c>
      <x:c r="I570" s="159" t="str">
        <x:v>Not applicable</x:v>
      </x:c>
      <x:c r="J570" s="159" t="str">
        <x:v>Not applicable</x:v>
      </x:c>
      <x:c r="K570" s="159" t="str">
        <x:v>No</x:v>
      </x:c>
      <x:c r="L570" s="159" t="str">
        <x:v>5-10 years</x:v>
      </x:c>
      <x:c r="M570" s="168" t="n">
        <x:v>0</x:v>
      </x:c>
      <x:c r="N570" s="168" t="n">
        <x:v>0</x:v>
      </x:c>
      <x:c r="O570" s="159" t="str"/>
      <x:c r="P570" s="159" t="str"/>
      <x:c r="Q570" s="159" t="str">
        <x:v>The action's primary mechanism does not directly change a terminal Health vulnerability indicator.</x:v>
      </x:c>
      <x:c r="R570" s="160" t="str">
        <x:v>Strengthen coastal protection infrastructure strategies include the construction of sea walls and protective structures to mitigate the impact of rising sea levels and coastal erosion. This adaptation measure enhances the resilience of coastal areas and protects communities from the impacts of climate change. Crucially, these interventions must be developed through an integrated coastal management framework, prioritizing nature-based solutions where feasible, to avoid negative downstream effects and ensure equitable protection for all vulnerable communities.</x:v>
      </x:c>
    </x:row>
    <x:row r="571" ht="66" customHeight="1">
      <x:c r="A571" s="165" t="str">
        <x:v>ipcc_0103</x:v>
      </x:c>
      <x:c r="B571" s="159" t="str">
        <x:v>Strengthen cooperative climate governance</x:v>
      </x:c>
      <x:c r="C571" s="159" t="str">
        <x:v>Health</x:v>
      </x:c>
      <x:c r="D571" s="159" t="str">
        <x:v>Exposure</x:v>
      </x:c>
      <x:c r="E571" s="153" t="str"/>
      <x:c r="F571" s="153" t="str"/>
      <x:c r="G571" s="159" t="str">
        <x:v>Not eligible</x:v>
      </x:c>
      <x:c r="H571" s="159" t="str">
        <x:v>Not applicable</x:v>
      </x:c>
      <x:c r="I571" s="159" t="str">
        <x:v>Not applicable</x:v>
      </x:c>
      <x:c r="J571" s="159" t="str">
        <x:v>Not applicable</x:v>
      </x:c>
      <x:c r="K571" s="159" t="str">
        <x:v>No</x:v>
      </x:c>
      <x:c r="L571" s="159" t="str">
        <x:v>5-10 years</x:v>
      </x:c>
      <x:c r="M571" s="168" t="n">
        <x:v>0</x:v>
      </x:c>
      <x:c r="N571" s="168" t="n">
        <x:v>0</x:v>
      </x:c>
      <x:c r="O571" s="159" t="str"/>
      <x:c r="P571" s="159" t="str"/>
      <x:c r="Q571" s="159" t="str">
        <x:v>The action's primary mechanism does not directly change a terminal Health exposure indicator.</x:v>
      </x:c>
      <x:c r="R571" s="160" t="str">
        <x:v>Enhancing cooperative governance through transboundary fishing agreements and inclusive ocean governance. This involves participatory approaches, structured decision-making tools, and decentralized frameworks that couple top-down management with community-driven initiatives. Additional strategies include collective water management systems to optimize resource use under climate-induced variability, indigenous water-sharing systems rooted in traditional practices to ensure sustainable and equitable resource allocation, and enforcing the land rights of Indigenous populations to protect biodiversity and cultural heritage. Adaptive co-management in Arctic fisheries integrates local and scientific knowledge to address climate impacts on marine resources. The international compact on migration fosters orderly and safe migration as an adaptive response to climate risks, and policies for adaptive governance promote ecosystem-based solutions, legal frameworks, and institutional adaptations to enhance resilience to climate change. These combined measures address geopolitical complexities, ensure equitable resource distribution, and strengthen resilience to climate-induced hazards.</x:v>
      </x:c>
    </x:row>
    <x:row r="572" ht="66" customHeight="1">
      <x:c r="A572" s="165" t="str">
        <x:v>ipcc_0103</x:v>
      </x:c>
      <x:c r="B572" s="159" t="str">
        <x:v>Strengthen cooperative climate governance</x:v>
      </x:c>
      <x:c r="C572" s="159" t="str">
        <x:v>Health</x:v>
      </x:c>
      <x:c r="D572" s="159" t="str">
        <x:v>Vulnerability</x:v>
      </x:c>
      <x:c r="E572" s="153" t="str"/>
      <x:c r="F572" s="153" t="str"/>
      <x:c r="G572" s="159" t="str">
        <x:v>Not eligible</x:v>
      </x:c>
      <x:c r="H572" s="159" t="str">
        <x:v>Not applicable</x:v>
      </x:c>
      <x:c r="I572" s="159" t="str">
        <x:v>Not applicable</x:v>
      </x:c>
      <x:c r="J572" s="159" t="str">
        <x:v>Not applicable</x:v>
      </x:c>
      <x:c r="K572" s="159" t="str">
        <x:v>No</x:v>
      </x:c>
      <x:c r="L572" s="159" t="str">
        <x:v>5-10 years</x:v>
      </x:c>
      <x:c r="M572" s="168" t="n">
        <x:v>0</x:v>
      </x:c>
      <x:c r="N572" s="168" t="n">
        <x:v>0</x:v>
      </x:c>
      <x:c r="O572" s="159" t="str"/>
      <x:c r="P572" s="159" t="str"/>
      <x:c r="Q572" s="159" t="str">
        <x:v>The action's primary mechanism does not directly change a terminal Health vulnerability indicator.</x:v>
      </x:c>
      <x:c r="R572" s="160" t="str">
        <x:v>Enhancing cooperative governance through transboundary fishing agreements and inclusive ocean governance. This involves participatory approaches, structured decision-making tools, and decentralized frameworks that couple top-down management with community-driven initiatives. Additional strategies include collective water management systems to optimize resource use under climate-induced variability, indigenous water-sharing systems rooted in traditional practices to ensure sustainable and equitable resource allocation, and enforcing the land rights of Indigenous populations to protect biodiversity and cultural heritage. Adaptive co-management in Arctic fisheries integrates local and scientific knowledge to address climate impacts on marine resources. The international compact on migration fosters orderly and safe migration as an adaptive response to climate risks, and policies for adaptive governance promote ecosystem-based solutions, legal frameworks, and institutional adaptations to enhance resilience to climate change. These combined measures address geopolitical complexities, ensure equitable resource distribution, and strengthen resilience to climate-induced hazards.</x:v>
      </x:c>
    </x:row>
    <x:row r="573" ht="66" customHeight="1">
      <x:c r="A573" s="165" t="str">
        <x:v>icare_0162</x:v>
      </x:c>
      <x:c r="B573" s="159" t="str">
        <x:v>Strengthen programs for control and conservation of protected areas</x:v>
      </x:c>
      <x:c r="C573" s="159" t="str">
        <x:v>Health</x:v>
      </x:c>
      <x:c r="D573" s="159" t="str">
        <x:v>Vulnerability</x:v>
      </x:c>
      <x:c r="E573" s="153" t="str"/>
      <x:c r="F573" s="153" t="str"/>
      <x:c r="G573" s="159" t="str">
        <x:v>Not eligible</x:v>
      </x:c>
      <x:c r="H573" s="159" t="str">
        <x:v>Not applicable</x:v>
      </x:c>
      <x:c r="I573" s="159" t="str">
        <x:v>Not applicable</x:v>
      </x:c>
      <x:c r="J573" s="159" t="str">
        <x:v>Not applicable</x:v>
      </x:c>
      <x:c r="K573" s="159" t="str">
        <x:v>No</x:v>
      </x:c>
      <x:c r="L573" s="159" t="str">
        <x:v>5-10 years</x:v>
      </x:c>
      <x:c r="M573" s="168" t="n">
        <x:v>0</x:v>
      </x:c>
      <x:c r="N573" s="168" t="n">
        <x:v>0</x:v>
      </x:c>
      <x:c r="O573" s="159" t="str"/>
      <x:c r="P573" s="159" t="str"/>
      <x:c r="Q573" s="159" t="str">
        <x:v>The action's primary mechanism does not directly change a terminal Health vulnerability indicator.</x:v>
      </x:c>
      <x:c r="R573" s="160" t="str">
        <x:v>This action focuses on implementing a series of integrated strategies to enhance environmental conservation and maximize its benefits, such as expanding protected areas, developing management plans for conservation units, and training ecotourism guides to strengthen sustainable tourism.</x:v>
      </x:c>
    </x:row>
    <x:row r="574" ht="66" customHeight="1">
      <x:c r="A574" s="165" t="str">
        <x:v>icare_0145</x:v>
      </x:c>
      <x:c r="B574" s="159" t="str">
        <x:v>Strengthen the healthcare system to respond effectively to extreme events</x:v>
      </x:c>
      <x:c r="C574" s="159" t="str">
        <x:v>Health</x:v>
      </x:c>
      <x:c r="D574" s="159" t="str">
        <x:v>Exposure</x:v>
      </x:c>
      <x:c r="E574" s="153" t="str"/>
      <x:c r="F574" s="153" t="str"/>
      <x:c r="G574" s="159" t="str">
        <x:v>Not eligible</x:v>
      </x:c>
      <x:c r="H574" s="159" t="str">
        <x:v>Not applicable</x:v>
      </x:c>
      <x:c r="I574" s="159" t="str">
        <x:v>Not applicable</x:v>
      </x:c>
      <x:c r="J574" s="159" t="str">
        <x:v>Not applicable</x:v>
      </x:c>
      <x:c r="K574" s="159" t="str">
        <x:v>No</x:v>
      </x:c>
      <x:c r="L574" s="159" t="str">
        <x:v>&gt;10 years</x:v>
      </x:c>
      <x:c r="M574" s="168" t="n">
        <x:v>0</x:v>
      </x:c>
      <x:c r="N574" s="168" t="n">
        <x:v>0</x:v>
      </x:c>
      <x:c r="O574" s="159" t="str"/>
      <x:c r="P574" s="159" t="str"/>
      <x:c r="Q574" s="159" t="str">
        <x:v>The action's primary mechanism does not directly change a terminal Health exposure indicator.</x:v>
      </x:c>
      <x:c r="R574" s="160" t="str">
        <x:v>Improve the infrastructure of healthcare units to assist people who require medical care due to impacts associated with climate risks (climate victims), such as those affected by heat waves or floods, especially in more vulnerable areas. Develop action plans to prepare the healthcare network for extreme climate-related situations.</x:v>
      </x:c>
    </x:row>
    <x:row r="575" ht="66" customHeight="1">
      <x:c r="A575" s="165" t="str">
        <x:v>ipcc_0091</x:v>
      </x:c>
      <x:c r="B575" s="159" t="str">
        <x:v>Support livelihood diversification for climate resilience</x:v>
      </x:c>
      <x:c r="C575" s="159" t="str">
        <x:v>Health</x:v>
      </x:c>
      <x:c r="D575" s="159" t="str">
        <x:v>Exposure</x:v>
      </x:c>
      <x:c r="E575" s="153" t="str"/>
      <x:c r="F575" s="153" t="str"/>
      <x:c r="G575" s="159" t="str">
        <x:v>Not eligible</x:v>
      </x:c>
      <x:c r="H575" s="159" t="str">
        <x:v>Not applicable</x:v>
      </x:c>
      <x:c r="I575" s="159" t="str">
        <x:v>Not applicable</x:v>
      </x:c>
      <x:c r="J575" s="159" t="str">
        <x:v>Not applicable</x:v>
      </x:c>
      <x:c r="K575" s="159" t="str">
        <x:v>No</x:v>
      </x:c>
      <x:c r="L575" s="159" t="str">
        <x:v>&lt;5 years</x:v>
      </x:c>
      <x:c r="M575" s="168" t="n">
        <x:v>0</x:v>
      </x:c>
      <x:c r="N575" s="168" t="n">
        <x:v>0</x:v>
      </x:c>
      <x:c r="O575" s="159" t="str"/>
      <x:c r="P575" s="159" t="str"/>
      <x:c r="Q575" s="159" t="str">
        <x:v>The action's primary mechanism does not directly change a terminal Health exposure indicator.</x:v>
      </x:c>
      <x:c r="R575" s="160" t="str">
        <x:v>Promote alternative income opportunities to reduce the vulnerability of communities dependent on fisheries and mariculture. Municipal governments can facilitate training, microcredit programs, and connections to value chains that enable diversification into eco-tourism, agro-processing, crafts, and service sectors. By supporting infrastructure upgrades, skills development, and access to finance, cities can help stabilize incomes, strengthen local economies, and protect livelihoods from the impacts of shifting marine species distributions and climate variability.</x:v>
      </x:c>
    </x:row>
    <x:row r="576" ht="66" customHeight="1">
      <x:c r="A576" s="165" t="str">
        <x:v>ipcc_0091</x:v>
      </x:c>
      <x:c r="B576" s="159" t="str">
        <x:v>Support livelihood diversification for climate resilience</x:v>
      </x:c>
      <x:c r="C576" s="159" t="str">
        <x:v>Health</x:v>
      </x:c>
      <x:c r="D576" s="159" t="str">
        <x:v>Vulnerability</x:v>
      </x:c>
      <x:c r="E576" s="153" t="str"/>
      <x:c r="F576" s="153" t="str"/>
      <x:c r="G576" s="159" t="str">
        <x:v>Not eligible</x:v>
      </x:c>
      <x:c r="H576" s="159" t="str">
        <x:v>Not applicable</x:v>
      </x:c>
      <x:c r="I576" s="159" t="str">
        <x:v>Not applicable</x:v>
      </x:c>
      <x:c r="J576" s="159" t="str">
        <x:v>Not applicable</x:v>
      </x:c>
      <x:c r="K576" s="159" t="str">
        <x:v>No</x:v>
      </x:c>
      <x:c r="L576" s="159" t="str">
        <x:v>&lt;5 years</x:v>
      </x:c>
      <x:c r="M576" s="168" t="n">
        <x:v>0</x:v>
      </x:c>
      <x:c r="N576" s="168" t="n">
        <x:v>0</x:v>
      </x:c>
      <x:c r="O576" s="159" t="str"/>
      <x:c r="P576" s="159" t="str"/>
      <x:c r="Q576" s="159" t="str">
        <x:v>The action's primary mechanism does not directly change a terminal Health vulnerability indicator.</x:v>
      </x:c>
      <x:c r="R576" s="160" t="str">
        <x:v>Promote alternative income opportunities to reduce the vulnerability of communities dependent on fisheries and mariculture. Municipal governments can facilitate training, microcredit programs, and connections to value chains that enable diversification into eco-tourism, agro-processing, crafts, and service sectors. By supporting infrastructure upgrades, skills development, and access to finance, cities can help stabilize incomes, strengthen local economies, and protect livelihoods from the impacts of shifting marine species distributions and climate variability.</x:v>
      </x:c>
    </x:row>
    <x:row r="577" ht="66" customHeight="1">
      <x:c r="A577" s="165" t="str">
        <x:v>ipcc_0088</x:v>
      </x:c>
      <x:c r="B577" s="159" t="str">
        <x:v>Update and enforce climate‑resilient building codes</x:v>
      </x:c>
      <x:c r="C577" s="159" t="str">
        <x:v>Health</x:v>
      </x:c>
      <x:c r="D577" s="159" t="str">
        <x:v>Exposure</x:v>
      </x:c>
      <x:c r="E577" s="153" t="str"/>
      <x:c r="F577" s="153" t="str"/>
      <x:c r="G577" s="159" t="str">
        <x:v>Not eligible</x:v>
      </x:c>
      <x:c r="H577" s="159" t="str">
        <x:v>Not applicable</x:v>
      </x:c>
      <x:c r="I577" s="159" t="str">
        <x:v>Not applicable</x:v>
      </x:c>
      <x:c r="J577" s="159" t="str">
        <x:v>Not applicable</x:v>
      </x:c>
      <x:c r="K577" s="159" t="str">
        <x:v>No</x:v>
      </x:c>
      <x:c r="L577" s="159" t="str">
        <x:v>5-10 years</x:v>
      </x:c>
      <x:c r="M577" s="168" t="n">
        <x:v>0</x:v>
      </x:c>
      <x:c r="N577" s="168" t="n">
        <x:v>0</x:v>
      </x:c>
      <x:c r="O577" s="159" t="str"/>
      <x:c r="P577" s="159" t="str"/>
      <x:c r="Q577" s="159" t="str">
        <x:v>The action's primary mechanism does not directly change a terminal Health exposure indicator.</x:v>
      </x:c>
      <x:c r="R577" s="160" t="str">
        <x:v>The development and implementation of building codes and architectural design regulations aimed at integrating climate adaptation parameters. These codes are focused on reducing risks from climate-induced hazards like floods and landslides. They also support climate-resilient urban development by guiding land use, construction practices, and infrastructure standards. The initiative fosters strategic long-term urban planning to coordinate public and private investments in adaptation, including the creation of safe zones and the transformation of precarious settlements. It ensures that new infrastructure is resilient to climate risks and that urban spaces are safe and sustainable for current and future populations.</x:v>
      </x:c>
    </x:row>
    <x:row r="578" ht="66" customHeight="1">
      <x:c r="A578" s="165" t="str">
        <x:v>ipcc_0088</x:v>
      </x:c>
      <x:c r="B578" s="159" t="str">
        <x:v>Update and enforce climate‑resilient building codes</x:v>
      </x:c>
      <x:c r="C578" s="159" t="str">
        <x:v>Health</x:v>
      </x:c>
      <x:c r="D578" s="159" t="str">
        <x:v>Vulnerability</x:v>
      </x:c>
      <x:c r="E578" s="153" t="str"/>
      <x:c r="F578" s="153" t="str"/>
      <x:c r="G578" s="159" t="str">
        <x:v>Not eligible</x:v>
      </x:c>
      <x:c r="H578" s="159" t="str">
        <x:v>Not applicable</x:v>
      </x:c>
      <x:c r="I578" s="159" t="str">
        <x:v>Not applicable</x:v>
      </x:c>
      <x:c r="J578" s="159" t="str">
        <x:v>Not applicable</x:v>
      </x:c>
      <x:c r="K578" s="159" t="str">
        <x:v>No</x:v>
      </x:c>
      <x:c r="L578" s="159" t="str">
        <x:v>5-10 years</x:v>
      </x:c>
      <x:c r="M578" s="168" t="n">
        <x:v>0</x:v>
      </x:c>
      <x:c r="N578" s="168" t="n">
        <x:v>0</x:v>
      </x:c>
      <x:c r="O578" s="159" t="str"/>
      <x:c r="P578" s="159" t="str"/>
      <x:c r="Q578" s="159" t="str">
        <x:v>The action's primary mechanism does not directly change a terminal Health vulnerability indicator.</x:v>
      </x:c>
      <x:c r="R578" s="160" t="str">
        <x:v>The development and implementation of building codes and architectural design regulations aimed at integrating climate adaptation parameters. These codes are focused on reducing risks from climate-induced hazards like floods and landslides. They also support climate-resilient urban development by guiding land use, construction practices, and infrastructure standards. The initiative fosters strategic long-term urban planning to coordinate public and private investments in adaptation, including the creation of safe zones and the transformation of precarious settlements. It ensures that new infrastructure is resilient to climate risks and that urban spaces are safe and sustainable for current and future populations.</x:v>
      </x:c>
    </x:row>
    <x:row r="579" ht="66" customHeight="1">
      <x:c r="A579" s="165" t="str">
        <x:v>ipcc_0097</x:v>
      </x:c>
      <x:c r="B579" s="159" t="str">
        <x:v>Upgrade food storage and distribution for climate resilience</x:v>
      </x:c>
      <x:c r="C579" s="159" t="str">
        <x:v>Health</x:v>
      </x:c>
      <x:c r="D579" s="159" t="str">
        <x:v>Exposure</x:v>
      </x:c>
      <x:c r="E579" s="153" t="str"/>
      <x:c r="F579" s="153" t="str"/>
      <x:c r="G579" s="159" t="str">
        <x:v>Not eligible</x:v>
      </x:c>
      <x:c r="H579" s="159" t="str">
        <x:v>Not applicable</x:v>
      </x:c>
      <x:c r="I579" s="159" t="str">
        <x:v>Not applicable</x:v>
      </x:c>
      <x:c r="J579" s="159" t="str">
        <x:v>Not applicable</x:v>
      </x:c>
      <x:c r="K579" s="159" t="str">
        <x:v>No</x:v>
      </x:c>
      <x:c r="L579" s="159" t="str">
        <x:v>5-10 years</x:v>
      </x:c>
      <x:c r="M579" s="168" t="n">
        <x:v>0</x:v>
      </x:c>
      <x:c r="N579" s="168" t="n">
        <x:v>0</x:v>
      </x:c>
      <x:c r="O579" s="159" t="str"/>
      <x:c r="P579" s="159" t="str"/>
      <x:c r="Q579" s="159" t="str">
        <x:v>The action's primary mechanism does not directly change a terminal Health exposure indicator.</x:v>
      </x:c>
      <x:c r="R579" s="160" t="str">
        <x:v>Strengthen local food systems by improving storage and distribution infrastructure to reduce losses and enhance resilience to climate impacts. Municipal governments can invest in public facilities such as cool storage units, silos, and warehouses, while upgrading logistics to handle perishable goods more efficiently. By supporting local markets, optimizing distribution networks, and facilitating access to reliable storage for producers and vendors, cities can improve food security, reduce waste, and ensure stable food availability during crises and extreme events.</x:v>
      </x:c>
    </x:row>
    <x:row r="580" ht="66" customHeight="1">
      <x:c r="A580" s="165" t="str">
        <x:v>ipcc_0097</x:v>
      </x:c>
      <x:c r="B580" s="159" t="str">
        <x:v>Upgrade food storage and distribution for climate resilience</x:v>
      </x:c>
      <x:c r="C580" s="159" t="str">
        <x:v>Health</x:v>
      </x:c>
      <x:c r="D580" s="159" t="str">
        <x:v>Vulnerability</x:v>
      </x:c>
      <x:c r="E580" s="153" t="str"/>
      <x:c r="F580" s="153" t="str"/>
      <x:c r="G580" s="159" t="str">
        <x:v>Not eligible</x:v>
      </x:c>
      <x:c r="H580" s="159" t="str">
        <x:v>Not applicable</x:v>
      </x:c>
      <x:c r="I580" s="159" t="str">
        <x:v>Not applicable</x:v>
      </x:c>
      <x:c r="J580" s="159" t="str">
        <x:v>Not applicable</x:v>
      </x:c>
      <x:c r="K580" s="159" t="str">
        <x:v>No</x:v>
      </x:c>
      <x:c r="L580" s="159" t="str">
        <x:v>5-10 years</x:v>
      </x:c>
      <x:c r="M580" s="168" t="n">
        <x:v>0</x:v>
      </x:c>
      <x:c r="N580" s="168" t="n">
        <x:v>0</x:v>
      </x:c>
      <x:c r="O580" s="159" t="str"/>
      <x:c r="P580" s="159" t="str"/>
      <x:c r="Q580" s="159" t="str">
        <x:v>The action's primary mechanism does not directly change a terminal Health vulnerability indicator.</x:v>
      </x:c>
      <x:c r="R580" s="160" t="str">
        <x:v>Strengthen local food systems by improving storage and distribution infrastructure to reduce losses and enhance resilience to climate impacts. Municipal governments can invest in public facilities such as cool storage units, silos, and warehouses, while upgrading logistics to handle perishable goods more efficiently. By supporting local markets, optimizing distribution networks, and facilitating access to reliable storage for producers and vendors, cities can improve food security, reduce waste, and ensure stable food availability during crises and extreme events.</x:v>
      </x:c>
    </x:row>
    <x:row r="581" ht="66" customHeight="1">
      <x:c r="A581" s="165" t="str">
        <x:v>icare_0184</x:v>
      </x:c>
      <x:c r="B581" s="159" t="str">
        <x:v>Upgrade Slope stabilization and drainage</x:v>
      </x:c>
      <x:c r="C581" s="159" t="str">
        <x:v>Health</x:v>
      </x:c>
      <x:c r="D581" s="159" t="str">
        <x:v>Exposure</x:v>
      </x:c>
      <x:c r="E581" s="153" t="str"/>
      <x:c r="F581" s="153" t="str"/>
      <x:c r="G581" s="159" t="str">
        <x:v>Not eligible</x:v>
      </x:c>
      <x:c r="H581" s="159" t="str">
        <x:v>Not applicable</x:v>
      </x:c>
      <x:c r="I581" s="159" t="str">
        <x:v>Not applicable</x:v>
      </x:c>
      <x:c r="J581" s="159" t="str">
        <x:v>Not applicable</x:v>
      </x:c>
      <x:c r="K581" s="159" t="str">
        <x:v>No</x:v>
      </x:c>
      <x:c r="L581" s="159" t="str">
        <x:v>5-10 years</x:v>
      </x:c>
      <x:c r="M581" s="168" t="n">
        <x:v>0</x:v>
      </x:c>
      <x:c r="N581" s="168" t="n">
        <x:v>0</x:v>
      </x:c>
      <x:c r="O581" s="159" t="str"/>
      <x:c r="P581" s="159" t="str"/>
      <x:c r="Q581" s="159" t="str">
        <x:v>The action's primary mechanism does not directly change a terminal Health exposure indicator.</x:v>
      </x:c>
      <x:c r="R581" s="160" t="str">
        <x:v>This action involves stabilizing slopes and maintaining or restoring drainage systems in hillside areas. This helps to prevent landslides and erosion, reducing the risk of disasters.</x:v>
      </x:c>
    </x:row>
    <x:row r="582" ht="66" customHeight="1">
      <x:c r="A582" s="165" t="str">
        <x:v>icare_0184</x:v>
      </x:c>
      <x:c r="B582" s="159" t="str">
        <x:v>Upgrade Slope stabilization and drainage</x:v>
      </x:c>
      <x:c r="C582" s="159" t="str">
        <x:v>Health</x:v>
      </x:c>
      <x:c r="D582" s="159" t="str">
        <x:v>Vulnerability</x:v>
      </x:c>
      <x:c r="E582" s="153" t="str"/>
      <x:c r="F582" s="153" t="str"/>
      <x:c r="G582" s="159" t="str">
        <x:v>Not eligible</x:v>
      </x:c>
      <x:c r="H582" s="159" t="str">
        <x:v>Not applicable</x:v>
      </x:c>
      <x:c r="I582" s="159" t="str">
        <x:v>Not applicable</x:v>
      </x:c>
      <x:c r="J582" s="159" t="str">
        <x:v>Not applicable</x:v>
      </x:c>
      <x:c r="K582" s="159" t="str">
        <x:v>No</x:v>
      </x:c>
      <x:c r="L582" s="159" t="str">
        <x:v>5-10 years</x:v>
      </x:c>
      <x:c r="M582" s="168" t="n">
        <x:v>0</x:v>
      </x:c>
      <x:c r="N582" s="168" t="n">
        <x:v>0</x:v>
      </x:c>
      <x:c r="O582" s="159" t="str"/>
      <x:c r="P582" s="159" t="str"/>
      <x:c r="Q582" s="159" t="str">
        <x:v>The action's primary mechanism does not directly change a terminal Health vulnerability indicator.</x:v>
      </x:c>
      <x:c r="R582" s="160" t="str">
        <x:v>This action involves stabilizing slopes and maintaining or restoring drainage systems in hillside areas. This helps to prevent landslides and erosion, reducing the risk of disasters.</x:v>
      </x:c>
    </x:row>
    <x:row r="583" ht="66" customHeight="1">
      <x:c r="A583" s="165" t="str">
        <x:v>c40_0048</x:v>
      </x:c>
      <x:c r="B583" s="159" t="str">
        <x:v>Upgrade urban drainage systems</x:v>
      </x:c>
      <x:c r="C583" s="159" t="str">
        <x:v>Health</x:v>
      </x:c>
      <x:c r="D583" s="159" t="str">
        <x:v>Exposure</x:v>
      </x:c>
      <x:c r="E583" s="153" t="str"/>
      <x:c r="F583" s="153" t="str"/>
      <x:c r="G583" s="159" t="str">
        <x:v>Not eligible</x:v>
      </x:c>
      <x:c r="H583" s="159" t="str">
        <x:v>Not applicable</x:v>
      </x:c>
      <x:c r="I583" s="159" t="str">
        <x:v>Not applicable</x:v>
      </x:c>
      <x:c r="J583" s="159" t="str">
        <x:v>Not applicable</x:v>
      </x:c>
      <x:c r="K583" s="159" t="str">
        <x:v>No</x:v>
      </x:c>
      <x:c r="L583" s="159" t="str">
        <x:v>5-10 years</x:v>
      </x:c>
      <x:c r="M583" s="168" t="n">
        <x:v>0</x:v>
      </x:c>
      <x:c r="N583" s="168" t="n">
        <x:v>0</x:v>
      </x:c>
      <x:c r="O583" s="159" t="str"/>
      <x:c r="P583" s="159" t="str"/>
      <x:c r="Q583" s="159" t="str">
        <x:v>The action's primary mechanism does not directly change a terminal Health exposure indicator.</x:v>
      </x:c>
      <x:c r="R583" s="160" t="str">
        <x:v>"Upgrade urban drainage systems" involves eco-engineering solutions to enhance drainage systems, through capacity upgrade and network expansion. This adaptation measure aims to improve urban resilience by minimizing the impact of extreme weather events such as flooding.</x:v>
      </x:c>
    </x:row>
    <x:row r="584" ht="66" customHeight="1">
      <x:c r="A584" s="165" t="str">
        <x:v>c40_0049</x:v>
      </x:c>
      <x:c r="B584" s="159" t="str">
        <x:v>Build and maintain shelters for critical climate hazards</x:v>
      </x:c>
      <x:c r="C584" s="159" t="str">
        <x:v>Water resources</x:v>
      </x:c>
      <x:c r="D584" s="159" t="str">
        <x:v>Exposure</x:v>
      </x:c>
      <x:c r="E584" s="153" t="str"/>
      <x:c r="F584" s="153" t="str"/>
      <x:c r="G584" s="159" t="str">
        <x:v>Not eligible</x:v>
      </x:c>
      <x:c r="H584" s="159" t="str">
        <x:v>Not applicable</x:v>
      </x:c>
      <x:c r="I584" s="159" t="str">
        <x:v>Not applicable</x:v>
      </x:c>
      <x:c r="J584" s="159" t="str">
        <x:v>Not applicable</x:v>
      </x:c>
      <x:c r="K584" s="159" t="str">
        <x:v>No</x:v>
      </x:c>
      <x:c r="L584" s="159" t="str">
        <x:v>&lt;5 years</x:v>
      </x:c>
      <x:c r="M584" s="168" t="n">
        <x:v>0</x:v>
      </x:c>
      <x:c r="N584" s="168" t="n">
        <x:v>0</x:v>
      </x:c>
      <x:c r="O584" s="159" t="str"/>
      <x:c r="P584" s="159" t="str"/>
      <x:c r="Q584" s="159" t="str">
        <x:v>The action's primary mechanism does not directly change a terminal Water Resources exposure indicator.</x:v>
      </x:c>
      <x:c r="R584" s="160" t="str">
        <x:v>"Build and maintain shelters for critical climate hazards" involves building and maintaining shelters in high-risk areas to protect residents during extreme weather events such as floods, cyclones, storms, landslides, extreme heat events or other critical climate hazards. Shelters should meet resilient design standards, including wind- and flood-resistant construction, and be strategically located to maximize accessibility for vulnerable populations. Where possible, shelters can serve multipurpose roles as schools or community centers. Clear funding mechanisms and defined responsibilities for operations and maintenance are essential to ensure long-term reliability and effectiveness.</x:v>
      </x:c>
    </x:row>
    <x:row r="585" ht="66" customHeight="1">
      <x:c r="A585" s="165" t="str">
        <x:v>c40_0049</x:v>
      </x:c>
      <x:c r="B585" s="159" t="str">
        <x:v>Build and maintain shelters for critical climate hazards</x:v>
      </x:c>
      <x:c r="C585" s="159" t="str">
        <x:v>Water resources</x:v>
      </x:c>
      <x:c r="D585" s="159" t="str">
        <x:v>Vulnerability</x:v>
      </x:c>
      <x:c r="E585" s="153" t="str"/>
      <x:c r="F585" s="153" t="str"/>
      <x:c r="G585" s="159" t="str">
        <x:v>Not eligible</x:v>
      </x:c>
      <x:c r="H585" s="159" t="str">
        <x:v>Not applicable</x:v>
      </x:c>
      <x:c r="I585" s="159" t="str">
        <x:v>Not applicable</x:v>
      </x:c>
      <x:c r="J585" s="159" t="str">
        <x:v>Not applicable</x:v>
      </x:c>
      <x:c r="K585" s="159" t="str">
        <x:v>No</x:v>
      </x:c>
      <x:c r="L585" s="159" t="str">
        <x:v>&lt;5 years</x:v>
      </x:c>
      <x:c r="M585" s="168" t="n">
        <x:v>0</x:v>
      </x:c>
      <x:c r="N585" s="168" t="n">
        <x:v>0</x:v>
      </x:c>
      <x:c r="O585" s="159" t="str"/>
      <x:c r="P585" s="159" t="str"/>
      <x:c r="Q585" s="159" t="str">
        <x:v>The action's primary mechanism does not directly change a terminal Water Resources vulnerability indicator.</x:v>
      </x:c>
      <x:c r="R585" s="160" t="str">
        <x:v>"Build and maintain shelters for critical climate hazards" involves building and maintaining shelters in high-risk areas to protect residents during extreme weather events such as floods, cyclones, storms, landslides, extreme heat events or other critical climate hazards. Shelters should meet resilient design standards, including wind- and flood-resistant construction, and be strategically located to maximize accessibility for vulnerable populations. Where possible, shelters can serve multipurpose roles as schools or community centers. Clear funding mechanisms and defined responsibilities for operations and maintenance are essential to ensure long-term reliability and effectiveness.</x:v>
      </x:c>
    </x:row>
    <x:row r="586" ht="66" customHeight="1">
      <x:c r="A586" s="165" t="str">
        <x:v>icare_0154</x:v>
      </x:c>
      <x:c r="B586" s="159" t="str">
        <x:v>Clean and unclog drainage channels and install eco-barriers</x:v>
      </x:c>
      <x:c r="C586" s="159" t="str">
        <x:v>Water resources</x:v>
      </x:c>
      <x:c r="D586" s="159" t="str">
        <x:v>Exposure</x:v>
      </x:c>
      <x:c r="E586" s="153" t="str"/>
      <x:c r="F586" s="153" t="str"/>
      <x:c r="G586" s="159" t="str">
        <x:v>Not eligible</x:v>
      </x:c>
      <x:c r="H586" s="159" t="str">
        <x:v>Not applicable</x:v>
      </x:c>
      <x:c r="I586" s="159" t="str">
        <x:v>Not applicable</x:v>
      </x:c>
      <x:c r="J586" s="159" t="str">
        <x:v>Not applicable</x:v>
      </x:c>
      <x:c r="K586" s="159" t="str">
        <x:v>No</x:v>
      </x:c>
      <x:c r="L586" s="159" t="str">
        <x:v>&lt;5 years</x:v>
      </x:c>
      <x:c r="M586" s="168" t="n">
        <x:v>0</x:v>
      </x:c>
      <x:c r="N586" s="168" t="n">
        <x:v>0</x:v>
      </x:c>
      <x:c r="O586" s="159" t="str"/>
      <x:c r="P586" s="159" t="str"/>
      <x:c r="Q586" s="159" t="str">
        <x:v>The action's primary mechanism does not directly change a terminal Water Resources exposure indicator.</x:v>
      </x:c>
      <x:c r="R586" s="160" t="str">
        <x:v>Cleaning and unclogging channels in the city to reduce the risk of flooding caused by extreme rainfall events. Installation of eco-barriers to assist in cleaning efforts and raise awareness about solid waste.</x:v>
      </x:c>
    </x:row>
    <x:row r="587" ht="66" customHeight="1">
      <x:c r="A587" s="165" t="str">
        <x:v>icare_0188</x:v>
      </x:c>
      <x:c r="B587" s="159" t="str">
        <x:v>Create an Environmental Health Surveillance Program related to Populations Exposed to Air Pollution, Noise Pollution, Water Pollution, and Soil Pollution.</x:v>
      </x:c>
      <x:c r="C587" s="159" t="str">
        <x:v>Water resources</x:v>
      </x:c>
      <x:c r="D587" s="159" t="str">
        <x:v>Exposure</x:v>
      </x:c>
      <x:c r="E587" s="153" t="str"/>
      <x:c r="F587" s="153" t="str"/>
      <x:c r="G587" s="159" t="str">
        <x:v>Not eligible</x:v>
      </x:c>
      <x:c r="H587" s="159" t="str">
        <x:v>Not applicable</x:v>
      </x:c>
      <x:c r="I587" s="159" t="str">
        <x:v>Not applicable</x:v>
      </x:c>
      <x:c r="J587" s="159" t="str">
        <x:v>Not applicable</x:v>
      </x:c>
      <x:c r="K587" s="159" t="str">
        <x:v>No</x:v>
      </x:c>
      <x:c r="L587" s="159" t="str">
        <x:v>5-10 years</x:v>
      </x:c>
      <x:c r="M587" s="168" t="n">
        <x:v>0</x:v>
      </x:c>
      <x:c r="N587" s="168" t="n">
        <x:v>0</x:v>
      </x:c>
      <x:c r="O587" s="159" t="str"/>
      <x:c r="P587" s="159" t="str"/>
      <x:c r="Q587" s="159" t="str">
        <x:v>The action's primary mechanism does not directly change a terminal Water Resources exposure indicator.</x:v>
      </x:c>
      <x:c r="R587" s="160" t="str">
        <x:v>Develop actions aimed at promoting the health of the population exposed to environmental factors related to atmospheric, noise, and sanitation pollutants. Identify and evaluate the acute and chronic risks and effects of exposure to fixed and mobile sources of air, noise, water, and soil pollution, and act in the surveillance of diseases derived from these pollutants through physical units and work groups, especially among the most vulnerable people.</x:v>
      </x:c>
    </x:row>
    <x:row r="588" ht="66" customHeight="1">
      <x:c r="A588" s="165" t="str">
        <x:v>c40_0052</x:v>
      </x:c>
      <x:c r="B588" s="159" t="str">
        <x:v>Deploy cool pavements and cool roofs on heat‑exposed streets and buildings</x:v>
      </x:c>
      <x:c r="C588" s="159" t="str">
        <x:v>Water resources</x:v>
      </x:c>
      <x:c r="D588" s="159" t="str">
        <x:v>Exposure</x:v>
      </x:c>
      <x:c r="E588" s="153" t="str"/>
      <x:c r="F588" s="153" t="str"/>
      <x:c r="G588" s="159" t="str">
        <x:v>Not eligible</x:v>
      </x:c>
      <x:c r="H588" s="159" t="str">
        <x:v>Not applicable</x:v>
      </x:c>
      <x:c r="I588" s="159" t="str">
        <x:v>Not applicable</x:v>
      </x:c>
      <x:c r="J588" s="159" t="str">
        <x:v>Not applicable</x:v>
      </x:c>
      <x:c r="K588" s="159" t="str">
        <x:v>No</x:v>
      </x:c>
      <x:c r="L588" s="159" t="str">
        <x:v>5-10 years</x:v>
      </x:c>
      <x:c r="M588" s="168" t="n">
        <x:v>0</x:v>
      </x:c>
      <x:c r="N588" s="168" t="n">
        <x:v>0</x:v>
      </x:c>
      <x:c r="O588" s="159" t="str"/>
      <x:c r="P588" s="159" t="str"/>
      <x:c r="Q588" s="159" t="str">
        <x:v>The action's primary mechanism does not directly change a terminal Water Resources exposure indicator.</x:v>
      </x:c>
      <x:c r="R588" s="160" t="str">
        <x:v>Introduce reflective coatings, light-colored materials, permeable surfaces and cool roofs in street paving and buildings to reduce heat absorption and mitigate the urban heat island effect. Municipal governments can pilot these approaches in the most heat-exposed areas, integrate them into routine street upgrades and public building refrofits, and assess cost–benefit outcomes to guide broader implementation. These measures improve thermal comfort, reduce energy demand for cooling, and enhance urban resilience to rising temperatures.</x:v>
      </x:c>
    </x:row>
    <x:row r="589" ht="66" customHeight="1">
      <x:c r="A589" s="165" t="str">
        <x:v>c40_0052</x:v>
      </x:c>
      <x:c r="B589" s="159" t="str">
        <x:v>Deploy cool pavements and cool roofs on heat‑exposed streets and buildings</x:v>
      </x:c>
      <x:c r="C589" s="159" t="str">
        <x:v>Water resources</x:v>
      </x:c>
      <x:c r="D589" s="159" t="str">
        <x:v>Vulnerability</x:v>
      </x:c>
      <x:c r="E589" s="153" t="str"/>
      <x:c r="F589" s="153" t="str"/>
      <x:c r="G589" s="159" t="str">
        <x:v>Not eligible</x:v>
      </x:c>
      <x:c r="H589" s="159" t="str">
        <x:v>Not applicable</x:v>
      </x:c>
      <x:c r="I589" s="159" t="str">
        <x:v>Not applicable</x:v>
      </x:c>
      <x:c r="J589" s="159" t="str">
        <x:v>Not applicable</x:v>
      </x:c>
      <x:c r="K589" s="159" t="str">
        <x:v>No</x:v>
      </x:c>
      <x:c r="L589" s="159" t="str">
        <x:v>5-10 years</x:v>
      </x:c>
      <x:c r="M589" s="168" t="n">
        <x:v>0</x:v>
      </x:c>
      <x:c r="N589" s="168" t="n">
        <x:v>0</x:v>
      </x:c>
      <x:c r="O589" s="159" t="str"/>
      <x:c r="P589" s="159" t="str"/>
      <x:c r="Q589" s="159" t="str">
        <x:v>The action's primary mechanism does not directly change a terminal Water Resources vulnerability indicator.</x:v>
      </x:c>
      <x:c r="R589" s="160" t="str">
        <x:v>Introduce reflective coatings, light-colored materials, permeable surfaces and cool roofs in street paving and buildings to reduce heat absorption and mitigate the urban heat island effect. Municipal governments can pilot these approaches in the most heat-exposed areas, integrate them into routine street upgrades and public building refrofits, and assess cost–benefit outcomes to guide broader implementation. These measures improve thermal comfort, reduce energy demand for cooling, and enhance urban resilience to rising temperatures.</x:v>
      </x:c>
    </x:row>
    <x:row r="590" ht="66" customHeight="1">
      <x:c r="A590" s="165" t="str">
        <x:v>icare_0176</x:v>
      </x:c>
      <x:c r="B590" s="159" t="str">
        <x:v>Develop a Climate Action Plan</x:v>
      </x:c>
      <x:c r="C590" s="159" t="str">
        <x:v>Water resources</x:v>
      </x:c>
      <x:c r="D590" s="159" t="str">
        <x:v>Exposure</x:v>
      </x:c>
      <x:c r="E590" s="153" t="str"/>
      <x:c r="F590" s="153" t="str"/>
      <x:c r="G590" s="159" t="str">
        <x:v>Not eligible</x:v>
      </x:c>
      <x:c r="H590" s="159" t="str">
        <x:v>Not applicable</x:v>
      </x:c>
      <x:c r="I590" s="159" t="str">
        <x:v>Not applicable</x:v>
      </x:c>
      <x:c r="J590" s="159" t="str">
        <x:v>Not applicable</x:v>
      </x:c>
      <x:c r="K590" s="159" t="str">
        <x:v>No</x:v>
      </x:c>
      <x:c r="L590" s="159" t="str">
        <x:v>&lt;5 years</x:v>
      </x:c>
      <x:c r="M590" s="168" t="n">
        <x:v>0</x:v>
      </x:c>
      <x:c r="N590" s="168" t="n">
        <x:v>0</x:v>
      </x:c>
      <x:c r="O590" s="159" t="str"/>
      <x:c r="P590" s="159" t="str"/>
      <x:c r="Q590" s="159" t="str">
        <x:v>The action's primary mechanism does not directly change a terminal Water Resources exposure indicator.</x:v>
      </x:c>
      <x:c r="R590" s="160" t="str">
        <x:v>A comprehensive plan outlining a city's strategies and actions to mitigate greenhouse gas emissions and adapt to the impacts of climate change which typically includes an assessment of the city's climate risks and vulnerabilities, setting emission reduction targets, and implementation of actions across various sectors such as energy, transportation, waste management, and urban planning.</x:v>
      </x:c>
    </x:row>
    <x:row r="591" ht="66" customHeight="1">
      <x:c r="A591" s="165" t="str">
        <x:v>icare_0165</x:v>
      </x:c>
      <x:c r="B591" s="159" t="str">
        <x:v>Develop an Environmental Education Plan</x:v>
      </x:c>
      <x:c r="C591" s="159" t="str">
        <x:v>Water resources</x:v>
      </x:c>
      <x:c r="D591" s="159" t="str">
        <x:v>Exposure</x:v>
      </x:c>
      <x:c r="E591" s="153" t="str"/>
      <x:c r="F591" s="153" t="str"/>
      <x:c r="G591" s="159" t="str">
        <x:v>Not eligible</x:v>
      </x:c>
      <x:c r="H591" s="159" t="str">
        <x:v>Not applicable</x:v>
      </x:c>
      <x:c r="I591" s="159" t="str">
        <x:v>Not applicable</x:v>
      </x:c>
      <x:c r="J591" s="159" t="str">
        <x:v>Not applicable</x:v>
      </x:c>
      <x:c r="K591" s="159" t="str">
        <x:v>No</x:v>
      </x:c>
      <x:c r="L591" s="159" t="str">
        <x:v>&lt;5 years</x:v>
      </x:c>
      <x:c r="M591" s="168" t="n">
        <x:v>0</x:v>
      </x:c>
      <x:c r="N591" s="168" t="n">
        <x:v>0</x:v>
      </x:c>
      <x:c r="O591" s="159" t="str"/>
      <x:c r="P591" s="159" t="str"/>
      <x:c r="Q591" s="159" t="str">
        <x:v>The action's primary mechanism does not directly change a terminal Water Resources exposure indicator.</x:v>
      </x:c>
      <x:c r="R591" s="160" t="str">
        <x:v>Design and implement a comprehensive environmental education plan that fosters climate literacy and awareness across schools, communities, and the media. Municipal governments can organize workshops, awareness campaigns, and nature-based activities such as tree planting to reconnect residents with their environment. The plan should integrate themes of climate change, adaptation, mitigation, and climate justice, with particular attention to youth, women, and vulnerable groups. By embedding equity and inclusion, cities can strengthen long-term engagement and empower communities to take part in climate action.</x:v>
      </x:c>
    </x:row>
    <x:row r="592" ht="66" customHeight="1">
      <x:c r="A592" s="165" t="str">
        <x:v>icare_0165</x:v>
      </x:c>
      <x:c r="B592" s="159" t="str">
        <x:v>Develop an Environmental Education Plan</x:v>
      </x:c>
      <x:c r="C592" s="159" t="str">
        <x:v>Water resources</x:v>
      </x:c>
      <x:c r="D592" s="159" t="str">
        <x:v>Vulnerability</x:v>
      </x:c>
      <x:c r="E592" s="153" t="str"/>
      <x:c r="F592" s="153" t="str"/>
      <x:c r="G592" s="159" t="str">
        <x:v>Not eligible</x:v>
      </x:c>
      <x:c r="H592" s="159" t="str">
        <x:v>Not applicable</x:v>
      </x:c>
      <x:c r="I592" s="159" t="str">
        <x:v>Not applicable</x:v>
      </x:c>
      <x:c r="J592" s="159" t="str">
        <x:v>Not applicable</x:v>
      </x:c>
      <x:c r="K592" s="159" t="str">
        <x:v>No</x:v>
      </x:c>
      <x:c r="L592" s="159" t="str">
        <x:v>&lt;5 years</x:v>
      </x:c>
      <x:c r="M592" s="168" t="n">
        <x:v>0</x:v>
      </x:c>
      <x:c r="N592" s="168" t="n">
        <x:v>0</x:v>
      </x:c>
      <x:c r="O592" s="159" t="str"/>
      <x:c r="P592" s="159" t="str"/>
      <x:c r="Q592" s="159" t="str">
        <x:v>The action's primary mechanism does not directly change a terminal Water Resources vulnerability indicator.</x:v>
      </x:c>
      <x:c r="R592" s="160" t="str">
        <x:v>Design and implement a comprehensive environmental education plan that fosters climate literacy and awareness across schools, communities, and the media. Municipal governments can organize workshops, awareness campaigns, and nature-based activities such as tree planting to reconnect residents with their environment. The plan should integrate themes of climate change, adaptation, mitigation, and climate justice, with particular attention to youth, women, and vulnerable groups. By embedding equity and inclusion, cities can strengthen long-term engagement and empower communities to take part in climate action.</x:v>
      </x:c>
    </x:row>
    <x:row r="593" ht="66" customHeight="1">
      <x:c r="A593" s="165" t="str">
        <x:v>icare_0182</x:v>
      </x:c>
      <x:c r="B593" s="159" t="str">
        <x:v>Develop an Urban Afforestation Plan</x:v>
      </x:c>
      <x:c r="C593" s="159" t="str">
        <x:v>Water resources</x:v>
      </x:c>
      <x:c r="D593" s="159" t="str">
        <x:v>Exposure</x:v>
      </x:c>
      <x:c r="E593" s="153" t="str"/>
      <x:c r="F593" s="153" t="str"/>
      <x:c r="G593" s="159" t="str">
        <x:v>Not eligible</x:v>
      </x:c>
      <x:c r="H593" s="159" t="str">
        <x:v>Not applicable</x:v>
      </x:c>
      <x:c r="I593" s="159" t="str">
        <x:v>Not applicable</x:v>
      </x:c>
      <x:c r="J593" s="159" t="str">
        <x:v>Not applicable</x:v>
      </x:c>
      <x:c r="K593" s="159" t="str">
        <x:v>No</x:v>
      </x:c>
      <x:c r="L593" s="159" t="str">
        <x:v>5-10 years</x:v>
      </x:c>
      <x:c r="M593" s="168" t="n">
        <x:v>0</x:v>
      </x:c>
      <x:c r="N593" s="168" t="n">
        <x:v>0</x:v>
      </x:c>
      <x:c r="O593" s="159" t="str"/>
      <x:c r="P593" s="159" t="str"/>
      <x:c r="Q593" s="159" t="str">
        <x:v>The action's primary mechanism does not directly change a terminal Water Resources exposure indicator.</x:v>
      </x:c>
      <x:c r="R593" s="160" t="str">
        <x:v>This action focuses on expanding green areas in the city through urban afforestation. This includes planting trees in sidewalks, squares, public buildings, and schools, as well as creating ecological parks to revitalize watercourses and/or restore forests.</x:v>
      </x:c>
    </x:row>
    <x:row r="594" ht="66" customHeight="1">
      <x:c r="A594" s="165" t="str">
        <x:v>icare_0172</x:v>
      </x:c>
      <x:c r="B594" s="159" t="str">
        <x:v>Develop and implement the Municipal Risk Reduction Plan (PMRR) and identify population groups vulnerable to climate risks.</x:v>
      </x:c>
      <x:c r="C594" s="159" t="str">
        <x:v>Water resources</x:v>
      </x:c>
      <x:c r="D594" s="159" t="str">
        <x:v>Exposure</x:v>
      </x:c>
      <x:c r="E594" s="153" t="str"/>
      <x:c r="F594" s="153" t="str"/>
      <x:c r="G594" s="159" t="str">
        <x:v>Not eligible</x:v>
      </x:c>
      <x:c r="H594" s="159" t="str">
        <x:v>Not applicable</x:v>
      </x:c>
      <x:c r="I594" s="159" t="str">
        <x:v>Not applicable</x:v>
      </x:c>
      <x:c r="J594" s="159" t="str">
        <x:v>Not applicable</x:v>
      </x:c>
      <x:c r="K594" s="159" t="str">
        <x:v>No</x:v>
      </x:c>
      <x:c r="L594" s="159" t="str">
        <x:v>&lt;5 years</x:v>
      </x:c>
      <x:c r="M594" s="168" t="n">
        <x:v>0</x:v>
      </x:c>
      <x:c r="N594" s="168" t="n">
        <x:v>0</x:v>
      </x:c>
      <x:c r="O594" s="159" t="str"/>
      <x:c r="P594" s="159" t="str"/>
      <x:c r="Q594" s="159" t="str">
        <x:v>The action's primary mechanism does not directly change a terminal Water Resources exposure indicator.</x:v>
      </x:c>
      <x:c r="R594" s="160" t="str">
        <x:v>This action aims to strengthen the development of the Municipal Risk Reduction Plan (PMRR) in the municipality, as it is a highly relevant tool for managing climate risks, especially river floods and landslides.</x:v>
      </x:c>
    </x:row>
    <x:row r="595" ht="66" customHeight="1">
      <x:c r="A595" s="165" t="str">
        <x:v>icare_0144</x:v>
      </x:c>
      <x:c r="B595" s="159" t="str">
        <x:v>Establish a financial support program for extreme weather events</x:v>
      </x:c>
      <x:c r="C595" s="159" t="str">
        <x:v>Water resources</x:v>
      </x:c>
      <x:c r="D595" s="159" t="str">
        <x:v>Exposure</x:v>
      </x:c>
      <x:c r="E595" s="153" t="str"/>
      <x:c r="F595" s="153" t="str"/>
      <x:c r="G595" s="159" t="str">
        <x:v>Not eligible</x:v>
      </x:c>
      <x:c r="H595" s="159" t="str">
        <x:v>Not applicable</x:v>
      </x:c>
      <x:c r="I595" s="159" t="str">
        <x:v>Not applicable</x:v>
      </x:c>
      <x:c r="J595" s="159" t="str">
        <x:v>Not applicable</x:v>
      </x:c>
      <x:c r="K595" s="159" t="str">
        <x:v>No</x:v>
      </x:c>
      <x:c r="L595" s="159" t="str">
        <x:v>&lt;5 years</x:v>
      </x:c>
      <x:c r="M595" s="168" t="n">
        <x:v>0</x:v>
      </x:c>
      <x:c r="N595" s="168" t="n">
        <x:v>0</x:v>
      </x:c>
      <x:c r="O595" s="159" t="str"/>
      <x:c r="P595" s="159" t="str"/>
      <x:c r="Q595" s="159" t="str">
        <x:v>The action's primary mechanism does not directly change a terminal Water Resources exposure indicator.</x:v>
      </x:c>
      <x:c r="R595" s="160" t="str">
        <x:v>Creation of a program to mitigate the effects of climate tragedies, including financial assistance to affected families, efforts to increase access to affordable hazard insurance, and efforts to secure additional resources for recovery and reconstruction, including partnerships with state and federal government bodies. Recovery and reconstruction measures should include adaptive measures with the emphasis on build back better to withstand future hazards and helping residents retrofit buildings.</x:v>
      </x:c>
    </x:row>
    <x:row r="596" ht="66" customHeight="1">
      <x:c r="A596" s="165" t="str">
        <x:v>icare_0163</x:v>
      </x:c>
      <x:c r="B596" s="159" t="str">
        <x:v>Establish a first‑response firefighting brigade</x:v>
      </x:c>
      <x:c r="C596" s="159" t="str">
        <x:v>Water resources</x:v>
      </x:c>
      <x:c r="D596" s="159" t="str">
        <x:v>Exposure</x:v>
      </x:c>
      <x:c r="E596" s="153" t="str"/>
      <x:c r="F596" s="153" t="str"/>
      <x:c r="G596" s="159" t="str">
        <x:v>Not eligible</x:v>
      </x:c>
      <x:c r="H596" s="159" t="str">
        <x:v>Not applicable</x:v>
      </x:c>
      <x:c r="I596" s="159" t="str">
        <x:v>Not applicable</x:v>
      </x:c>
      <x:c r="J596" s="159" t="str">
        <x:v>Not applicable</x:v>
      </x:c>
      <x:c r="K596" s="159" t="str">
        <x:v>No</x:v>
      </x:c>
      <x:c r="L596" s="159" t="str">
        <x:v>&lt;5 years</x:v>
      </x:c>
      <x:c r="M596" s="168" t="n">
        <x:v>0</x:v>
      </x:c>
      <x:c r="N596" s="168" t="n">
        <x:v>0</x:v>
      </x:c>
      <x:c r="O596" s="159" t="str"/>
      <x:c r="P596" s="159" t="str"/>
      <x:c r="Q596" s="159" t="str">
        <x:v>The action's primary mechanism does not directly change a terminal Water Resources exposure indicator.</x:v>
      </x:c>
      <x:c r="R596" s="160" t="str">
        <x:v>Creation of a First Response Brigade in rural communities to provide them with training and equipment for fire prevention and firefighting.</x:v>
      </x:c>
    </x:row>
    <x:row r="597" ht="66" customHeight="1">
      <x:c r="A597" s="165" t="str">
        <x:v>icare_0169</x:v>
      </x:c>
      <x:c r="B597" s="159" t="str">
        <x:v>Establish a Plan for Preparation and Emergency Response Measures in the event of extreme weather events</x:v>
      </x:c>
      <x:c r="C597" s="159" t="str">
        <x:v>Water resources</x:v>
      </x:c>
      <x:c r="D597" s="159" t="str">
        <x:v>Exposure</x:v>
      </x:c>
      <x:c r="E597" s="153" t="str"/>
      <x:c r="F597" s="153" t="str"/>
      <x:c r="G597" s="159" t="str">
        <x:v>Not eligible</x:v>
      </x:c>
      <x:c r="H597" s="159" t="str">
        <x:v>Not applicable</x:v>
      </x:c>
      <x:c r="I597" s="159" t="str">
        <x:v>Not applicable</x:v>
      </x:c>
      <x:c r="J597" s="159" t="str">
        <x:v>Not applicable</x:v>
      </x:c>
      <x:c r="K597" s="159" t="str">
        <x:v>No</x:v>
      </x:c>
      <x:c r="L597" s="159" t="str">
        <x:v>5-10 years</x:v>
      </x:c>
      <x:c r="M597" s="168" t="n">
        <x:v>0</x:v>
      </x:c>
      <x:c r="N597" s="168" t="n">
        <x:v>0</x:v>
      </x:c>
      <x:c r="O597" s="159" t="str"/>
      <x:c r="P597" s="159" t="str"/>
      <x:c r="Q597" s="159" t="str">
        <x:v>The action's primary mechanism does not directly change a terminal Water Resources exposure indicator.</x:v>
      </x:c>
      <x:c r="R597" s="160" t="str">
        <x:v>This action focuses on preparing the municipality to respond to extreme events, aiming to provide a rapid response that minimizes the impacts on the population.</x:v>
      </x:c>
    </x:row>
    <x:row r="598" ht="66" customHeight="1">
      <x:c r="A598" s="165" t="str">
        <x:v>icare_0160</x:v>
      </x:c>
      <x:c r="B598" s="159" t="str">
        <x:v>Establish mechanisms for intersectoral coordination and public participation in climate policy</x:v>
      </x:c>
      <x:c r="C598" s="159" t="str">
        <x:v>Water resources</x:v>
      </x:c>
      <x:c r="D598" s="159" t="str">
        <x:v>Exposure</x:v>
      </x:c>
      <x:c r="E598" s="153" t="str"/>
      <x:c r="F598" s="153" t="str"/>
      <x:c r="G598" s="159" t="str">
        <x:v>Not eligible</x:v>
      </x:c>
      <x:c r="H598" s="159" t="str">
        <x:v>Not applicable</x:v>
      </x:c>
      <x:c r="I598" s="159" t="str">
        <x:v>Not applicable</x:v>
      </x:c>
      <x:c r="J598" s="159" t="str">
        <x:v>Not applicable</x:v>
      </x:c>
      <x:c r="K598" s="159" t="str">
        <x:v>No</x:v>
      </x:c>
      <x:c r="L598" s="159" t="str">
        <x:v>&lt;5 years</x:v>
      </x:c>
      <x:c r="M598" s="168" t="n">
        <x:v>0</x:v>
      </x:c>
      <x:c r="N598" s="168" t="n">
        <x:v>0</x:v>
      </x:c>
      <x:c r="O598" s="159" t="str"/>
      <x:c r="P598" s="159" t="str"/>
      <x:c r="Q598" s="159" t="str">
        <x:v>The action's primary mechanism does not directly change a terminal Water Resources exposure indicator.</x:v>
      </x:c>
      <x:c r="R598" s="160" t="str">
        <x:v>Establish more mechanisms that enable better intersectoral coordination and public participation in climate policy, including the creation of working groups with neighboring municipalities to discuss a common climate agenda.</x:v>
      </x:c>
    </x:row>
    <x:row r="599" ht="66" customHeight="1">
      <x:c r="A599" s="165" t="str">
        <x:v>ipcc_0090</x:v>
      </x:c>
      <x:c r="B599" s="159" t="str">
        <x:v>Expand climate risk insurance coverage</x:v>
      </x:c>
      <x:c r="C599" s="159" t="str">
        <x:v>Water resources</x:v>
      </x:c>
      <x:c r="D599" s="159" t="str">
        <x:v>Exposure</x:v>
      </x:c>
      <x:c r="E599" s="153" t="str"/>
      <x:c r="F599" s="153" t="str"/>
      <x:c r="G599" s="159" t="str">
        <x:v>Not eligible</x:v>
      </x:c>
      <x:c r="H599" s="159" t="str">
        <x:v>Not applicable</x:v>
      </x:c>
      <x:c r="I599" s="159" t="str">
        <x:v>Not applicable</x:v>
      </x:c>
      <x:c r="J599" s="159" t="str">
        <x:v>Not applicable</x:v>
      </x:c>
      <x:c r="K599" s="159" t="str">
        <x:v>No</x:v>
      </x:c>
      <x:c r="L599" s="159" t="str">
        <x:v>&lt;5 years</x:v>
      </x:c>
      <x:c r="M599" s="168" t="n">
        <x:v>0</x:v>
      </x:c>
      <x:c r="N599" s="168" t="n">
        <x:v>0</x:v>
      </x:c>
      <x:c r="O599" s="159" t="str"/>
      <x:c r="P599" s="159" t="str"/>
      <x:c r="Q599" s="159" t="str">
        <x:v>The action's primary mechanism does not directly change a terminal Water Resources exposure indicator.</x:v>
      </x:c>
      <x:c r="R599" s="160" t="str">
        <x:v>Insurance provides financial risk management tools tailored to climate-induced challenges. This includes traditional agricultural insurance to protect farmers from weather-related losses and innovative index-based insurance solutions. Index-based insurance leverages measurable weather indices, such as rainfall or temperature, to trigger payouts automatically when thresholds are reached, bypassing the need for loss verification. These tools help stabilize incomes, encourage investment in climate-resilient practices, and reduce the economic vulnerability of stakeholders in agriculture, aquaculture, and energy sectors. Furthermore, bundled insurance products with additional services like fertilizer or seed access enhance overall resilience, particularly in underserved and rural communities. By mitigating risks associated with droughts, floods, and storms, insurance supports sustainable development and adaptation goals</x:v>
      </x:c>
    </x:row>
    <x:row r="600" ht="66" customHeight="1">
      <x:c r="A600" s="165" t="str">
        <x:v>ipcc_0092</x:v>
      </x:c>
      <x:c r="B600" s="159" t="str">
        <x:v>Expand climate‑responsive social safety nets</x:v>
      </x:c>
      <x:c r="C600" s="159" t="str">
        <x:v>Water resources</x:v>
      </x:c>
      <x:c r="D600" s="159" t="str">
        <x:v>Exposure</x:v>
      </x:c>
      <x:c r="E600" s="153" t="str"/>
      <x:c r="F600" s="153" t="str"/>
      <x:c r="G600" s="159" t="str">
        <x:v>Not eligible</x:v>
      </x:c>
      <x:c r="H600" s="159" t="str">
        <x:v>Not applicable</x:v>
      </x:c>
      <x:c r="I600" s="159" t="str">
        <x:v>Not applicable</x:v>
      </x:c>
      <x:c r="J600" s="159" t="str">
        <x:v>Not applicable</x:v>
      </x:c>
      <x:c r="K600" s="159" t="str">
        <x:v>No</x:v>
      </x:c>
      <x:c r="L600" s="159" t="str">
        <x:v>5-10 years</x:v>
      </x:c>
      <x:c r="M600" s="168" t="n">
        <x:v>0</x:v>
      </x:c>
      <x:c r="N600" s="168" t="n">
        <x:v>0</x:v>
      </x:c>
      <x:c r="O600" s="159" t="str"/>
      <x:c r="P600" s="159" t="str"/>
      <x:c r="Q600" s="159" t="str">
        <x:v>The action's primary mechanism does not directly change a terminal Water Resources exposure indicator.</x:v>
      </x:c>
      <x:c r="R600" s="160" t="str">
        <x:v>Social safety nets encompass adaptive social protection mechanisms to reduce food insecurity and malnutrition, especially for vulnerable populations. These include cash transfers, school feeding programs, public work initiatives, unemployment compensation, land reforms, credit and insurance schemes. Integrated approaches combine climate risk assessments with disaster risk reduction, education, and social equity to enhance resilience to climate stresses.</x:v>
      </x:c>
    </x:row>
    <x:row r="601" ht="66" customHeight="1">
      <x:c r="A601" s="165" t="str">
        <x:v>icare_0180</x:v>
      </x:c>
      <x:c r="B601" s="159" t="str">
        <x:v>Expand urban green-blue networks and corridors</x:v>
      </x:c>
      <x:c r="C601" s="159" t="str">
        <x:v>Water resources</x:v>
      </x:c>
      <x:c r="D601" s="159" t="str">
        <x:v>Exposure</x:v>
      </x:c>
      <x:c r="E601" s="153" t="str"/>
      <x:c r="F601" s="153" t="str"/>
      <x:c r="G601" s="159" t="str">
        <x:v>Not eligible</x:v>
      </x:c>
      <x:c r="H601" s="159" t="str">
        <x:v>Not applicable</x:v>
      </x:c>
      <x:c r="I601" s="159" t="str">
        <x:v>Not applicable</x:v>
      </x:c>
      <x:c r="J601" s="159" t="str">
        <x:v>Not applicable</x:v>
      </x:c>
      <x:c r="K601" s="159" t="str">
        <x:v>No</x:v>
      </x:c>
      <x:c r="L601" s="159" t="str">
        <x:v>&lt;5 years</x:v>
      </x:c>
      <x:c r="M601" s="168" t="n">
        <x:v>0</x:v>
      </x:c>
      <x:c r="N601" s="168" t="n">
        <x:v>0</x:v>
      </x:c>
      <x:c r="O601" s="159" t="str"/>
      <x:c r="P601" s="159" t="str"/>
      <x:c r="Q601" s="159" t="str">
        <x:v>The action's primary mechanism does not directly change a terminal Water Resources exposure indicator.</x:v>
      </x:c>
      <x:c r="R601" s="160" t="str">
        <x:v>Expand and connect urban green spaces and blue-green infrastructure (BGI) in the public realm. Actions include street tree planting, establishing green corridors/greenways, pocket and large parks, and green-blue features (bioswales, rain gardens, permeable surfaces) to manage stormwater, reduce urban heat, enhance biodiversity, and support carbon sequestration. Embedding these measures in urban planning strengthens ecosystem services, resilience, and livability.</x:v>
      </x:c>
    </x:row>
    <x:row r="602" ht="66" customHeight="1">
      <x:c r="A602" s="165" t="str">
        <x:v>ipcc_0102</x:v>
      </x:c>
      <x:c r="B602" s="159" t="str">
        <x:v>Facilitate seasonal and temporary mobility strategies</x:v>
      </x:c>
      <x:c r="C602" s="159" t="str">
        <x:v>Water resources</x:v>
      </x:c>
      <x:c r="D602" s="159" t="str">
        <x:v>Vulnerability</x:v>
      </x:c>
      <x:c r="E602" s="153" t="str"/>
      <x:c r="F602" s="153" t="str"/>
      <x:c r="G602" s="159" t="str">
        <x:v>Not eligible</x:v>
      </x:c>
      <x:c r="H602" s="159" t="str">
        <x:v>Not applicable</x:v>
      </x:c>
      <x:c r="I602" s="159" t="str">
        <x:v>Not applicable</x:v>
      </x:c>
      <x:c r="J602" s="159" t="str">
        <x:v>Not applicable</x:v>
      </x:c>
      <x:c r="K602" s="159" t="str">
        <x:v>No</x:v>
      </x:c>
      <x:c r="L602" s="159" t="str">
        <x:v>5-10 years</x:v>
      </x:c>
      <x:c r="M602" s="168" t="n">
        <x:v>0</x:v>
      </x:c>
      <x:c r="N602" s="168" t="n">
        <x:v>0</x:v>
      </x:c>
      <x:c r="O602" s="159" t="str"/>
      <x:c r="P602" s="159" t="str"/>
      <x:c r="Q602" s="159" t="str">
        <x:v>The action's primary mechanism does not directly change a terminal Water Resources vulnerability indicator.</x:v>
      </x:c>
      <x:c r="R602" s="160" t="str">
        <x:v>Facilitating mobility of fishing fleets and workers to adapt to shifting marine species distributions caused by climate change. This includes enabling seasonal or temporary migration to align with the availability of resources, improving infrastructure and technology to support mobility, and fostering flexible governance to manage transboundary resources sustainably. These actions aim to maintain livelihoods and reduce economic impacts of climate variability.</x:v>
      </x:c>
    </x:row>
    <x:row r="603" ht="66" customHeight="1">
      <x:c r="A603" s="165" t="str">
        <x:v>ipcc_0086</x:v>
      </x:c>
      <x:c r="B603" s="159" t="str">
        <x:v>Implement ecosystem‑based adaptation measures</x:v>
      </x:c>
      <x:c r="C603" s="159" t="str">
        <x:v>Water resources</x:v>
      </x:c>
      <x:c r="D603" s="159" t="str">
        <x:v>Exposure</x:v>
      </x:c>
      <x:c r="E603" s="153" t="str"/>
      <x:c r="F603" s="153" t="str"/>
      <x:c r="G603" s="159" t="str">
        <x:v>Not eligible</x:v>
      </x:c>
      <x:c r="H603" s="159" t="str">
        <x:v>Not applicable</x:v>
      </x:c>
      <x:c r="I603" s="159" t="str">
        <x:v>Not applicable</x:v>
      </x:c>
      <x:c r="J603" s="159" t="str">
        <x:v>Not applicable</x:v>
      </x:c>
      <x:c r="K603" s="159" t="str">
        <x:v>No</x:v>
      </x:c>
      <x:c r="L603" s="159" t="str">
        <x:v>5-10 years</x:v>
      </x:c>
      <x:c r="M603" s="168" t="n">
        <x:v>0</x:v>
      </x:c>
      <x:c r="N603" s="168" t="n">
        <x:v>0</x:v>
      </x:c>
      <x:c r="O603" s="159" t="str"/>
      <x:c r="P603" s="159" t="str"/>
      <x:c r="Q603" s="159" t="str">
        <x:v>The action's primary mechanism does not directly change a terminal Water Resources exposure indicator.</x:v>
      </x:c>
      <x:c r="R603" s="160" t="str">
        <x:v>Restoring and sustainably managing marine, coastal, urban, riverine, and wetland ecosystems to protect against climate hazards such as storm surges, floods, and heatwaves. Efforts include agroecology, coastal and marine vegetation and reefs, vegetation corridors, mangrove habitat restoration, urban green space to reduce temperatures. These actions improve biodiversity, store carbon, enhance water quality, and provide socio-economic and cultural co-benefits.</x:v>
      </x:c>
    </x:row>
    <x:row r="604" ht="66" customHeight="1">
      <x:c r="A604" s="165" t="str">
        <x:v>ipcc_0078</x:v>
      </x:c>
      <x:c r="B604" s="159" t="str">
        <x:v>Implement green roofs and walls</x:v>
      </x:c>
      <x:c r="C604" s="159" t="str">
        <x:v>Water resources</x:v>
      </x:c>
      <x:c r="D604" s="159" t="str">
        <x:v>Exposure</x:v>
      </x:c>
      <x:c r="E604" s="153" t="str"/>
      <x:c r="F604" s="153" t="str"/>
      <x:c r="G604" s="159" t="str">
        <x:v>Not eligible</x:v>
      </x:c>
      <x:c r="H604" s="159" t="str">
        <x:v>Not applicable</x:v>
      </x:c>
      <x:c r="I604" s="159" t="str">
        <x:v>Not applicable</x:v>
      </x:c>
      <x:c r="J604" s="159" t="str">
        <x:v>Not applicable</x:v>
      </x:c>
      <x:c r="K604" s="159" t="str">
        <x:v>No</x:v>
      </x:c>
      <x:c r="L604" s="159" t="str">
        <x:v>5-10 years</x:v>
      </x:c>
      <x:c r="M604" s="168" t="n">
        <x:v>0</x:v>
      </x:c>
      <x:c r="N604" s="168" t="n">
        <x:v>0</x:v>
      </x:c>
      <x:c r="O604" s="159" t="str"/>
      <x:c r="P604" s="159" t="str"/>
      <x:c r="Q604" s="159" t="str">
        <x:v>The action's primary mechanism does not directly change a terminal Water Resources exposure indicator.</x:v>
      </x:c>
      <x:c r="R604" s="160" t="str">
        <x:v>The implementation of green roofs and green walls mitigates urban heat island effects, improves thermal comfort, reduces energy demand in buildings, manages stormwater, and enhances urban livability and biodiversity.</x:v>
      </x:c>
    </x:row>
    <x:row r="605" ht="66" customHeight="1">
      <x:c r="A605" s="165" t="str">
        <x:v>icare_0186</x:v>
      </x:c>
      <x:c r="B605" s="159" t="str">
        <x:v>Implement integrated coastal zone management</x:v>
      </x:c>
      <x:c r="C605" s="159" t="str">
        <x:v>Water resources</x:v>
      </x:c>
      <x:c r="D605" s="159" t="str">
        <x:v>Exposure</x:v>
      </x:c>
      <x:c r="E605" s="153" t="str"/>
      <x:c r="F605" s="153" t="str"/>
      <x:c r="G605" s="159" t="str">
        <x:v>Not eligible</x:v>
      </x:c>
      <x:c r="H605" s="159" t="str">
        <x:v>Not applicable</x:v>
      </x:c>
      <x:c r="I605" s="159" t="str">
        <x:v>Not applicable</x:v>
      </x:c>
      <x:c r="J605" s="159" t="str">
        <x:v>Not applicable</x:v>
      </x:c>
      <x:c r="K605" s="159" t="str">
        <x:v>No</x:v>
      </x:c>
      <x:c r="L605" s="159" t="str">
        <x:v>5-10 years</x:v>
      </x:c>
      <x:c r="M605" s="168" t="n">
        <x:v>0</x:v>
      </x:c>
      <x:c r="N605" s="168" t="n">
        <x:v>0</x:v>
      </x:c>
      <x:c r="O605" s="159" t="str"/>
      <x:c r="P605" s="159" t="str"/>
      <x:c r="Q605" s="159" t="str">
        <x:v>The action's primary mechanism does not directly change a terminal Water Resources exposure indicator.</x:v>
      </x:c>
      <x:c r="R605" s="160" t="str">
        <x:v>This action describes the implementation of an integrated coastal zone management plan to promote sustainable development and address the impacts of climate change in coastal areas. It includes measures to mitigate the impacts of sea-level rise and coastal erosion.</x:v>
      </x:c>
    </x:row>
    <x:row r="606" ht="66" customHeight="1">
      <x:c r="A606" s="165" t="str">
        <x:v>icare_0183</x:v>
      </x:c>
      <x:c r="B606" s="159" t="str">
        <x:v>Implement Multi-hazard Early Warning Systems (MH-EWS)</x:v>
      </x:c>
      <x:c r="C606" s="159" t="str">
        <x:v>Water resources</x:v>
      </x:c>
      <x:c r="D606" s="159" t="str">
        <x:v>Exposure</x:v>
      </x:c>
      <x:c r="E606" s="153" t="str"/>
      <x:c r="F606" s="153" t="str"/>
      <x:c r="G606" s="159" t="str">
        <x:v>Not eligible</x:v>
      </x:c>
      <x:c r="H606" s="159" t="str">
        <x:v>Not applicable</x:v>
      </x:c>
      <x:c r="I606" s="159" t="str">
        <x:v>Not applicable</x:v>
      </x:c>
      <x:c r="J606" s="159" t="str">
        <x:v>Not applicable</x:v>
      </x:c>
      <x:c r="K606" s="159" t="str">
        <x:v>No</x:v>
      </x:c>
      <x:c r="L606" s="159" t="str">
        <x:v>5-10 years</x:v>
      </x:c>
      <x:c r="M606" s="168" t="n">
        <x:v>0</x:v>
      </x:c>
      <x:c r="N606" s="168" t="n">
        <x:v>0</x:v>
      </x:c>
      <x:c r="O606" s="159" t="str"/>
      <x:c r="P606" s="159" t="str"/>
      <x:c r="Q606" s="159" t="str">
        <x:v>The action's primary mechanism does not directly change a terminal Water Resources exposure indicator.</x:v>
      </x:c>
      <x:c r="R606" s="160" t="str">
        <x:v>Early Warning systems involve the timely detection and communication of potential climate-related hazards, enabling proactive responses to mitigate risks and enhancing community preparedness. This includes intense rains and landslides, using a network of telemetry stations to monitor rainfall and other weather conditions, with clear trigger thresholds to issue public alerts (sirens/alarms, SMS/cell broadcast, radio/PA) in case of potential flooding or landslides.</x:v>
      </x:c>
    </x:row>
    <x:row r="607" ht="66" customHeight="1">
      <x:c r="A607" s="165" t="str">
        <x:v>icare_0185</x:v>
      </x:c>
      <x:c r="B607" s="159" t="str">
        <x:v>Improve Creation of An Epidemiological Intelligence Center</x:v>
      </x:c>
      <x:c r="C607" s="159" t="str">
        <x:v>Water resources</x:v>
      </x:c>
      <x:c r="D607" s="159" t="str">
        <x:v>Exposure</x:v>
      </x:c>
      <x:c r="E607" s="153" t="str"/>
      <x:c r="F607" s="153" t="str"/>
      <x:c r="G607" s="159" t="str">
        <x:v>Not eligible</x:v>
      </x:c>
      <x:c r="H607" s="159" t="str">
        <x:v>Not applicable</x:v>
      </x:c>
      <x:c r="I607" s="159" t="str">
        <x:v>Not applicable</x:v>
      </x:c>
      <x:c r="J607" s="159" t="str">
        <x:v>Not applicable</x:v>
      </x:c>
      <x:c r="K607" s="159" t="str">
        <x:v>No</x:v>
      </x:c>
      <x:c r="L607" s="159" t="str">
        <x:v>5-10 years</x:v>
      </x:c>
      <x:c r="M607" s="168" t="n">
        <x:v>0</x:v>
      </x:c>
      <x:c r="N607" s="168" t="n">
        <x:v>0</x:v>
      </x:c>
      <x:c r="O607" s="159" t="str"/>
      <x:c r="P607" s="159" t="str"/>
      <x:c r="Q607" s="159" t="str">
        <x:v>The action's primary mechanism does not directly change a terminal Water Resources exposure indicator.</x:v>
      </x:c>
      <x:c r="R607" s="160" t="str">
        <x:v>This action focuses on establishing an epidemiological intelligence center to monitor public health indicators and provide accessible information to the population. This helps in making informed decisions and protecting public health, particularly in relation to climate-sensitive diseases.</x:v>
      </x:c>
    </x:row>
    <x:row r="608" ht="66" customHeight="1">
      <x:c r="A608" s="165" t="str">
        <x:v>ipcc_0100</x:v>
      </x:c>
      <x:c r="B608" s="159" t="str">
        <x:v>Improve Efficient water use/demand</x:v>
      </x:c>
      <x:c r="C608" s="159" t="str">
        <x:v>Water resources</x:v>
      </x:c>
      <x:c r="D608" s="159" t="str">
        <x:v>Exposure</x:v>
      </x:c>
      <x:c r="E608" s="153" t="str"/>
      <x:c r="F608" s="153" t="str"/>
      <x:c r="G608" s="159" t="str">
        <x:v>Not eligible</x:v>
      </x:c>
      <x:c r="H608" s="159" t="str">
        <x:v>Not applicable</x:v>
      </x:c>
      <x:c r="I608" s="159" t="str">
        <x:v>Not applicable</x:v>
      </x:c>
      <x:c r="J608" s="159" t="str">
        <x:v>Not applicable</x:v>
      </x:c>
      <x:c r="K608" s="159" t="str">
        <x:v>No</x:v>
      </x:c>
      <x:c r="L608" s="159" t="str">
        <x:v>5-10 years</x:v>
      </x:c>
      <x:c r="M608" s="168" t="n">
        <x:v>0</x:v>
      </x:c>
      <x:c r="N608" s="168" t="n">
        <x:v>0</x:v>
      </x:c>
      <x:c r="O608" s="159" t="str"/>
      <x:c r="P608" s="159" t="str"/>
      <x:c r="Q608" s="159" t="str">
        <x:v>The action's primary mechanism does not directly change a terminal Water Resources exposure indicator.</x:v>
      </x:c>
      <x:c r="R608" s="160" t="str">
        <x:v>Implementing advanced irrigation techniques such as precision and drip irrigation to enhance water use efficiency in agriculture. Managed Aquifer Recharge (MAR) is applied to replenish groundwater supplies using stormwater, treated wastewater, or other sources. These actions are complemented by cooperative policies across multiple sectors to ensure sustainable water resource management, equitable access, and regional collaboration. Additionally, promoting changes in water consumption patterns, such as reducing waste and improving efficiency in urban and agricultural water use, supports resilience against water scarcity and enhances adaptive capacity in vulnerable regions. These efforts collectively aim to address the growing demand for freshwater in the face of climate change and ensure long-term sustainability.</x:v>
      </x:c>
    </x:row>
    <x:row r="609" ht="66" customHeight="1">
      <x:c r="A609" s="165" t="str">
        <x:v>icare_0164</x:v>
      </x:c>
      <x:c r="B609" s="159" t="str">
        <x:v>Improve Hydrological Monitoring System with Telemetry Stations</x:v>
      </x:c>
      <x:c r="C609" s="159" t="str">
        <x:v>Water resources</x:v>
      </x:c>
      <x:c r="D609" s="159" t="str">
        <x:v>Exposure</x:v>
      </x:c>
      <x:c r="E609" s="153" t="str"/>
      <x:c r="F609" s="153" t="str"/>
      <x:c r="G609" s="159" t="str">
        <x:v>Not eligible</x:v>
      </x:c>
      <x:c r="H609" s="159" t="str">
        <x:v>Not applicable</x:v>
      </x:c>
      <x:c r="I609" s="159" t="str">
        <x:v>Not applicable</x:v>
      </x:c>
      <x:c r="J609" s="159" t="str">
        <x:v>Not applicable</x:v>
      </x:c>
      <x:c r="K609" s="159" t="str">
        <x:v>No</x:v>
      </x:c>
      <x:c r="L609" s="159" t="str">
        <x:v>&lt;5 years</x:v>
      </x:c>
      <x:c r="M609" s="168" t="n">
        <x:v>0</x:v>
      </x:c>
      <x:c r="N609" s="168" t="n">
        <x:v>0</x:v>
      </x:c>
      <x:c r="O609" s="159" t="str"/>
      <x:c r="P609" s="159" t="str"/>
      <x:c r="Q609" s="159" t="str">
        <x:v>The action's primary mechanism does not directly change a terminal Water Resources exposure indicator.</x:v>
      </x:c>
      <x:c r="R609" s="160" t="str">
        <x:v>Implementation of a hydrological monitoring system with telemetry stations to monitor rainfall, water levels, and meteorological variables in real-time.</x:v>
      </x:c>
    </x:row>
    <x:row r="610" ht="66" customHeight="1">
      <x:c r="A610" s="165" t="str">
        <x:v>icare_0156</x:v>
      </x:c>
      <x:c r="B610" s="159" t="str">
        <x:v>Improve Implementation of urban gardens</x:v>
      </x:c>
      <x:c r="C610" s="159" t="str">
        <x:v>Water resources</x:v>
      </x:c>
      <x:c r="D610" s="159" t="str">
        <x:v>Exposure</x:v>
      </x:c>
      <x:c r="E610" s="153" t="str"/>
      <x:c r="F610" s="153" t="str"/>
      <x:c r="G610" s="159" t="str">
        <x:v>Not eligible</x:v>
      </x:c>
      <x:c r="H610" s="159" t="str">
        <x:v>Not applicable</x:v>
      </x:c>
      <x:c r="I610" s="159" t="str">
        <x:v>Not applicable</x:v>
      </x:c>
      <x:c r="J610" s="159" t="str">
        <x:v>Not applicable</x:v>
      </x:c>
      <x:c r="K610" s="159" t="str">
        <x:v>No</x:v>
      </x:c>
      <x:c r="L610" s="159" t="str">
        <x:v>&lt;5 years</x:v>
      </x:c>
      <x:c r="M610" s="168" t="n">
        <x:v>0</x:v>
      </x:c>
      <x:c r="N610" s="168" t="n">
        <x:v>0</x:v>
      </x:c>
      <x:c r="O610" s="159" t="str"/>
      <x:c r="P610" s="159" t="str"/>
      <x:c r="Q610" s="159" t="str">
        <x:v>The action's primary mechanism does not directly change a terminal Water Resources exposure indicator.</x:v>
      </x:c>
      <x:c r="R610" s="160" t="str">
        <x:v>Identify and assess the feasibility of suitable areas for the installation of urban gardens and ensure that the sites chosen meet the expectations of the community.</x:v>
      </x:c>
    </x:row>
    <x:row r="611" ht="66" customHeight="1">
      <x:c r="A611" s="165" t="str">
        <x:v>icare_0156</x:v>
      </x:c>
      <x:c r="B611" s="159" t="str">
        <x:v>Improve Implementation of urban gardens</x:v>
      </x:c>
      <x:c r="C611" s="159" t="str">
        <x:v>Water resources</x:v>
      </x:c>
      <x:c r="D611" s="159" t="str">
        <x:v>Vulnerability</x:v>
      </x:c>
      <x:c r="E611" s="153" t="str"/>
      <x:c r="F611" s="153" t="str"/>
      <x:c r="G611" s="159" t="str">
        <x:v>Not eligible</x:v>
      </x:c>
      <x:c r="H611" s="159" t="str">
        <x:v>Not applicable</x:v>
      </x:c>
      <x:c r="I611" s="159" t="str">
        <x:v>Not applicable</x:v>
      </x:c>
      <x:c r="J611" s="159" t="str">
        <x:v>Not applicable</x:v>
      </x:c>
      <x:c r="K611" s="159" t="str">
        <x:v>No</x:v>
      </x:c>
      <x:c r="L611" s="159" t="str">
        <x:v>&lt;5 years</x:v>
      </x:c>
      <x:c r="M611" s="168" t="n">
        <x:v>0</x:v>
      </x:c>
      <x:c r="N611" s="168" t="n">
        <x:v>0</x:v>
      </x:c>
      <x:c r="O611" s="159" t="str"/>
      <x:c r="P611" s="159" t="str"/>
      <x:c r="Q611" s="159" t="str">
        <x:v>The action's primary mechanism does not directly change a terminal Water Resources vulnerability indicator.</x:v>
      </x:c>
      <x:c r="R611" s="160" t="str">
        <x:v>Identify and assess the feasibility of suitable areas for the installation of urban gardens and ensure that the sites chosen meet the expectations of the community.</x:v>
      </x:c>
    </x:row>
    <x:row r="612" ht="66" customHeight="1">
      <x:c r="A612" s="165" t="str">
        <x:v>ipcc_0087</x:v>
      </x:c>
      <x:c r="B612" s="159" t="str">
        <x:v>Improve Infrastructure retrofitting</x:v>
      </x:c>
      <x:c r="C612" s="159" t="str">
        <x:v>Water resources</x:v>
      </x:c>
      <x:c r="D612" s="159" t="str">
        <x:v>Exposure</x:v>
      </x:c>
      <x:c r="E612" s="153" t="str"/>
      <x:c r="F612" s="153" t="str"/>
      <x:c r="G612" s="159" t="str">
        <x:v>Not eligible</x:v>
      </x:c>
      <x:c r="H612" s="159" t="str">
        <x:v>Not applicable</x:v>
      </x:c>
      <x:c r="I612" s="159" t="str">
        <x:v>Not applicable</x:v>
      </x:c>
      <x:c r="J612" s="159" t="str">
        <x:v>Not applicable</x:v>
      </x:c>
      <x:c r="K612" s="159" t="str">
        <x:v>No</x:v>
      </x:c>
      <x:c r="L612" s="159" t="str">
        <x:v>5-10 years</x:v>
      </x:c>
      <x:c r="M612" s="168" t="n">
        <x:v>0</x:v>
      </x:c>
      <x:c r="N612" s="168" t="n">
        <x:v>0</x:v>
      </x:c>
      <x:c r="O612" s="159" t="str"/>
      <x:c r="P612" s="159" t="str"/>
      <x:c r="Q612" s="159" t="str">
        <x:v>The action's primary mechanism does not directly change a terminal Water Resources exposure indicator.</x:v>
      </x:c>
      <x:c r="R612" s="160" t="str">
        <x:v>Strengthen and upgrade existing infrastructure, including roads, housing, and energy systems, to improve resilience against climate risks such as floods, droughts, and heatwaves. Efforts include using thermosiphons for permafrost degradation, increasing rooftop albedo (for reflectivity) and shading</x:v>
      </x:c>
    </x:row>
    <x:row r="613" ht="66" customHeight="1">
      <x:c r="A613" s="165" t="str">
        <x:v>icare_0171</x:v>
      </x:c>
      <x:c r="B613" s="159" t="str">
        <x:v>Improve the hydrometeorological forecasting, monitoring, and alert system for climate risks</x:v>
      </x:c>
      <x:c r="C613" s="159" t="str">
        <x:v>Water resources</x:v>
      </x:c>
      <x:c r="D613" s="159" t="str">
        <x:v>Exposure</x:v>
      </x:c>
      <x:c r="E613" s="153" t="str"/>
      <x:c r="F613" s="153" t="str"/>
      <x:c r="G613" s="159" t="str">
        <x:v>Not eligible</x:v>
      </x:c>
      <x:c r="H613" s="159" t="str">
        <x:v>Not applicable</x:v>
      </x:c>
      <x:c r="I613" s="159" t="str">
        <x:v>Not applicable</x:v>
      </x:c>
      <x:c r="J613" s="159" t="str">
        <x:v>Not applicable</x:v>
      </x:c>
      <x:c r="K613" s="159" t="str">
        <x:v>No</x:v>
      </x:c>
      <x:c r="L613" s="159" t="str">
        <x:v>5-10 years</x:v>
      </x:c>
      <x:c r="M613" s="168" t="n">
        <x:v>0</x:v>
      </x:c>
      <x:c r="N613" s="168" t="n">
        <x:v>0</x:v>
      </x:c>
      <x:c r="O613" s="159" t="str"/>
      <x:c r="P613" s="159" t="str"/>
      <x:c r="Q613" s="159" t="str">
        <x:v>The action's primary mechanism does not directly change a terminal Water Resources exposure indicator.</x:v>
      </x:c>
      <x:c r="R613" s="160" t="str">
        <x:v>This action aims to expand the procedures related to the existing climate risk forecasting, monitoring, and alert system in the municipality.</x:v>
      </x:c>
    </x:row>
    <x:row r="614" ht="66" customHeight="1">
      <x:c r="A614" s="165" t="str">
        <x:v>ipcc_0101</x:v>
      </x:c>
      <x:c r="B614" s="159" t="str">
        <x:v>Improve urban water management</x:v>
      </x:c>
      <x:c r="C614" s="159" t="str">
        <x:v>Water resources</x:v>
      </x:c>
      <x:c r="D614" s="159" t="str">
        <x:v>Exposure</x:v>
      </x:c>
      <x:c r="E614" s="153" t="str"/>
      <x:c r="F614" s="153" t="str"/>
      <x:c r="G614" s="159" t="str">
        <x:v>Not eligible</x:v>
      </x:c>
      <x:c r="H614" s="159" t="str">
        <x:v>Not applicable</x:v>
      </x:c>
      <x:c r="I614" s="159" t="str">
        <x:v>Not applicable</x:v>
      </x:c>
      <x:c r="J614" s="159" t="str">
        <x:v>Not applicable</x:v>
      </x:c>
      <x:c r="K614" s="159" t="str">
        <x:v>No</x:v>
      </x:c>
      <x:c r="L614" s="159" t="str">
        <x:v>5-10 years</x:v>
      </x:c>
      <x:c r="M614" s="168" t="n">
        <x:v>0</x:v>
      </x:c>
      <x:c r="N614" s="168" t="n">
        <x:v>0</x:v>
      </x:c>
      <x:c r="O614" s="159" t="str"/>
      <x:c r="P614" s="159" t="str"/>
      <x:c r="Q614" s="159" t="str">
        <x:v>The action's primary mechanism does not directly change a terminal Water Resources exposure indicator.</x:v>
      </x:c>
      <x:c r="R614" s="160" t="str">
        <x:v>Implementing sustainable water supply systems by constructing irrigation infrastructure, promoting inter-basin water transfers, utilizing nature-based solutions (NBS) such as rain gardens, bioswales, and wetlands, and integrating advanced techniques like water reuse and water upgrading. Water reuse involves treating and recycling wastewater for non-potable or potable purposes, while water upgrading focuses on improving the quality of available water for diverse uses. These approaches enhance stormwater infiltration, improve urban water management, increase drought resilience, and support groundwater recharge. They provide energy-efficient and economical water solutions while maintaining sustainable urban development.</x:v>
      </x:c>
    </x:row>
    <x:row r="615" ht="66" customHeight="1">
      <x:c r="A615" s="165" t="str">
        <x:v>c40_0056</x:v>
      </x:c>
      <x:c r="B615" s="159" t="str">
        <x:v>Improve Watershed Protection and Management</x:v>
      </x:c>
      <x:c r="C615" s="159" t="str">
        <x:v>Water resources</x:v>
      </x:c>
      <x:c r="D615" s="159" t="str">
        <x:v>Exposure</x:v>
      </x:c>
      <x:c r="E615" s="153" t="str"/>
      <x:c r="F615" s="153" t="str"/>
      <x:c r="G615" s="159" t="str">
        <x:v>Not eligible</x:v>
      </x:c>
      <x:c r="H615" s="159" t="str">
        <x:v>Not applicable</x:v>
      </x:c>
      <x:c r="I615" s="159" t="str">
        <x:v>Not applicable</x:v>
      </x:c>
      <x:c r="J615" s="159" t="str">
        <x:v>Not applicable</x:v>
      </x:c>
      <x:c r="K615" s="159" t="str">
        <x:v>No</x:v>
      </x:c>
      <x:c r="L615" s="159" t="str">
        <x:v>&lt;5 years</x:v>
      </x:c>
      <x:c r="M615" s="168" t="n">
        <x:v>0</x:v>
      </x:c>
      <x:c r="N615" s="168" t="n">
        <x:v>0</x:v>
      </x:c>
      <x:c r="O615" s="159" t="str"/>
      <x:c r="P615" s="159" t="str"/>
      <x:c r="Q615" s="159" t="str">
        <x:v>Watershed protection changes ecosystem condition and water-system sensitivity; it does not change which users are present in water-stressed locations.</x:v>
      </x:c>
      <x:c r="R615" s="160" t="str">
        <x:v>"Watershed Protection and Management" involves the protection and conservation of natural watershed areas to safeguard water quality, biodiversity, and ecosystem services, including measures such as preventing pollution and encrouchment. This initiative aims to ensure sustainable water management and resilience to the impacts of climate change.</x:v>
      </x:c>
    </x:row>
    <x:row r="616" ht="66" customHeight="1">
      <x:c r="A616" s="165" t="str">
        <x:v>ipcc_0098</x:v>
      </x:c>
      <x:c r="B616" s="159" t="str">
        <x:v>Increase resilience by improving access to food, improving livelihoods and promoting dietary shifts and food waste reduction</x:v>
      </x:c>
      <x:c r="C616" s="159" t="str">
        <x:v>Water resources</x:v>
      </x:c>
      <x:c r="D616" s="159" t="str">
        <x:v>Exposure</x:v>
      </x:c>
      <x:c r="E616" s="153" t="str"/>
      <x:c r="F616" s="153" t="str"/>
      <x:c r="G616" s="159" t="str">
        <x:v>Not eligible</x:v>
      </x:c>
      <x:c r="H616" s="159" t="str">
        <x:v>Not applicable</x:v>
      </x:c>
      <x:c r="I616" s="159" t="str">
        <x:v>Not applicable</x:v>
      </x:c>
      <x:c r="J616" s="159" t="str">
        <x:v>Not applicable</x:v>
      </x:c>
      <x:c r="K616" s="159" t="str">
        <x:v>No</x:v>
      </x:c>
      <x:c r="L616" s="159" t="str">
        <x:v>5-10 years</x:v>
      </x:c>
      <x:c r="M616" s="168" t="n">
        <x:v>0</x:v>
      </x:c>
      <x:c r="N616" s="168" t="n">
        <x:v>0</x:v>
      </x:c>
      <x:c r="O616" s="159" t="str"/>
      <x:c r="P616" s="159" t="str"/>
      <x:c r="Q616" s="159" t="str">
        <x:v>The action's primary mechanism does not directly change a terminal Water Resources exposure indicator.</x:v>
      </x:c>
      <x:c r="R616" s="160" t="str">
        <x:v>Increase resilience through improved food production, distribution, and consumption practices. Actions include enhancing agricultural techniques, adopting water-saving technologies, implementing low-cost storage solutions, and promoting plant-based diets. Policymakers can encourage these behaviors with appropriate pricing policies, sustainable agriculture initiatives, and support for disadvantaged groups. The action emphasizes shifting to healthier diets, reducing overconsumption, and supporting local food systems to mitigate greenhouse gas emissions and ensure food security under climate change.</x:v>
      </x:c>
    </x:row>
    <x:row r="617" ht="66" customHeight="1">
      <x:c r="A617" s="165" t="str">
        <x:v>ipcc_0099</x:v>
      </x:c>
      <x:c r="B617" s="159" t="str">
        <x:v>Increase Water Capture and Storage</x:v>
      </x:c>
      <x:c r="C617" s="159" t="str">
        <x:v>Water resources</x:v>
      </x:c>
      <x:c r="D617" s="159" t="str">
        <x:v>Exposure</x:v>
      </x:c>
      <x:c r="E617" s="153" t="str"/>
      <x:c r="F617" s="153" t="str"/>
      <x:c r="G617" s="159" t="str">
        <x:v>Not eligible</x:v>
      </x:c>
      <x:c r="H617" s="159" t="str">
        <x:v>Not applicable</x:v>
      </x:c>
      <x:c r="I617" s="159" t="str">
        <x:v>Not applicable</x:v>
      </x:c>
      <x:c r="J617" s="159" t="str">
        <x:v>Not applicable</x:v>
      </x:c>
      <x:c r="K617" s="159" t="str">
        <x:v>No</x:v>
      </x:c>
      <x:c r="L617" s="159" t="str">
        <x:v>5-10 years</x:v>
      </x:c>
      <x:c r="M617" s="168" t="n">
        <x:v>0</x:v>
      </x:c>
      <x:c r="N617" s="168" t="n">
        <x:v>0</x:v>
      </x:c>
      <x:c r="O617" s="159" t="str"/>
      <x:c r="P617" s="159" t="str"/>
      <x:c r="Q617" s="159" t="str">
        <x:v>The action changes water supply and storage capacity, not the presence, location, or number of users exposed to water stress.</x:v>
      </x:c>
      <x:c r="R617" s="160" t="str">
        <x:v>Implementation of water harvesting and storage solutions, such as on-farm ponds, water body revitalization, rain gardens, bioswales, retention ponds, pumped storage, and water storage tanks. These measures aim to mitigate climate-induced impacts by improving water management, reducing stormwater runoff, improving water quality, and supporting agriculture and energy production in changing climate scenarios. Water reservoirs and multipurpose dams offer additional benefits by addressing water scarcity and managing risks associated with natural disasters. These adaptation strategies contribute to sustainable water use and resilience to climate-related challenges.</x:v>
      </x:c>
    </x:row>
    <x:row r="618" ht="66" customHeight="1">
      <x:c r="A618" s="165" t="str">
        <x:v>ipcc_0104</x:v>
      </x:c>
      <x:c r="B618" s="159" t="str">
        <x:v>Plan and support permanent climate‑related migration</x:v>
      </x:c>
      <x:c r="C618" s="159" t="str">
        <x:v>Water resources</x:v>
      </x:c>
      <x:c r="D618" s="159" t="str">
        <x:v>Vulnerability</x:v>
      </x:c>
      <x:c r="E618" s="153" t="str"/>
      <x:c r="F618" s="153" t="str"/>
      <x:c r="G618" s="159" t="str">
        <x:v>Not eligible</x:v>
      </x:c>
      <x:c r="H618" s="159" t="str">
        <x:v>Not applicable</x:v>
      </x:c>
      <x:c r="I618" s="159" t="str">
        <x:v>Not applicable</x:v>
      </x:c>
      <x:c r="J618" s="159" t="str">
        <x:v>Not applicable</x:v>
      </x:c>
      <x:c r="K618" s="159" t="str">
        <x:v>No</x:v>
      </x:c>
      <x:c r="L618" s="159" t="str">
        <x:v>5-10 years</x:v>
      </x:c>
      <x:c r="M618" s="168" t="n">
        <x:v>0</x:v>
      </x:c>
      <x:c r="N618" s="168" t="n">
        <x:v>0</x:v>
      </x:c>
      <x:c r="O618" s="159" t="str"/>
      <x:c r="P618" s="159" t="str"/>
      <x:c r="Q618" s="159" t="str">
        <x:v>The action's primary mechanism is planned movement and resettlement, not a direct change to a Water Resources vulnerability indicator.</x:v>
      </x:c>
      <x:c r="R618" s="160" t="str">
        <x:v>Resettlement of communities from flood-prone areas and rural–urban migration as a strategy to mitigate vulnerabilities caused by climate change. This includes addressing urbanization challenges, such as unplanned development, water insecurity, and socioeconomic disparities, while providing equitable opportunities for migrants in urban centers. Measures include enhancing urban planning, water resource management, and social support systems for displaced populations.</x:v>
      </x:c>
    </x:row>
    <x:row r="619" ht="66" customHeight="1">
      <x:c r="A619" s="165" t="str">
        <x:v>ipcc_0083</x:v>
      </x:c>
      <x:c r="B619" s="159" t="str">
        <x:v>Plan strategic coastal retreat for vulnerable communities</x:v>
      </x:c>
      <x:c r="C619" s="159" t="str">
        <x:v>Water resources</x:v>
      </x:c>
      <x:c r="D619" s="159" t="str">
        <x:v>Vulnerability</x:v>
      </x:c>
      <x:c r="E619" s="153" t="str"/>
      <x:c r="F619" s="153" t="str"/>
      <x:c r="G619" s="159" t="str">
        <x:v>Not eligible</x:v>
      </x:c>
      <x:c r="H619" s="159" t="str">
        <x:v>Not applicable</x:v>
      </x:c>
      <x:c r="I619" s="159" t="str">
        <x:v>Not applicable</x:v>
      </x:c>
      <x:c r="J619" s="159" t="str">
        <x:v>Not applicable</x:v>
      </x:c>
      <x:c r="K619" s="159" t="str">
        <x:v>No</x:v>
      </x:c>
      <x:c r="L619" s="159" t="str">
        <x:v>&gt;10 years</x:v>
      </x:c>
      <x:c r="M619" s="168" t="n">
        <x:v>0</x:v>
      </x:c>
      <x:c r="N619" s="168" t="n">
        <x:v>0</x:v>
      </x:c>
      <x:c r="O619" s="159" t="str"/>
      <x:c r="P619" s="159" t="str"/>
      <x:c r="Q619" s="159" t="str">
        <x:v>The action's primary mechanism does not directly change a terminal Water Resources vulnerability indicator.</x:v>
      </x:c>
      <x:c r="R619" s="160" t="str">
        <x:v>Planned relocation and retreat of people, assets, and activities from coastal hazard zones to reduce exposure and risks caused by sea-level rise and associated coastal hazards.</x:v>
      </x:c>
    </x:row>
    <x:row r="620" ht="66" customHeight="1">
      <x:c r="A620" s="165" t="str">
        <x:v>icare_0173</x:v>
      </x:c>
      <x:c r="B620" s="159" t="str">
        <x:v>Preventive maintenance of drainage systems</x:v>
      </x:c>
      <x:c r="C620" s="159" t="str">
        <x:v>Water resources</x:v>
      </x:c>
      <x:c r="D620" s="159" t="str">
        <x:v>Exposure</x:v>
      </x:c>
      <x:c r="E620" s="153" t="str"/>
      <x:c r="F620" s="153" t="str"/>
      <x:c r="G620" s="159" t="str">
        <x:v>Not eligible</x:v>
      </x:c>
      <x:c r="H620" s="159" t="str">
        <x:v>Not applicable</x:v>
      </x:c>
      <x:c r="I620" s="159" t="str">
        <x:v>Not applicable</x:v>
      </x:c>
      <x:c r="J620" s="159" t="str">
        <x:v>Not applicable</x:v>
      </x:c>
      <x:c r="K620" s="159" t="str">
        <x:v>No</x:v>
      </x:c>
      <x:c r="L620" s="159" t="str">
        <x:v>5-10 years</x:v>
      </x:c>
      <x:c r="M620" s="168" t="n">
        <x:v>0</x:v>
      </x:c>
      <x:c r="N620" s="168" t="n">
        <x:v>0</x:v>
      </x:c>
      <x:c r="O620" s="159" t="str"/>
      <x:c r="P620" s="159" t="str"/>
      <x:c r="Q620" s="159" t="str">
        <x:v>The action's primary mechanism does not directly change a terminal Water Resources exposure indicator.</x:v>
      </x:c>
      <x:c r="R620" s="160" t="str">
        <x:v>Regular upkeep and cleaning of urban drainage systems, including storm drains, sewers, and retention basins, to ensure efficient water flow and prevent blockages that can lead to flooding during heavy rainfall events.</x:v>
      </x:c>
    </x:row>
    <x:row r="621" ht="66" customHeight="1">
      <x:c r="A621" s="165" t="str">
        <x:v>c40_0053</x:v>
      </x:c>
      <x:c r="B621" s="159" t="str">
        <x:v>Promote water-saving technologies and practices</x:v>
      </x:c>
      <x:c r="C621" s="159" t="str">
        <x:v>Water resources</x:v>
      </x:c>
      <x:c r="D621" s="159" t="str">
        <x:v>Exposure</x:v>
      </x:c>
      <x:c r="E621" s="153" t="str"/>
      <x:c r="F621" s="153" t="str"/>
      <x:c r="G621" s="159" t="str">
        <x:v>Not eligible</x:v>
      </x:c>
      <x:c r="H621" s="159" t="str">
        <x:v>Not applicable</x:v>
      </x:c>
      <x:c r="I621" s="159" t="str">
        <x:v>Not applicable</x:v>
      </x:c>
      <x:c r="J621" s="159" t="str">
        <x:v>Not applicable</x:v>
      </x:c>
      <x:c r="K621" s="159" t="str">
        <x:v>No</x:v>
      </x:c>
      <x:c r="L621" s="159" t="str">
        <x:v>5-10 years</x:v>
      </x:c>
      <x:c r="M621" s="168" t="n">
        <x:v>0</x:v>
      </x:c>
      <x:c r="N621" s="168" t="n">
        <x:v>0</x:v>
      </x:c>
      <x:c r="O621" s="159" t="str"/>
      <x:c r="P621" s="159" t="str"/>
      <x:c r="Q621" s="159" t="str">
        <x:v>The action reduces water use and inefficiency; it does not change the presence, location, or number of users exposed to water stress.</x:v>
      </x:c>
      <x:c r="R621" s="160" t="str">
        <x:v>Encourages the adoption of water-saving technologies and practices to conserve water resources and strengthen resilience to climate change. This includes measures such as rainwater harvesting, low-flow appliances, leak detection systems, and municipal incentive programs that support households and businesses in reducing consumption. These actions enhance sustainable water use and complement broader eco-engineering and adaptation efforts.</x:v>
      </x:c>
    </x:row>
    <x:row r="622" ht="66" customHeight="1">
      <x:c r="A622" s="165" t="str">
        <x:v>c40_0051</x:v>
      </x:c>
      <x:c r="B622" s="159" t="str">
        <x:v>Provide public shading in heat hotspots</x:v>
      </x:c>
      <x:c r="C622" s="159" t="str">
        <x:v>Water resources</x:v>
      </x:c>
      <x:c r="D622" s="159" t="str">
        <x:v>Exposure</x:v>
      </x:c>
      <x:c r="E622" s="153" t="str"/>
      <x:c r="F622" s="153" t="str"/>
      <x:c r="G622" s="159" t="str">
        <x:v>Not eligible</x:v>
      </x:c>
      <x:c r="H622" s="159" t="str">
        <x:v>Not applicable</x:v>
      </x:c>
      <x:c r="I622" s="159" t="str">
        <x:v>Not applicable</x:v>
      </x:c>
      <x:c r="J622" s="159" t="str">
        <x:v>Not applicable</x:v>
      </x:c>
      <x:c r="K622" s="159" t="str">
        <x:v>No</x:v>
      </x:c>
      <x:c r="L622" s="159" t="str">
        <x:v>&lt;5 years</x:v>
      </x:c>
      <x:c r="M622" s="168" t="n">
        <x:v>0</x:v>
      </x:c>
      <x:c r="N622" s="168" t="n">
        <x:v>0</x:v>
      </x:c>
      <x:c r="O622" s="159" t="str"/>
      <x:c r="P622" s="159" t="str"/>
      <x:c r="Q622" s="159" t="str">
        <x:v>The action's primary mechanism does not directly change a terminal Water Resources exposure indicator.</x:v>
      </x:c>
      <x:c r="R622" s="160" t="str">
        <x:v>"Provide public shading in heat hotspots" involves the implementation of shade structures in public spaces, such as shade sails and canopies, and drought-tolerant trees, contributing to eco-engineering efforts. This adaptation measure enhances outdoor comfort, reduces heat stress, and promotes sustainable urban design.</x:v>
      </x:c>
    </x:row>
    <x:row r="623" ht="66" customHeight="1">
      <x:c r="A623" s="165" t="str">
        <x:v>c40_0051</x:v>
      </x:c>
      <x:c r="B623" s="159" t="str">
        <x:v>Provide public shading in heat hotspots</x:v>
      </x:c>
      <x:c r="C623" s="159" t="str">
        <x:v>Water resources</x:v>
      </x:c>
      <x:c r="D623" s="159" t="str">
        <x:v>Vulnerability</x:v>
      </x:c>
      <x:c r="E623" s="153" t="str"/>
      <x:c r="F623" s="153" t="str"/>
      <x:c r="G623" s="159" t="str">
        <x:v>Not eligible</x:v>
      </x:c>
      <x:c r="H623" s="159" t="str">
        <x:v>Not applicable</x:v>
      </x:c>
      <x:c r="I623" s="159" t="str">
        <x:v>Not applicable</x:v>
      </x:c>
      <x:c r="J623" s="159" t="str">
        <x:v>Not applicable</x:v>
      </x:c>
      <x:c r="K623" s="159" t="str">
        <x:v>No</x:v>
      </x:c>
      <x:c r="L623" s="159" t="str">
        <x:v>&lt;5 years</x:v>
      </x:c>
      <x:c r="M623" s="168" t="n">
        <x:v>0</x:v>
      </x:c>
      <x:c r="N623" s="168" t="n">
        <x:v>0</x:v>
      </x:c>
      <x:c r="O623" s="159" t="str"/>
      <x:c r="P623" s="159" t="str"/>
      <x:c r="Q623" s="159" t="str">
        <x:v>The action's primary mechanism does not directly change a terminal Water Resources vulnerability indicator.</x:v>
      </x:c>
      <x:c r="R623" s="160" t="str">
        <x:v>"Provide public shading in heat hotspots" involves the implementation of shade structures in public spaces, such as shade sails and canopies, and drought-tolerant trees, contributing to eco-engineering efforts. This adaptation measure enhances outdoor comfort, reduces heat stress, and promotes sustainable urban design.</x:v>
      </x:c>
    </x:row>
    <x:row r="624" ht="66" customHeight="1">
      <x:c r="A624" s="165" t="str">
        <x:v>ipcc_0085</x:v>
      </x:c>
      <x:c r="B624" s="159" t="str">
        <x:v>Reduce pressures on ecosystems to build resilience</x:v>
      </x:c>
      <x:c r="C624" s="159" t="str">
        <x:v>Water resources</x:v>
      </x:c>
      <x:c r="D624" s="159" t="str">
        <x:v>Exposure</x:v>
      </x:c>
      <x:c r="E624" s="153" t="str"/>
      <x:c r="F624" s="153" t="str"/>
      <x:c r="G624" s="159" t="str">
        <x:v>Not eligible</x:v>
      </x:c>
      <x:c r="H624" s="159" t="str">
        <x:v>Not applicable</x:v>
      </x:c>
      <x:c r="I624" s="159" t="str">
        <x:v>Not applicable</x:v>
      </x:c>
      <x:c r="J624" s="159" t="str">
        <x:v>Not applicable</x:v>
      </x:c>
      <x:c r="K624" s="159" t="str">
        <x:v>No</x:v>
      </x:c>
      <x:c r="L624" s="159" t="str">
        <x:v>5-10 years</x:v>
      </x:c>
      <x:c r="M624" s="168" t="n">
        <x:v>0</x:v>
      </x:c>
      <x:c r="N624" s="168" t="n">
        <x:v>0</x:v>
      </x:c>
      <x:c r="O624" s="159" t="str"/>
      <x:c r="P624" s="159" t="str"/>
      <x:c r="Q624" s="159" t="str">
        <x:v>The action's primary mechanism does not directly change a terminal Water Resources exposure indicator.</x:v>
      </x:c>
      <x:c r="R624" s="160" t="str">
        <x:v>Reduce pollution, eutrophication, and anthropogenic pressures on natural systems, including marine and terrestrial ecosystems. Efforts include managing runoff, protecting sensitive habitats like the Great Barrier Reef, addressing non-climate drivers, promoting sustainable fisheries harvest, and increasing connectivity between natural areas to enhance ecosystem resilience.</x:v>
      </x:c>
    </x:row>
    <x:row r="625" ht="66" customHeight="1">
      <x:c r="A625" s="165" t="str">
        <x:v>c40_0062</x:v>
      </x:c>
      <x:c r="B625" s="159" t="str">
        <x:v>Reform water tariffs to support efficiency and equity</x:v>
      </x:c>
      <x:c r="C625" s="159" t="str">
        <x:v>Water resources</x:v>
      </x:c>
      <x:c r="D625" s="159" t="str">
        <x:v>Exposure</x:v>
      </x:c>
      <x:c r="E625" s="153" t="str"/>
      <x:c r="F625" s="153" t="str"/>
      <x:c r="G625" s="159" t="str">
        <x:v>Not eligible</x:v>
      </x:c>
      <x:c r="H625" s="159" t="str">
        <x:v>Not applicable</x:v>
      </x:c>
      <x:c r="I625" s="159" t="str">
        <x:v>Not applicable</x:v>
      </x:c>
      <x:c r="J625" s="159" t="str">
        <x:v>Not applicable</x:v>
      </x:c>
      <x:c r="K625" s="159" t="str">
        <x:v>No</x:v>
      </x:c>
      <x:c r="L625" s="159" t="str">
        <x:v>5-10 years</x:v>
      </x:c>
      <x:c r="M625" s="168" t="n">
        <x:v>0</x:v>
      </x:c>
      <x:c r="N625" s="168" t="n">
        <x:v>0</x:v>
      </x:c>
      <x:c r="O625" s="159" t="str"/>
      <x:c r="P625" s="159" t="str"/>
      <x:c r="Q625" s="159" t="str">
        <x:v>The action's primary mechanism does not directly change a terminal Water Resources exposure indicator.</x:v>
      </x:c>
      <x:c r="R625" s="160" t="str">
        <x:v>"Reform water tariffs to support efficiency and equity" involve pricing structures for water use, encouraging conservation and efficient use of water resources. This initiative aims to promote responsible water consumption and contribute to sustainable water management.</x:v>
      </x:c>
    </x:row>
    <x:row r="626" ht="66" customHeight="1">
      <x:c r="A626" s="165" t="str">
        <x:v>ipcc_0084</x:v>
      </x:c>
      <x:c r="B626" s="159" t="str">
        <x:v>Restore/create natural areas</x:v>
      </x:c>
      <x:c r="C626" s="159" t="str">
        <x:v>Water resources</x:v>
      </x:c>
      <x:c r="D626" s="159" t="str">
        <x:v>Exposure</x:v>
      </x:c>
      <x:c r="E626" s="153" t="str"/>
      <x:c r="F626" s="153" t="str"/>
      <x:c r="G626" s="159" t="str">
        <x:v>Not eligible</x:v>
      </x:c>
      <x:c r="H626" s="159" t="str">
        <x:v>Not applicable</x:v>
      </x:c>
      <x:c r="I626" s="159" t="str">
        <x:v>Not applicable</x:v>
      </x:c>
      <x:c r="J626" s="159" t="str">
        <x:v>Not applicable</x:v>
      </x:c>
      <x:c r="K626" s="159" t="str">
        <x:v>No</x:v>
      </x:c>
      <x:c r="L626" s="159" t="str">
        <x:v>5-10 years</x:v>
      </x:c>
      <x:c r="M626" s="168" t="n">
        <x:v>0</x:v>
      </x:c>
      <x:c r="N626" s="168" t="n">
        <x:v>0</x:v>
      </x:c>
      <x:c r="O626" s="159" t="str"/>
      <x:c r="P626" s="159" t="str"/>
      <x:c r="Q626" s="159" t="str">
        <x:v>The action's primary mechanism does not directly change a terminal Water Resources exposure indicator.</x:v>
      </x:c>
      <x:c r="R626" s="160" t="str">
        <x:v>Restoration and conservation of marine and coastal habitats, such as mangroves, vegetated dunes, seagrasses, coral reefs, and kelp forests, to protect coastal communities, support biodiversity, sequester carbon, and mitigate climate change. Efforts include creating marine protected areas, active restoration of coral reefs, ridge-to-reef management, restoring dunes, planting salinity-tolerant trees, increasing forest cover, detect and manage forest pests.</x:v>
      </x:c>
    </x:row>
    <x:row r="627" ht="66" customHeight="1">
      <x:c r="A627" s="165" t="str">
        <x:v>ipcc_0096</x:v>
      </x:c>
      <x:c r="B627" s="159" t="str">
        <x:v>Strengthen climate resilience in farming and fisheries</x:v>
      </x:c>
      <x:c r="C627" s="159" t="str">
        <x:v>Water resources</x:v>
      </x:c>
      <x:c r="D627" s="159" t="str">
        <x:v>Exposure</x:v>
      </x:c>
      <x:c r="E627" s="153" t="str"/>
      <x:c r="F627" s="153" t="str"/>
      <x:c r="G627" s="159" t="str">
        <x:v>Not eligible</x:v>
      </x:c>
      <x:c r="H627" s="159" t="str">
        <x:v>Not applicable</x:v>
      </x:c>
      <x:c r="I627" s="159" t="str">
        <x:v>Not applicable</x:v>
      </x:c>
      <x:c r="J627" s="159" t="str">
        <x:v>Not applicable</x:v>
      </x:c>
      <x:c r="K627" s="159" t="str">
        <x:v>No</x:v>
      </x:c>
      <x:c r="L627" s="159" t="str">
        <x:v>5-10 years</x:v>
      </x:c>
      <x:c r="M627" s="168" t="n">
        <x:v>0</x:v>
      </x:c>
      <x:c r="N627" s="168" t="n">
        <x:v>0</x:v>
      </x:c>
      <x:c r="O627" s="159" t="str"/>
      <x:c r="P627" s="159" t="str"/>
      <x:c r="Q627" s="159" t="str">
        <x:v>The action's primary mechanism does not directly change a terminal Water Resources exposure indicator.</x:v>
      </x:c>
      <x:c r="R627" s="160" t="str">
        <x:v>Support the adoption of climate-smart agricultural and aquaculture practices by creating enabling conditions for farmers and fishers. Municipal governments can promote improved breeds, feed, and fertilizers, enhance irrigation efficiency, and foster aquaculture resilience through extension services, research partnerships, and targeted procurement. By offering incentives, technical assistance, and facilitating access to innovation and finance, cities can help producers adopt agroecological systems, diversify crops, and strengthen sustainable practices that build resilience to climate impacts.</x:v>
      </x:c>
    </x:row>
    <x:row r="628" ht="66" customHeight="1">
      <x:c r="A628" s="165" t="str">
        <x:v>ipcc_0094</x:v>
      </x:c>
      <x:c r="B628" s="159" t="str">
        <x:v>Strengthen climate‑resilient health services</x:v>
      </x:c>
      <x:c r="C628" s="159" t="str">
        <x:v>Water resources</x:v>
      </x:c>
      <x:c r="D628" s="159" t="str">
        <x:v>Exposure</x:v>
      </x:c>
      <x:c r="E628" s="153" t="str"/>
      <x:c r="F628" s="153" t="str"/>
      <x:c r="G628" s="159" t="str">
        <x:v>Not eligible</x:v>
      </x:c>
      <x:c r="H628" s="159" t="str">
        <x:v>Not applicable</x:v>
      </x:c>
      <x:c r="I628" s="159" t="str">
        <x:v>Not applicable</x:v>
      </x:c>
      <x:c r="J628" s="159" t="str">
        <x:v>Not applicable</x:v>
      </x:c>
      <x:c r="K628" s="159" t="str">
        <x:v>No</x:v>
      </x:c>
      <x:c r="L628" s="159" t="str">
        <x:v>5-10 years</x:v>
      </x:c>
      <x:c r="M628" s="168" t="n">
        <x:v>0</x:v>
      </x:c>
      <x:c r="N628" s="168" t="n">
        <x:v>0</x:v>
      </x:c>
      <x:c r="O628" s="159" t="str"/>
      <x:c r="P628" s="159" t="str"/>
      <x:c r="Q628" s="159" t="str">
        <x:v>The action's primary mechanism does not directly change a terminal Water Resources exposure indicator.</x:v>
      </x:c>
      <x:c r="R628" s="160" t="str">
        <x:v>Enhancing access to health care services, including health and nutrition services, clean water, sanitation, and culturally appropriate mental health resources. Expanding telemedicine capabilities enables efficient health service delivery, particularly for remote and underserved populations. Strengthening basic public health systems and disaster preparedness can rapidly reduce vulnerability to climate-related health risks.</x:v>
      </x:c>
    </x:row>
    <x:row r="629" ht="66" customHeight="1">
      <x:c r="A629" s="165" t="str">
        <x:v>c40_0046</x:v>
      </x:c>
      <x:c r="B629" s="159" t="str">
        <x:v>Strengthen coastal protection infrastructure</x:v>
      </x:c>
      <x:c r="C629" s="159" t="str">
        <x:v>Water resources</x:v>
      </x:c>
      <x:c r="D629" s="159" t="str">
        <x:v>Exposure</x:v>
      </x:c>
      <x:c r="E629" s="153" t="str"/>
      <x:c r="F629" s="153" t="str"/>
      <x:c r="G629" s="159" t="str">
        <x:v>Not eligible</x:v>
      </x:c>
      <x:c r="H629" s="159" t="str">
        <x:v>Not applicable</x:v>
      </x:c>
      <x:c r="I629" s="159" t="str">
        <x:v>Not applicable</x:v>
      </x:c>
      <x:c r="J629" s="159" t="str">
        <x:v>Not applicable</x:v>
      </x:c>
      <x:c r="K629" s="159" t="str">
        <x:v>No</x:v>
      </x:c>
      <x:c r="L629" s="159" t="str">
        <x:v>5-10 years</x:v>
      </x:c>
      <x:c r="M629" s="168" t="n">
        <x:v>0</x:v>
      </x:c>
      <x:c r="N629" s="168" t="n">
        <x:v>0</x:v>
      </x:c>
      <x:c r="O629" s="159" t="str"/>
      <x:c r="P629" s="159" t="str"/>
      <x:c r="Q629" s="159" t="str">
        <x:v>The action's primary mechanism does not directly change a terminal Water Resources exposure indicator.</x:v>
      </x:c>
      <x:c r="R629" s="160" t="str">
        <x:v>Strengthen coastal protection infrastructure strategies include the construction of sea walls and protective structures to mitigate the impact of rising sea levels and coastal erosion. This adaptation measure enhances the resilience of coastal areas and protects communities from the impacts of climate change. Crucially, these interventions must be developed through an integrated coastal management framework, prioritizing nature-based solutions where feasible, to avoid negative downstream effects and ensure equitable protection for all vulnerable communities.</x:v>
      </x:c>
    </x:row>
    <x:row r="630" ht="66" customHeight="1">
      <x:c r="A630" s="165" t="str">
        <x:v>c40_0046</x:v>
      </x:c>
      <x:c r="B630" s="159" t="str">
        <x:v>Strengthen coastal protection infrastructure</x:v>
      </x:c>
      <x:c r="C630" s="159" t="str">
        <x:v>Water resources</x:v>
      </x:c>
      <x:c r="D630" s="159" t="str">
        <x:v>Vulnerability</x:v>
      </x:c>
      <x:c r="E630" s="153" t="str"/>
      <x:c r="F630" s="153" t="str"/>
      <x:c r="G630" s="159" t="str">
        <x:v>Not eligible</x:v>
      </x:c>
      <x:c r="H630" s="159" t="str">
        <x:v>Not applicable</x:v>
      </x:c>
      <x:c r="I630" s="159" t="str">
        <x:v>Not applicable</x:v>
      </x:c>
      <x:c r="J630" s="159" t="str">
        <x:v>Not applicable</x:v>
      </x:c>
      <x:c r="K630" s="159" t="str">
        <x:v>No</x:v>
      </x:c>
      <x:c r="L630" s="159" t="str">
        <x:v>5-10 years</x:v>
      </x:c>
      <x:c r="M630" s="168" t="n">
        <x:v>0</x:v>
      </x:c>
      <x:c r="N630" s="168" t="n">
        <x:v>0</x:v>
      </x:c>
      <x:c r="O630" s="159" t="str"/>
      <x:c r="P630" s="159" t="str"/>
      <x:c r="Q630" s="159" t="str">
        <x:v>The action's primary mechanism does not directly change a terminal Water Resources vulnerability indicator.</x:v>
      </x:c>
      <x:c r="R630" s="160" t="str">
        <x:v>Strengthen coastal protection infrastructure strategies include the construction of sea walls and protective structures to mitigate the impact of rising sea levels and coastal erosion. This adaptation measure enhances the resilience of coastal areas and protects communities from the impacts of climate change. Crucially, these interventions must be developed through an integrated coastal management framework, prioritizing nature-based solutions where feasible, to avoid negative downstream effects and ensure equitable protection for all vulnerable communities.</x:v>
      </x:c>
    </x:row>
    <x:row r="631" ht="66" customHeight="1">
      <x:c r="A631" s="165" t="str">
        <x:v>ipcc_0103</x:v>
      </x:c>
      <x:c r="B631" s="159" t="str">
        <x:v>Strengthen cooperative climate governance</x:v>
      </x:c>
      <x:c r="C631" s="159" t="str">
        <x:v>Water resources</x:v>
      </x:c>
      <x:c r="D631" s="159" t="str">
        <x:v>Exposure</x:v>
      </x:c>
      <x:c r="E631" s="153" t="str"/>
      <x:c r="F631" s="153" t="str"/>
      <x:c r="G631" s="159" t="str">
        <x:v>Not eligible</x:v>
      </x:c>
      <x:c r="H631" s="159" t="str">
        <x:v>Not applicable</x:v>
      </x:c>
      <x:c r="I631" s="159" t="str">
        <x:v>Not applicable</x:v>
      </x:c>
      <x:c r="J631" s="159" t="str">
        <x:v>Not applicable</x:v>
      </x:c>
      <x:c r="K631" s="159" t="str">
        <x:v>No</x:v>
      </x:c>
      <x:c r="L631" s="159" t="str">
        <x:v>5-10 years</x:v>
      </x:c>
      <x:c r="M631" s="168" t="n">
        <x:v>0</x:v>
      </x:c>
      <x:c r="N631" s="168" t="n">
        <x:v>0</x:v>
      </x:c>
      <x:c r="O631" s="159" t="str"/>
      <x:c r="P631" s="159" t="str"/>
      <x:c r="Q631" s="159" t="str">
        <x:v>The action's primary mechanism does not directly change a terminal Water Resources exposure indicator.</x:v>
      </x:c>
      <x:c r="R631" s="160" t="str">
        <x:v>Enhancing cooperative governance through transboundary fishing agreements and inclusive ocean governance. This involves participatory approaches, structured decision-making tools, and decentralized frameworks that couple top-down management with community-driven initiatives. Additional strategies include collective water management systems to optimize resource use under climate-induced variability, indigenous water-sharing systems rooted in traditional practices to ensure sustainable and equitable resource allocation, and enforcing the land rights of Indigenous populations to protect biodiversity and cultural heritage. Adaptive co-management in Arctic fisheries integrates local and scientific knowledge to address climate impacts on marine resources. The international compact on migration fosters orderly and safe migration as an adaptive response to climate risks, and policies for adaptive governance promote ecosystem-based solutions, legal frameworks, and institutional adaptations to enhance resilience to climate change. These combined measures address geopolitical complexities, ensure equitable resource distribution, and strengthen resilience to climate-induced hazards.</x:v>
      </x:c>
    </x:row>
    <x:row r="632" ht="66" customHeight="1">
      <x:c r="A632" s="165" t="str">
        <x:v>icare_0162</x:v>
      </x:c>
      <x:c r="B632" s="159" t="str">
        <x:v>Strengthen programs for control and conservation of protected areas</x:v>
      </x:c>
      <x:c r="C632" s="159" t="str">
        <x:v>Water resources</x:v>
      </x:c>
      <x:c r="D632" s="159" t="str">
        <x:v>Exposure</x:v>
      </x:c>
      <x:c r="E632" s="153" t="str"/>
      <x:c r="F632" s="153" t="str"/>
      <x:c r="G632" s="159" t="str">
        <x:v>Not eligible</x:v>
      </x:c>
      <x:c r="H632" s="159" t="str">
        <x:v>Not applicable</x:v>
      </x:c>
      <x:c r="I632" s="159" t="str">
        <x:v>Not applicable</x:v>
      </x:c>
      <x:c r="J632" s="159" t="str">
        <x:v>Not applicable</x:v>
      </x:c>
      <x:c r="K632" s="159" t="str">
        <x:v>No</x:v>
      </x:c>
      <x:c r="L632" s="159" t="str">
        <x:v>5-10 years</x:v>
      </x:c>
      <x:c r="M632" s="168" t="n">
        <x:v>0</x:v>
      </x:c>
      <x:c r="N632" s="168" t="n">
        <x:v>0</x:v>
      </x:c>
      <x:c r="O632" s="159" t="str"/>
      <x:c r="P632" s="159" t="str"/>
      <x:c r="Q632" s="159" t="str">
        <x:v>The action's primary mechanism does not directly change a terminal Water Resources exposure indicator.</x:v>
      </x:c>
      <x:c r="R632" s="160" t="str">
        <x:v>This action focuses on implementing a series of integrated strategies to enhance environmental conservation and maximize its benefits, such as expanding protected areas, developing management plans for conservation units, and training ecotourism guides to strengthen sustainable tourism.</x:v>
      </x:c>
    </x:row>
    <x:row r="633" ht="66" customHeight="1">
      <x:c r="A633" s="165" t="str">
        <x:v>icare_0145</x:v>
      </x:c>
      <x:c r="B633" s="159" t="str">
        <x:v>Strengthen the healthcare system to respond effectively to extreme events</x:v>
      </x:c>
      <x:c r="C633" s="159" t="str">
        <x:v>Water resources</x:v>
      </x:c>
      <x:c r="D633" s="159" t="str">
        <x:v>Exposure</x:v>
      </x:c>
      <x:c r="E633" s="153" t="str"/>
      <x:c r="F633" s="153" t="str"/>
      <x:c r="G633" s="159" t="str">
        <x:v>Not eligible</x:v>
      </x:c>
      <x:c r="H633" s="159" t="str">
        <x:v>Not applicable</x:v>
      </x:c>
      <x:c r="I633" s="159" t="str">
        <x:v>Not applicable</x:v>
      </x:c>
      <x:c r="J633" s="159" t="str">
        <x:v>Not applicable</x:v>
      </x:c>
      <x:c r="K633" s="159" t="str">
        <x:v>No</x:v>
      </x:c>
      <x:c r="L633" s="159" t="str">
        <x:v>&gt;10 years</x:v>
      </x:c>
      <x:c r="M633" s="168" t="n">
        <x:v>0</x:v>
      </x:c>
      <x:c r="N633" s="168" t="n">
        <x:v>0</x:v>
      </x:c>
      <x:c r="O633" s="159" t="str"/>
      <x:c r="P633" s="159" t="str"/>
      <x:c r="Q633" s="159" t="str">
        <x:v>The action's primary mechanism does not directly change a terminal Water Resources exposure indicator.</x:v>
      </x:c>
      <x:c r="R633" s="160" t="str">
        <x:v>Improve the infrastructure of healthcare units to assist people who require medical care due to impacts associated with climate risks (climate victims), such as those affected by heat waves or floods, especially in more vulnerable areas. Develop action plans to prepare the healthcare network for extreme climate-related situations.</x:v>
      </x:c>
    </x:row>
    <x:row r="634" ht="66" customHeight="1">
      <x:c r="A634" s="165" t="str">
        <x:v>icare_0145</x:v>
      </x:c>
      <x:c r="B634" s="159" t="str">
        <x:v>Strengthen the healthcare system to respond effectively to extreme events</x:v>
      </x:c>
      <x:c r="C634" s="159" t="str">
        <x:v>Water resources</x:v>
      </x:c>
      <x:c r="D634" s="159" t="str">
        <x:v>Vulnerability</x:v>
      </x:c>
      <x:c r="E634" s="153" t="str"/>
      <x:c r="F634" s="153" t="str"/>
      <x:c r="G634" s="159" t="str">
        <x:v>Not eligible</x:v>
      </x:c>
      <x:c r="H634" s="159" t="str">
        <x:v>Not applicable</x:v>
      </x:c>
      <x:c r="I634" s="159" t="str">
        <x:v>Not applicable</x:v>
      </x:c>
      <x:c r="J634" s="159" t="str">
        <x:v>Not applicable</x:v>
      </x:c>
      <x:c r="K634" s="159" t="str">
        <x:v>No</x:v>
      </x:c>
      <x:c r="L634" s="159" t="str">
        <x:v>&gt;10 years</x:v>
      </x:c>
      <x:c r="M634" s="168" t="n">
        <x:v>0</x:v>
      </x:c>
      <x:c r="N634" s="168" t="n">
        <x:v>0</x:v>
      </x:c>
      <x:c r="O634" s="159" t="str"/>
      <x:c r="P634" s="159" t="str"/>
      <x:c r="Q634" s="159" t="str">
        <x:v>The action's primary mechanism does not directly change a terminal Water Resources vulnerability indicator.</x:v>
      </x:c>
      <x:c r="R634" s="160" t="str">
        <x:v>Improve the infrastructure of healthcare units to assist people who require medical care due to impacts associated with climate risks (climate victims), such as those affected by heat waves or floods, especially in more vulnerable areas. Develop action plans to prepare the healthcare network for extreme climate-related situations.</x:v>
      </x:c>
    </x:row>
    <x:row r="635" ht="66" customHeight="1">
      <x:c r="A635" s="165" t="str">
        <x:v>ipcc_0091</x:v>
      </x:c>
      <x:c r="B635" s="159" t="str">
        <x:v>Support livelihood diversification for climate resilience</x:v>
      </x:c>
      <x:c r="C635" s="159" t="str">
        <x:v>Water resources</x:v>
      </x:c>
      <x:c r="D635" s="159" t="str">
        <x:v>Exposure</x:v>
      </x:c>
      <x:c r="E635" s="153" t="str"/>
      <x:c r="F635" s="153" t="str"/>
      <x:c r="G635" s="159" t="str">
        <x:v>Not eligible</x:v>
      </x:c>
      <x:c r="H635" s="159" t="str">
        <x:v>Not applicable</x:v>
      </x:c>
      <x:c r="I635" s="159" t="str">
        <x:v>Not applicable</x:v>
      </x:c>
      <x:c r="J635" s="159" t="str">
        <x:v>Not applicable</x:v>
      </x:c>
      <x:c r="K635" s="159" t="str">
        <x:v>No</x:v>
      </x:c>
      <x:c r="L635" s="159" t="str">
        <x:v>&lt;5 years</x:v>
      </x:c>
      <x:c r="M635" s="168" t="n">
        <x:v>0</x:v>
      </x:c>
      <x:c r="N635" s="168" t="n">
        <x:v>0</x:v>
      </x:c>
      <x:c r="O635" s="159" t="str"/>
      <x:c r="P635" s="159" t="str"/>
      <x:c r="Q635" s="159" t="str">
        <x:v>The action's primary mechanism does not directly change a terminal Water Resources exposure indicator.</x:v>
      </x:c>
      <x:c r="R635" s="160" t="str">
        <x:v>Promote alternative income opportunities to reduce the vulnerability of communities dependent on fisheries and mariculture. Municipal governments can facilitate training, microcredit programs, and connections to value chains that enable diversification into eco-tourism, agro-processing, crafts, and service sectors. By supporting infrastructure upgrades, skills development, and access to finance, cities can help stabilize incomes, strengthen local economies, and protect livelihoods from the impacts of shifting marine species distributions and climate variability.</x:v>
      </x:c>
    </x:row>
    <x:row r="636" ht="66" customHeight="1">
      <x:c r="A636" s="165" t="str">
        <x:v>ipcc_0088</x:v>
      </x:c>
      <x:c r="B636" s="159" t="str">
        <x:v>Update and enforce climate‑resilient building codes</x:v>
      </x:c>
      <x:c r="C636" s="159" t="str">
        <x:v>Water resources</x:v>
      </x:c>
      <x:c r="D636" s="159" t="str">
        <x:v>Exposure</x:v>
      </x:c>
      <x:c r="E636" s="153" t="str"/>
      <x:c r="F636" s="153" t="str"/>
      <x:c r="G636" s="159" t="str">
        <x:v>Not eligible</x:v>
      </x:c>
      <x:c r="H636" s="159" t="str">
        <x:v>Not applicable</x:v>
      </x:c>
      <x:c r="I636" s="159" t="str">
        <x:v>Not applicable</x:v>
      </x:c>
      <x:c r="J636" s="159" t="str">
        <x:v>Not applicable</x:v>
      </x:c>
      <x:c r="K636" s="159" t="str">
        <x:v>No</x:v>
      </x:c>
      <x:c r="L636" s="159" t="str">
        <x:v>5-10 years</x:v>
      </x:c>
      <x:c r="M636" s="168" t="n">
        <x:v>0</x:v>
      </x:c>
      <x:c r="N636" s="168" t="n">
        <x:v>0</x:v>
      </x:c>
      <x:c r="O636" s="159" t="str"/>
      <x:c r="P636" s="159" t="str"/>
      <x:c r="Q636" s="159" t="str">
        <x:v>The action's primary mechanism does not directly change a terminal Water Resources exposure indicator.</x:v>
      </x:c>
      <x:c r="R636" s="160" t="str">
        <x:v>The development and implementation of building codes and architectural design regulations aimed at integrating climate adaptation parameters. These codes are focused on reducing risks from climate-induced hazards like floods and landslides. They also support climate-resilient urban development by guiding land use, construction practices, and infrastructure standards. The initiative fosters strategic long-term urban planning to coordinate public and private investments in adaptation, including the creation of safe zones and the transformation of precarious settlements. It ensures that new infrastructure is resilient to climate risks and that urban spaces are safe and sustainable for current and future populations.</x:v>
      </x:c>
    </x:row>
    <x:row r="637" ht="66" customHeight="1">
      <x:c r="A637" s="165" t="str">
        <x:v>ipcc_0097</x:v>
      </x:c>
      <x:c r="B637" s="159" t="str">
        <x:v>Upgrade food storage and distribution for climate resilience</x:v>
      </x:c>
      <x:c r="C637" s="159" t="str">
        <x:v>Water resources</x:v>
      </x:c>
      <x:c r="D637" s="159" t="str">
        <x:v>Exposure</x:v>
      </x:c>
      <x:c r="E637" s="153" t="str"/>
      <x:c r="F637" s="153" t="str"/>
      <x:c r="G637" s="159" t="str">
        <x:v>Not eligible</x:v>
      </x:c>
      <x:c r="H637" s="159" t="str">
        <x:v>Not applicable</x:v>
      </x:c>
      <x:c r="I637" s="159" t="str">
        <x:v>Not applicable</x:v>
      </x:c>
      <x:c r="J637" s="159" t="str">
        <x:v>Not applicable</x:v>
      </x:c>
      <x:c r="K637" s="159" t="str">
        <x:v>No</x:v>
      </x:c>
      <x:c r="L637" s="159" t="str">
        <x:v>5-10 years</x:v>
      </x:c>
      <x:c r="M637" s="168" t="n">
        <x:v>0</x:v>
      </x:c>
      <x:c r="N637" s="168" t="n">
        <x:v>0</x:v>
      </x:c>
      <x:c r="O637" s="159" t="str"/>
      <x:c r="P637" s="159" t="str"/>
      <x:c r="Q637" s="159" t="str">
        <x:v>The action's primary mechanism does not directly change a terminal Water Resources exposure indicator.</x:v>
      </x:c>
      <x:c r="R637" s="160" t="str">
        <x:v>Strengthen local food systems by improving storage and distribution infrastructure to reduce losses and enhance resilience to climate impacts. Municipal governments can invest in public facilities such as cool storage units, silos, and warehouses, while upgrading logistics to handle perishable goods more efficiently. By supporting local markets, optimizing distribution networks, and facilitating access to reliable storage for producers and vendors, cities can improve food security, reduce waste, and ensure stable food availability during crises and extreme events.</x:v>
      </x:c>
    </x:row>
    <x:row r="638" ht="66" customHeight="1">
      <x:c r="A638" s="165" t="str">
        <x:v>ipcc_0097</x:v>
      </x:c>
      <x:c r="B638" s="159" t="str">
        <x:v>Upgrade food storage and distribution for climate resilience</x:v>
      </x:c>
      <x:c r="C638" s="159" t="str">
        <x:v>Water resources</x:v>
      </x:c>
      <x:c r="D638" s="159" t="str">
        <x:v>Vulnerability</x:v>
      </x:c>
      <x:c r="E638" s="153" t="str"/>
      <x:c r="F638" s="153" t="str"/>
      <x:c r="G638" s="159" t="str">
        <x:v>Not eligible</x:v>
      </x:c>
      <x:c r="H638" s="159" t="str">
        <x:v>Not applicable</x:v>
      </x:c>
      <x:c r="I638" s="159" t="str">
        <x:v>Not applicable</x:v>
      </x:c>
      <x:c r="J638" s="159" t="str">
        <x:v>Not applicable</x:v>
      </x:c>
      <x:c r="K638" s="159" t="str">
        <x:v>No</x:v>
      </x:c>
      <x:c r="L638" s="159" t="str">
        <x:v>5-10 years</x:v>
      </x:c>
      <x:c r="M638" s="168" t="n">
        <x:v>0</x:v>
      </x:c>
      <x:c r="N638" s="168" t="n">
        <x:v>0</x:v>
      </x:c>
      <x:c r="O638" s="159" t="str"/>
      <x:c r="P638" s="159" t="str"/>
      <x:c r="Q638" s="159" t="str">
        <x:v>The action's primary mechanism does not directly change a terminal Water Resources vulnerability indicator.</x:v>
      </x:c>
      <x:c r="R638" s="160" t="str">
        <x:v>Strengthen local food systems by improving storage and distribution infrastructure to reduce losses and enhance resilience to climate impacts. Municipal governments can invest in public facilities such as cool storage units, silos, and warehouses, while upgrading logistics to handle perishable goods more efficiently. By supporting local markets, optimizing distribution networks, and facilitating access to reliable storage for producers and vendors, cities can improve food security, reduce waste, and ensure stable food availability during crises and extreme events.</x:v>
      </x:c>
    </x:row>
    <x:row r="639" ht="66" customHeight="1">
      <x:c r="A639" s="165" t="str">
        <x:v>icare_0184</x:v>
      </x:c>
      <x:c r="B639" s="159" t="str">
        <x:v>Upgrade Slope stabilization and drainage</x:v>
      </x:c>
      <x:c r="C639" s="159" t="str">
        <x:v>Water resources</x:v>
      </x:c>
      <x:c r="D639" s="159" t="str">
        <x:v>Exposure</x:v>
      </x:c>
      <x:c r="E639" s="153" t="str"/>
      <x:c r="F639" s="153" t="str"/>
      <x:c r="G639" s="159" t="str">
        <x:v>Not eligible</x:v>
      </x:c>
      <x:c r="H639" s="159" t="str">
        <x:v>Not applicable</x:v>
      </x:c>
      <x:c r="I639" s="159" t="str">
        <x:v>Not applicable</x:v>
      </x:c>
      <x:c r="J639" s="159" t="str">
        <x:v>Not applicable</x:v>
      </x:c>
      <x:c r="K639" s="159" t="str">
        <x:v>No</x:v>
      </x:c>
      <x:c r="L639" s="159" t="str">
        <x:v>5-10 years</x:v>
      </x:c>
      <x:c r="M639" s="168" t="n">
        <x:v>0</x:v>
      </x:c>
      <x:c r="N639" s="168" t="n">
        <x:v>0</x:v>
      </x:c>
      <x:c r="O639" s="159" t="str"/>
      <x:c r="P639" s="159" t="str"/>
      <x:c r="Q639" s="159" t="str">
        <x:v>The action's primary mechanism does not directly change a terminal Water Resources exposure indicator.</x:v>
      </x:c>
      <x:c r="R639" s="160" t="str">
        <x:v>This action involves stabilizing slopes and maintaining or restoring drainage systems in hillside areas. This helps to prevent landslides and erosion, reducing the risk of disasters.</x:v>
      </x:c>
    </x:row>
    <x:row r="640" ht="66" customHeight="1">
      <x:c r="A640" s="166" t="str">
        <x:v>c40_0048</x:v>
      </x:c>
      <x:c r="B640" s="162" t="str">
        <x:v>Upgrade urban drainage systems</x:v>
      </x:c>
      <x:c r="C640" s="162" t="str">
        <x:v>Water resources</x:v>
      </x:c>
      <x:c r="D640" s="162" t="str">
        <x:v>Exposure</x:v>
      </x:c>
      <x:c r="E640" s="154" t="str"/>
      <x:c r="F640" s="154" t="str"/>
      <x:c r="G640" s="162" t="str">
        <x:v>Not eligible</x:v>
      </x:c>
      <x:c r="H640" s="162" t="str">
        <x:v>Not applicable</x:v>
      </x:c>
      <x:c r="I640" s="162" t="str">
        <x:v>Not applicable</x:v>
      </x:c>
      <x:c r="J640" s="162" t="str">
        <x:v>Not applicable</x:v>
      </x:c>
      <x:c r="K640" s="162" t="str">
        <x:v>No</x:v>
      </x:c>
      <x:c r="L640" s="162" t="str">
        <x:v>5-10 years</x:v>
      </x:c>
      <x:c r="M640" s="169" t="n">
        <x:v>0</x:v>
      </x:c>
      <x:c r="N640" s="169" t="n">
        <x:v>0</x:v>
      </x:c>
      <x:c r="O640" s="162" t="str"/>
      <x:c r="P640" s="162" t="str"/>
      <x:c r="Q640" s="162" t="str">
        <x:v>The action's primary mechanism does not directly change a terminal Water Resources exposure indicator.</x:v>
      </x:c>
      <x:c r="R640" s="163" t="str">
        <x:v>"Upgrade urban drainage systems" involves eco-engineering solutions to enhance drainage systems, through capacity upgrade and network expansion. This adaptation measure aims to improve urban resilience by minimizing the impact of extreme weather events such as flooding.</x:v>
      </x:c>
    </x:row>
  </x:sheetData>
  <x:mergeCells>
    <x:mergeCell ref="A1:R1"/>
    <x:mergeCell ref="A2:R2"/>
  </x:mergeCells>
  <x:conditionalFormatting sqref="E5:E640">
    <x:cfRule type="containsText" dxfId="0" priority="1" operator="containsText" text="Accept"/>
    <x:cfRule type="containsText" dxfId="1" priority="2" operator="containsText" text="Needs change"/>
    <x:cfRule type="containsText" dxfId="2" priority="3" operator="containsText" text="Discuss"/>
  </x:conditionalFormatting>
  <x:conditionalFormatting sqref="G5:G640">
    <x:cfRule type="containsText" dxfId="3" priority="4" operator="containsText" text="Eligible"/>
    <x:cfRule type="containsText" dxfId="4" priority="5" operator="containsText" text="Not eligible"/>
  </x:conditionalFormatting>
  <x:conditionalFormatting sqref="H5:H640">
    <x:cfRule type="containsText" dxfId="5" priority="6" operator="containsText" text="High"/>
    <x:cfRule type="containsText" dxfId="6" priority="7" operator="containsText" text="Medium"/>
    <x:cfRule type="containsText" dxfId="7" priority="8" operator="containsText" text="Low"/>
    <x:cfRule type="containsText" dxfId="8" priority="9" operator="containsText" text="None demonstrated"/>
  </x:conditionalFormatting>
  <x:conditionalFormatting sqref="O5:O640">
    <x:cfRule type="containsText" dxfId="9" priority="10" operator="containsText" text="Needs review"/>
  </x:conditionalFormatting>
  <x:dataValidations count="1">
    <x:dataValidation type="list" sqref="E5:E640">
      <x:formula1>"Accept,Needs change,Discuss"</x:formula1>
    </x:dataValidation>
  </x:dataValidations>
  <x:pageMargins left="0.7" right="0.7" top="0.75" bottom="0.75" header="0.3" footer="0.3"/>
  <x:tableParts count="1">
    <x:tablePart xmlns:r="http://schemas.openxmlformats.org/officeDocument/2006/relationships" r:id="Rb87d74bbcf12410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34" hidden="0" customWidth="1"/>
    <x:col min="3" max="3" width="24" hidden="0" customWidth="1"/>
    <x:col min="4" max="4" width="16" hidden="0" customWidth="1"/>
    <x:col min="5" max="5" width="18" hidden="0" customWidth="1"/>
    <x:col min="6" max="6" width="34" hidden="0" customWidth="1"/>
    <x:col min="7" max="7" width="42" hidden="0" customWidth="1"/>
    <x:col min="8" max="8" width="48" hidden="0" customWidth="1"/>
    <x:col min="9" max="9" width="11" hidden="0" customWidth="1"/>
    <x:col min="10" max="10" width="12" hidden="0" customWidth="1"/>
    <x:col min="11" max="11" width="18" hidden="0" customWidth="1"/>
    <x:col min="12" max="12" width="54" hidden="0" customWidth="1"/>
    <x:col min="13" max="13" width="14" hidden="0" customWidth="1"/>
    <x:col min="14" max="14" width="16" hidden="0" customWidth="1"/>
    <x:col min="15" max="15" width="17" hidden="0" customWidth="1"/>
    <x:col min="16" max="16" width="40" hidden="0" customWidth="1"/>
    <x:col min="17" max="17" width="72" hidden="0" customWidth="1"/>
    <x:col min="18" max="18" width="34" hidden="0" customWidth="1"/>
    <x:col min="19" max="19" width="19" hidden="0" customWidth="1"/>
  </x:cols>
  <x:sheetData>
    <x:row r="1" ht="32" customHeight="1">
      <x:c r="A1" s="3" t="str">
        <x:v>Evidence review</x:v>
      </x:c>
      <x:c r="B1" s="3"/>
      <x:c r="C1" s="3"/>
      <x:c r="D1" s="3"/>
      <x:c r="E1" s="3"/>
      <x:c r="F1" s="3"/>
      <x:c r="G1" s="3"/>
      <x:c r="H1" s="3"/>
      <x:c r="I1" s="3"/>
      <x:c r="J1" s="3"/>
      <x:c r="K1" s="3"/>
      <x:c r="L1" s="3"/>
      <x:c r="M1" s="3"/>
      <x:c r="N1" s="3"/>
      <x:c r="O1" s="3"/>
      <x:c r="P1" s="3"/>
      <x:c r="Q1" s="3"/>
      <x:c r="R1" s="3"/>
      <x:c r="S1" s="3"/>
    </x:row>
    <x:row r="2" ht="32" customHeight="1">
      <x:c r="A2" s="7" t="str">
        <x:v>One row per page-located evidence quote. Grounding is checked automatically; confirm every Check layout row against the linked PDF. Record feedback in the yellow columns.</x:v>
      </x:c>
      <x:c r="B2" s="7"/>
      <x:c r="C2" s="7"/>
      <x:c r="D2" s="7"/>
      <x:c r="E2" s="7"/>
      <x:c r="F2" s="7"/>
      <x:c r="G2" s="7"/>
      <x:c r="H2" s="7"/>
      <x:c r="I2" s="7"/>
      <x:c r="J2" s="7"/>
      <x:c r="K2" s="7"/>
      <x:c r="L2" s="7"/>
      <x:c r="M2" s="7"/>
      <x:c r="N2" s="7"/>
      <x:c r="O2" s="7"/>
      <x:c r="P2" s="7"/>
      <x:c r="Q2" s="7"/>
      <x:c r="R2" s="7"/>
      <x:c r="S2" s="7"/>
    </x:row>
    <x:row r="4" ht="36" customHeight="1">
      <x:c r="A4" s="128" t="str">
        <x:v>Action ID</x:v>
      </x:c>
      <x:c r="B4" s="129" t="str">
        <x:v>Action</x:v>
      </x:c>
      <x:c r="C4" s="129" t="str">
        <x:v>Sector</x:v>
      </x:c>
      <x:c r="D4" s="129" t="str">
        <x:v>Component</x:v>
      </x:c>
      <x:c r="E4" s="129" t="str">
        <x:v>ICare decision</x:v>
      </x:c>
      <x:c r="F4" s="129" t="str">
        <x:v>ICare feedback</x:v>
      </x:c>
      <x:c r="G4" s="129" t="str">
        <x:v>Evidence source</x:v>
      </x:c>
      <x:c r="H4" s="129" t="str">
        <x:v>Source URL</x:v>
      </x:c>
      <x:c r="I4" s="129" t="str">
        <x:v>PDF page</x:v>
      </x:c>
      <x:c r="J4" s="129" t="str">
        <x:v>Printed page</x:v>
      </x:c>
      <x:c r="K4" s="129" t="str">
        <x:v>Grounding</x:v>
      </x:c>
      <x:c r="L4" s="129" t="str">
        <x:v>Grounding note</x:v>
      </x:c>
      <x:c r="M4" s="129" t="str">
        <x:v>Direction</x:v>
      </x:c>
      <x:c r="N4" s="129" t="str">
        <x:v>Coverage scope</x:v>
      </x:c>
      <x:c r="O4" s="129" t="str">
        <x:v>Maladaptation signal</x:v>
      </x:c>
      <x:c r="P4" s="129" t="str">
        <x:v>Indicators addressed</x:v>
      </x:c>
      <x:c r="Q4" s="129" t="str">
        <x:v>Evidence quote</x:v>
      </x:c>
      <x:c r="R4" s="129" t="str">
        <x:v>Quantified result (when reported)</x:v>
      </x:c>
      <x:c r="S4" s="130" t="str">
        <x:v>Proposed effectiveness</x:v>
      </x:c>
    </x:row>
    <x:row r="5" ht="90" customHeight="1">
      <x:c r="A5" s="164" t="str">
        <x:v>c40_0052</x:v>
      </x:c>
      <x:c r="B5" s="156" t="str">
        <x:v>Deploy cool pavements and cool roofs on heat‑exposed streets and buildings</x:v>
      </x:c>
      <x:c r="C5" s="156" t="str">
        <x:v>Energy security</x:v>
      </x:c>
      <x:c r="D5" s="156" t="str">
        <x:v>Vulnerability</x:v>
      </x:c>
      <x:c r="E5" s="152" t="str"/>
      <x:c r="F5" s="152" t="str"/>
      <x:c r="G5" s="156" t="str">
        <x:v>Climate Change 2022: Impacts, Adaptation and Vulnerability</x:v>
      </x:c>
      <x:c r="H5" s="156" t="str">
        <x:v>https://www.ipcc.ch/report/ar6/wg2/downloads/report/IPCC_AR6_WGII_FullReport.pdf</x:v>
      </x:c>
      <x:c r="I5" s="167" t="n">
        <x:v>2452</x:v>
      </x:c>
      <x:c r="J5" s="156" t="str">
        <x:v>2440</x:v>
      </x:c>
      <x:c r="K5" s="156" t="str">
        <x:v>Check layout</x:v>
      </x:c>
      <x:c r="L5" s="156" t="str">
        <x:v>Quote text is present but PDF columns or tables changed its extraction order; ordered coverage is 72.4% and token coverage is 100.0%. Confirm visually during evidence review.</x:v>
      </x:c>
      <x:c r="M5" s="156" t="str">
        <x:v>Supports</x:v>
      </x:c>
      <x:c r="N5" s="156" t="str">
        <x:v>Whole action</x:v>
      </x:c>
      <x:c r="O5" s="156" t="str">
        <x:v>No</x:v>
      </x:c>
      <x:c r="P5" s="156" t="str">
        <x:v>Residential electrical consumption | Electrical energy intensity</x:v>
      </x:c>
      <x:c r="Q5" s="156" t="str">
        <x:v>Urban greening (e.g., tree planting; construction of stormwater retention areas; construction of green roofs and cool roofs; provision of rainwater barrels; pervious pavement materials) Mitigation, particularly avoided emissions; public health improvements—increases in physical activity, reductions in air and noise pollution, reduced urban heat island effect, improved mental health; urban flood risk management; water savings; energy savings</x:v>
      </x:c>
      <x:c r="R5" s="156" t="str"/>
      <x:c r="S5" s="157" t="str">
        <x:v>Medium</x:v>
      </x:c>
    </x:row>
    <x:row r="6" ht="90" customHeight="1">
      <x:c r="A6" s="165" t="str">
        <x:v>icare_0182</x:v>
      </x:c>
      <x:c r="B6" s="159" t="str">
        <x:v>Develop an Urban Afforestation Plan</x:v>
      </x:c>
      <x:c r="C6" s="159" t="str">
        <x:v>Energy security</x:v>
      </x:c>
      <x:c r="D6" s="159" t="str">
        <x:v>Vulnerability</x:v>
      </x:c>
      <x:c r="E6" s="153" t="str"/>
      <x:c r="F6" s="153" t="str"/>
      <x:c r="G6" s="159" t="str">
        <x:v>Climate Change 2022: Impacts, Adaptation and Vulnerability</x:v>
      </x:c>
      <x:c r="H6" s="159" t="str">
        <x:v>https://www.ipcc.ch/report/ar6/wg2/downloads/report/IPCC_AR6_WGII_FullReport.pdf</x:v>
      </x:c>
      <x:c r="I6" s="168" t="n">
        <x:v>2452</x:v>
      </x:c>
      <x:c r="J6" s="159" t="str">
        <x:v>2440</x:v>
      </x:c>
      <x:c r="K6" s="159" t="str">
        <x:v>Check layout</x:v>
      </x:c>
      <x:c r="L6" s="159" t="str">
        <x:v>Quote text is present but PDF columns or tables changed its extraction order; ordered coverage is 72.4% and token coverage is 100.0%. Confirm visually during evidence review.</x:v>
      </x:c>
      <x:c r="M6" s="159" t="str">
        <x:v>Supports</x:v>
      </x:c>
      <x:c r="N6" s="159" t="str">
        <x:v>Whole action</x:v>
      </x:c>
      <x:c r="O6" s="159" t="str">
        <x:v>No</x:v>
      </x:c>
      <x:c r="P6" s="159" t="str">
        <x:v>Residential electrical consumption | Electrical energy intensity</x:v>
      </x:c>
      <x:c r="Q6" s="159" t="str">
        <x:v>Urban greening (e.g., tree planting; construction of stormwater retention areas; construction of green roofs and cool roofs; provision of rainwater barrels; pervious pavement materials) Mitigation, particularly avoided emissions; public health improvements—increases in physical activity, reductions in air and noise pollution, reduced urban heat island effect, improved mental health; urban flood risk management; water savings; energy savings</x:v>
      </x:c>
      <x:c r="R6" s="159" t="str"/>
      <x:c r="S6" s="160" t="str">
        <x:v>Medium</x:v>
      </x:c>
    </x:row>
    <x:row r="7" ht="90" customHeight="1">
      <x:c r="A7" s="165" t="str">
        <x:v>icare_0180</x:v>
      </x:c>
      <x:c r="B7" s="159" t="str">
        <x:v>Expand urban green-blue networks and corridors</x:v>
      </x:c>
      <x:c r="C7" s="159" t="str">
        <x:v>Energy security</x:v>
      </x:c>
      <x:c r="D7" s="159" t="str">
        <x:v>Vulnerability</x:v>
      </x:c>
      <x:c r="E7" s="153" t="str"/>
      <x:c r="F7" s="153" t="str"/>
      <x:c r="G7" s="159" t="str">
        <x:v>Climate Change 2022: Impacts, Adaptation and Vulnerability</x:v>
      </x:c>
      <x:c r="H7" s="159" t="str">
        <x:v>https://www.ipcc.ch/report/ar6/wg2/downloads/report/IPCC_AR6_WGII_FullReport.pdf</x:v>
      </x:c>
      <x:c r="I7" s="168" t="n">
        <x:v>2452</x:v>
      </x:c>
      <x:c r="J7" s="159" t="str">
        <x:v>2440</x:v>
      </x:c>
      <x:c r="K7" s="159" t="str">
        <x:v>Check layout</x:v>
      </x:c>
      <x:c r="L7" s="159" t="str">
        <x:v>Quote text is present but PDF columns or tables changed its extraction order; ordered coverage is 72.4% and token coverage is 100.0%. Confirm visually during evidence review.</x:v>
      </x:c>
      <x:c r="M7" s="159" t="str">
        <x:v>Supports</x:v>
      </x:c>
      <x:c r="N7" s="159" t="str">
        <x:v>Part of action</x:v>
      </x:c>
      <x:c r="O7" s="159" t="str">
        <x:v>No</x:v>
      </x:c>
      <x:c r="P7" s="159" t="str">
        <x:v>Residential electrical consumption | Electrical energy intensity</x:v>
      </x:c>
      <x:c r="Q7" s="159" t="str">
        <x:v>Urban greening (e.g., tree planting; construction of stormwater retention areas; construction of green roofs and cool roofs; provision of rainwater barrels; pervious pavement materials) Mitigation, particularly avoided emissions; public health improvements—increases in physical activity, reductions in air and noise pollution, reduced urban heat island effect, improved mental health; urban flood risk management; water savings; energy savings</x:v>
      </x:c>
      <x:c r="R7" s="159" t="str"/>
      <x:c r="S7" s="160" t="str">
        <x:v>Low</x:v>
      </x:c>
    </x:row>
    <x:row r="8" ht="90" customHeight="1">
      <x:c r="A8" s="165" t="str">
        <x:v>ipcc_0086</x:v>
      </x:c>
      <x:c r="B8" s="159" t="str">
        <x:v>Implement ecosystem‑based adaptation measures</x:v>
      </x:c>
      <x:c r="C8" s="159" t="str">
        <x:v>Energy security</x:v>
      </x:c>
      <x:c r="D8" s="159" t="str">
        <x:v>Vulnerability</x:v>
      </x:c>
      <x:c r="E8" s="153" t="str"/>
      <x:c r="F8" s="153" t="str"/>
      <x:c r="G8" s="159" t="str">
        <x:v>Climate Change 2022: Impacts, Adaptation and Vulnerability</x:v>
      </x:c>
      <x:c r="H8" s="159" t="str">
        <x:v>https://www.ipcc.ch/report/ar6/wg2/downloads/report/IPCC_AR6_WGII_FullReport.pdf</x:v>
      </x:c>
      <x:c r="I8" s="168" t="n">
        <x:v>2452</x:v>
      </x:c>
      <x:c r="J8" s="159" t="str">
        <x:v>2440</x:v>
      </x:c>
      <x:c r="K8" s="159" t="str">
        <x:v>Check layout</x:v>
      </x:c>
      <x:c r="L8" s="159" t="str">
        <x:v>Quote text is present but PDF columns or tables changed its extraction order; ordered coverage is 72.4% and token coverage is 100.0%. Confirm visually during evidence review.</x:v>
      </x:c>
      <x:c r="M8" s="159" t="str">
        <x:v>Supports</x:v>
      </x:c>
      <x:c r="N8" s="159" t="str">
        <x:v>Part of action</x:v>
      </x:c>
      <x:c r="O8" s="159" t="str">
        <x:v>No</x:v>
      </x:c>
      <x:c r="P8" s="159" t="str">
        <x:v>Residential electrical consumption | Electrical energy intensity</x:v>
      </x:c>
      <x:c r="Q8" s="159" t="str">
        <x:v>Urban greening (e.g., tree planting; construction of stormwater retention areas; construction of green roofs and cool roofs; provision of rainwater barrels; pervious pavement materials) Mitigation, particularly avoided emissions; public health improvements—increases in physical activity, reductions in air and noise pollution, reduced urban heat island effect, improved mental health; urban flood risk management; water savings; energy savings</x:v>
      </x:c>
      <x:c r="R8" s="159" t="str"/>
      <x:c r="S8" s="160" t="str">
        <x:v>Low</x:v>
      </x:c>
    </x:row>
    <x:row r="9" ht="90" customHeight="1">
      <x:c r="A9" s="165" t="str">
        <x:v>ipcc_0078</x:v>
      </x:c>
      <x:c r="B9" s="159" t="str">
        <x:v>Implement green roofs and walls</x:v>
      </x:c>
      <x:c r="C9" s="159" t="str">
        <x:v>Energy security</x:v>
      </x:c>
      <x:c r="D9" s="159" t="str">
        <x:v>Vulnerability</x:v>
      </x:c>
      <x:c r="E9" s="153" t="str"/>
      <x:c r="F9" s="153" t="str"/>
      <x:c r="G9" s="159" t="str">
        <x:v>Climate Change 2022: Impacts, Adaptation and Vulnerability</x:v>
      </x:c>
      <x:c r="H9" s="159" t="str">
        <x:v>https://www.ipcc.ch/report/ar6/wg2/downloads/report/IPCC_AR6_WGII_FullReport.pdf</x:v>
      </x:c>
      <x:c r="I9" s="168" t="n">
        <x:v>2452</x:v>
      </x:c>
      <x:c r="J9" s="159" t="str">
        <x:v>2440</x:v>
      </x:c>
      <x:c r="K9" s="159" t="str">
        <x:v>Check layout</x:v>
      </x:c>
      <x:c r="L9" s="159" t="str">
        <x:v>Quote text is present but PDF columns or tables changed its extraction order; ordered coverage is 72.4% and token coverage is 100.0%. Confirm visually during evidence review.</x:v>
      </x:c>
      <x:c r="M9" s="159" t="str">
        <x:v>Supports</x:v>
      </x:c>
      <x:c r="N9" s="159" t="str">
        <x:v>Whole action</x:v>
      </x:c>
      <x:c r="O9" s="159" t="str">
        <x:v>No</x:v>
      </x:c>
      <x:c r="P9" s="159" t="str">
        <x:v>Residential electrical consumption | Electrical energy intensity</x:v>
      </x:c>
      <x:c r="Q9" s="159" t="str">
        <x:v>Urban greening (e.g., tree planting; construction of stormwater retention areas; construction of green roofs and cool roofs; provision of rainwater barrels; pervious pavement materials) Mitigation, particularly avoided emissions; public health improvements—increases in physical activity, reductions in air and noise pollution, reduced urban heat island effect, improved mental health; urban flood risk management; water savings; energy savings</x:v>
      </x:c>
      <x:c r="R9" s="159" t="str"/>
      <x:c r="S9" s="160" t="str">
        <x:v>Medium</x:v>
      </x:c>
    </x:row>
    <x:row r="10" ht="90" customHeight="1">
      <x:c r="A10" s="165" t="str">
        <x:v>ipcc_0100</x:v>
      </x:c>
      <x:c r="B10" s="159" t="str">
        <x:v>Improve Efficient water use/demand</x:v>
      </x:c>
      <x:c r="C10" s="159" t="str">
        <x:v>Energy security</x:v>
      </x:c>
      <x:c r="D10" s="159" t="str">
        <x:v>Vulnerability</x:v>
      </x:c>
      <x:c r="E10" s="153" t="str"/>
      <x:c r="F10" s="153" t="str"/>
      <x:c r="G10" s="159" t="str">
        <x:v>Climate Change 2022: Impacts, Adaptation and Vulnerability</x:v>
      </x:c>
      <x:c r="H10" s="159" t="str">
        <x:v>https://www.ipcc.ch/report/ar6/wg2/downloads/report/IPCC_AR6_WGII_FullReport.pdf</x:v>
      </x:c>
      <x:c r="I10" s="168" t="n">
        <x:v>111</x:v>
      </x:c>
      <x:c r="J10" s="159" t="str">
        <x:v>99</x:v>
      </x:c>
      <x:c r="K10" s="159" t="str">
        <x:v>Check layout</x:v>
      </x:c>
      <x:c r="L10" s="159" t="str">
        <x:v>Quote text is present but PDF columns or tables changed its extraction order; ordered coverage is 46.2% and token coverage is 100.0%. Confirm visually during evidence review.</x:v>
      </x:c>
      <x:c r="M10" s="159" t="str">
        <x:v>Supports</x:v>
      </x:c>
      <x:c r="N10" s="159" t="str">
        <x:v>Whole action</x:v>
      </x:c>
      <x:c r="O10" s="159" t="str">
        <x:v>No</x:v>
      </x:c>
      <x:c r="P10" s="159" t="str">
        <x:v>Energy stored in hydroelectric reservoirs</x:v>
      </x:c>
      <x:c r="Q10" s="159" t="str">
        <x:v>Efficient water use and water management especially in hydropower and combined cycle power plants in drought-prone areas have a high feasibility (high confidence) with multiple co-benefits (medium confidence). Water-related adaptation in the energy sector is highly effective up to 1.5°C but declines with increasing warming (medium confidence).</x:v>
      </x:c>
      <x:c r="R10" s="159" t="str"/>
      <x:c r="S10" s="160" t="str">
        <x:v>Medium</x:v>
      </x:c>
    </x:row>
    <x:row r="11" ht="90" customHeight="1">
      <x:c r="A11" s="165" t="str">
        <x:v>icare_0144</x:v>
      </x:c>
      <x:c r="B11" s="159" t="str">
        <x:v>Establish a financial support program for extreme weather events</x:v>
      </x:c>
      <x:c r="C11" s="159" t="str">
        <x:v>Food security</x:v>
      </x:c>
      <x:c r="D11" s="159" t="str">
        <x:v>Vulnerability</x:v>
      </x:c>
      <x:c r="E11" s="153" t="str"/>
      <x:c r="F11" s="153" t="str"/>
      <x:c r="G11" s="159" t="str">
        <x:v>Future of Food: Shaping a Climate-Smart Global Food System</x:v>
      </x:c>
      <x:c r="H11" s="159" t="str">
        <x:v>https://documents1.worldbank.org/curated/en/645981468189237140/pdf/100046-WP-PUBLIC-dislcose-7am-10-8-15-Box393216B.pdf</x:v>
      </x:c>
      <x:c r="I11" s="168" t="n">
        <x:v>22</x:v>
      </x:c>
      <x:c r="J11" s="159" t="str">
        <x:v>20</x:v>
      </x:c>
      <x:c r="K11" s="159" t="str">
        <x:v>Check layout</x:v>
      </x:c>
      <x:c r="L11" s="159" t="str">
        <x:v>Quote text is present but PDF columns or tables changed its extraction order; ordered coverage is 94.0% and token coverage is 98.8%. Confirm visually during evidence review.</x:v>
      </x:c>
      <x:c r="M11" s="159" t="str">
        <x:v>Supports</x:v>
      </x:c>
      <x:c r="N11" s="159" t="str">
        <x:v>Whole action</x:v>
      </x:c>
      <x:c r="O11" s="159" t="str">
        <x:v>No</x:v>
      </x:c>
      <x:c r="P11" s="159" t="str">
        <x:v>Harvest guarantee program | PRONAF coverage | Proagro coverage plus | PSR coverage | Scope of the family allowance program | Households with high per capita income</x:v>
      </x:c>
      <x:c r="Q11" s="159" t="str">
        <x:v>Modern parametric approaches to risk quantification and monitoring have led to the development of insurance type products that have the ability to manage risk more efficiently, especially at the aggregated (for example, banks) level, and that can be used to reduce the cost of finance for farmers. Increasingly, countries are introducing risk financing approaches and products that will enable the catastrophic layer of loss from events such as floods and droughts to be managed by government and enable compensation to flow to farmers.</x:v>
      </x:c>
      <x:c r="R11" s="159" t="str"/>
      <x:c r="S11" s="160" t="str">
        <x:v>Medium</x:v>
      </x:c>
    </x:row>
    <x:row r="12" ht="90" customHeight="1">
      <x:c r="A12" s="165" t="str">
        <x:v>ipcc_0090</x:v>
      </x:c>
      <x:c r="B12" s="159" t="str">
        <x:v>Expand climate risk insurance coverage</x:v>
      </x:c>
      <x:c r="C12" s="159" t="str">
        <x:v>Food security</x:v>
      </x:c>
      <x:c r="D12" s="159" t="str">
        <x:v>Vulnerability</x:v>
      </x:c>
      <x:c r="E12" s="153" t="str"/>
      <x:c r="F12" s="153" t="str"/>
      <x:c r="G12" s="159" t="str">
        <x:v>Future of Food: Shaping a Climate-Smart Global Food System</x:v>
      </x:c>
      <x:c r="H12" s="159" t="str">
        <x:v>https://documents1.worldbank.org/curated/en/645981468189237140/pdf/100046-WP-PUBLIC-dislcose-7am-10-8-15-Box393216B.pdf</x:v>
      </x:c>
      <x:c r="I12" s="168" t="n">
        <x:v>22</x:v>
      </x:c>
      <x:c r="J12" s="159" t="str">
        <x:v>20</x:v>
      </x:c>
      <x:c r="K12" s="159" t="str">
        <x:v>Check layout</x:v>
      </x:c>
      <x:c r="L12" s="159" t="str">
        <x:v>Quote text is present but PDF columns or tables changed its extraction order; ordered coverage is 94.0% and token coverage is 98.8%. Confirm visually during evidence review.</x:v>
      </x:c>
      <x:c r="M12" s="159" t="str">
        <x:v>Supports</x:v>
      </x:c>
      <x:c r="N12" s="159" t="str">
        <x:v>Whole action</x:v>
      </x:c>
      <x:c r="O12" s="159" t="str">
        <x:v>No</x:v>
      </x:c>
      <x:c r="P12" s="159" t="str">
        <x:v>Harvest guarantee program | PRONAF coverage | Proagro coverage plus | PSR coverage | Diversity of revenues | Food safety instruments | Scope of the family allowance program | Households with high per capita income</x:v>
      </x:c>
      <x:c r="Q12" s="159" t="str">
        <x:v>Modern parametric approaches to risk quantification and monitoring have led to the development of insurance type products that have the ability to manage risk more efficiently, especially at the aggregated (for example, banks) level, and that can be used to reduce the cost of finance for farmers. Increasingly, countries are introducing risk financing approaches and products that will enable the catastrophic layer of loss from events such as floods and droughts to be managed by government and enable compensation to flow to farmers.</x:v>
      </x:c>
      <x:c r="R12" s="159" t="str"/>
      <x:c r="S12" s="160" t="str">
        <x:v>Medium</x:v>
      </x:c>
    </x:row>
    <x:row r="13" ht="90" customHeight="1">
      <x:c r="A13" s="165" t="str">
        <x:v>ipcc_0092</x:v>
      </x:c>
      <x:c r="B13" s="159" t="str">
        <x:v>Expand climate‑responsive social safety nets</x:v>
      </x:c>
      <x:c r="C13" s="159" t="str">
        <x:v>Food security</x:v>
      </x:c>
      <x:c r="D13" s="159" t="str">
        <x:v>Vulnerability</x:v>
      </x:c>
      <x:c r="E13" s="153" t="str"/>
      <x:c r="F13" s="153" t="str"/>
      <x:c r="G13" s="159" t="str">
        <x:v>Rising to the Challenge: Success Stories and Strategies for Achieving Climate Adaptation and Resilience</x:v>
      </x:c>
      <x:c r="H13" s="159" t="str">
        <x:v>https://openknowledge.worldbank.org/server/api/core/bitstreams/13cc31f6-cb61-4b5f-91d9-12a14d9cb425/content</x:v>
      </x:c>
      <x:c r="I13" s="168" t="n">
        <x:v>17</x:v>
      </x:c>
      <x:c r="J13" s="159" t="str"/>
      <x:c r="K13" s="159" t="str">
        <x:v>Check layout</x:v>
      </x:c>
      <x:c r="L13" s="159" t="str">
        <x:v>Quote text is present but PDF columns or tables changed its extraction order; ordered coverage is 60.3% and token coverage is 100.0%. Confirm visually during evidence review.</x:v>
      </x:c>
      <x:c r="M13" s="159" t="str">
        <x:v>Supports</x:v>
      </x:c>
      <x:c r="N13" s="159" t="str">
        <x:v>Whole action</x:v>
      </x:c>
      <x:c r="O13" s="159" t="str">
        <x:v>No</x:v>
      </x:c>
      <x:c r="P13" s="159" t="str">
        <x:v>Food and nutritional insecurity | Child malnutrition | Federal investment per capita | Food safety instruments | National school feeding program (PNAE) | Food Acquisition Program (PAA) | Scope of the family allowance program | Equality in intra-household income distribution | Households with high per capita income</x:v>
      </x:c>
      <x:c r="Q13" s="159" t="str">
        <x:v>Anticipatory and early response programs, including through national safety net programs, delivering social protection and financial inclusion by acting ahead of predicted hazards; preventing or reducing the adverse effects of shocks on lives and livelihoods before the impacts fully manifest. Helping alleviate short-term humanitarian need by reducing food insecurity: e.g. in Niger, the early transfers improve food security by 8%, consumption by 17.6%, and psychological well-being by 17.8%.</x:v>
      </x:c>
      <x:c r="R13" s="159" t="str">
        <x:v>8% improved food security; 17.6% improved consumption; 17.8% improved psychological well-being</x:v>
      </x:c>
      <x:c r="S13" s="160" t="str">
        <x:v>High</x:v>
      </x:c>
    </x:row>
    <x:row r="14" ht="90" customHeight="1">
      <x:c r="A14" s="165" t="str">
        <x:v>ipcc_0087</x:v>
      </x:c>
      <x:c r="B14" s="159" t="str">
        <x:v>Improve Infrastructure retrofitting</x:v>
      </x:c>
      <x:c r="C14" s="159" t="str">
        <x:v>Geohydrological disasters</x:v>
      </x:c>
      <x:c r="D14" s="159" t="str">
        <x:v>Vulnerability</x:v>
      </x:c>
      <x:c r="E14" s="153" t="str"/>
      <x:c r="F14" s="153" t="str"/>
      <x:c r="G14" s="159" t="str">
        <x:v>Lifelines: The Resilient Infrastructure Opportunity</x:v>
      </x:c>
      <x:c r="H14" s="159" t="str">
        <x:v>https://documents1.worldbank.org/curated/en/111181560974989791/pdf/Lifelines-The-Resilient-Infrastructure-Opportunity.pdf</x:v>
      </x:c>
      <x:c r="I14" s="168" t="n">
        <x:v>16</x:v>
      </x:c>
      <x:c r="J14" s="159" t="str">
        <x:v>xiv</x:v>
      </x:c>
      <x:c r="K14" s="159" t="str">
        <x:v>Check layout</x:v>
      </x:c>
      <x:c r="L14" s="159" t="str">
        <x:v>Quote text is present but PDF columns or tables changed its extraction order; ordered coverage is 93.3% and token coverage is 93.3%. Confirm visually during evidence review.</x:v>
      </x:c>
      <x:c r="M14" s="159" t="str">
        <x:v>Supports</x:v>
      </x:c>
      <x:c r="N14" s="159" t="str">
        <x:v>Whole action</x:v>
      </x:c>
      <x:c r="O14" s="159" t="str">
        <x:v>No</x:v>
      </x:c>
      <x:c r="P14" s="159" t="str">
        <x:v>Actions to reduce risk | Housing governance | Transport governance | Inappropriate households | Lack of urban mobility | Inaccessibility to cities | Basic sanitation | Drainage | Actions to reduce risk | Housing governance | Transport governance | Inappropriate households | Lack of urban mobility | Inaccessibility to cities | Basic sanitation | Drainage</x:v>
      </x:c>
      <x:c r="Q14" s="159" t="str">
        <x:v>Invest in regulations and planning, in the early stages of project design, and in maintenance. Doing so can significantly outweigh the costs of repairs or reconstruction after a disaster strikes.</x:v>
      </x:c>
      <x:c r="R14" s="159" t="str"/>
      <x:c r="S14" s="160" t="str">
        <x:v>Medium</x:v>
      </x:c>
    </x:row>
    <x:row r="15" ht="90" customHeight="1">
      <x:c r="A15" s="165" t="str">
        <x:v>ipcc_0088</x:v>
      </x:c>
      <x:c r="B15" s="159" t="str">
        <x:v>Update and enforce climate‑resilient building codes</x:v>
      </x:c>
      <x:c r="C15" s="159" t="str">
        <x:v>Geohydrological disasters</x:v>
      </x:c>
      <x:c r="D15" s="159" t="str">
        <x:v>Vulnerability</x:v>
      </x:c>
      <x:c r="E15" s="153" t="str"/>
      <x:c r="F15" s="153" t="str"/>
      <x:c r="G15" s="159" t="str">
        <x:v>Lifelines: The Resilient Infrastructure Opportunity</x:v>
      </x:c>
      <x:c r="H15" s="159" t="str">
        <x:v>https://documents1.worldbank.org/curated/en/111181560974989791/pdf/Lifelines-The-Resilient-Infrastructure-Opportunity.pdf</x:v>
      </x:c>
      <x:c r="I15" s="168" t="n">
        <x:v>16</x:v>
      </x:c>
      <x:c r="J15" s="159" t="str">
        <x:v>xiv</x:v>
      </x:c>
      <x:c r="K15" s="159" t="str">
        <x:v>Check layout</x:v>
      </x:c>
      <x:c r="L15" s="159" t="str">
        <x:v>Quote text is present but PDF columns or tables changed its extraction order; ordered coverage is 93.3% and token coverage is 93.3%. Confirm visually during evidence review.</x:v>
      </x:c>
      <x:c r="M15" s="159" t="str">
        <x:v>Supports</x:v>
      </x:c>
      <x:c r="N15" s="159" t="str">
        <x:v>Whole action</x:v>
      </x:c>
      <x:c r="O15" s="159" t="str">
        <x:v>No</x:v>
      </x:c>
      <x:c r="P15" s="159" t="str">
        <x:v>Urban occupation management in risk areas | Actions to reduce risk | Land use and occupation | Housing governance | Inappropriate households | Urban occupation management in risk areas | Actions to reduce risk | Land use and occupation | Housing governance | Inappropriate households</x:v>
      </x:c>
      <x:c r="Q15" s="159" t="str">
        <x:v>Invest in regulations and planning, in the early stages of project design, and in maintenance. Doing so can significantly outweigh the costs of repairs or reconstruction after a disaster strikes.</x:v>
      </x:c>
      <x:c r="R15" s="159" t="str"/>
      <x:c r="S15" s="160" t="str">
        <x:v>Medium</x:v>
      </x:c>
    </x:row>
    <x:row r="16" ht="90" customHeight="1">
      <x:c r="A16" s="165" t="str">
        <x:v>icare_0184</x:v>
      </x:c>
      <x:c r="B16" s="159" t="str">
        <x:v>Upgrade Slope stabilization and drainage</x:v>
      </x:c>
      <x:c r="C16" s="159" t="str">
        <x:v>Geohydrological disasters</x:v>
      </x:c>
      <x:c r="D16" s="159" t="str">
        <x:v>Vulnerability</x:v>
      </x:c>
      <x:c r="E16" s="153" t="str"/>
      <x:c r="F16" s="153" t="str"/>
      <x:c r="G16" s="159" t="str">
        <x:v>Lifelines: The Resilient Infrastructure Opportunity</x:v>
      </x:c>
      <x:c r="H16" s="159" t="str">
        <x:v>https://documents1.worldbank.org/curated/en/111181560974989791/pdf/Lifelines-The-Resilient-Infrastructure-Opportunity.pdf</x:v>
      </x:c>
      <x:c r="I16" s="168" t="n">
        <x:v>16</x:v>
      </x:c>
      <x:c r="J16" s="159" t="str">
        <x:v>xiv</x:v>
      </x:c>
      <x:c r="K16" s="159" t="str">
        <x:v>Check layout</x:v>
      </x:c>
      <x:c r="L16" s="159" t="str">
        <x:v>Quote text is present but PDF columns or tables changed its extraction order; ordered coverage is 93.3% and token coverage is 93.3%. Confirm visually during evidence review.</x:v>
      </x:c>
      <x:c r="M16" s="159" t="str">
        <x:v>Supports</x:v>
      </x:c>
      <x:c r="N16" s="159" t="str">
        <x:v>Part of action</x:v>
      </x:c>
      <x:c r="O16" s="159" t="str">
        <x:v>No</x:v>
      </x:c>
      <x:c r="P16" s="159" t="str">
        <x:v>Actions to reduce risk | Land use and occupation | Drainage | Actions to reduce risk | Land use and occupation | Drainage</x:v>
      </x:c>
      <x:c r="Q16" s="159" t="str">
        <x:v>Invest in regulations and planning, in the early stages of project design, and in maintenance. Doing so can significantly outweigh the costs of repairs or reconstruction after a disaster strikes.</x:v>
      </x:c>
      <x:c r="R16" s="159" t="str"/>
      <x:c r="S16" s="160" t="str">
        <x:v>Low</x:v>
      </x:c>
    </x:row>
    <x:row r="17" ht="90" customHeight="1">
      <x:c r="A17" s="165" t="str">
        <x:v>icare_0182</x:v>
      </x:c>
      <x:c r="B17" s="159" t="str">
        <x:v>Develop an Urban Afforestation Plan</x:v>
      </x:c>
      <x:c r="C17" s="159" t="str">
        <x:v>Health</x:v>
      </x:c>
      <x:c r="D17" s="159" t="str">
        <x:v>Exposure</x:v>
      </x:c>
      <x:c r="E17" s="153" t="str"/>
      <x:c r="F17" s="153" t="str"/>
      <x:c r="G17" s="159" t="str">
        <x:v>Climate Change 2022: Impacts, Adaptation and Vulnerability</x:v>
      </x:c>
      <x:c r="H17" s="159" t="str">
        <x:v>https://www.ipcc.ch/report/ar6/wg2/downloads/report/IPCC_AR6_WGII_FullReport.pdf</x:v>
      </x:c>
      <x:c r="I17" s="168" t="n">
        <x:v>2452</x:v>
      </x:c>
      <x:c r="J17" s="159" t="str">
        <x:v>2440</x:v>
      </x:c>
      <x:c r="K17" s="159" t="str">
        <x:v>Check layout</x:v>
      </x:c>
      <x:c r="L17" s="159" t="str">
        <x:v>Quote text is present but PDF columns or tables changed its extraction order; ordered coverage is 72.4% and token coverage is 100.0%. Confirm visually during evidence review.</x:v>
      </x:c>
      <x:c r="M17" s="159" t="str">
        <x:v>Supports</x:v>
      </x:c>
      <x:c r="N17" s="159" t="str">
        <x:v>Part of action</x:v>
      </x:c>
      <x:c r="O17" s="159" t="str">
        <x:v>No</x:v>
      </x:c>
      <x:c r="P17" s="159" t="str">
        <x:v>Deforestation | Natural coverage | Natural coverage | Deforestation</x:v>
      </x:c>
      <x:c r="Q17" s="159" t="str">
        <x:v>Urban greening (e.g., tree planting; construction of stormwater retention areas; construction of green roofs and cool roofs; provision of rainwater barrels; pervious pavement materials) Mitigation, particularly avoided emissions; public health improvements—increases in physical activity, reductions in air and noise pollution, reduced urban heat island effect, improved mental health; urban flood risk management; water savings; energy savings</x:v>
      </x:c>
      <x:c r="R17" s="159" t="str"/>
      <x:c r="S17" s="160" t="str">
        <x:v>Low</x:v>
      </x:c>
    </x:row>
    <x:row r="18" ht="90" customHeight="1">
      <x:c r="A18" s="165" t="str">
        <x:v>icare_0180</x:v>
      </x:c>
      <x:c r="B18" s="159" t="str">
        <x:v>Expand urban green-blue networks and corridors</x:v>
      </x:c>
      <x:c r="C18" s="159" t="str">
        <x:v>Health</x:v>
      </x:c>
      <x:c r="D18" s="159" t="str">
        <x:v>Exposure</x:v>
      </x:c>
      <x:c r="E18" s="153" t="str"/>
      <x:c r="F18" s="153" t="str"/>
      <x:c r="G18" s="159" t="str">
        <x:v>Climate Change 2022: Impacts, Adaptation and Vulnerability</x:v>
      </x:c>
      <x:c r="H18" s="159" t="str">
        <x:v>https://www.ipcc.ch/report/ar6/wg2/downloads/report/IPCC_AR6_WGII_FullReport.pdf</x:v>
      </x:c>
      <x:c r="I18" s="168" t="n">
        <x:v>2452</x:v>
      </x:c>
      <x:c r="J18" s="159" t="str">
        <x:v>2440</x:v>
      </x:c>
      <x:c r="K18" s="159" t="str">
        <x:v>Check layout</x:v>
      </x:c>
      <x:c r="L18" s="159" t="str">
        <x:v>Quote text is present but PDF columns or tables changed its extraction order; ordered coverage is 72.4% and token coverage is 100.0%. Confirm visually during evidence review.</x:v>
      </x:c>
      <x:c r="M18" s="159" t="str">
        <x:v>Supports</x:v>
      </x:c>
      <x:c r="N18" s="159" t="str">
        <x:v>Part of action</x:v>
      </x:c>
      <x:c r="O18" s="159" t="str">
        <x:v>No</x:v>
      </x:c>
      <x:c r="P18" s="159" t="str">
        <x:v>Natural coverage | Natural coverage</x:v>
      </x:c>
      <x:c r="Q18" s="159" t="str">
        <x:v>Urban greening (e.g., tree planting; construction of stormwater retention areas; construction of green roofs and cool roofs; provision of rainwater barrels; pervious pavement materials) Mitigation, particularly avoided emissions; public health improvements—increases in physical activity, reductions in air and noise pollution, reduced urban heat island effect, improved mental health; urban flood risk management; water savings; energy savings</x:v>
      </x:c>
      <x:c r="R18" s="159" t="str"/>
      <x:c r="S18" s="160" t="str">
        <x:v>Low</x:v>
      </x:c>
    </x:row>
    <x:row r="19" ht="90" customHeight="1">
      <x:c r="A19" s="165" t="str">
        <x:v>ipcc_0086</x:v>
      </x:c>
      <x:c r="B19" s="159" t="str">
        <x:v>Implement ecosystem‑based adaptation measures</x:v>
      </x:c>
      <x:c r="C19" s="159" t="str">
        <x:v>Health</x:v>
      </x:c>
      <x:c r="D19" s="159" t="str">
        <x:v>Exposure</x:v>
      </x:c>
      <x:c r="E19" s="153" t="str"/>
      <x:c r="F19" s="153" t="str"/>
      <x:c r="G19" s="159" t="str">
        <x:v>Climate Change 2022: Impacts, Adaptation and Vulnerability</x:v>
      </x:c>
      <x:c r="H19" s="159" t="str">
        <x:v>https://www.ipcc.ch/report/ar6/wg2/downloads/report/IPCC_AR6_WGII_FullReport.pdf</x:v>
      </x:c>
      <x:c r="I19" s="168" t="n">
        <x:v>2452</x:v>
      </x:c>
      <x:c r="J19" s="159" t="str">
        <x:v>2440</x:v>
      </x:c>
      <x:c r="K19" s="159" t="str">
        <x:v>Check layout</x:v>
      </x:c>
      <x:c r="L19" s="159" t="str">
        <x:v>Quote text is present but PDF columns or tables changed its extraction order; ordered coverage is 72.4% and token coverage is 100.0%. Confirm visually during evidence review.</x:v>
      </x:c>
      <x:c r="M19" s="159" t="str">
        <x:v>Supports</x:v>
      </x:c>
      <x:c r="N19" s="159" t="str">
        <x:v>Part of action</x:v>
      </x:c>
      <x:c r="O19" s="159" t="str">
        <x:v>No</x:v>
      </x:c>
      <x:c r="P19" s="159" t="str">
        <x:v>Deforestation | Natural coverage | Natural coverage | Deforestation</x:v>
      </x:c>
      <x:c r="Q19" s="159" t="str">
        <x:v>Urban greening (e.g., tree planting; construction of stormwater retention areas; construction of green roofs and cool roofs; provision of rainwater barrels; pervious pavement materials) Mitigation, particularly avoided emissions; public health improvements—increases in physical activity, reductions in air and noise pollution, reduced urban heat island effect, improved mental health; urban flood risk management; water savings; energy savings</x:v>
      </x:c>
      <x:c r="R19" s="159" t="str"/>
      <x:c r="S19" s="160" t="str">
        <x:v>Low</x:v>
      </x:c>
    </x:row>
    <x:row r="20" ht="90" customHeight="1">
      <x:c r="A20" s="165" t="str">
        <x:v>ipcc_0085</x:v>
      </x:c>
      <x:c r="B20" s="159" t="str">
        <x:v>Reduce pressures on ecosystems to build resilience</x:v>
      </x:c>
      <x:c r="C20" s="159" t="str">
        <x:v>Health</x:v>
      </x:c>
      <x:c r="D20" s="159" t="str">
        <x:v>Exposure</x:v>
      </x:c>
      <x:c r="E20" s="153" t="str"/>
      <x:c r="F20" s="153" t="str"/>
      <x:c r="G20" s="159" t="str">
        <x:v>Climate Change 2022: Impacts, Adaptation and Vulnerability</x:v>
      </x:c>
      <x:c r="H20" s="159" t="str">
        <x:v>https://www.ipcc.ch/report/ar6/wg2/downloads/report/IPCC_AR6_WGII_FullReport.pdf</x:v>
      </x:c>
      <x:c r="I20" s="168" t="n">
        <x:v>2452</x:v>
      </x:c>
      <x:c r="J20" s="159" t="str">
        <x:v>2440</x:v>
      </x:c>
      <x:c r="K20" s="159" t="str">
        <x:v>Check layout</x:v>
      </x:c>
      <x:c r="L20" s="159" t="str">
        <x:v>Quote text is present but PDF columns or tables changed its extraction order; ordered coverage is 72.4% and token coverage is 100.0%. Confirm visually during evidence review.</x:v>
      </x:c>
      <x:c r="M20" s="159" t="str">
        <x:v>Supports</x:v>
      </x:c>
      <x:c r="N20" s="159" t="str">
        <x:v>Part of action</x:v>
      </x:c>
      <x:c r="O20" s="159" t="str">
        <x:v>No</x:v>
      </x:c>
      <x:c r="P20" s="159" t="str">
        <x:v>Deforestation | Natural coverage | Natural coverage | Deforestation</x:v>
      </x:c>
      <x:c r="Q20" s="159" t="str">
        <x:v>Urban greening (e.g., tree planting; construction of stormwater retention areas; construction of green roofs and cool roofs; provision of rainwater barrels; pervious pavement materials) Mitigation, particularly avoided emissions; public health improvements—increases in physical activity, reductions in air and noise pollution, reduced urban heat island effect, improved mental health; urban flood risk management; water savings; energy savings</x:v>
      </x:c>
      <x:c r="R20" s="159" t="str"/>
      <x:c r="S20" s="160" t="str">
        <x:v>Low</x:v>
      </x:c>
    </x:row>
    <x:row r="21" ht="90" customHeight="1">
      <x:c r="A21" s="165" t="str">
        <x:v>ipcc_0084</x:v>
      </x:c>
      <x:c r="B21" s="159" t="str">
        <x:v>Restore/create natural areas</x:v>
      </x:c>
      <x:c r="C21" s="159" t="str">
        <x:v>Health</x:v>
      </x:c>
      <x:c r="D21" s="159" t="str">
        <x:v>Exposure</x:v>
      </x:c>
      <x:c r="E21" s="153" t="str"/>
      <x:c r="F21" s="153" t="str"/>
      <x:c r="G21" s="159" t="str">
        <x:v>Climate Change 2022: Impacts, Adaptation and Vulnerability</x:v>
      </x:c>
      <x:c r="H21" s="159" t="str">
        <x:v>https://www.ipcc.ch/report/ar6/wg2/downloads/report/IPCC_AR6_WGII_FullReport.pdf</x:v>
      </x:c>
      <x:c r="I21" s="168" t="n">
        <x:v>2452</x:v>
      </x:c>
      <x:c r="J21" s="159" t="str">
        <x:v>2440</x:v>
      </x:c>
      <x:c r="K21" s="159" t="str">
        <x:v>Check layout</x:v>
      </x:c>
      <x:c r="L21" s="159" t="str">
        <x:v>Quote text is present but PDF columns or tables changed its extraction order; ordered coverage is 72.4% and token coverage is 100.0%. Confirm visually during evidence review.</x:v>
      </x:c>
      <x:c r="M21" s="159" t="str">
        <x:v>Supports</x:v>
      </x:c>
      <x:c r="N21" s="159" t="str">
        <x:v>Part of action</x:v>
      </x:c>
      <x:c r="O21" s="159" t="str">
        <x:v>No</x:v>
      </x:c>
      <x:c r="P21" s="159" t="str">
        <x:v>Deforestation | Natural coverage | Natural coverage | Deforestation</x:v>
      </x:c>
      <x:c r="Q21" s="159" t="str">
        <x:v>Urban greening (e.g., tree planting; construction of stormwater retention areas; construction of green roofs and cool roofs; provision of rainwater barrels; pervious pavement materials) Mitigation, particularly avoided emissions; public health improvements—increases in physical activity, reductions in air and noise pollution, reduced urban heat island effect, improved mental health; urban flood risk management; water savings; energy savings</x:v>
      </x:c>
      <x:c r="R21" s="159" t="str"/>
      <x:c r="S21" s="160" t="str">
        <x:v>Low</x:v>
      </x:c>
    </x:row>
    <x:row r="22" ht="90" customHeight="1">
      <x:c r="A22" s="165" t="str">
        <x:v>icare_0182</x:v>
      </x:c>
      <x:c r="B22" s="159" t="str">
        <x:v>Develop an Urban Afforestation Plan</x:v>
      </x:c>
      <x:c r="C22" s="159" t="str">
        <x:v>Biodiversity</x:v>
      </x:c>
      <x:c r="D22" s="159" t="str">
        <x:v>Vulnerability</x:v>
      </x:c>
      <x:c r="E22" s="153" t="str"/>
      <x:c r="F22" s="153" t="str"/>
      <x:c r="G22" s="159" t="str">
        <x:v>Climate Change 2022: Impacts, Adaptation and Vulnerability - Chapter 2: Terrestrial and Freshwater Ecosystems and their Services</x:v>
      </x:c>
      <x:c r="H22" s="159" t="str">
        <x:v>https://www.ipcc.ch/report/ar6/wg2/downloads/report/IPCC_AR6_WGII_Chapter02.pdf</x:v>
      </x:c>
      <x:c r="I22" s="168" t="n">
        <x:v>7</x:v>
      </x:c>
      <x:c r="J22" s="159" t="str">
        <x:v>203</x:v>
      </x:c>
      <x:c r="K22" s="159" t="str">
        <x:v>Verified — ordered</x:v>
      </x:c>
      <x:c r="L22" s="159" t="str">
        <x:v>Ordered token coverage on the cited PDF page is 100.0%.</x:v>
      </x:c>
      <x:c r="M22" s="159" t="str">
        <x:v>Supports</x:v>
      </x:c>
      <x:c r="N22" s="159" t="str">
        <x:v>Whole action</x:v>
      </x:c>
      <x:c r="O22" s="159" t="str">
        <x:v>No</x:v>
      </x:c>
      <x:c r="P22" s="159" t="str">
        <x:v>Environmental liabilities | Vegetation loss</x:v>
      </x:c>
      <x:c r="Q22" s="159" t="str">
        <x:v>The resilience of biodiversity and ecosystem services to climate change can be increased by human adaptation actions including ecosystem protection and restoration (high confidence). Ecological theory and observations show that a wide range of actions can reduce risks to species and ecosystem integrity. This includes minimising additional stresses or disturbances; reducing fragmentation; increasing natural habitat extent, connectivity and heterogeneity; maintaining taxonomic, phylogenetic, and functional diversity and redundancy; and protecting small-scale refugia where micro-climate conditions can allow species to persist (high confidence).</x:v>
      </x:c>
      <x:c r="R22" s="159" t="str"/>
      <x:c r="S22" s="160" t="str">
        <x:v>Medium</x:v>
      </x:c>
    </x:row>
    <x:row r="23" ht="90" customHeight="1">
      <x:c r="A23" s="165" t="str">
        <x:v>icare_0182</x:v>
      </x:c>
      <x:c r="B23" s="159" t="str">
        <x:v>Develop an Urban Afforestation Plan</x:v>
      </x:c>
      <x:c r="C23" s="159" t="str">
        <x:v>Biodiversity</x:v>
      </x:c>
      <x:c r="D23" s="159" t="str">
        <x:v>Exposure</x:v>
      </x:c>
      <x:c r="E23" s="153" t="str"/>
      <x:c r="F23" s="153" t="str"/>
      <x:c r="G23" s="159" t="str">
        <x:v>Climate Change 2022: Impacts, Adaptation and Vulnerability - Chapter 2: Terrestrial and Freshwater Ecosystems and their Services</x:v>
      </x:c>
      <x:c r="H23" s="159" t="str">
        <x:v>https://www.ipcc.ch/report/ar6/wg2/downloads/report/IPCC_AR6_WGII_Chapter02.pdf</x:v>
      </x:c>
      <x:c r="I23" s="168" t="n">
        <x:v>7</x:v>
      </x:c>
      <x:c r="J23" s="159" t="str">
        <x:v>203</x:v>
      </x:c>
      <x:c r="K23" s="159" t="str">
        <x:v>Verified — ordered</x:v>
      </x:c>
      <x:c r="L23" s="159" t="str">
        <x:v>Ordered token coverage on the cited PDF page is 100.0%.</x:v>
      </x:c>
      <x:c r="M23" s="159" t="str">
        <x:v>Supports</x:v>
      </x:c>
      <x:c r="N23" s="159" t="str">
        <x:v>Whole action</x:v>
      </x:c>
      <x:c r="O23" s="159" t="str">
        <x:v>No</x:v>
      </x:c>
      <x:c r="P23" s="159" t="str">
        <x:v>Natural coverage | Area for conservation</x:v>
      </x:c>
      <x:c r="Q23" s="159" t="str">
        <x:v>The resilience of biodiversity and ecosystem services to climate change can be increased by human adaptation actions including ecosystem protection and restoration (high confidence). Ecological theory and observations show that a wide range of actions can reduce risks to species and ecosystem integrity. This includes minimising additional stresses or disturbances; reducing fragmentation; increasing natural habitat extent, connectivity and heterogeneity; maintaining taxonomic, phylogenetic, and functional diversity and redundancy; and protecting small-scale refugia where micro-climate conditions can allow species to persist (high confidence).</x:v>
      </x:c>
      <x:c r="R23" s="159" t="str"/>
      <x:c r="S23" s="160" t="str">
        <x:v>Medium</x:v>
      </x:c>
    </x:row>
    <x:row r="24" ht="90" customHeight="1">
      <x:c r="A24" s="165" t="str">
        <x:v>icare_0182</x:v>
      </x:c>
      <x:c r="B24" s="159" t="str">
        <x:v>Develop an Urban Afforestation Plan</x:v>
      </x:c>
      <x:c r="C24" s="159" t="str">
        <x:v>Biodiversity</x:v>
      </x:c>
      <x:c r="D24" s="159" t="str">
        <x:v>Vulnerability</x:v>
      </x:c>
      <x:c r="E24" s="153" t="str"/>
      <x:c r="F24" s="153" t="str"/>
      <x:c r="G24" s="159" t="str">
        <x:v>Harnessing Nature to Build Climate Resilience: Scaling Up the Use of Ecosystem-based Adaptation</x:v>
      </x:c>
      <x:c r="H24" s="159" t="str">
        <x:v>https://globalebafund.org/wp-content/uploads/2022/07/Harnessing-nature-for-climate-resilience-Full-Report-V7-Web.pdf</x:v>
      </x:c>
      <x:c r="I24" s="168" t="n">
        <x:v>10</x:v>
      </x:c>
      <x:c r="J24" s="159" t="str">
        <x:v>8</x:v>
      </x:c>
      <x:c r="K24" s="159" t="str">
        <x:v>Verified — ordered</x:v>
      </x:c>
      <x:c r="L24" s="159" t="str">
        <x:v>Ordered token coverage on the cited PDF page is 100.0%.</x:v>
      </x:c>
      <x:c r="M24" s="159" t="str">
        <x:v>Supports</x:v>
      </x:c>
      <x:c r="N24" s="159" t="str">
        <x:v>Part of action</x:v>
      </x:c>
      <x:c r="O24" s="159" t="str">
        <x:v>No</x:v>
      </x:c>
      <x:c r="P24" s="159" t="str">
        <x:v>Environmental liabilities | Vegetation loss</x:v>
      </x:c>
      <x:c r="Q24" s="159" t="str">
        <x:v>Common examples of EbA measures include the conservation or restoration of mangroves to protect coastal communities from storm surges and sea level rise, the establishment of green roofs, street trees and urban parks to reduce the risks of heatwaves and flooding in cities, and the conservation of upslope forests to prevent landslides and downstream flooding under extreme weather events.</x:v>
      </x:c>
      <x:c r="R24" s="159" t="str"/>
      <x:c r="S24" s="160" t="str">
        <x:v>Medium</x:v>
      </x:c>
    </x:row>
    <x:row r="25" ht="90" customHeight="1">
      <x:c r="A25" s="165" t="str">
        <x:v>icare_0182</x:v>
      </x:c>
      <x:c r="B25" s="159" t="str">
        <x:v>Develop an Urban Afforestation Plan</x:v>
      </x:c>
      <x:c r="C25" s="159" t="str">
        <x:v>Biodiversity</x:v>
      </x:c>
      <x:c r="D25" s="159" t="str">
        <x:v>Exposure</x:v>
      </x:c>
      <x:c r="E25" s="153" t="str"/>
      <x:c r="F25" s="153" t="str"/>
      <x:c r="G25" s="159" t="str">
        <x:v>Harnessing Nature to Build Climate Resilience: Scaling Up the Use of Ecosystem-based Adaptation</x:v>
      </x:c>
      <x:c r="H25" s="159" t="str">
        <x:v>https://globalebafund.org/wp-content/uploads/2022/07/Harnessing-nature-for-climate-resilience-Full-Report-V7-Web.pdf</x:v>
      </x:c>
      <x:c r="I25" s="168" t="n">
        <x:v>10</x:v>
      </x:c>
      <x:c r="J25" s="159" t="str">
        <x:v>8</x:v>
      </x:c>
      <x:c r="K25" s="159" t="str">
        <x:v>Verified — ordered</x:v>
      </x:c>
      <x:c r="L25" s="159" t="str">
        <x:v>Ordered token coverage on the cited PDF page is 100.0%.</x:v>
      </x:c>
      <x:c r="M25" s="159" t="str">
        <x:v>Supports</x:v>
      </x:c>
      <x:c r="N25" s="159" t="str">
        <x:v>Part of action</x:v>
      </x:c>
      <x:c r="O25" s="159" t="str">
        <x:v>No</x:v>
      </x:c>
      <x:c r="P25" s="159" t="str">
        <x:v>Natural coverage | Area for conservation</x:v>
      </x:c>
      <x:c r="Q25" s="159" t="str">
        <x:v>Common examples of EbA measures include the conservation or restoration of mangroves to protect coastal communities from storm surges and sea level rise, the establishment of green roofs, street trees and urban parks to reduce the risks of heatwaves and flooding in cities, and the conservation of upslope forests to prevent landslides and downstream flooding under extreme weather events.</x:v>
      </x:c>
      <x:c r="R25" s="159" t="str"/>
      <x:c r="S25" s="160" t="str">
        <x:v>Medium</x:v>
      </x:c>
    </x:row>
    <x:row r="26" ht="90" customHeight="1">
      <x:c r="A26" s="165" t="str">
        <x:v>icare_0180</x:v>
      </x:c>
      <x:c r="B26" s="159" t="str">
        <x:v>Expand urban green-blue networks and corridors</x:v>
      </x:c>
      <x:c r="C26" s="159" t="str">
        <x:v>Biodiversity</x:v>
      </x:c>
      <x:c r="D26" s="159" t="str">
        <x:v>Vulnerability</x:v>
      </x:c>
      <x:c r="E26" s="153" t="str"/>
      <x:c r="F26" s="153" t="str"/>
      <x:c r="G26" s="159" t="str">
        <x:v>Climate Change 2022: Impacts, Adaptation and Vulnerability - Chapter 2: Terrestrial and Freshwater Ecosystems and their Services</x:v>
      </x:c>
      <x:c r="H26" s="159" t="str">
        <x:v>https://www.ipcc.ch/report/ar6/wg2/downloads/report/IPCC_AR6_WGII_Chapter02.pdf</x:v>
      </x:c>
      <x:c r="I26" s="168" t="n">
        <x:v>7</x:v>
      </x:c>
      <x:c r="J26" s="159" t="str">
        <x:v>203</x:v>
      </x:c>
      <x:c r="K26" s="159" t="str">
        <x:v>Verified — ordered</x:v>
      </x:c>
      <x:c r="L26" s="159" t="str">
        <x:v>Ordered token coverage on the cited PDF page is 100.0%.</x:v>
      </x:c>
      <x:c r="M26" s="159" t="str">
        <x:v>Supports</x:v>
      </x:c>
      <x:c r="N26" s="159" t="str">
        <x:v>Whole action</x:v>
      </x:c>
      <x:c r="O26" s="159" t="str">
        <x:v>No</x:v>
      </x:c>
      <x:c r="P26" s="159" t="str">
        <x:v>Environmental liabilities | Vegetation loss</x:v>
      </x:c>
      <x:c r="Q26" s="159" t="str">
        <x:v>The resilience of biodiversity and ecosystem services to climate change can be increased by human adaptation actions including ecosystem protection and restoration (high confidence). Ecological theory and observations show that a wide range of actions can reduce risks to species and ecosystem integrity. This includes minimising additional stresses or disturbances; reducing fragmentation; increasing natural habitat extent, connectivity and heterogeneity; maintaining taxonomic, phylogenetic, and functional diversity and redundancy; and protecting small-scale refugia where micro-climate conditions can allow species to persist (high confidence).</x:v>
      </x:c>
      <x:c r="R26" s="159" t="str"/>
      <x:c r="S26" s="160" t="str">
        <x:v>Medium</x:v>
      </x:c>
    </x:row>
    <x:row r="27" ht="90" customHeight="1">
      <x:c r="A27" s="165" t="str">
        <x:v>icare_0180</x:v>
      </x:c>
      <x:c r="B27" s="159" t="str">
        <x:v>Expand urban green-blue networks and corridors</x:v>
      </x:c>
      <x:c r="C27" s="159" t="str">
        <x:v>Biodiversity</x:v>
      </x:c>
      <x:c r="D27" s="159" t="str">
        <x:v>Exposure</x:v>
      </x:c>
      <x:c r="E27" s="153" t="str"/>
      <x:c r="F27" s="153" t="str"/>
      <x:c r="G27" s="159" t="str">
        <x:v>Climate Change 2022: Impacts, Adaptation and Vulnerability - Chapter 2: Terrestrial and Freshwater Ecosystems and their Services</x:v>
      </x:c>
      <x:c r="H27" s="159" t="str">
        <x:v>https://www.ipcc.ch/report/ar6/wg2/downloads/report/IPCC_AR6_WGII_Chapter02.pdf</x:v>
      </x:c>
      <x:c r="I27" s="168" t="n">
        <x:v>7</x:v>
      </x:c>
      <x:c r="J27" s="159" t="str">
        <x:v>203</x:v>
      </x:c>
      <x:c r="K27" s="159" t="str">
        <x:v>Verified — ordered</x:v>
      </x:c>
      <x:c r="L27" s="159" t="str">
        <x:v>Ordered token coverage on the cited PDF page is 100.0%.</x:v>
      </x:c>
      <x:c r="M27" s="159" t="str">
        <x:v>Supports</x:v>
      </x:c>
      <x:c r="N27" s="159" t="str">
        <x:v>Whole action</x:v>
      </x:c>
      <x:c r="O27" s="159" t="str">
        <x:v>No</x:v>
      </x:c>
      <x:c r="P27" s="159" t="str">
        <x:v>Natural coverage | Area for conservation</x:v>
      </x:c>
      <x:c r="Q27" s="159" t="str">
        <x:v>The resilience of biodiversity and ecosystem services to climate change can be increased by human adaptation actions including ecosystem protection and restoration (high confidence). Ecological theory and observations show that a wide range of actions can reduce risks to species and ecosystem integrity. This includes minimising additional stresses or disturbances; reducing fragmentation; increasing natural habitat extent, connectivity and heterogeneity; maintaining taxonomic, phylogenetic, and functional diversity and redundancy; and protecting small-scale refugia where micro-climate conditions can allow species to persist (high confidence).</x:v>
      </x:c>
      <x:c r="R27" s="159" t="str"/>
      <x:c r="S27" s="160" t="str">
        <x:v>Medium</x:v>
      </x:c>
    </x:row>
    <x:row r="28" ht="90" customHeight="1">
      <x:c r="A28" s="165" t="str">
        <x:v>icare_0180</x:v>
      </x:c>
      <x:c r="B28" s="159" t="str">
        <x:v>Expand urban green-blue networks and corridors</x:v>
      </x:c>
      <x:c r="C28" s="159" t="str">
        <x:v>Biodiversity</x:v>
      </x:c>
      <x:c r="D28" s="159" t="str">
        <x:v>Vulnerability</x:v>
      </x:c>
      <x:c r="E28" s="153" t="str"/>
      <x:c r="F28" s="153" t="str"/>
      <x:c r="G28" s="159" t="str">
        <x:v>Harnessing Nature to Build Climate Resilience: Scaling Up the Use of Ecosystem-based Adaptation</x:v>
      </x:c>
      <x:c r="H28" s="159" t="str">
        <x:v>https://globalebafund.org/wp-content/uploads/2022/07/Harnessing-nature-for-climate-resilience-Full-Report-V7-Web.pdf</x:v>
      </x:c>
      <x:c r="I28" s="168" t="n">
        <x:v>10</x:v>
      </x:c>
      <x:c r="J28" s="159" t="str">
        <x:v>8</x:v>
      </x:c>
      <x:c r="K28" s="159" t="str">
        <x:v>Verified — ordered</x:v>
      </x:c>
      <x:c r="L28" s="159" t="str">
        <x:v>Ordered token coverage on the cited PDF page is 100.0%.</x:v>
      </x:c>
      <x:c r="M28" s="159" t="str">
        <x:v>Supports</x:v>
      </x:c>
      <x:c r="N28" s="159" t="str">
        <x:v>Part of action</x:v>
      </x:c>
      <x:c r="O28" s="159" t="str">
        <x:v>No</x:v>
      </x:c>
      <x:c r="P28" s="159" t="str">
        <x:v>Environmental liabilities | Vegetation loss</x:v>
      </x:c>
      <x:c r="Q28" s="159" t="str">
        <x:v>Common examples of EbA measures include the conservation or restoration of mangroves to protect coastal communities from storm surges and sea level rise, the establishment of green roofs, street trees and urban parks to reduce the risks of heatwaves and flooding in cities, and the conservation of upslope forests to prevent landslides and downstream flooding under extreme weather events.</x:v>
      </x:c>
      <x:c r="R28" s="159" t="str"/>
      <x:c r="S28" s="160" t="str">
        <x:v>Medium</x:v>
      </x:c>
    </x:row>
    <x:row r="29" ht="90" customHeight="1">
      <x:c r="A29" s="165" t="str">
        <x:v>icare_0180</x:v>
      </x:c>
      <x:c r="B29" s="159" t="str">
        <x:v>Expand urban green-blue networks and corridors</x:v>
      </x:c>
      <x:c r="C29" s="159" t="str">
        <x:v>Biodiversity</x:v>
      </x:c>
      <x:c r="D29" s="159" t="str">
        <x:v>Exposure</x:v>
      </x:c>
      <x:c r="E29" s="153" t="str"/>
      <x:c r="F29" s="153" t="str"/>
      <x:c r="G29" s="159" t="str">
        <x:v>Harnessing Nature to Build Climate Resilience: Scaling Up the Use of Ecosystem-based Adaptation</x:v>
      </x:c>
      <x:c r="H29" s="159" t="str">
        <x:v>https://globalebafund.org/wp-content/uploads/2022/07/Harnessing-nature-for-climate-resilience-Full-Report-V7-Web.pdf</x:v>
      </x:c>
      <x:c r="I29" s="168" t="n">
        <x:v>10</x:v>
      </x:c>
      <x:c r="J29" s="159" t="str">
        <x:v>8</x:v>
      </x:c>
      <x:c r="K29" s="159" t="str">
        <x:v>Verified — ordered</x:v>
      </x:c>
      <x:c r="L29" s="159" t="str">
        <x:v>Ordered token coverage on the cited PDF page is 100.0%.</x:v>
      </x:c>
      <x:c r="M29" s="159" t="str">
        <x:v>Supports</x:v>
      </x:c>
      <x:c r="N29" s="159" t="str">
        <x:v>Part of action</x:v>
      </x:c>
      <x:c r="O29" s="159" t="str">
        <x:v>No</x:v>
      </x:c>
      <x:c r="P29" s="159" t="str">
        <x:v>Natural coverage | Area for conservation</x:v>
      </x:c>
      <x:c r="Q29" s="159" t="str">
        <x:v>Common examples of EbA measures include the conservation or restoration of mangroves to protect coastal communities from storm surges and sea level rise, the establishment of green roofs, street trees and urban parks to reduce the risks of heatwaves and flooding in cities, and the conservation of upslope forests to prevent landslides and downstream flooding under extreme weather events.</x:v>
      </x:c>
      <x:c r="R29" s="159" t="str"/>
      <x:c r="S29" s="160" t="str">
        <x:v>Medium</x:v>
      </x:c>
    </x:row>
    <x:row r="30" ht="90" customHeight="1">
      <x:c r="A30" s="165" t="str">
        <x:v>ipcc_0086</x:v>
      </x:c>
      <x:c r="B30" s="159" t="str">
        <x:v>Implement ecosystem‑based adaptation measures</x:v>
      </x:c>
      <x:c r="C30" s="159" t="str">
        <x:v>Biodiversity</x:v>
      </x:c>
      <x:c r="D30" s="159" t="str">
        <x:v>Vulnerability</x:v>
      </x:c>
      <x:c r="E30" s="153" t="str"/>
      <x:c r="F30" s="153" t="str"/>
      <x:c r="G30" s="159" t="str">
        <x:v>Climate Change 2022: Impacts, Adaptation and Vulnerability - Chapter 2: Terrestrial and Freshwater Ecosystems and their Services</x:v>
      </x:c>
      <x:c r="H30" s="159" t="str">
        <x:v>https://www.ipcc.ch/report/ar6/wg2/downloads/report/IPCC_AR6_WGII_Chapter02.pdf</x:v>
      </x:c>
      <x:c r="I30" s="168" t="n">
        <x:v>7</x:v>
      </x:c>
      <x:c r="J30" s="159" t="str">
        <x:v>203</x:v>
      </x:c>
      <x:c r="K30" s="159" t="str">
        <x:v>Verified — ordered</x:v>
      </x:c>
      <x:c r="L30" s="159" t="str">
        <x:v>Ordered token coverage on the cited PDF page is 100.0%.</x:v>
      </x:c>
      <x:c r="M30" s="159" t="str">
        <x:v>Supports</x:v>
      </x:c>
      <x:c r="N30" s="159" t="str">
        <x:v>Whole action</x:v>
      </x:c>
      <x:c r="O30" s="159" t="str">
        <x:v>No</x:v>
      </x:c>
      <x:c r="P30" s="159" t="str">
        <x:v>Environmental liabilities | Vegetation loss | Degraded pasture</x:v>
      </x:c>
      <x:c r="Q30" s="159" t="str">
        <x:v>The resilience of biodiversity and ecosystem services to climate change can be increased by human adaptation actions including ecosystem protection and restoration (high confidence). Ecological theory and observations show that a wide range of actions can reduce risks to species and ecosystem integrity. This includes minimising additional stresses or disturbances; reducing fragmentation; increasing natural habitat extent, connectivity and heterogeneity; maintaining taxonomic, phylogenetic, and functional diversity and redundancy; and protecting small-scale refugia where micro-climate conditions can allow species to persist (high confidence).</x:v>
      </x:c>
      <x:c r="R30" s="159" t="str"/>
      <x:c r="S30" s="160" t="str">
        <x:v>Medium</x:v>
      </x:c>
    </x:row>
    <x:row r="31" ht="90" customHeight="1">
      <x:c r="A31" s="165" t="str">
        <x:v>ipcc_0086</x:v>
      </x:c>
      <x:c r="B31" s="159" t="str">
        <x:v>Implement ecosystem‑based adaptation measures</x:v>
      </x:c>
      <x:c r="C31" s="159" t="str">
        <x:v>Biodiversity</x:v>
      </x:c>
      <x:c r="D31" s="159" t="str">
        <x:v>Exposure</x:v>
      </x:c>
      <x:c r="E31" s="153" t="str"/>
      <x:c r="F31" s="153" t="str"/>
      <x:c r="G31" s="159" t="str">
        <x:v>Climate Change 2022: Impacts, Adaptation and Vulnerability - Chapter 2: Terrestrial and Freshwater Ecosystems and their Services</x:v>
      </x:c>
      <x:c r="H31" s="159" t="str">
        <x:v>https://www.ipcc.ch/report/ar6/wg2/downloads/report/IPCC_AR6_WGII_Chapter02.pdf</x:v>
      </x:c>
      <x:c r="I31" s="168" t="n">
        <x:v>7</x:v>
      </x:c>
      <x:c r="J31" s="159" t="str">
        <x:v>203</x:v>
      </x:c>
      <x:c r="K31" s="159" t="str">
        <x:v>Verified — ordered</x:v>
      </x:c>
      <x:c r="L31" s="159" t="str">
        <x:v>Ordered token coverage on the cited PDF page is 100.0%.</x:v>
      </x:c>
      <x:c r="M31" s="159" t="str">
        <x:v>Supports</x:v>
      </x:c>
      <x:c r="N31" s="159" t="str">
        <x:v>Whole action</x:v>
      </x:c>
      <x:c r="O31" s="159" t="str">
        <x:v>No</x:v>
      </x:c>
      <x:c r="P31" s="159" t="str">
        <x:v>Natural coverage | Protected area | Area for conservation</x:v>
      </x:c>
      <x:c r="Q31" s="159" t="str">
        <x:v>The resilience of biodiversity and ecosystem services to climate change can be increased by human adaptation actions including ecosystem protection and restoration (high confidence). Ecological theory and observations show that a wide range of actions can reduce risks to species and ecosystem integrity. This includes minimising additional stresses or disturbances; reducing fragmentation; increasing natural habitat extent, connectivity and heterogeneity; maintaining taxonomic, phylogenetic, and functional diversity and redundancy; and protecting small-scale refugia where micro-climate conditions can allow species to persist (high confidence).</x:v>
      </x:c>
      <x:c r="R31" s="159" t="str"/>
      <x:c r="S31" s="160" t="str">
        <x:v>Medium</x:v>
      </x:c>
    </x:row>
    <x:row r="32" ht="90" customHeight="1">
      <x:c r="A32" s="165" t="str">
        <x:v>ipcc_0086</x:v>
      </x:c>
      <x:c r="B32" s="159" t="str">
        <x:v>Implement ecosystem‑based adaptation measures</x:v>
      </x:c>
      <x:c r="C32" s="159" t="str">
        <x:v>Biodiversity</x:v>
      </x:c>
      <x:c r="D32" s="159" t="str">
        <x:v>Vulnerability</x:v>
      </x:c>
      <x:c r="E32" s="153" t="str"/>
      <x:c r="F32" s="153" t="str"/>
      <x:c r="G32" s="159" t="str">
        <x:v>Harnessing Nature to Build Climate Resilience: Scaling Up the Use of Ecosystem-based Adaptation</x:v>
      </x:c>
      <x:c r="H32" s="159" t="str">
        <x:v>https://globalebafund.org/wp-content/uploads/2022/07/Harnessing-nature-for-climate-resilience-Full-Report-V7-Web.pdf</x:v>
      </x:c>
      <x:c r="I32" s="168" t="n">
        <x:v>10</x:v>
      </x:c>
      <x:c r="J32" s="159" t="str">
        <x:v>8</x:v>
      </x:c>
      <x:c r="K32" s="159" t="str">
        <x:v>Verified — ordered</x:v>
      </x:c>
      <x:c r="L32" s="159" t="str">
        <x:v>Ordered token coverage on the cited PDF page is 100.0%.</x:v>
      </x:c>
      <x:c r="M32" s="159" t="str">
        <x:v>Supports</x:v>
      </x:c>
      <x:c r="N32" s="159" t="str">
        <x:v>Part of action</x:v>
      </x:c>
      <x:c r="O32" s="159" t="str">
        <x:v>No</x:v>
      </x:c>
      <x:c r="P32" s="159" t="str">
        <x:v>Environmental liabilities | Vegetation loss</x:v>
      </x:c>
      <x:c r="Q32" s="159" t="str">
        <x:v>Common examples of EbA measures include the conservation or restoration of mangroves to protect coastal communities from storm surges and sea level rise, the establishment of green roofs, street trees and urban parks to reduce the risks of heatwaves and flooding in cities, and the conservation of upslope forests to prevent landslides and downstream flooding under extreme weather events.</x:v>
      </x:c>
      <x:c r="R32" s="159" t="str"/>
      <x:c r="S32" s="160" t="str">
        <x:v>Medium</x:v>
      </x:c>
    </x:row>
    <x:row r="33" ht="90" customHeight="1">
      <x:c r="A33" s="165" t="str">
        <x:v>ipcc_0086</x:v>
      </x:c>
      <x:c r="B33" s="159" t="str">
        <x:v>Implement ecosystem‑based adaptation measures</x:v>
      </x:c>
      <x:c r="C33" s="159" t="str">
        <x:v>Biodiversity</x:v>
      </x:c>
      <x:c r="D33" s="159" t="str">
        <x:v>Exposure</x:v>
      </x:c>
      <x:c r="E33" s="153" t="str"/>
      <x:c r="F33" s="153" t="str"/>
      <x:c r="G33" s="159" t="str">
        <x:v>Harnessing Nature to Build Climate Resilience: Scaling Up the Use of Ecosystem-based Adaptation</x:v>
      </x:c>
      <x:c r="H33" s="159" t="str">
        <x:v>https://globalebafund.org/wp-content/uploads/2022/07/Harnessing-nature-for-climate-resilience-Full-Report-V7-Web.pdf</x:v>
      </x:c>
      <x:c r="I33" s="168" t="n">
        <x:v>10</x:v>
      </x:c>
      <x:c r="J33" s="159" t="str">
        <x:v>8</x:v>
      </x:c>
      <x:c r="K33" s="159" t="str">
        <x:v>Verified — ordered</x:v>
      </x:c>
      <x:c r="L33" s="159" t="str">
        <x:v>Ordered token coverage on the cited PDF page is 100.0%.</x:v>
      </x:c>
      <x:c r="M33" s="159" t="str">
        <x:v>Supports</x:v>
      </x:c>
      <x:c r="N33" s="159" t="str">
        <x:v>Part of action</x:v>
      </x:c>
      <x:c r="O33" s="159" t="str">
        <x:v>No</x:v>
      </x:c>
      <x:c r="P33" s="159" t="str">
        <x:v>Natural coverage | Area for conservation</x:v>
      </x:c>
      <x:c r="Q33" s="159" t="str">
        <x:v>Common examples of EbA measures include the conservation or restoration of mangroves to protect coastal communities from storm surges and sea level rise, the establishment of green roofs, street trees and urban parks to reduce the risks of heatwaves and flooding in cities, and the conservation of upslope forests to prevent landslides and downstream flooding under extreme weather events.</x:v>
      </x:c>
      <x:c r="R33" s="159" t="str"/>
      <x:c r="S33" s="160" t="str">
        <x:v>Medium</x:v>
      </x:c>
    </x:row>
    <x:row r="34" ht="90" customHeight="1">
      <x:c r="A34" s="165" t="str">
        <x:v>ipcc_0078</x:v>
      </x:c>
      <x:c r="B34" s="159" t="str">
        <x:v>Implement green roofs and walls</x:v>
      </x:c>
      <x:c r="C34" s="159" t="str">
        <x:v>Biodiversity</x:v>
      </x:c>
      <x:c r="D34" s="159" t="str">
        <x:v>Vulnerability</x:v>
      </x:c>
      <x:c r="E34" s="153" t="str"/>
      <x:c r="F34" s="153" t="str"/>
      <x:c r="G34" s="159" t="str">
        <x:v>Harnessing Nature to Build Climate Resilience: Scaling Up the Use of Ecosystem-based Adaptation</x:v>
      </x:c>
      <x:c r="H34" s="159" t="str">
        <x:v>https://globalebafund.org/wp-content/uploads/2022/07/Harnessing-nature-for-climate-resilience-Full-Report-V7-Web.pdf</x:v>
      </x:c>
      <x:c r="I34" s="168" t="n">
        <x:v>10</x:v>
      </x:c>
      <x:c r="J34" s="159" t="str">
        <x:v>8</x:v>
      </x:c>
      <x:c r="K34" s="159" t="str">
        <x:v>Verified — ordered</x:v>
      </x:c>
      <x:c r="L34" s="159" t="str">
        <x:v>Ordered token coverage on the cited PDF page is 100.0%.</x:v>
      </x:c>
      <x:c r="M34" s="159" t="str">
        <x:v>Supports</x:v>
      </x:c>
      <x:c r="N34" s="159" t="str">
        <x:v>Part of action</x:v>
      </x:c>
      <x:c r="O34" s="159" t="str">
        <x:v>No</x:v>
      </x:c>
      <x:c r="P34" s="159" t="str">
        <x:v>Vegetation loss</x:v>
      </x:c>
      <x:c r="Q34" s="159" t="str">
        <x:v>Common examples of EbA measures include the conservation or restoration of mangroves to protect coastal communities from storm surges and sea level rise, the establishment of green roofs, street trees and urban parks to reduce the risks of heatwaves and flooding in cities, and the conservation of upslope forests to prevent landslides and downstream flooding under extreme weather events.</x:v>
      </x:c>
      <x:c r="R34" s="159" t="str"/>
      <x:c r="S34" s="160" t="str">
        <x:v>Low</x:v>
      </x:c>
    </x:row>
    <x:row r="35" ht="90" customHeight="1">
      <x:c r="A35" s="165" t="str">
        <x:v>ipcc_0078</x:v>
      </x:c>
      <x:c r="B35" s="159" t="str">
        <x:v>Implement green roofs and walls</x:v>
      </x:c>
      <x:c r="C35" s="159" t="str">
        <x:v>Biodiversity</x:v>
      </x:c>
      <x:c r="D35" s="159" t="str">
        <x:v>Exposure</x:v>
      </x:c>
      <x:c r="E35" s="153" t="str"/>
      <x:c r="F35" s="153" t="str"/>
      <x:c r="G35" s="159" t="str">
        <x:v>Harnessing Nature to Build Climate Resilience: Scaling Up the Use of Ecosystem-based Adaptation</x:v>
      </x:c>
      <x:c r="H35" s="159" t="str">
        <x:v>https://globalebafund.org/wp-content/uploads/2022/07/Harnessing-nature-for-climate-resilience-Full-Report-V7-Web.pdf</x:v>
      </x:c>
      <x:c r="I35" s="168" t="n">
        <x:v>10</x:v>
      </x:c>
      <x:c r="J35" s="159" t="str">
        <x:v>8</x:v>
      </x:c>
      <x:c r="K35" s="159" t="str">
        <x:v>Verified — ordered</x:v>
      </x:c>
      <x:c r="L35" s="159" t="str">
        <x:v>Ordered token coverage on the cited PDF page is 100.0%.</x:v>
      </x:c>
      <x:c r="M35" s="159" t="str">
        <x:v>Supports</x:v>
      </x:c>
      <x:c r="N35" s="159" t="str">
        <x:v>Part of action</x:v>
      </x:c>
      <x:c r="O35" s="159" t="str">
        <x:v>No</x:v>
      </x:c>
      <x:c r="P35" s="159" t="str">
        <x:v>Natural coverage</x:v>
      </x:c>
      <x:c r="Q35" s="159" t="str">
        <x:v>Common examples of EbA measures include the conservation or restoration of mangroves to protect coastal communities from storm surges and sea level rise, the establishment of green roofs, street trees and urban parks to reduce the risks of heatwaves and flooding in cities, and the conservation of upslope forests to prevent landslides and downstream flooding under extreme weather events.</x:v>
      </x:c>
      <x:c r="R35" s="159" t="str"/>
      <x:c r="S35" s="160" t="str">
        <x:v>Low</x:v>
      </x:c>
    </x:row>
    <x:row r="36" ht="90" customHeight="1">
      <x:c r="A36" s="165" t="str">
        <x:v>icare_0186</x:v>
      </x:c>
      <x:c r="B36" s="159" t="str">
        <x:v>Implement integrated coastal zone management</x:v>
      </x:c>
      <x:c r="C36" s="159" t="str">
        <x:v>Biodiversity</x:v>
      </x:c>
      <x:c r="D36" s="159" t="str">
        <x:v>Vulnerability</x:v>
      </x:c>
      <x:c r="E36" s="153" t="str"/>
      <x:c r="F36" s="153" t="str"/>
      <x:c r="G36" s="159" t="str">
        <x:v>Harnessing Nature to Build Climate Resilience: Scaling Up the Use of Ecosystem-based Adaptation</x:v>
      </x:c>
      <x:c r="H36" s="159" t="str">
        <x:v>https://globalebafund.org/wp-content/uploads/2022/07/Harnessing-nature-for-climate-resilience-Full-Report-V7-Web.pdf</x:v>
      </x:c>
      <x:c r="I36" s="168" t="n">
        <x:v>15</x:v>
      </x:c>
      <x:c r="J36" s="159" t="str">
        <x:v>13</x:v>
      </x:c>
      <x:c r="K36" s="159" t="str">
        <x:v>Verified — ordered</x:v>
      </x:c>
      <x:c r="L36" s="159" t="str">
        <x:v>Ordered token coverage on the cited PDF page is 100.0%.</x:v>
      </x:c>
      <x:c r="M36" s="159" t="str">
        <x:v>Supports</x:v>
      </x:c>
      <x:c r="N36" s="159" t="str">
        <x:v>Whole action</x:v>
      </x:c>
      <x:c r="O36" s="159" t="str">
        <x:v>No</x:v>
      </x:c>
      <x:c r="P36" s="159" t="str">
        <x:v>Environmental liabilities | Vegetation loss | Steering committee and management plan</x:v>
      </x:c>
      <x:c r="Q36" s="159" t="str">
        <x:v>Building codes and zoning regulations can be used to promote the conservation, management and restoration of ecosystems for climate change adaptation. Governments can also revise and improve land and coastal zoning regulations so that they protect ecosystems that are critical for adaptation, for example, prohibiting development of vulnerable coastal ecosystems or floodplains that provide valuable flood protection services.</x:v>
      </x:c>
      <x:c r="R36" s="159" t="str"/>
      <x:c r="S36" s="160" t="str">
        <x:v>Medium</x:v>
      </x:c>
    </x:row>
    <x:row r="37" ht="90" customHeight="1">
      <x:c r="A37" s="165" t="str">
        <x:v>icare_0186</x:v>
      </x:c>
      <x:c r="B37" s="159" t="str">
        <x:v>Implement integrated coastal zone management</x:v>
      </x:c>
      <x:c r="C37" s="159" t="str">
        <x:v>Biodiversity</x:v>
      </x:c>
      <x:c r="D37" s="159" t="str">
        <x:v>Exposure</x:v>
      </x:c>
      <x:c r="E37" s="153" t="str"/>
      <x:c r="F37" s="153" t="str"/>
      <x:c r="G37" s="159" t="str">
        <x:v>Harnessing Nature to Build Climate Resilience: Scaling Up the Use of Ecosystem-based Adaptation</x:v>
      </x:c>
      <x:c r="H37" s="159" t="str">
        <x:v>https://globalebafund.org/wp-content/uploads/2022/07/Harnessing-nature-for-climate-resilience-Full-Report-V7-Web.pdf</x:v>
      </x:c>
      <x:c r="I37" s="168" t="n">
        <x:v>15</x:v>
      </x:c>
      <x:c r="J37" s="159" t="str">
        <x:v>13</x:v>
      </x:c>
      <x:c r="K37" s="159" t="str">
        <x:v>Verified — ordered</x:v>
      </x:c>
      <x:c r="L37" s="159" t="str">
        <x:v>Ordered token coverage on the cited PDF page is 100.0%.</x:v>
      </x:c>
      <x:c r="M37" s="159" t="str">
        <x:v>Supports</x:v>
      </x:c>
      <x:c r="N37" s="159" t="str">
        <x:v>Whole action</x:v>
      </x:c>
      <x:c r="O37" s="159" t="str">
        <x:v>No</x:v>
      </x:c>
      <x:c r="P37" s="159" t="str">
        <x:v>Natural coverage | Protected area | Area for conservation</x:v>
      </x:c>
      <x:c r="Q37" s="159" t="str">
        <x:v>Building codes and zoning regulations can be used to promote the conservation, management and restoration of ecosystems for climate change adaptation. Governments can also revise and improve land and coastal zoning regulations so that they protect ecosystems that are critical for adaptation, for example, prohibiting development of vulnerable coastal ecosystems or floodplains that provide valuable flood protection services.</x:v>
      </x:c>
      <x:c r="R37" s="159" t="str"/>
      <x:c r="S37" s="160" t="str">
        <x:v>Medium</x:v>
      </x:c>
    </x:row>
    <x:row r="38" ht="90" customHeight="1">
      <x:c r="A38" s="165" t="str">
        <x:v>icare_0156</x:v>
      </x:c>
      <x:c r="B38" s="159" t="str">
        <x:v>Improve Implementation of urban gardens</x:v>
      </x:c>
      <x:c r="C38" s="159" t="str">
        <x:v>Biodiversity</x:v>
      </x:c>
      <x:c r="D38" s="159" t="str">
        <x:v>Vulnerability</x:v>
      </x:c>
      <x:c r="E38" s="153" t="str"/>
      <x:c r="F38" s="153" t="str"/>
      <x:c r="G38" s="159" t="str">
        <x:v>Climate Change 2022: Impacts, Adaptation and Vulnerability - Chapter 2: Terrestrial and Freshwater Ecosystems and their Services</x:v>
      </x:c>
      <x:c r="H38" s="159" t="str">
        <x:v>https://www.ipcc.ch/report/ar6/wg2/downloads/report/IPCC_AR6_WGII_Chapter02.pdf</x:v>
      </x:c>
      <x:c r="I38" s="168" t="n">
        <x:v>7</x:v>
      </x:c>
      <x:c r="J38" s="159" t="str">
        <x:v>203</x:v>
      </x:c>
      <x:c r="K38" s="159" t="str">
        <x:v>Verified — ordered</x:v>
      </x:c>
      <x:c r="L38" s="159" t="str">
        <x:v>Ordered token coverage on the cited PDF page is 100.0%.</x:v>
      </x:c>
      <x:c r="M38" s="159" t="str">
        <x:v>Supports</x:v>
      </x:c>
      <x:c r="N38" s="159" t="str">
        <x:v>Part of action</x:v>
      </x:c>
      <x:c r="O38" s="159" t="str">
        <x:v>No</x:v>
      </x:c>
      <x:c r="P38" s="159" t="str">
        <x:v>No family farming | No sustainable agricultural practice | Agricultural establishment | Technical guidance</x:v>
      </x:c>
      <x:c r="Q38" s="159" t="str">
        <x:v>The resilience of biodiversity and ecosystem services to climate change can be increased by human adaptation actions including ecosystem protection and restoration (high confidence). Ecological theory and observations show that a wide range of actions can reduce risks to species and ecosystem integrity. This includes minimising additional stresses or disturbances; reducing fragmentation; increasing natural habitat extent, connectivity and heterogeneity; maintaining taxonomic, phylogenetic, and functional diversity and redundancy; and protecting small-scale refugia where micro-climate conditions can allow species to persist (high confidence).</x:v>
      </x:c>
      <x:c r="R38" s="159" t="str"/>
      <x:c r="S38" s="160" t="str">
        <x:v>Low</x:v>
      </x:c>
    </x:row>
    <x:row r="39" ht="90" customHeight="1">
      <x:c r="A39" s="165" t="str">
        <x:v>c40_0056</x:v>
      </x:c>
      <x:c r="B39" s="159" t="str">
        <x:v>Improve Watershed Protection and Management</x:v>
      </x:c>
      <x:c r="C39" s="159" t="str">
        <x:v>Biodiversity</x:v>
      </x:c>
      <x:c r="D39" s="159" t="str">
        <x:v>Vulnerability</x:v>
      </x:c>
      <x:c r="E39" s="153" t="str"/>
      <x:c r="F39" s="153" t="str"/>
      <x:c r="G39" s="159" t="str">
        <x:v>Climate Change 2022: Impacts, Adaptation and Vulnerability - Chapter 2: Terrestrial and Freshwater Ecosystems and their Services</x:v>
      </x:c>
      <x:c r="H39" s="159" t="str">
        <x:v>https://www.ipcc.ch/report/ar6/wg2/downloads/report/IPCC_AR6_WGII_Chapter02.pdf</x:v>
      </x:c>
      <x:c r="I39" s="168" t="n">
        <x:v>7</x:v>
      </x:c>
      <x:c r="J39" s="159" t="str">
        <x:v>203</x:v>
      </x:c>
      <x:c r="K39" s="159" t="str">
        <x:v>Verified — ordered</x:v>
      </x:c>
      <x:c r="L39" s="159" t="str">
        <x:v>Ordered token coverage on the cited PDF page is 100.0%.</x:v>
      </x:c>
      <x:c r="M39" s="159" t="str">
        <x:v>Supports</x:v>
      </x:c>
      <x:c r="N39" s="159" t="str">
        <x:v>Whole action</x:v>
      </x:c>
      <x:c r="O39" s="159" t="str">
        <x:v>No</x:v>
      </x:c>
      <x:c r="P39" s="159" t="str">
        <x:v>Environmental liabilities | Vegetation loss</x:v>
      </x:c>
      <x:c r="Q39" s="159" t="str">
        <x:v>The resilience of biodiversity and ecosystem services to climate change can be increased by human adaptation actions including ecosystem protection and restoration (high confidence). Ecological theory and observations show that a wide range of actions can reduce risks to species and ecosystem integrity. This includes minimising additional stresses or disturbances; reducing fragmentation; increasing natural habitat extent, connectivity and heterogeneity; maintaining taxonomic, phylogenetic, and functional diversity and redundancy; and protecting small-scale refugia where micro-climate conditions can allow species to persist (high confidence).</x:v>
      </x:c>
      <x:c r="R39" s="159" t="str"/>
      <x:c r="S39" s="160" t="str">
        <x:v>Medium</x:v>
      </x:c>
    </x:row>
    <x:row r="40" ht="90" customHeight="1">
      <x:c r="A40" s="165" t="str">
        <x:v>c40_0056</x:v>
      </x:c>
      <x:c r="B40" s="159" t="str">
        <x:v>Improve Watershed Protection and Management</x:v>
      </x:c>
      <x:c r="C40" s="159" t="str">
        <x:v>Biodiversity</x:v>
      </x:c>
      <x:c r="D40" s="159" t="str">
        <x:v>Exposure</x:v>
      </x:c>
      <x:c r="E40" s="153" t="str"/>
      <x:c r="F40" s="153" t="str"/>
      <x:c r="G40" s="159" t="str">
        <x:v>Climate Change 2022: Impacts, Adaptation and Vulnerability - Chapter 2: Terrestrial and Freshwater Ecosystems and their Services</x:v>
      </x:c>
      <x:c r="H40" s="159" t="str">
        <x:v>https://www.ipcc.ch/report/ar6/wg2/downloads/report/IPCC_AR6_WGII_Chapter02.pdf</x:v>
      </x:c>
      <x:c r="I40" s="168" t="n">
        <x:v>7</x:v>
      </x:c>
      <x:c r="J40" s="159" t="str">
        <x:v>203</x:v>
      </x:c>
      <x:c r="K40" s="159" t="str">
        <x:v>Verified — ordered</x:v>
      </x:c>
      <x:c r="L40" s="159" t="str">
        <x:v>Ordered token coverage on the cited PDF page is 100.0%.</x:v>
      </x:c>
      <x:c r="M40" s="159" t="str">
        <x:v>Supports</x:v>
      </x:c>
      <x:c r="N40" s="159" t="str">
        <x:v>Whole action</x:v>
      </x:c>
      <x:c r="O40" s="159" t="str">
        <x:v>No</x:v>
      </x:c>
      <x:c r="P40" s="159" t="str">
        <x:v>Natural coverage | Area for conservation</x:v>
      </x:c>
      <x:c r="Q40" s="159" t="str">
        <x:v>The resilience of biodiversity and ecosystem services to climate change can be increased by human adaptation actions including ecosystem protection and restoration (high confidence). Ecological theory and observations show that a wide range of actions can reduce risks to species and ecosystem integrity. This includes minimising additional stresses or disturbances; reducing fragmentation; increasing natural habitat extent, connectivity and heterogeneity; maintaining taxonomic, phylogenetic, and functional diversity and redundancy; and protecting small-scale refugia where micro-climate conditions can allow species to persist (high confidence).</x:v>
      </x:c>
      <x:c r="R40" s="159" t="str"/>
      <x:c r="S40" s="160" t="str">
        <x:v>Medium</x:v>
      </x:c>
    </x:row>
    <x:row r="41" ht="90" customHeight="1">
      <x:c r="A41" s="165" t="str">
        <x:v>c40_0056</x:v>
      </x:c>
      <x:c r="B41" s="159" t="str">
        <x:v>Improve Watershed Protection and Management</x:v>
      </x:c>
      <x:c r="C41" s="159" t="str">
        <x:v>Biodiversity</x:v>
      </x:c>
      <x:c r="D41" s="159" t="str">
        <x:v>Vulnerability</x:v>
      </x:c>
      <x:c r="E41" s="153" t="str"/>
      <x:c r="F41" s="153" t="str"/>
      <x:c r="G41" s="159" t="str">
        <x:v>Harnessing Nature to Build Climate Resilience: Scaling Up the Use of Ecosystem-based Adaptation</x:v>
      </x:c>
      <x:c r="H41" s="159" t="str">
        <x:v>https://globalebafund.org/wp-content/uploads/2022/07/Harnessing-nature-for-climate-resilience-Full-Report-V7-Web.pdf</x:v>
      </x:c>
      <x:c r="I41" s="168" t="n">
        <x:v>10</x:v>
      </x:c>
      <x:c r="J41" s="159" t="str">
        <x:v>8</x:v>
      </x:c>
      <x:c r="K41" s="159" t="str">
        <x:v>Verified — ordered</x:v>
      </x:c>
      <x:c r="L41" s="159" t="str">
        <x:v>Ordered token coverage on the cited PDF page is 100.0%.</x:v>
      </x:c>
      <x:c r="M41" s="159" t="str">
        <x:v>Supports</x:v>
      </x:c>
      <x:c r="N41" s="159" t="str">
        <x:v>Part of action</x:v>
      </x:c>
      <x:c r="O41" s="159" t="str">
        <x:v>No</x:v>
      </x:c>
      <x:c r="P41" s="159" t="str">
        <x:v>Environmental liabilities | Vegetation loss</x:v>
      </x:c>
      <x:c r="Q41" s="159" t="str">
        <x:v>Common examples of EbA measures include the conservation or restoration of mangroves to protect coastal communities from storm surges and sea level rise, the establishment of green roofs, street trees and urban parks to reduce the risks of heatwaves and flooding in cities, and the conservation of upslope forests to prevent landslides and downstream flooding under extreme weather events.</x:v>
      </x:c>
      <x:c r="R41" s="159" t="str"/>
      <x:c r="S41" s="160" t="str">
        <x:v>Medium</x:v>
      </x:c>
    </x:row>
    <x:row r="42" ht="90" customHeight="1">
      <x:c r="A42" s="165" t="str">
        <x:v>c40_0056</x:v>
      </x:c>
      <x:c r="B42" s="159" t="str">
        <x:v>Improve Watershed Protection and Management</x:v>
      </x:c>
      <x:c r="C42" s="159" t="str">
        <x:v>Biodiversity</x:v>
      </x:c>
      <x:c r="D42" s="159" t="str">
        <x:v>Exposure</x:v>
      </x:c>
      <x:c r="E42" s="153" t="str"/>
      <x:c r="F42" s="153" t="str"/>
      <x:c r="G42" s="159" t="str">
        <x:v>Harnessing Nature to Build Climate Resilience: Scaling Up the Use of Ecosystem-based Adaptation</x:v>
      </x:c>
      <x:c r="H42" s="159" t="str">
        <x:v>https://globalebafund.org/wp-content/uploads/2022/07/Harnessing-nature-for-climate-resilience-Full-Report-V7-Web.pdf</x:v>
      </x:c>
      <x:c r="I42" s="168" t="n">
        <x:v>10</x:v>
      </x:c>
      <x:c r="J42" s="159" t="str">
        <x:v>8</x:v>
      </x:c>
      <x:c r="K42" s="159" t="str">
        <x:v>Verified — ordered</x:v>
      </x:c>
      <x:c r="L42" s="159" t="str">
        <x:v>Ordered token coverage on the cited PDF page is 100.0%.</x:v>
      </x:c>
      <x:c r="M42" s="159" t="str">
        <x:v>Supports</x:v>
      </x:c>
      <x:c r="N42" s="159" t="str">
        <x:v>Part of action</x:v>
      </x:c>
      <x:c r="O42" s="159" t="str">
        <x:v>No</x:v>
      </x:c>
      <x:c r="P42" s="159" t="str">
        <x:v>Natural coverage | Area for conservation</x:v>
      </x:c>
      <x:c r="Q42" s="159" t="str">
        <x:v>Common examples of EbA measures include the conservation or restoration of mangroves to protect coastal communities from storm surges and sea level rise, the establishment of green roofs, street trees and urban parks to reduce the risks of heatwaves and flooding in cities, and the conservation of upslope forests to prevent landslides and downstream flooding under extreme weather events.</x:v>
      </x:c>
      <x:c r="R42" s="159" t="str"/>
      <x:c r="S42" s="160" t="str">
        <x:v>Medium</x:v>
      </x:c>
    </x:row>
    <x:row r="43" ht="90" customHeight="1">
      <x:c r="A43" s="165" t="str">
        <x:v>ipcc_0085</x:v>
      </x:c>
      <x:c r="B43" s="159" t="str">
        <x:v>Reduce pressures on ecosystems to build resilience</x:v>
      </x:c>
      <x:c r="C43" s="159" t="str">
        <x:v>Biodiversity</x:v>
      </x:c>
      <x:c r="D43" s="159" t="str">
        <x:v>Vulnerability</x:v>
      </x:c>
      <x:c r="E43" s="153" t="str"/>
      <x:c r="F43" s="153" t="str"/>
      <x:c r="G43" s="159" t="str">
        <x:v>Climate Change 2022: Impacts, Adaptation and Vulnerability - Chapter 2: Terrestrial and Freshwater Ecosystems and their Services</x:v>
      </x:c>
      <x:c r="H43" s="159" t="str">
        <x:v>https://www.ipcc.ch/report/ar6/wg2/downloads/report/IPCC_AR6_WGII_Chapter02.pdf</x:v>
      </x:c>
      <x:c r="I43" s="168" t="n">
        <x:v>7</x:v>
      </x:c>
      <x:c r="J43" s="159" t="str">
        <x:v>203</x:v>
      </x:c>
      <x:c r="K43" s="159" t="str">
        <x:v>Verified — ordered</x:v>
      </x:c>
      <x:c r="L43" s="159" t="str">
        <x:v>Ordered token coverage on the cited PDF page is 100.0%.</x:v>
      </x:c>
      <x:c r="M43" s="159" t="str">
        <x:v>Supports</x:v>
      </x:c>
      <x:c r="N43" s="159" t="str">
        <x:v>Part of action</x:v>
      </x:c>
      <x:c r="O43" s="159" t="str">
        <x:v>No</x:v>
      </x:c>
      <x:c r="P43" s="159" t="str">
        <x:v>Environmental liabilities | Vegetation loss</x:v>
      </x:c>
      <x:c r="Q43" s="159" t="str">
        <x:v>The resilience of biodiversity and ecosystem services to climate change can be increased by human adaptation actions including ecosystem protection and restoration (high confidence). Ecological theory and observations show that a wide range of actions can reduce risks to species and ecosystem integrity. This includes minimising additional stresses or disturbances; reducing fragmentation; increasing natural habitat extent, connectivity and heterogeneity; maintaining taxonomic, phylogenetic, and functional diversity and redundancy; and protecting small-scale refugia where micro-climate conditions can allow species to persist (high confidence).</x:v>
      </x:c>
      <x:c r="R43" s="159" t="str"/>
      <x:c r="S43" s="160" t="str">
        <x:v>Low</x:v>
      </x:c>
    </x:row>
    <x:row r="44" ht="90" customHeight="1">
      <x:c r="A44" s="165" t="str">
        <x:v>ipcc_0085</x:v>
      </x:c>
      <x:c r="B44" s="159" t="str">
        <x:v>Reduce pressures on ecosystems to build resilience</x:v>
      </x:c>
      <x:c r="C44" s="159" t="str">
        <x:v>Biodiversity</x:v>
      </x:c>
      <x:c r="D44" s="159" t="str">
        <x:v>Exposure</x:v>
      </x:c>
      <x:c r="E44" s="153" t="str"/>
      <x:c r="F44" s="153" t="str"/>
      <x:c r="G44" s="159" t="str">
        <x:v>Climate Change 2022: Impacts, Adaptation and Vulnerability - Chapter 2: Terrestrial and Freshwater Ecosystems and their Services</x:v>
      </x:c>
      <x:c r="H44" s="159" t="str">
        <x:v>https://www.ipcc.ch/report/ar6/wg2/downloads/report/IPCC_AR6_WGII_Chapter02.pdf</x:v>
      </x:c>
      <x:c r="I44" s="168" t="n">
        <x:v>7</x:v>
      </x:c>
      <x:c r="J44" s="159" t="str">
        <x:v>203</x:v>
      </x:c>
      <x:c r="K44" s="159" t="str">
        <x:v>Verified — ordered</x:v>
      </x:c>
      <x:c r="L44" s="159" t="str">
        <x:v>Ordered token coverage on the cited PDF page is 100.0%.</x:v>
      </x:c>
      <x:c r="M44" s="159" t="str">
        <x:v>Supports</x:v>
      </x:c>
      <x:c r="N44" s="159" t="str">
        <x:v>Part of action</x:v>
      </x:c>
      <x:c r="O44" s="159" t="str">
        <x:v>No</x:v>
      </x:c>
      <x:c r="P44" s="159" t="str">
        <x:v>Natural coverage | Protected area | Area for conservation</x:v>
      </x:c>
      <x:c r="Q44" s="159" t="str">
        <x:v>The resilience of biodiversity and ecosystem services to climate change can be increased by human adaptation actions including ecosystem protection and restoration (high confidence). Ecological theory and observations show that a wide range of actions can reduce risks to species and ecosystem integrity. This includes minimising additional stresses or disturbances; reducing fragmentation; increasing natural habitat extent, connectivity and heterogeneity; maintaining taxonomic, phylogenetic, and functional diversity and redundancy; and protecting small-scale refugia where micro-climate conditions can allow species to persist (high confidence).</x:v>
      </x:c>
      <x:c r="R44" s="159" t="str"/>
      <x:c r="S44" s="160" t="str">
        <x:v>Low</x:v>
      </x:c>
    </x:row>
    <x:row r="45" ht="90" customHeight="1">
      <x:c r="A45" s="165" t="str">
        <x:v>ipcc_0085</x:v>
      </x:c>
      <x:c r="B45" s="159" t="str">
        <x:v>Reduce pressures on ecosystems to build resilience</x:v>
      </x:c>
      <x:c r="C45" s="159" t="str">
        <x:v>Biodiversity</x:v>
      </x:c>
      <x:c r="D45" s="159" t="str">
        <x:v>Vulnerability</x:v>
      </x:c>
      <x:c r="E45" s="153" t="str"/>
      <x:c r="F45" s="153" t="str"/>
      <x:c r="G45" s="159" t="str">
        <x:v>Plano Nacional de Adaptação à Mudança do Clima</x:v>
      </x:c>
      <x:c r="H45" s="159" t="str">
        <x:v>https://unfccc.int/sites/default/files/resource/NAP_Brazil_2016_PR.pdf</x:v>
      </x:c>
      <x:c r="I45" s="168" t="n">
        <x:v>139</x:v>
      </x:c>
      <x:c r="J45" s="159" t="str">
        <x:v>121</x:v>
      </x:c>
      <x:c r="K45" s="159" t="str">
        <x:v>Verified — exact</x:v>
      </x:c>
      <x:c r="L45" s="159" t="str">
        <x:v>Normalized quote occurs on the cited PDF page.</x:v>
      </x:c>
      <x:c r="M45" s="159" t="str">
        <x:v>Supports</x:v>
      </x:c>
      <x:c r="N45" s="159" t="str">
        <x:v>Part of action</x:v>
      </x:c>
      <x:c r="O45" s="159" t="str">
        <x:v>No</x:v>
      </x:c>
      <x:c r="P45" s="159" t="str">
        <x:v>Environmental liabilities | Vegetation loss | Steering committee and management plan</x:v>
      </x:c>
      <x:c r="Q45" s="159" t="str">
        <x:v>Fortalecer as medidas de conservação, recuperação e uso sustentável da biodiversidade visando o aumento da conectividade entre remanescentes dos ecossistemas e a consolidação de Unidades de Conservação, refletindo a gestão florestal integrada da paisagem e propiciando a redução da vulnerabilidade da biodiversidade.</x:v>
      </x:c>
      <x:c r="R45" s="159" t="str"/>
      <x:c r="S45" s="160" t="str">
        <x:v>Low</x:v>
      </x:c>
    </x:row>
    <x:row r="46" ht="90" customHeight="1">
      <x:c r="A46" s="165" t="str">
        <x:v>ipcc_0085</x:v>
      </x:c>
      <x:c r="B46" s="159" t="str">
        <x:v>Reduce pressures on ecosystems to build resilience</x:v>
      </x:c>
      <x:c r="C46" s="159" t="str">
        <x:v>Biodiversity</x:v>
      </x:c>
      <x:c r="D46" s="159" t="str">
        <x:v>Exposure</x:v>
      </x:c>
      <x:c r="E46" s="153" t="str"/>
      <x:c r="F46" s="153" t="str"/>
      <x:c r="G46" s="159" t="str">
        <x:v>Plano Nacional de Adaptação à Mudança do Clima</x:v>
      </x:c>
      <x:c r="H46" s="159" t="str">
        <x:v>https://unfccc.int/sites/default/files/resource/NAP_Brazil_2016_PR.pdf</x:v>
      </x:c>
      <x:c r="I46" s="168" t="n">
        <x:v>139</x:v>
      </x:c>
      <x:c r="J46" s="159" t="str">
        <x:v>121</x:v>
      </x:c>
      <x:c r="K46" s="159" t="str">
        <x:v>Verified — exact</x:v>
      </x:c>
      <x:c r="L46" s="159" t="str">
        <x:v>Normalized quote occurs on the cited PDF page.</x:v>
      </x:c>
      <x:c r="M46" s="159" t="str">
        <x:v>Supports</x:v>
      </x:c>
      <x:c r="N46" s="159" t="str">
        <x:v>Part of action</x:v>
      </x:c>
      <x:c r="O46" s="159" t="str">
        <x:v>No</x:v>
      </x:c>
      <x:c r="P46" s="159" t="str">
        <x:v>Natural coverage | Protected area | Area for conservation</x:v>
      </x:c>
      <x:c r="Q46" s="159" t="str">
        <x:v>Fortalecer as medidas de conservação, recuperação e uso sustentável da biodiversidade visando o aumento da conectividade entre remanescentes dos ecossistemas e a consolidação de Unidades de Conservação, refletindo a gestão florestal integrada da paisagem e propiciando a redução da vulnerabilidade da biodiversidade.</x:v>
      </x:c>
      <x:c r="R46" s="159" t="str"/>
      <x:c r="S46" s="160" t="str">
        <x:v>Low</x:v>
      </x:c>
    </x:row>
    <x:row r="47" ht="90" customHeight="1">
      <x:c r="A47" s="165" t="str">
        <x:v>ipcc_0084</x:v>
      </x:c>
      <x:c r="B47" s="159" t="str">
        <x:v>Restore/create natural areas</x:v>
      </x:c>
      <x:c r="C47" s="159" t="str">
        <x:v>Biodiversity</x:v>
      </x:c>
      <x:c r="D47" s="159" t="str">
        <x:v>Vulnerability</x:v>
      </x:c>
      <x:c r="E47" s="153" t="str"/>
      <x:c r="F47" s="153" t="str"/>
      <x:c r="G47" s="159" t="str">
        <x:v>Climate Change 2022: Impacts, Adaptation and Vulnerability - Chapter 2: Terrestrial and Freshwater Ecosystems and their Services</x:v>
      </x:c>
      <x:c r="H47" s="159" t="str">
        <x:v>https://www.ipcc.ch/report/ar6/wg2/downloads/report/IPCC_AR6_WGII_Chapter02.pdf</x:v>
      </x:c>
      <x:c r="I47" s="168" t="n">
        <x:v>7</x:v>
      </x:c>
      <x:c r="J47" s="159" t="str">
        <x:v>203</x:v>
      </x:c>
      <x:c r="K47" s="159" t="str">
        <x:v>Verified — ordered</x:v>
      </x:c>
      <x:c r="L47" s="159" t="str">
        <x:v>Ordered token coverage on the cited PDF page is 100.0%.</x:v>
      </x:c>
      <x:c r="M47" s="159" t="str">
        <x:v>Supports</x:v>
      </x:c>
      <x:c r="N47" s="159" t="str">
        <x:v>Whole action</x:v>
      </x:c>
      <x:c r="O47" s="159" t="str">
        <x:v>No</x:v>
      </x:c>
      <x:c r="P47" s="159" t="str">
        <x:v>Environmental liabilities | Vegetation loss</x:v>
      </x:c>
      <x:c r="Q47" s="159" t="str">
        <x:v>The resilience of biodiversity and ecosystem services to climate change can be increased by human adaptation actions including ecosystem protection and restoration (high confidence). Ecological theory and observations show that a wide range of actions can reduce risks to species and ecosystem integrity. This includes minimising additional stresses or disturbances; reducing fragmentation; increasing natural habitat extent, connectivity and heterogeneity; maintaining taxonomic, phylogenetic, and functional diversity and redundancy; and protecting small-scale refugia where micro-climate conditions can allow species to persist (high confidence).</x:v>
      </x:c>
      <x:c r="R47" s="159" t="str"/>
      <x:c r="S47" s="160" t="str">
        <x:v>High</x:v>
      </x:c>
    </x:row>
    <x:row r="48" ht="90" customHeight="1">
      <x:c r="A48" s="165" t="str">
        <x:v>ipcc_0084</x:v>
      </x:c>
      <x:c r="B48" s="159" t="str">
        <x:v>Restore/create natural areas</x:v>
      </x:c>
      <x:c r="C48" s="159" t="str">
        <x:v>Biodiversity</x:v>
      </x:c>
      <x:c r="D48" s="159" t="str">
        <x:v>Exposure</x:v>
      </x:c>
      <x:c r="E48" s="153" t="str"/>
      <x:c r="F48" s="153" t="str"/>
      <x:c r="G48" s="159" t="str">
        <x:v>Climate Change 2022: Impacts, Adaptation and Vulnerability - Chapter 2: Terrestrial and Freshwater Ecosystems and their Services</x:v>
      </x:c>
      <x:c r="H48" s="159" t="str">
        <x:v>https://www.ipcc.ch/report/ar6/wg2/downloads/report/IPCC_AR6_WGII_Chapter02.pdf</x:v>
      </x:c>
      <x:c r="I48" s="168" t="n">
        <x:v>7</x:v>
      </x:c>
      <x:c r="J48" s="159" t="str">
        <x:v>203</x:v>
      </x:c>
      <x:c r="K48" s="159" t="str">
        <x:v>Verified — ordered</x:v>
      </x:c>
      <x:c r="L48" s="159" t="str">
        <x:v>Ordered token coverage on the cited PDF page is 100.0%.</x:v>
      </x:c>
      <x:c r="M48" s="159" t="str">
        <x:v>Supports</x:v>
      </x:c>
      <x:c r="N48" s="159" t="str">
        <x:v>Whole action</x:v>
      </x:c>
      <x:c r="O48" s="159" t="str">
        <x:v>No</x:v>
      </x:c>
      <x:c r="P48" s="159" t="str">
        <x:v>Natural coverage | Protected area | Area for conservation</x:v>
      </x:c>
      <x:c r="Q48" s="159" t="str">
        <x:v>The resilience of biodiversity and ecosystem services to climate change can be increased by human adaptation actions including ecosystem protection and restoration (high confidence). Ecological theory and observations show that a wide range of actions can reduce risks to species and ecosystem integrity. This includes minimising additional stresses or disturbances; reducing fragmentation; increasing natural habitat extent, connectivity and heterogeneity; maintaining taxonomic, phylogenetic, and functional diversity and redundancy; and protecting small-scale refugia where micro-climate conditions can allow species to persist (high confidence).</x:v>
      </x:c>
      <x:c r="R48" s="159" t="str"/>
      <x:c r="S48" s="160" t="str">
        <x:v>High</x:v>
      </x:c>
    </x:row>
    <x:row r="49" ht="90" customHeight="1">
      <x:c r="A49" s="165" t="str">
        <x:v>ipcc_0084</x:v>
      </x:c>
      <x:c r="B49" s="159" t="str">
        <x:v>Restore/create natural areas</x:v>
      </x:c>
      <x:c r="C49" s="159" t="str">
        <x:v>Biodiversity</x:v>
      </x:c>
      <x:c r="D49" s="159" t="str">
        <x:v>Vulnerability</x:v>
      </x:c>
      <x:c r="E49" s="153" t="str"/>
      <x:c r="F49" s="153" t="str"/>
      <x:c r="G49" s="159" t="str">
        <x:v>Harnessing Nature to Build Climate Resilience: Scaling Up the Use of Ecosystem-based Adaptation</x:v>
      </x:c>
      <x:c r="H49" s="159" t="str">
        <x:v>https://globalebafund.org/wp-content/uploads/2022/07/Harnessing-nature-for-climate-resilience-Full-Report-V7-Web.pdf</x:v>
      </x:c>
      <x:c r="I49" s="168" t="n">
        <x:v>10</x:v>
      </x:c>
      <x:c r="J49" s="159" t="str">
        <x:v>8</x:v>
      </x:c>
      <x:c r="K49" s="159" t="str">
        <x:v>Verified — ordered</x:v>
      </x:c>
      <x:c r="L49" s="159" t="str">
        <x:v>Ordered token coverage on the cited PDF page is 100.0%.</x:v>
      </x:c>
      <x:c r="M49" s="159" t="str">
        <x:v>Supports</x:v>
      </x:c>
      <x:c r="N49" s="159" t="str">
        <x:v>Part of action</x:v>
      </x:c>
      <x:c r="O49" s="159" t="str">
        <x:v>No</x:v>
      </x:c>
      <x:c r="P49" s="159" t="str">
        <x:v>Environmental liabilities | Vegetation loss</x:v>
      </x:c>
      <x:c r="Q49" s="159" t="str">
        <x:v>Common examples of EbA measures include the conservation or restoration of mangroves to protect coastal communities from storm surges and sea level rise, the establishment of green roofs, street trees and urban parks to reduce the risks of heatwaves and flooding in cities, and the conservation of upslope forests to prevent landslides and downstream flooding under extreme weather events.</x:v>
      </x:c>
      <x:c r="R49" s="159" t="str"/>
      <x:c r="S49" s="160" t="str">
        <x:v>High</x:v>
      </x:c>
    </x:row>
    <x:row r="50" ht="90" customHeight="1">
      <x:c r="A50" s="165" t="str">
        <x:v>ipcc_0084</x:v>
      </x:c>
      <x:c r="B50" s="159" t="str">
        <x:v>Restore/create natural areas</x:v>
      </x:c>
      <x:c r="C50" s="159" t="str">
        <x:v>Biodiversity</x:v>
      </x:c>
      <x:c r="D50" s="159" t="str">
        <x:v>Exposure</x:v>
      </x:c>
      <x:c r="E50" s="153" t="str"/>
      <x:c r="F50" s="153" t="str"/>
      <x:c r="G50" s="159" t="str">
        <x:v>Harnessing Nature to Build Climate Resilience: Scaling Up the Use of Ecosystem-based Adaptation</x:v>
      </x:c>
      <x:c r="H50" s="159" t="str">
        <x:v>https://globalebafund.org/wp-content/uploads/2022/07/Harnessing-nature-for-climate-resilience-Full-Report-V7-Web.pdf</x:v>
      </x:c>
      <x:c r="I50" s="168" t="n">
        <x:v>10</x:v>
      </x:c>
      <x:c r="J50" s="159" t="str">
        <x:v>8</x:v>
      </x:c>
      <x:c r="K50" s="159" t="str">
        <x:v>Verified — ordered</x:v>
      </x:c>
      <x:c r="L50" s="159" t="str">
        <x:v>Ordered token coverage on the cited PDF page is 100.0%.</x:v>
      </x:c>
      <x:c r="M50" s="159" t="str">
        <x:v>Supports</x:v>
      </x:c>
      <x:c r="N50" s="159" t="str">
        <x:v>Part of action</x:v>
      </x:c>
      <x:c r="O50" s="159" t="str">
        <x:v>No</x:v>
      </x:c>
      <x:c r="P50" s="159" t="str">
        <x:v>Natural coverage | Area for conservation</x:v>
      </x:c>
      <x:c r="Q50" s="159" t="str">
        <x:v>Common examples of EbA measures include the conservation or restoration of mangroves to protect coastal communities from storm surges and sea level rise, the establishment of green roofs, street trees and urban parks to reduce the risks of heatwaves and flooding in cities, and the conservation of upslope forests to prevent landslides and downstream flooding under extreme weather events.</x:v>
      </x:c>
      <x:c r="R50" s="159" t="str"/>
      <x:c r="S50" s="160" t="str">
        <x:v>High</x:v>
      </x:c>
    </x:row>
    <x:row r="51" ht="90" customHeight="1">
      <x:c r="A51" s="165" t="str">
        <x:v>ipcc_0084</x:v>
      </x:c>
      <x:c r="B51" s="159" t="str">
        <x:v>Restore/create natural areas</x:v>
      </x:c>
      <x:c r="C51" s="159" t="str">
        <x:v>Biodiversity</x:v>
      </x:c>
      <x:c r="D51" s="159" t="str">
        <x:v>Vulnerability</x:v>
      </x:c>
      <x:c r="E51" s="153" t="str"/>
      <x:c r="F51" s="153" t="str"/>
      <x:c r="G51" s="159" t="str">
        <x:v>Plano Nacional de Adaptação à Mudança do Clima</x:v>
      </x:c>
      <x:c r="H51" s="159" t="str">
        <x:v>https://unfccc.int/sites/default/files/resource/NAP_Brazil_2016_PR.pdf</x:v>
      </x:c>
      <x:c r="I51" s="168" t="n">
        <x:v>139</x:v>
      </x:c>
      <x:c r="J51" s="159" t="str">
        <x:v>121</x:v>
      </x:c>
      <x:c r="K51" s="159" t="str">
        <x:v>Verified — exact</x:v>
      </x:c>
      <x:c r="L51" s="159" t="str">
        <x:v>Normalized quote occurs on the cited PDF page.</x:v>
      </x:c>
      <x:c r="M51" s="159" t="str">
        <x:v>Supports</x:v>
      </x:c>
      <x:c r="N51" s="159" t="str">
        <x:v>Whole action</x:v>
      </x:c>
      <x:c r="O51" s="159" t="str">
        <x:v>No</x:v>
      </x:c>
      <x:c r="P51" s="159" t="str">
        <x:v>Environmental liabilities | Vegetation loss | Steering committee and management plan</x:v>
      </x:c>
      <x:c r="Q51" s="159" t="str">
        <x:v>Fortalecer as medidas de conservação, recuperação e uso sustentável da biodiversidade visando o aumento da conectividade entre remanescentes dos ecossistemas e a consolidação de Unidades de Conservação, refletindo a gestão florestal integrada da paisagem e propiciando a redução da vulnerabilidade da biodiversidade.</x:v>
      </x:c>
      <x:c r="R51" s="159" t="str"/>
      <x:c r="S51" s="160" t="str">
        <x:v>High</x:v>
      </x:c>
    </x:row>
    <x:row r="52" ht="90" customHeight="1">
      <x:c r="A52" s="165" t="str">
        <x:v>ipcc_0084</x:v>
      </x:c>
      <x:c r="B52" s="159" t="str">
        <x:v>Restore/create natural areas</x:v>
      </x:c>
      <x:c r="C52" s="159" t="str">
        <x:v>Biodiversity</x:v>
      </x:c>
      <x:c r="D52" s="159" t="str">
        <x:v>Exposure</x:v>
      </x:c>
      <x:c r="E52" s="153" t="str"/>
      <x:c r="F52" s="153" t="str"/>
      <x:c r="G52" s="159" t="str">
        <x:v>Plano Nacional de Adaptação à Mudança do Clima</x:v>
      </x:c>
      <x:c r="H52" s="159" t="str">
        <x:v>https://unfccc.int/sites/default/files/resource/NAP_Brazil_2016_PR.pdf</x:v>
      </x:c>
      <x:c r="I52" s="168" t="n">
        <x:v>139</x:v>
      </x:c>
      <x:c r="J52" s="159" t="str">
        <x:v>121</x:v>
      </x:c>
      <x:c r="K52" s="159" t="str">
        <x:v>Verified — exact</x:v>
      </x:c>
      <x:c r="L52" s="159" t="str">
        <x:v>Normalized quote occurs on the cited PDF page.</x:v>
      </x:c>
      <x:c r="M52" s="159" t="str">
        <x:v>Supports</x:v>
      </x:c>
      <x:c r="N52" s="159" t="str">
        <x:v>Whole action</x:v>
      </x:c>
      <x:c r="O52" s="159" t="str">
        <x:v>No</x:v>
      </x:c>
      <x:c r="P52" s="159" t="str">
        <x:v>Natural coverage | Protected area | Area for conservation</x:v>
      </x:c>
      <x:c r="Q52" s="159" t="str">
        <x:v>Fortalecer as medidas de conservação, recuperação e uso sustentável da biodiversidade visando o aumento da conectividade entre remanescentes dos ecossistemas e a consolidação de Unidades de Conservação, refletindo a gestão florestal integrada da paisagem e propiciando a redução da vulnerabilidade da biodiversidade.</x:v>
      </x:c>
      <x:c r="R52" s="159" t="str"/>
      <x:c r="S52" s="160" t="str">
        <x:v>High</x:v>
      </x:c>
    </x:row>
    <x:row r="53" ht="90" customHeight="1">
      <x:c r="A53" s="165" t="str">
        <x:v>ipcc_0089</x:v>
      </x:c>
      <x:c r="B53" s="159" t="str">
        <x:v>Spatially redirect development</x:v>
      </x:c>
      <x:c r="C53" s="159" t="str">
        <x:v>Biodiversity</x:v>
      </x:c>
      <x:c r="D53" s="159" t="str">
        <x:v>Vulnerability</x:v>
      </x:c>
      <x:c r="E53" s="153" t="str"/>
      <x:c r="F53" s="153" t="str"/>
      <x:c r="G53" s="159" t="str">
        <x:v>Harnessing Nature to Build Climate Resilience: Scaling Up the Use of Ecosystem-based Adaptation</x:v>
      </x:c>
      <x:c r="H53" s="159" t="str">
        <x:v>https://globalebafund.org/wp-content/uploads/2022/07/Harnessing-nature-for-climate-resilience-Full-Report-V7-Web.pdf</x:v>
      </x:c>
      <x:c r="I53" s="168" t="n">
        <x:v>15</x:v>
      </x:c>
      <x:c r="J53" s="159" t="str">
        <x:v>13</x:v>
      </x:c>
      <x:c r="K53" s="159" t="str">
        <x:v>Verified — ordered</x:v>
      </x:c>
      <x:c r="L53" s="159" t="str">
        <x:v>Ordered token coverage on the cited PDF page is 100.0%.</x:v>
      </x:c>
      <x:c r="M53" s="159" t="str">
        <x:v>Supports</x:v>
      </x:c>
      <x:c r="N53" s="159" t="str">
        <x:v>Whole action</x:v>
      </x:c>
      <x:c r="O53" s="159" t="str">
        <x:v>No</x:v>
      </x:c>
      <x:c r="P53" s="159" t="str">
        <x:v>Environmental liabilities | Vegetation loss | Population | Agricultural establishment | Road network | Steering committee and management plan</x:v>
      </x:c>
      <x:c r="Q53" s="159" t="str">
        <x:v>Building codes and zoning regulations can be used to promote the conservation, management and restoration of ecosystems for climate change adaptation. Governments can also revise and improve land and coastal zoning regulations so that they protect ecosystems that are critical for adaptation, for example, prohibiting development of vulnerable coastal ecosystems or floodplains that provide valuable flood protection services.</x:v>
      </x:c>
      <x:c r="R53" s="159" t="str"/>
      <x:c r="S53" s="160" t="str">
        <x:v>Medium</x:v>
      </x:c>
    </x:row>
    <x:row r="54" ht="90" customHeight="1">
      <x:c r="A54" s="165" t="str">
        <x:v>ipcc_0089</x:v>
      </x:c>
      <x:c r="B54" s="159" t="str">
        <x:v>Spatially redirect development</x:v>
      </x:c>
      <x:c r="C54" s="159" t="str">
        <x:v>Biodiversity</x:v>
      </x:c>
      <x:c r="D54" s="159" t="str">
        <x:v>Exposure</x:v>
      </x:c>
      <x:c r="E54" s="153" t="str"/>
      <x:c r="F54" s="153" t="str"/>
      <x:c r="G54" s="159" t="str">
        <x:v>Harnessing Nature to Build Climate Resilience: Scaling Up the Use of Ecosystem-based Adaptation</x:v>
      </x:c>
      <x:c r="H54" s="159" t="str">
        <x:v>https://globalebafund.org/wp-content/uploads/2022/07/Harnessing-nature-for-climate-resilience-Full-Report-V7-Web.pdf</x:v>
      </x:c>
      <x:c r="I54" s="168" t="n">
        <x:v>15</x:v>
      </x:c>
      <x:c r="J54" s="159" t="str">
        <x:v>13</x:v>
      </x:c>
      <x:c r="K54" s="159" t="str">
        <x:v>Verified — ordered</x:v>
      </x:c>
      <x:c r="L54" s="159" t="str">
        <x:v>Ordered token coverage on the cited PDF page is 100.0%.</x:v>
      </x:c>
      <x:c r="M54" s="159" t="str">
        <x:v>Supports</x:v>
      </x:c>
      <x:c r="N54" s="159" t="str">
        <x:v>Whole action</x:v>
      </x:c>
      <x:c r="O54" s="159" t="str">
        <x:v>No</x:v>
      </x:c>
      <x:c r="P54" s="159" t="str">
        <x:v>Natural coverage | Protected area | Area for conservation</x:v>
      </x:c>
      <x:c r="Q54" s="159" t="str">
        <x:v>Building codes and zoning regulations can be used to promote the conservation, management and restoration of ecosystems for climate change adaptation. Governments can also revise and improve land and coastal zoning regulations so that they protect ecosystems that are critical for adaptation, for example, prohibiting development of vulnerable coastal ecosystems or floodplains that provide valuable flood protection services.</x:v>
      </x:c>
      <x:c r="R54" s="159" t="str"/>
      <x:c r="S54" s="160" t="str">
        <x:v>Medium</x:v>
      </x:c>
    </x:row>
    <x:row r="55" ht="90" customHeight="1">
      <x:c r="A55" s="165" t="str">
        <x:v>ipcc_0096</x:v>
      </x:c>
      <x:c r="B55" s="159" t="str">
        <x:v>Strengthen climate resilience in farming and fisheries</x:v>
      </x:c>
      <x:c r="C55" s="159" t="str">
        <x:v>Biodiversity</x:v>
      </x:c>
      <x:c r="D55" s="159" t="str">
        <x:v>Vulnerability</x:v>
      </x:c>
      <x:c r="E55" s="153" t="str"/>
      <x:c r="F55" s="153" t="str"/>
      <x:c r="G55" s="159" t="str">
        <x:v>Climate Change 2022: Impacts, Adaptation and Vulnerability - Chapter 2: Terrestrial and Freshwater Ecosystems and their Services</x:v>
      </x:c>
      <x:c r="H55" s="159" t="str">
        <x:v>https://www.ipcc.ch/report/ar6/wg2/downloads/report/IPCC_AR6_WGII_Chapter02.pdf</x:v>
      </x:c>
      <x:c r="I55" s="168" t="n">
        <x:v>7</x:v>
      </x:c>
      <x:c r="J55" s="159" t="str">
        <x:v>203</x:v>
      </x:c>
      <x:c r="K55" s="159" t="str">
        <x:v>Verified — ordered</x:v>
      </x:c>
      <x:c r="L55" s="159" t="str">
        <x:v>Ordered token coverage on the cited PDF page is 100.0%.</x:v>
      </x:c>
      <x:c r="M55" s="159" t="str">
        <x:v>Supports</x:v>
      </x:c>
      <x:c r="N55" s="159" t="str">
        <x:v>Part of action</x:v>
      </x:c>
      <x:c r="O55" s="159" t="str">
        <x:v>No</x:v>
      </x:c>
      <x:c r="P55" s="159" t="str">
        <x:v>Pesticides | No family farming | No sustainable agricultural practice | Degraded pasture | Agricultural establishment | Technical guidance</x:v>
      </x:c>
      <x:c r="Q55" s="159" t="str">
        <x:v>The resilience of biodiversity and ecosystem services to climate change can be increased by human adaptation actions including ecosystem protection and restoration (high confidence). Ecological theory and observations show that a wide range of actions can reduce risks to species and ecosystem integrity. This includes minimising additional stresses or disturbances; reducing fragmentation; increasing natural habitat extent, connectivity and heterogeneity; maintaining taxonomic, phylogenetic, and functional diversity and redundancy; and protecting small-scale refugia where micro-climate conditions can allow species to persist (high confidence).</x:v>
      </x:c>
      <x:c r="R55" s="159" t="str"/>
      <x:c r="S55" s="160" t="str">
        <x:v>Low</x:v>
      </x:c>
    </x:row>
    <x:row r="56" ht="90" customHeight="1">
      <x:c r="A56" s="165" t="str">
        <x:v>ipcc_0096</x:v>
      </x:c>
      <x:c r="B56" s="159" t="str">
        <x:v>Strengthen climate resilience in farming and fisheries</x:v>
      </x:c>
      <x:c r="C56" s="159" t="str">
        <x:v>Biodiversity</x:v>
      </x:c>
      <x:c r="D56" s="159" t="str">
        <x:v>Vulnerability</x:v>
      </x:c>
      <x:c r="E56" s="153" t="str"/>
      <x:c r="F56" s="153" t="str"/>
      <x:c r="G56" s="159" t="str">
        <x:v>Plano Nacional de Adaptação à Mudança do Clima</x:v>
      </x:c>
      <x:c r="H56" s="159" t="str">
        <x:v>https://unfccc.int/sites/default/files/resource/NAP_Brazil_2016_PR.pdf</x:v>
      </x:c>
      <x:c r="I56" s="168" t="n">
        <x:v>140</x:v>
      </x:c>
      <x:c r="J56" s="159" t="str">
        <x:v>122</x:v>
      </x:c>
      <x:c r="K56" s="159" t="str">
        <x:v>Verified — ordered</x:v>
      </x:c>
      <x:c r="L56" s="159" t="str">
        <x:v>Ordered token coverage on the cited PDF page is 100.0%.</x:v>
      </x:c>
      <x:c r="M56" s="159" t="str">
        <x:v>Supports</x:v>
      </x:c>
      <x:c r="N56" s="159" t="str">
        <x:v>Part of action</x:v>
      </x:c>
      <x:c r="O56" s="159" t="str">
        <x:v>No</x:v>
      </x:c>
      <x:c r="P56" s="159" t="str">
        <x:v>Pesticides | No family farming | No sustainable agricultural practice | Degraded pasture | Agricultural establishment | Technical guidance</x:v>
      </x:c>
      <x:c r="Q56" s="159" t="str">
        <x:v>Fortalecer as políticas e ações de conservação dos ecossistemas aquáticos, propiciando a manutenção da conectividade desses ambientes e do regime de vazões adequadas aos processos ecológicos das espécies dependentes. Fortalecer medidas de gestão pesqueira para conservação e uso sustentável dos recursos, considerando a vulnerabilidade das espécies de peixes associadas a ambientes coralíneos, manguezais e estuários.</x:v>
      </x:c>
      <x:c r="R56" s="159" t="str"/>
      <x:c r="S56" s="160" t="str">
        <x:v>Low</x:v>
      </x:c>
    </x:row>
    <x:row r="57" ht="90" customHeight="1">
      <x:c r="A57" s="165" t="str">
        <x:v>icare_0162</x:v>
      </x:c>
      <x:c r="B57" s="159" t="str">
        <x:v>Strengthen programs for control and conservation of protected areas</x:v>
      </x:c>
      <x:c r="C57" s="159" t="str">
        <x:v>Biodiversity</x:v>
      </x:c>
      <x:c r="D57" s="159" t="str">
        <x:v>Vulnerability</x:v>
      </x:c>
      <x:c r="E57" s="153" t="str"/>
      <x:c r="F57" s="153" t="str"/>
      <x:c r="G57" s="159" t="str">
        <x:v>Climate Change 2022: Impacts, Adaptation and Vulnerability - Chapter 2: Terrestrial and Freshwater Ecosystems and their Services</x:v>
      </x:c>
      <x:c r="H57" s="159" t="str">
        <x:v>https://www.ipcc.ch/report/ar6/wg2/downloads/report/IPCC_AR6_WGII_Chapter02.pdf</x:v>
      </x:c>
      <x:c r="I57" s="168" t="n">
        <x:v>7</x:v>
      </x:c>
      <x:c r="J57" s="159" t="str">
        <x:v>203</x:v>
      </x:c>
      <x:c r="K57" s="159" t="str">
        <x:v>Verified — ordered</x:v>
      </x:c>
      <x:c r="L57" s="159" t="str">
        <x:v>Ordered token coverage on the cited PDF page is 100.0%.</x:v>
      </x:c>
      <x:c r="M57" s="159" t="str">
        <x:v>Supports</x:v>
      </x:c>
      <x:c r="N57" s="159" t="str">
        <x:v>Whole action</x:v>
      </x:c>
      <x:c r="O57" s="159" t="str">
        <x:v>No</x:v>
      </x:c>
      <x:c r="P57" s="159" t="str">
        <x:v>Environmental liabilities | Vegetation loss</x:v>
      </x:c>
      <x:c r="Q57" s="159" t="str">
        <x:v>The resilience of biodiversity and ecosystem services to climate change can be increased by human adaptation actions including ecosystem protection and restoration (high confidence). Ecological theory and observations show that a wide range of actions can reduce risks to species and ecosystem integrity. This includes minimising additional stresses or disturbances; reducing fragmentation; increasing natural habitat extent, connectivity and heterogeneity; maintaining taxonomic, phylogenetic, and functional diversity and redundancy; and protecting small-scale refugia where micro-climate conditions can allow species to persist (high confidence).</x:v>
      </x:c>
      <x:c r="R57" s="159" t="str"/>
      <x:c r="S57" s="160" t="str">
        <x:v>High</x:v>
      </x:c>
    </x:row>
    <x:row r="58" ht="90" customHeight="1">
      <x:c r="A58" s="165" t="str">
        <x:v>icare_0162</x:v>
      </x:c>
      <x:c r="B58" s="159" t="str">
        <x:v>Strengthen programs for control and conservation of protected areas</x:v>
      </x:c>
      <x:c r="C58" s="159" t="str">
        <x:v>Biodiversity</x:v>
      </x:c>
      <x:c r="D58" s="159" t="str">
        <x:v>Exposure</x:v>
      </x:c>
      <x:c r="E58" s="153" t="str"/>
      <x:c r="F58" s="153" t="str"/>
      <x:c r="G58" s="159" t="str">
        <x:v>Climate Change 2022: Impacts, Adaptation and Vulnerability - Chapter 2: Terrestrial and Freshwater Ecosystems and their Services</x:v>
      </x:c>
      <x:c r="H58" s="159" t="str">
        <x:v>https://www.ipcc.ch/report/ar6/wg2/downloads/report/IPCC_AR6_WGII_Chapter02.pdf</x:v>
      </x:c>
      <x:c r="I58" s="168" t="n">
        <x:v>7</x:v>
      </x:c>
      <x:c r="J58" s="159" t="str">
        <x:v>203</x:v>
      </x:c>
      <x:c r="K58" s="159" t="str">
        <x:v>Verified — ordered</x:v>
      </x:c>
      <x:c r="L58" s="159" t="str">
        <x:v>Ordered token coverage on the cited PDF page is 100.0%.</x:v>
      </x:c>
      <x:c r="M58" s="159" t="str">
        <x:v>Supports</x:v>
      </x:c>
      <x:c r="N58" s="159" t="str">
        <x:v>Whole action</x:v>
      </x:c>
      <x:c r="O58" s="159" t="str">
        <x:v>No</x:v>
      </x:c>
      <x:c r="P58" s="159" t="str">
        <x:v>Natural coverage | Protected area | Area for conservation</x:v>
      </x:c>
      <x:c r="Q58" s="159" t="str">
        <x:v>The resilience of biodiversity and ecosystem services to climate change can be increased by human adaptation actions including ecosystem protection and restoration (high confidence). Ecological theory and observations show that a wide range of actions can reduce risks to species and ecosystem integrity. This includes minimising additional stresses or disturbances; reducing fragmentation; increasing natural habitat extent, connectivity and heterogeneity; maintaining taxonomic, phylogenetic, and functional diversity and redundancy; and protecting small-scale refugia where micro-climate conditions can allow species to persist (high confidence).</x:v>
      </x:c>
      <x:c r="R58" s="159" t="str"/>
      <x:c r="S58" s="160" t="str">
        <x:v>High</x:v>
      </x:c>
    </x:row>
    <x:row r="59" ht="90" customHeight="1">
      <x:c r="A59" s="165" t="str">
        <x:v>icare_0162</x:v>
      </x:c>
      <x:c r="B59" s="159" t="str">
        <x:v>Strengthen programs for control and conservation of protected areas</x:v>
      </x:c>
      <x:c r="C59" s="159" t="str">
        <x:v>Biodiversity</x:v>
      </x:c>
      <x:c r="D59" s="159" t="str">
        <x:v>Vulnerability</x:v>
      </x:c>
      <x:c r="E59" s="153" t="str"/>
      <x:c r="F59" s="153" t="str"/>
      <x:c r="G59" s="159" t="str">
        <x:v>Plano Nacional de Adaptação à Mudança do Clima</x:v>
      </x:c>
      <x:c r="H59" s="159" t="str">
        <x:v>https://unfccc.int/sites/default/files/resource/NAP_Brazil_2016_PR.pdf</x:v>
      </x:c>
      <x:c r="I59" s="168" t="n">
        <x:v>139</x:v>
      </x:c>
      <x:c r="J59" s="159" t="str">
        <x:v>121</x:v>
      </x:c>
      <x:c r="K59" s="159" t="str">
        <x:v>Verified — exact</x:v>
      </x:c>
      <x:c r="L59" s="159" t="str">
        <x:v>Normalized quote occurs on the cited PDF page.</x:v>
      </x:c>
      <x:c r="M59" s="159" t="str">
        <x:v>Supports</x:v>
      </x:c>
      <x:c r="N59" s="159" t="str">
        <x:v>Whole action</x:v>
      </x:c>
      <x:c r="O59" s="159" t="str">
        <x:v>No</x:v>
      </x:c>
      <x:c r="P59" s="159" t="str">
        <x:v>Environmental liabilities | Vegetation loss | Steering committee and management plan</x:v>
      </x:c>
      <x:c r="Q59" s="159" t="str">
        <x:v>Fortalecer as medidas de conservação, recuperação e uso sustentável da biodiversidade visando o aumento da conectividade entre remanescentes dos ecossistemas e a consolidação de Unidades de Conservação, refletindo a gestão florestal integrada da paisagem e propiciando a redução da vulnerabilidade da biodiversidade.</x:v>
      </x:c>
      <x:c r="R59" s="159" t="str"/>
      <x:c r="S59" s="160" t="str">
        <x:v>High</x:v>
      </x:c>
    </x:row>
    <x:row r="60" ht="90" customHeight="1">
      <x:c r="A60" s="165" t="str">
        <x:v>icare_0162</x:v>
      </x:c>
      <x:c r="B60" s="159" t="str">
        <x:v>Strengthen programs for control and conservation of protected areas</x:v>
      </x:c>
      <x:c r="C60" s="159" t="str">
        <x:v>Biodiversity</x:v>
      </x:c>
      <x:c r="D60" s="159" t="str">
        <x:v>Exposure</x:v>
      </x:c>
      <x:c r="E60" s="153" t="str"/>
      <x:c r="F60" s="153" t="str"/>
      <x:c r="G60" s="159" t="str">
        <x:v>Plano Nacional de Adaptação à Mudança do Clima</x:v>
      </x:c>
      <x:c r="H60" s="159" t="str">
        <x:v>https://unfccc.int/sites/default/files/resource/NAP_Brazil_2016_PR.pdf</x:v>
      </x:c>
      <x:c r="I60" s="168" t="n">
        <x:v>139</x:v>
      </x:c>
      <x:c r="J60" s="159" t="str">
        <x:v>121</x:v>
      </x:c>
      <x:c r="K60" s="159" t="str">
        <x:v>Verified — exact</x:v>
      </x:c>
      <x:c r="L60" s="159" t="str">
        <x:v>Normalized quote occurs on the cited PDF page.</x:v>
      </x:c>
      <x:c r="M60" s="159" t="str">
        <x:v>Supports</x:v>
      </x:c>
      <x:c r="N60" s="159" t="str">
        <x:v>Whole action</x:v>
      </x:c>
      <x:c r="O60" s="159" t="str">
        <x:v>No</x:v>
      </x:c>
      <x:c r="P60" s="159" t="str">
        <x:v>Natural coverage | Protected area | Area for conservation</x:v>
      </x:c>
      <x:c r="Q60" s="159" t="str">
        <x:v>Fortalecer as medidas de conservação, recuperação e uso sustentável da biodiversidade visando o aumento da conectividade entre remanescentes dos ecossistemas e a consolidação de Unidades de Conservação, refletindo a gestão florestal integrada da paisagem e propiciando a redução da vulnerabilidade da biodiversidade.</x:v>
      </x:c>
      <x:c r="R60" s="159" t="str"/>
      <x:c r="S60" s="160" t="str">
        <x:v>High</x:v>
      </x:c>
    </x:row>
    <x:row r="61" ht="90" customHeight="1">
      <x:c r="A61" s="165" t="str">
        <x:v>icare_0170</x:v>
      </x:c>
      <x:c r="B61" s="159" t="str">
        <x:v>Build safe housing and implement urban rehabilitation projects for populations living in high-risk areas</x:v>
      </x:c>
      <x:c r="C61" s="159" t="str">
        <x:v>Energy security</x:v>
      </x:c>
      <x:c r="D61" s="159" t="str">
        <x:v>Exposure</x:v>
      </x:c>
      <x:c r="E61" s="153" t="str"/>
      <x:c r="F61" s="153" t="str"/>
      <x:c r="G61" s="159" t="str">
        <x:v>Climate Change 2022: Impacts, Adaptation and Vulnerability</x:v>
      </x:c>
      <x:c r="H61" s="159" t="str">
        <x:v>https://www.ipcc.ch/report/ar6/wg2/downloads/report/IPCC_AR6_WGII_FullReport.pdf</x:v>
      </x:c>
      <x:c r="I61" s="168" t="n">
        <x:v>37</x:v>
      </x:c>
      <x:c r="J61" s="159" t="str">
        <x:v>25</x:v>
      </x:c>
      <x:c r="K61" s="159" t="str">
        <x:v>Verified — ordered</x:v>
      </x:c>
      <x:c r="L61" s="159" t="str">
        <x:v>Ordered token coverage on the cited PDF page is 100.0%.</x:v>
      </x:c>
      <x:c r="M61" s="159" t="str">
        <x:v>Supports</x:v>
      </x:c>
      <x:c r="N61" s="159" t="str">
        <x:v>Whole action</x:v>
      </x:c>
      <x:c r="O61" s="159" t="str">
        <x:v>No</x:v>
      </x:c>
      <x:c r="P61" s="159" t="str">
        <x:v>Population density</x:v>
      </x:c>
      <x:c r="Q61" s="159" t="str">
        <x:v>Responses to ongoing sea level rise and land subsidence in low-lying coastal cities and settlements and small islands include protection, accommodation, advance and planned relocation (high confidence). These responses are more effective if combined and/or sequenced, planned well ahead, aligned with sociocultural values and development priorities, and underpinned by inclusive community engagement processes (high confidence).</x:v>
      </x:c>
      <x:c r="R61" s="159" t="str"/>
      <x:c r="S61" s="160" t="str">
        <x:v>Medium</x:v>
      </x:c>
    </x:row>
    <x:row r="62" ht="90" customHeight="1">
      <x:c r="A62" s="165" t="str">
        <x:v>icare_0170</x:v>
      </x:c>
      <x:c r="B62" s="159" t="str">
        <x:v>Build safe housing and implement urban rehabilitation projects for populations living in high-risk areas</x:v>
      </x:c>
      <x:c r="C62" s="159" t="str">
        <x:v>Energy security</x:v>
      </x:c>
      <x:c r="D62" s="159" t="str">
        <x:v>Exposure</x:v>
      </x:c>
      <x:c r="E62" s="153" t="str"/>
      <x:c r="F62" s="153" t="str"/>
      <x:c r="G62" s="159" t="str">
        <x:v>Climate Change 2022: Impacts, Adaptation and Vulnerability</x:v>
      </x:c>
      <x:c r="H62" s="159" t="str">
        <x:v>https://www.ipcc.ch/report/ar6/wg2/downloads/report/IPCC_AR6_WGII_FullReport.pdf</x:v>
      </x:c>
      <x:c r="I62" s="168" t="n">
        <x:v>108</x:v>
      </x:c>
      <x:c r="J62" s="159" t="str">
        <x:v>96</x:v>
      </x:c>
      <x:c r="K62" s="159" t="str">
        <x:v>Verified — ordered</x:v>
      </x:c>
      <x:c r="L62" s="159" t="str">
        <x:v>Ordered token coverage on the cited PDF page is 98.0%.</x:v>
      </x:c>
      <x:c r="M62" s="159" t="str">
        <x:v>Qualifies</x:v>
      </x:c>
      <x:c r="N62" s="159" t="str">
        <x:v>Whole action</x:v>
      </x:c>
      <x:c r="O62" s="159" t="str">
        <x:v>Yes</x:v>
      </x:c>
      <x:c r="P62" s="159" t="str">
        <x:v>Population density</x:v>
      </x:c>
      <x:c r="Q62" s="159" t="str">
        <x:v>Properly supported and where levels of agency and assets are high, migration as an adaptation to climate change can reduce exposure and socioeconomic vulnerability (medium confidence). However, migration becomes a risk when climate hazards cause an individual, household or community to move involuntarily or with low agency (high confidence).</x:v>
      </x:c>
      <x:c r="R62" s="159" t="str"/>
      <x:c r="S62" s="160" t="str">
        <x:v>Medium</x:v>
      </x:c>
    </x:row>
    <x:row r="63" ht="90" customHeight="1">
      <x:c r="A63" s="165" t="str">
        <x:v>c40_0052</x:v>
      </x:c>
      <x:c r="B63" s="159" t="str">
        <x:v>Deploy cool pavements and cool roofs on heat‑exposed streets and buildings</x:v>
      </x:c>
      <x:c r="C63" s="159" t="str">
        <x:v>Energy security</x:v>
      </x:c>
      <x:c r="D63" s="159" t="str">
        <x:v>Vulnerability</x:v>
      </x:c>
      <x:c r="E63" s="153" t="str"/>
      <x:c r="F63" s="153" t="str"/>
      <x:c r="G63" s="159" t="str">
        <x:v>Climate Resilience: Part of Electricity Security 2021</x:v>
      </x:c>
      <x:c r="H63" s="159" t="str">
        <x:v>https://iea.blob.core.windows.net/assets/62c056f7-deed-4e3a-9a1f-a3ca8cc83813/Climate_Resilience.pdf</x:v>
      </x:c>
      <x:c r="I63" s="168" t="n">
        <x:v>22</x:v>
      </x:c>
      <x:c r="J63" s="159" t="str">
        <x:v>20</x:v>
      </x:c>
      <x:c r="K63" s="159" t="str">
        <x:v>Verified — exact</x:v>
      </x:c>
      <x:c r="L63" s="159" t="str">
        <x:v>Normalized quote occurs on the cited PDF page.</x:v>
      </x:c>
      <x:c r="M63" s="159" t="str">
        <x:v>Supports</x:v>
      </x:c>
      <x:c r="N63" s="159" t="str">
        <x:v>Part of action</x:v>
      </x:c>
      <x:c r="O63" s="159" t="str">
        <x:v>No</x:v>
      </x:c>
      <x:c r="P63" s="159" t="str">
        <x:v>Residential electrical consumption | Electrical energy intensity</x:v>
      </x:c>
      <x:c r="Q63" s="159" t="str">
        <x:v>However, the level of increased demand can be mitigated by higher levels of energy efficiency in both cooling devices and building envelopes. Compared to 2018, global energy consumption for residential space cooling could increase by as much as 65% in 2030 (Figure 3). However, through a combination of more efficient devices, more resilient buildings and increased flexibility, this could be cut by one-fifth in the SDS, with the majority of these savings in non-OECD countries.</x:v>
      </x:c>
      <x:c r="R63" s="159" t="str">
        <x:v>one-fifth reduction in projected residential space-cooling energy use</x:v>
      </x:c>
      <x:c r="S63" s="160" t="str">
        <x:v>Medium</x:v>
      </x:c>
    </x:row>
    <x:row r="64" ht="90" customHeight="1">
      <x:c r="A64" s="165" t="str">
        <x:v>c40_0052</x:v>
      </x:c>
      <x:c r="B64" s="159" t="str">
        <x:v>Deploy cool pavements and cool roofs on heat‑exposed streets and buildings</x:v>
      </x:c>
      <x:c r="C64" s="159" t="str">
        <x:v>Energy security</x:v>
      </x:c>
      <x:c r="D64" s="159" t="str">
        <x:v>Vulnerability</x:v>
      </x:c>
      <x:c r="E64" s="153" t="str"/>
      <x:c r="F64" s="153" t="str"/>
      <x:c r="G64" s="159" t="str">
        <x:v>Brazil 2025 Energy Policy Review</x:v>
      </x:c>
      <x:c r="H64" s="159" t="str">
        <x:v>https://iea.blob.core.windows.net/assets/6ea1af14-d51f-47f5-8fe7-76bfd55b0ea0/Brazil2025-EnergyPolicyReview.pdf</x:v>
      </x:c>
      <x:c r="I64" s="168" t="n">
        <x:v>61</x:v>
      </x:c>
      <x:c r="J64" s="159" t="str">
        <x:v>61</x:v>
      </x:c>
      <x:c r="K64" s="159" t="str">
        <x:v>Verified — exact</x:v>
      </x:c>
      <x:c r="L64" s="159" t="str">
        <x:v>Normalized quote occurs on the cited PDF page.</x:v>
      </x:c>
      <x:c r="M64" s="159" t="str">
        <x:v>Supports</x:v>
      </x:c>
      <x:c r="N64" s="159" t="str">
        <x:v>Part of action</x:v>
      </x:c>
      <x:c r="O64" s="159" t="str">
        <x:v>No</x:v>
      </x:c>
      <x:c r="P64" s="159" t="str">
        <x:v>Residential electrical consumption | Electrical energy intensity</x:v>
      </x:c>
      <x:c r="Q64" s="159" t="str">
        <x:v>From a policy perspective, integrating clear energy efficiency requirements, such as passive cooling strategies, within MCMV will maximise the impact of solar PV deployment, reducing unnecessary energy consumption.</x:v>
      </x:c>
      <x:c r="R64" s="159" t="str"/>
      <x:c r="S64" s="160" t="str">
        <x:v>Medium</x:v>
      </x:c>
    </x:row>
    <x:row r="65" ht="90" customHeight="1">
      <x:c r="A65" s="165" t="str">
        <x:v>icare_0176</x:v>
      </x:c>
      <x:c r="B65" s="159" t="str">
        <x:v>Develop a Climate Action Plan</x:v>
      </x:c>
      <x:c r="C65" s="159" t="str">
        <x:v>Energy security</x:v>
      </x:c>
      <x:c r="D65" s="159" t="str">
        <x:v>Vulnerability</x:v>
      </x:c>
      <x:c r="E65" s="153" t="str"/>
      <x:c r="F65" s="153" t="str"/>
      <x:c r="G65" s="159" t="str">
        <x:v>Enhancing Resilience: Climate-proofing Power Infrastructure</x:v>
      </x:c>
      <x:c r="H65" s="159" t="str">
        <x:v>https://www.irena.org/-/media/Files/IRENA/Agency/Publication/2025/Dec/IRENA_TEC_Enhancing_resilience_power_infrastructure_2025.pdf</x:v>
      </x:c>
      <x:c r="I65" s="168" t="n">
        <x:v>9</x:v>
      </x:c>
      <x:c r="J65" s="159" t="str">
        <x:v>9</x:v>
      </x:c>
      <x:c r="K65" s="159" t="str">
        <x:v>Verified — exact</x:v>
      </x:c>
      <x:c r="L65" s="159" t="str">
        <x:v>Normalized quote occurs on the cited PDF page.</x:v>
      </x:c>
      <x:c r="M65" s="159" t="str">
        <x:v>Supports</x:v>
      </x:c>
      <x:c r="N65" s="159" t="str">
        <x:v>Part of action</x:v>
      </x:c>
      <x:c r="O65" s="159" t="str">
        <x:v>No</x:v>
      </x:c>
      <x:c r="P65" s="159" t="str">
        <x:v>Resilient cities</x:v>
      </x:c>
      <x:c r="Q65" s="159" t="str">
        <x:v>Develop strategic national plans and policies targeting the power sector that incentivise the adoption of proactive resilience measures, preventative investments and the integration of resilience into power system design and operations.</x:v>
      </x:c>
      <x:c r="R65" s="159" t="str"/>
      <x:c r="S65" s="160" t="str">
        <x:v>Low</x:v>
      </x:c>
    </x:row>
    <x:row r="66" ht="90" customHeight="1">
      <x:c r="A66" s="165" t="str">
        <x:v>icare_0176</x:v>
      </x:c>
      <x:c r="B66" s="159" t="str">
        <x:v>Develop a Climate Action Plan</x:v>
      </x:c>
      <x:c r="C66" s="159" t="str">
        <x:v>Energy security</x:v>
      </x:c>
      <x:c r="D66" s="159" t="str">
        <x:v>Vulnerability</x:v>
      </x:c>
      <x:c r="E66" s="153" t="str"/>
      <x:c r="F66" s="153" t="str"/>
      <x:c r="G66" s="159" t="str">
        <x:v>Stronger Power: Improving Power Sector Resilience to Natural Hazards</x:v>
      </x:c>
      <x:c r="H66" s="159" t="str">
        <x:v>https://documents1.worldbank.org/curated/en/200771560790885170/pdf/Stronger-Power-Improving-Power-Sector-Resilience-to-Natural-Hazards.pdf</x:v>
      </x:c>
      <x:c r="I66" s="168" t="n">
        <x:v>35</x:v>
      </x:c>
      <x:c r="J66" s="159" t="str">
        <x:v>34</x:v>
      </x:c>
      <x:c r="K66" s="159" t="str">
        <x:v>Verified — exact</x:v>
      </x:c>
      <x:c r="L66" s="159" t="str">
        <x:v>Normalized quote occurs on the cited PDF page.</x:v>
      </x:c>
      <x:c r="M66" s="159" t="str">
        <x:v>Supports</x:v>
      </x:c>
      <x:c r="N66" s="159" t="str">
        <x:v>Part of action</x:v>
      </x:c>
      <x:c r="O66" s="159" t="str">
        <x:v>No</x:v>
      </x:c>
      <x:c r="P66" s="159" t="str">
        <x:v>Resilient cities</x:v>
      </x:c>
      <x:c r="Q66" s="159" t="str">
        <x:v>Planning criteria and methodologies will need to be revised to include resilience, because the design of resilient power systems starts with the overall planning of the system. Until recently, there had been little work on including climate considerations in planning. Although these issues are well understood in qualitative terms and practiced in the field, they are not systematically considered in producing a power system plan that finds a good balance between cost and risks.</x:v>
      </x:c>
      <x:c r="R66" s="159" t="str"/>
      <x:c r="S66" s="160" t="str">
        <x:v>Low</x:v>
      </x:c>
    </x:row>
    <x:row r="67" ht="90" customHeight="1">
      <x:c r="A67" s="165" t="str">
        <x:v>icare_0172</x:v>
      </x:c>
      <x:c r="B67" s="159" t="str">
        <x:v>Develop and implement the Municipal Risk Reduction Plan (PMRR) and identify population groups vulnerable to climate risks.</x:v>
      </x:c>
      <x:c r="C67" s="159" t="str">
        <x:v>Energy security</x:v>
      </x:c>
      <x:c r="D67" s="159" t="str">
        <x:v>Vulnerability</x:v>
      </x:c>
      <x:c r="E67" s="153" t="str"/>
      <x:c r="F67" s="153" t="str"/>
      <x:c r="G67" s="159" t="str">
        <x:v>Enhancing Resilience: Climate-proofing Power Infrastructure</x:v>
      </x:c>
      <x:c r="H67" s="159" t="str">
        <x:v>https://www.irena.org/-/media/Files/IRENA/Agency/Publication/2025/Dec/IRENA_TEC_Enhancing_resilience_power_infrastructure_2025.pdf</x:v>
      </x:c>
      <x:c r="I67" s="168" t="n">
        <x:v>26</x:v>
      </x:c>
      <x:c r="J67" s="159" t="str">
        <x:v>26</x:v>
      </x:c>
      <x:c r="K67" s="159" t="str">
        <x:v>Verified — exact</x:v>
      </x:c>
      <x:c r="L67" s="159" t="str">
        <x:v>Normalized quote occurs on the cited PDF page.</x:v>
      </x:c>
      <x:c r="M67" s="159" t="str">
        <x:v>Supports</x:v>
      </x:c>
      <x:c r="N67" s="159" t="str">
        <x:v>Part of action</x:v>
      </x:c>
      <x:c r="O67" s="159" t="str">
        <x:v>No</x:v>
      </x:c>
      <x:c r="P67" s="159" t="str">
        <x:v>Resilient cities</x:v>
      </x:c>
      <x:c r="Q67" s="159" t="str">
        <x:v>A resilience enhancement framework represents a comprehensive approach to improving resilience. It supports the planning for resilience and developing strategies to ease and enable a faster recovery. The framework should provide clear steps for assessing risk, analysing vulnerability, identifying infrastructure hardening requirements and other resilience measures, and improving information sharing and communication channels.</x:v>
      </x:c>
      <x:c r="R67" s="159" t="str"/>
      <x:c r="S67" s="160" t="str">
        <x:v>Low</x:v>
      </x:c>
    </x:row>
    <x:row r="68" ht="90" customHeight="1">
      <x:c r="A68" s="165" t="str">
        <x:v>icare_0172</x:v>
      </x:c>
      <x:c r="B68" s="159" t="str">
        <x:v>Develop and implement the Municipal Risk Reduction Plan (PMRR) and identify population groups vulnerable to climate risks.</x:v>
      </x:c>
      <x:c r="C68" s="159" t="str">
        <x:v>Energy security</x:v>
      </x:c>
      <x:c r="D68" s="159" t="str">
        <x:v>Vulnerability</x:v>
      </x:c>
      <x:c r="E68" s="153" t="str"/>
      <x:c r="F68" s="153" t="str"/>
      <x:c r="G68" s="159" t="str">
        <x:v>Stronger Power: Improving Power Sector Resilience to Natural Hazards</x:v>
      </x:c>
      <x:c r="H68" s="159" t="str">
        <x:v>https://documents1.worldbank.org/curated/en/200771560790885170/pdf/Stronger-Power-Improving-Power-Sector-Resilience-to-Natural-Hazards.pdf</x:v>
      </x:c>
      <x:c r="I68" s="168" t="n">
        <x:v>35</x:v>
      </x:c>
      <x:c r="J68" s="159" t="str">
        <x:v>34</x:v>
      </x:c>
      <x:c r="K68" s="159" t="str">
        <x:v>Verified — exact</x:v>
      </x:c>
      <x:c r="L68" s="159" t="str">
        <x:v>Normalized quote occurs on the cited PDF page.</x:v>
      </x:c>
      <x:c r="M68" s="159" t="str">
        <x:v>Supports</x:v>
      </x:c>
      <x:c r="N68" s="159" t="str">
        <x:v>Part of action</x:v>
      </x:c>
      <x:c r="O68" s="159" t="str">
        <x:v>No</x:v>
      </x:c>
      <x:c r="P68" s="159" t="str">
        <x:v>Resilient cities</x:v>
      </x:c>
      <x:c r="Q68" s="159" t="str">
        <x:v>Planning criteria and methodologies will need to be revised to include resilience, because the design of resilient power systems starts with the overall planning of the system. Until recently, there had been little work on including climate considerations in planning. Although these issues are well understood in qualitative terms and practiced in the field, they are not systematically considered in producing a power system plan that finds a good balance between cost and risks.</x:v>
      </x:c>
      <x:c r="R68" s="159" t="str"/>
      <x:c r="S68" s="160" t="str">
        <x:v>Low</x:v>
      </x:c>
    </x:row>
    <x:row r="69" ht="90" customHeight="1">
      <x:c r="A69" s="165" t="str">
        <x:v>icare_0169</x:v>
      </x:c>
      <x:c r="B69" s="159" t="str">
        <x:v>Establish a Plan for Preparation and Emergency Response Measures in the event of extreme weather events</x:v>
      </x:c>
      <x:c r="C69" s="159" t="str">
        <x:v>Energy security</x:v>
      </x:c>
      <x:c r="D69" s="159" t="str">
        <x:v>Vulnerability</x:v>
      </x:c>
      <x:c r="E69" s="153" t="str"/>
      <x:c r="F69" s="153" t="str"/>
      <x:c r="G69" s="159" t="str">
        <x:v>Enhancing Resilience: Climate-proofing Power Infrastructure</x:v>
      </x:c>
      <x:c r="H69" s="159" t="str">
        <x:v>https://www.irena.org/-/media/Files/IRENA/Agency/Publication/2025/Dec/IRENA_TEC_Enhancing_resilience_power_infrastructure_2025.pdf</x:v>
      </x:c>
      <x:c r="I69" s="168" t="n">
        <x:v>30</x:v>
      </x:c>
      <x:c r="J69" s="159" t="str">
        <x:v>30</x:v>
      </x:c>
      <x:c r="K69" s="159" t="str">
        <x:v>Verified — exact</x:v>
      </x:c>
      <x:c r="L69" s="159" t="str">
        <x:v>Normalized quote occurs on the cited PDF page.</x:v>
      </x:c>
      <x:c r="M69" s="159" t="str">
        <x:v>Supports</x:v>
      </x:c>
      <x:c r="N69" s="159" t="str">
        <x:v>Whole action</x:v>
      </x:c>
      <x:c r="O69" s="159" t="str">
        <x:v>No</x:v>
      </x:c>
      <x:c r="P69" s="159" t="str">
        <x:v>Resilient cities</x:v>
      </x:c>
      <x:c r="Q69" s="159" t="str">
        <x:v>One of the key steps within the resilience framework is to develop an emergency management plan, which includes preparing a checklist, developing and reviewing outage recovery plans, procuring and conducting periodic review of back up resources, and coordination between different personnel and stakeholders. It is also important to create schemes to enhance the capacity of the system to withstand an event, minimise damage, recover rapidly and adapt to it.</x:v>
      </x:c>
      <x:c r="R69" s="159" t="str"/>
      <x:c r="S69" s="160" t="str">
        <x:v>High</x:v>
      </x:c>
    </x:row>
    <x:row r="70" ht="90" customHeight="1">
      <x:c r="A70" s="165" t="str">
        <x:v>icare_0169</x:v>
      </x:c>
      <x:c r="B70" s="159" t="str">
        <x:v>Establish a Plan for Preparation and Emergency Response Measures in the event of extreme weather events</x:v>
      </x:c>
      <x:c r="C70" s="159" t="str">
        <x:v>Energy security</x:v>
      </x:c>
      <x:c r="D70" s="159" t="str">
        <x:v>Vulnerability</x:v>
      </x:c>
      <x:c r="E70" s="153" t="str"/>
      <x:c r="F70" s="153" t="str"/>
      <x:c r="G70" s="159" t="str">
        <x:v>Stronger Power: Improving Power Sector Resilience to Natural Hazards</x:v>
      </x:c>
      <x:c r="H70" s="159" t="str">
        <x:v>https://documents1.worldbank.org/curated/en/200771560790885170/pdf/Stronger-Power-Improving-Power-Sector-Resilience-to-Natural-Hazards.pdf</x:v>
      </x:c>
      <x:c r="I70" s="168" t="n">
        <x:v>38</x:v>
      </x:c>
      <x:c r="J70" s="159" t="str">
        <x:v>37</x:v>
      </x:c>
      <x:c r="K70" s="159" t="str">
        <x:v>Verified — exact</x:v>
      </x:c>
      <x:c r="L70" s="159" t="str">
        <x:v>Normalized quote occurs on the cited PDF page.</x:v>
      </x:c>
      <x:c r="M70" s="159" t="str">
        <x:v>Supports</x:v>
      </x:c>
      <x:c r="N70" s="159" t="str">
        <x:v>Whole action</x:v>
      </x:c>
      <x:c r="O70" s="159" t="str">
        <x:v>No</x:v>
      </x:c>
      <x:c r="P70" s="159" t="str">
        <x:v>Resilient cities</x:v>
      </x:c>
      <x:c r="Q70" s="159" t="str">
        <x:v>Utility companies, as well as their priority energy users, will be better prepared for power outages when a disaster strikes if they incorporate appropriate policies and tools into a disaster recovery framework. Such a framework should include contingency plans and institutional arrangements that clearly allocate responsibility during the recovery period. A good emergency preparedness plan, accompanied by strategic investments, can shorten restoration time and limit the impact of disasters.</x:v>
      </x:c>
      <x:c r="R70" s="159" t="str"/>
      <x:c r="S70" s="160" t="str">
        <x:v>High</x:v>
      </x:c>
    </x:row>
    <x:row r="71" ht="90" customHeight="1">
      <x:c r="A71" s="165" t="str">
        <x:v>icare_0160</x:v>
      </x:c>
      <x:c r="B71" s="159" t="str">
        <x:v>Establish mechanisms for intersectoral coordination and public participation in climate policy</x:v>
      </x:c>
      <x:c r="C71" s="159" t="str">
        <x:v>Energy security</x:v>
      </x:c>
      <x:c r="D71" s="159" t="str">
        <x:v>Vulnerability</x:v>
      </x:c>
      <x:c r="E71" s="153" t="str"/>
      <x:c r="F71" s="153" t="str"/>
      <x:c r="G71" s="159" t="str">
        <x:v>Enhancing Resilience: Climate-proofing Power Infrastructure</x:v>
      </x:c>
      <x:c r="H71" s="159" t="str">
        <x:v>https://www.irena.org/-/media/Files/IRENA/Agency/Publication/2025/Dec/IRENA_TEC_Enhancing_resilience_power_infrastructure_2025.pdf</x:v>
      </x:c>
      <x:c r="I71" s="168" t="n">
        <x:v>9</x:v>
      </x:c>
      <x:c r="J71" s="159" t="str">
        <x:v>9</x:v>
      </x:c>
      <x:c r="K71" s="159" t="str">
        <x:v>Verified — exact</x:v>
      </x:c>
      <x:c r="L71" s="159" t="str">
        <x:v>Normalized quote occurs on the cited PDF page.</x:v>
      </x:c>
      <x:c r="M71" s="159" t="str">
        <x:v>Supports</x:v>
      </x:c>
      <x:c r="N71" s="159" t="str">
        <x:v>Part of action</x:v>
      </x:c>
      <x:c r="O71" s="159" t="str">
        <x:v>No</x:v>
      </x:c>
      <x:c r="P71" s="159" t="str">
        <x:v>Resilient cities</x:v>
      </x:c>
      <x:c r="Q71" s="159" t="str">
        <x:v>Create open platforms to share resilience strategies, case studies and policy frameworks and improve community engagement and communication with power system stakeholders.</x:v>
      </x:c>
      <x:c r="R71" s="159" t="str"/>
      <x:c r="S71" s="160" t="str">
        <x:v>Low</x:v>
      </x:c>
    </x:row>
    <x:row r="72" ht="90" customHeight="1">
      <x:c r="A72" s="165" t="str">
        <x:v>icare_0160</x:v>
      </x:c>
      <x:c r="B72" s="159" t="str">
        <x:v>Establish mechanisms for intersectoral coordination and public participation in climate policy</x:v>
      </x:c>
      <x:c r="C72" s="159" t="str">
        <x:v>Energy security</x:v>
      </x:c>
      <x:c r="D72" s="159" t="str">
        <x:v>Vulnerability</x:v>
      </x:c>
      <x:c r="E72" s="153" t="str"/>
      <x:c r="F72" s="153" t="str"/>
      <x:c r="G72" s="159" t="str">
        <x:v>Stronger Power: Improving Power Sector Resilience to Natural Hazards</x:v>
      </x:c>
      <x:c r="H72" s="159" t="str">
        <x:v>https://documents1.worldbank.org/curated/en/200771560790885170/pdf/Stronger-Power-Improving-Power-Sector-Resilience-to-Natural-Hazards.pdf</x:v>
      </x:c>
      <x:c r="I72" s="168" t="n">
        <x:v>38</x:v>
      </x:c>
      <x:c r="J72" s="159" t="str">
        <x:v>37</x:v>
      </x:c>
      <x:c r="K72" s="159" t="str">
        <x:v>Verified — exact</x:v>
      </x:c>
      <x:c r="L72" s="159" t="str">
        <x:v>Normalized quote occurs on the cited PDF page.</x:v>
      </x:c>
      <x:c r="M72" s="159" t="str">
        <x:v>Supports</x:v>
      </x:c>
      <x:c r="N72" s="159" t="str">
        <x:v>Part of action</x:v>
      </x:c>
      <x:c r="O72" s="159" t="str">
        <x:v>No</x:v>
      </x:c>
      <x:c r="P72" s="159" t="str">
        <x:v>Resilient cities</x:v>
      </x:c>
      <x:c r="Q72" s="159" t="str">
        <x:v>Recovery operations encompass not only specific steps for damage recovery and power restoration, but also internal institutional coordination and cooperation with other utilities, governmental institutions, and municipalities.</x:v>
      </x:c>
      <x:c r="R72" s="159" t="str"/>
      <x:c r="S72" s="160" t="str">
        <x:v>Low</x:v>
      </x:c>
    </x:row>
    <x:row r="73" ht="90" customHeight="1">
      <x:c r="A73" s="165" t="str">
        <x:v>ipcc_0090</x:v>
      </x:c>
      <x:c r="B73" s="159" t="str">
        <x:v>Expand climate risk insurance coverage</x:v>
      </x:c>
      <x:c r="C73" s="159" t="str">
        <x:v>Energy security</x:v>
      </x:c>
      <x:c r="D73" s="159" t="str">
        <x:v>Vulnerability</x:v>
      </x:c>
      <x:c r="E73" s="153" t="str"/>
      <x:c r="F73" s="153" t="str"/>
      <x:c r="G73" s="159" t="str">
        <x:v>Climate Change 2022: Impacts, Adaptation and Vulnerability</x:v>
      </x:c>
      <x:c r="H73" s="159" t="str">
        <x:v>https://www.ipcc.ch/report/ar6/wg2/downloads/report/IPCC_AR6_WGII_FullReport.pdf</x:v>
      </x:c>
      <x:c r="I73" s="168" t="n">
        <x:v>111</x:v>
      </x:c>
      <x:c r="J73" s="159" t="str">
        <x:v>99</x:v>
      </x:c>
      <x:c r="K73" s="159" t="str">
        <x:v>Verified — ordered</x:v>
      </x:c>
      <x:c r="L73" s="159" t="str">
        <x:v>Ordered token coverage on the cited PDF page is 100.0%.</x:v>
      </x:c>
      <x:c r="M73" s="159" t="str">
        <x:v>Qualifies</x:v>
      </x:c>
      <x:c r="N73" s="159" t="str">
        <x:v>Part of action</x:v>
      </x:c>
      <x:c r="O73" s="159" t="str">
        <x:v>No</x:v>
      </x:c>
      <x:c r="P73" s="159" t="str">
        <x:v>Municipal GDP per capita | Income greater than two minimum wages</x:v>
      </x:c>
      <x:c r="Q73" s="159" t="str">
        <x:v>Risk insurance can be a feasible tool to adapt to transfer climate risks and support sustainable development (high confidence). They can reduce both vulnerability and exposure, support post-disaster recovery and reduce financial burden on governments, households and business.</x:v>
      </x:c>
      <x:c r="R73" s="159" t="str"/>
      <x:c r="S73" s="160" t="str">
        <x:v>Low</x:v>
      </x:c>
    </x:row>
    <x:row r="74" ht="90" customHeight="1">
      <x:c r="A74" s="165" t="str">
        <x:v>ipcc_0090</x:v>
      </x:c>
      <x:c r="B74" s="159" t="str">
        <x:v>Expand climate risk insurance coverage</x:v>
      </x:c>
      <x:c r="C74" s="159" t="str">
        <x:v>Energy security</x:v>
      </x:c>
      <x:c r="D74" s="159" t="str">
        <x:v>Vulnerability</x:v>
      </x:c>
      <x:c r="E74" s="153" t="str"/>
      <x:c r="F74" s="153" t="str"/>
      <x:c r="G74" s="159" t="str">
        <x:v>Climate Change 2022: Impacts, Adaptation and Vulnerability</x:v>
      </x:c>
      <x:c r="H74" s="159" t="str">
        <x:v>https://www.ipcc.ch/report/ar6/wg2/downloads/report/IPCC_AR6_WGII_FullReport.pdf</x:v>
      </x:c>
      <x:c r="I74" s="168" t="n">
        <x:v>952</x:v>
      </x:c>
      <x:c r="J74" s="159" t="str">
        <x:v>940</x:v>
      </x:c>
      <x:c r="K74" s="159" t="str">
        <x:v>Verified — ordered</x:v>
      </x:c>
      <x:c r="L74" s="159" t="str">
        <x:v>Ordered token coverage on the cited PDF page is 100.0%.</x:v>
      </x:c>
      <x:c r="M74" s="159" t="str">
        <x:v>Contradicts</x:v>
      </x:c>
      <x:c r="N74" s="159" t="str">
        <x:v>Part of action</x:v>
      </x:c>
      <x:c r="O74" s="159" t="str">
        <x:v>Yes</x:v>
      </x:c>
      <x:c r="P74" s="159" t="str">
        <x:v>Municipal GDP per capita | Income greater than two minimum wages</x:v>
      </x:c>
      <x:c r="Q74" s="159" t="str">
        <x:v>Finally, although insurance has the potential to incentivise practices to reduce risks, including through measures to reduce premiums (see Section 6.4.5 for additional details), researchers of insurance-led adaptation actions have argued that, since insurance regimes privilege normality, they tend to structurally embed risky behaviour and inhibit change (O’Hare, White and Connelly, 2016).</x:v>
      </x:c>
      <x:c r="R74" s="159" t="str"/>
      <x:c r="S74" s="160" t="str">
        <x:v>Low</x:v>
      </x:c>
    </x:row>
    <x:row r="75" ht="90" customHeight="1">
      <x:c r="A75" s="165" t="str">
        <x:v>ipcc_0092</x:v>
      </x:c>
      <x:c r="B75" s="159" t="str">
        <x:v>Expand climate‑responsive social safety nets</x:v>
      </x:c>
      <x:c r="C75" s="159" t="str">
        <x:v>Energy security</x:v>
      </x:c>
      <x:c r="D75" s="159" t="str">
        <x:v>Vulnerability</x:v>
      </x:c>
      <x:c r="E75" s="153" t="str"/>
      <x:c r="F75" s="153" t="str"/>
      <x:c r="G75" s="159" t="str">
        <x:v>Climate Change 2022: Impacts, Adaptation and Vulnerability</x:v>
      </x:c>
      <x:c r="H75" s="159" t="str">
        <x:v>https://www.ipcc.ch/report/ar6/wg2/downloads/report/IPCC_AR6_WGII_FullReport.pdf</x:v>
      </x:c>
      <x:c r="I75" s="168" t="n">
        <x:v>37</x:v>
      </x:c>
      <x:c r="J75" s="159" t="str">
        <x:v>25</x:v>
      </x:c>
      <x:c r="K75" s="159" t="str">
        <x:v>Verified — exact</x:v>
      </x:c>
      <x:c r="L75" s="159" t="str">
        <x:v>Normalized quote occurs on the cited PDF page.</x:v>
      </x:c>
      <x:c r="M75" s="159" t="str">
        <x:v>Qualifies</x:v>
      </x:c>
      <x:c r="N75" s="159" t="str">
        <x:v>Whole action</x:v>
      </x:c>
      <x:c r="O75" s="159" t="str">
        <x:v>No</x:v>
      </x:c>
      <x:c r="P75" s="159" t="str">
        <x:v>Income greater than two minimum wages</x:v>
      </x:c>
      <x:c r="Q75" s="159" t="str">
        <x:v>Integrating climate adaptation into social protection programs, including cash transfers and public works programmes, is highly feasible and increases resilience to climate change, especially when supported by basic services and infrastructure. Social safety nets are increasingly being reconfigured to build adaptive capacities of the most vulnerable in rural and also urban communities. Social safety nets that support climate change adaptation have strong co-benefits with development goals such as education, poverty alleviation, gender inclusion and food security.</x:v>
      </x:c>
      <x:c r="R75" s="159" t="str"/>
      <x:c r="S75" s="160" t="str">
        <x:v>Low</x:v>
      </x:c>
    </x:row>
    <x:row r="76" ht="90" customHeight="1">
      <x:c r="A76" s="165" t="str">
        <x:v>ipcc_0102</x:v>
      </x:c>
      <x:c r="B76" s="159" t="str">
        <x:v>Facilitate seasonal and temporary mobility strategies</x:v>
      </x:c>
      <x:c r="C76" s="159" t="str">
        <x:v>Energy security</x:v>
      </x:c>
      <x:c r="D76" s="159" t="str">
        <x:v>Exposure</x:v>
      </x:c>
      <x:c r="E76" s="153" t="str"/>
      <x:c r="F76" s="153" t="str"/>
      <x:c r="G76" s="159" t="str">
        <x:v>Climate Change 2022: Impacts, Adaptation and Vulnerability</x:v>
      </x:c>
      <x:c r="H76" s="159" t="str">
        <x:v>https://www.ipcc.ch/report/ar6/wg2/downloads/report/IPCC_AR6_WGII_FullReport.pdf</x:v>
      </x:c>
      <x:c r="I76" s="168" t="n">
        <x:v>108</x:v>
      </x:c>
      <x:c r="J76" s="159" t="str">
        <x:v>96</x:v>
      </x:c>
      <x:c r="K76" s="159" t="str">
        <x:v>Verified — ordered</x:v>
      </x:c>
      <x:c r="L76" s="159" t="str">
        <x:v>Ordered token coverage on the cited PDF page is 98.0%.</x:v>
      </x:c>
      <x:c r="M76" s="159" t="str">
        <x:v>Qualifies</x:v>
      </x:c>
      <x:c r="N76" s="159" t="str">
        <x:v>Part of action</x:v>
      </x:c>
      <x:c r="O76" s="159" t="str">
        <x:v>Yes</x:v>
      </x:c>
      <x:c r="P76" s="159" t="str">
        <x:v>Population density</x:v>
      </x:c>
      <x:c r="Q76" s="159" t="str">
        <x:v>Properly supported and where levels of agency and assets are high, migration as an adaptation to climate change can reduce exposure and socioeconomic vulnerability (medium confidence). However, migration becomes a risk when climate hazards cause an individual, household or community to move involuntarily or with low agency (high confidence).</x:v>
      </x:c>
      <x:c r="R76" s="159" t="str"/>
      <x:c r="S76" s="160" t="str">
        <x:v>Low</x:v>
      </x:c>
    </x:row>
    <x:row r="77" ht="90" customHeight="1">
      <x:c r="A77" s="165" t="str">
        <x:v>ipcc_0078</x:v>
      </x:c>
      <x:c r="B77" s="159" t="str">
        <x:v>Implement green roofs and walls</x:v>
      </x:c>
      <x:c r="C77" s="159" t="str">
        <x:v>Energy security</x:v>
      </x:c>
      <x:c r="D77" s="159" t="str">
        <x:v>Vulnerability</x:v>
      </x:c>
      <x:c r="E77" s="153" t="str"/>
      <x:c r="F77" s="153" t="str"/>
      <x:c r="G77" s="159" t="str">
        <x:v>Climate Resilience: Part of Electricity Security 2021</x:v>
      </x:c>
      <x:c r="H77" s="159" t="str">
        <x:v>https://iea.blob.core.windows.net/assets/62c056f7-deed-4e3a-9a1f-a3ca8cc83813/Climate_Resilience.pdf</x:v>
      </x:c>
      <x:c r="I77" s="168" t="n">
        <x:v>22</x:v>
      </x:c>
      <x:c r="J77" s="159" t="str">
        <x:v>20</x:v>
      </x:c>
      <x:c r="K77" s="159" t="str">
        <x:v>Verified — exact</x:v>
      </x:c>
      <x:c r="L77" s="159" t="str">
        <x:v>Normalized quote occurs on the cited PDF page.</x:v>
      </x:c>
      <x:c r="M77" s="159" t="str">
        <x:v>Supports</x:v>
      </x:c>
      <x:c r="N77" s="159" t="str">
        <x:v>Part of action</x:v>
      </x:c>
      <x:c r="O77" s="159" t="str">
        <x:v>No</x:v>
      </x:c>
      <x:c r="P77" s="159" t="str">
        <x:v>Residential electrical consumption | Electrical energy intensity</x:v>
      </x:c>
      <x:c r="Q77" s="159" t="str">
        <x:v>However, the level of increased demand can be mitigated by higher levels of energy efficiency in both cooling devices and building envelopes. Compared to 2018, global energy consumption for residential space cooling could increase by as much as 65% in 2030 (Figure 3). However, through a combination of more efficient devices, more resilient buildings and increased flexibility, this could be cut by one-fifth in the SDS, with the majority of these savings in non-OECD countries.</x:v>
      </x:c>
      <x:c r="R77" s="159" t="str">
        <x:v>one-fifth reduction in projected residential space-cooling energy use</x:v>
      </x:c>
      <x:c r="S77" s="160" t="str">
        <x:v>Medium</x:v>
      </x:c>
    </x:row>
    <x:row r="78" ht="90" customHeight="1">
      <x:c r="A78" s="165" t="str">
        <x:v>icare_0183</x:v>
      </x:c>
      <x:c r="B78" s="159" t="str">
        <x:v>Implement Multi-hazard Early Warning Systems (MH-EWS)</x:v>
      </x:c>
      <x:c r="C78" s="159" t="str">
        <x:v>Energy security</x:v>
      </x:c>
      <x:c r="D78" s="159" t="str">
        <x:v>Vulnerability</x:v>
      </x:c>
      <x:c r="E78" s="153" t="str"/>
      <x:c r="F78" s="153" t="str"/>
      <x:c r="G78" s="159" t="str">
        <x:v>Enhancing Resilience: Climate-proofing Power Infrastructure</x:v>
      </x:c>
      <x:c r="H78" s="159" t="str">
        <x:v>https://www.irena.org/-/media/Files/IRENA/Agency/Publication/2025/Dec/IRENA_TEC_Enhancing_resilience_power_infrastructure_2025.pdf</x:v>
      </x:c>
      <x:c r="I78" s="168" t="n">
        <x:v>9</x:v>
      </x:c>
      <x:c r="J78" s="159" t="str">
        <x:v>9</x:v>
      </x:c>
      <x:c r="K78" s="159" t="str">
        <x:v>Verified — exact</x:v>
      </x:c>
      <x:c r="L78" s="159" t="str">
        <x:v>Normalized quote occurs on the cited PDF page.</x:v>
      </x:c>
      <x:c r="M78" s="159" t="str">
        <x:v>Supports</x:v>
      </x:c>
      <x:c r="N78" s="159" t="str">
        <x:v>Part of action</x:v>
      </x:c>
      <x:c r="O78" s="159" t="str">
        <x:v>No</x:v>
      </x:c>
      <x:c r="P78" s="159" t="str">
        <x:v>Resilient cities</x:v>
      </x:c>
      <x:c r="Q78" s="159" t="str">
        <x:v>Predictive analytics, forecasting and smart monitoring enable proactive responses to weather risks. This minimises outages and optimises existing infrastructure, avoiding costly buildouts.</x:v>
      </x:c>
      <x:c r="R78" s="159" t="str"/>
      <x:c r="S78" s="160" t="str">
        <x:v>Low</x:v>
      </x:c>
    </x:row>
    <x:row r="79" ht="90" customHeight="1">
      <x:c r="A79" s="165" t="str">
        <x:v>icare_0183</x:v>
      </x:c>
      <x:c r="B79" s="159" t="str">
        <x:v>Implement Multi-hazard Early Warning Systems (MH-EWS)</x:v>
      </x:c>
      <x:c r="C79" s="159" t="str">
        <x:v>Energy security</x:v>
      </x:c>
      <x:c r="D79" s="159" t="str">
        <x:v>Vulnerability</x:v>
      </x:c>
      <x:c r="E79" s="153" t="str"/>
      <x:c r="F79" s="153" t="str"/>
      <x:c r="G79" s="159" t="str">
        <x:v>Stronger Power: Improving Power Sector Resilience to Natural Hazards</x:v>
      </x:c>
      <x:c r="H79" s="159" t="str">
        <x:v>https://documents1.worldbank.org/curated/en/200771560790885170/pdf/Stronger-Power-Improving-Power-Sector-Resilience-to-Natural-Hazards.pdf</x:v>
      </x:c>
      <x:c r="I79" s="168" t="n">
        <x:v>35</x:v>
      </x:c>
      <x:c r="J79" s="159" t="str">
        <x:v>34</x:v>
      </x:c>
      <x:c r="K79" s="159" t="str">
        <x:v>Verified — exact</x:v>
      </x:c>
      <x:c r="L79" s="159" t="str">
        <x:v>Normalized quote occurs on the cited PDF page.</x:v>
      </x:c>
      <x:c r="M79" s="159" t="str">
        <x:v>Supports</x:v>
      </x:c>
      <x:c r="N79" s="159" t="str">
        <x:v>Part of action</x:v>
      </x:c>
      <x:c r="O79" s="159" t="str">
        <x:v>No</x:v>
      </x:c>
      <x:c r="P79" s="159" t="str">
        <x:v>Resilient cities</x:v>
      </x:c>
      <x:c r="Q79" s="159" t="str">
        <x:v>TV, internet, radio, or newspapers, as well as automated phone text messaging, can be used to communicate the need for demand reduction to users when an extreme weather event is expected (Brown 2016).</x:v>
      </x:c>
      <x:c r="R79" s="159" t="str"/>
      <x:c r="S79" s="160" t="str">
        <x:v>Low</x:v>
      </x:c>
    </x:row>
    <x:row r="80" ht="90" customHeight="1">
      <x:c r="A80" s="165" t="str">
        <x:v>ipcc_0087</x:v>
      </x:c>
      <x:c r="B80" s="159" t="str">
        <x:v>Improve Infrastructure retrofitting</x:v>
      </x:c>
      <x:c r="C80" s="159" t="str">
        <x:v>Energy security</x:v>
      </x:c>
      <x:c r="D80" s="159" t="str">
        <x:v>Vulnerability</x:v>
      </x:c>
      <x:c r="E80" s="153" t="str"/>
      <x:c r="F80" s="153" t="str"/>
      <x:c r="G80" s="159" t="str">
        <x:v>Enhancing Resilience: Climate-proofing Power Infrastructure</x:v>
      </x:c>
      <x:c r="H80" s="159" t="str">
        <x:v>https://www.irena.org/-/media/Files/IRENA/Agency/Publication/2025/Dec/IRENA_TEC_Enhancing_resilience_power_infrastructure_2025.pdf</x:v>
      </x:c>
      <x:c r="I80" s="168" t="n">
        <x:v>9</x:v>
      </x:c>
      <x:c r="J80" s="159" t="str">
        <x:v>9</x:v>
      </x:c>
      <x:c r="K80" s="159" t="str">
        <x:v>Verified — exact</x:v>
      </x:c>
      <x:c r="L80" s="159" t="str">
        <x:v>Normalized quote occurs on the cited PDF page.</x:v>
      </x:c>
      <x:c r="M80" s="159" t="str">
        <x:v>Supports</x:v>
      </x:c>
      <x:c r="N80" s="159" t="str">
        <x:v>Whole action</x:v>
      </x:c>
      <x:c r="O80" s="159" t="str">
        <x:v>No</x:v>
      </x:c>
      <x:c r="P80" s="159" t="str">
        <x:v>Electricity interruption</x:v>
      </x:c>
      <x:c r="Q80" s="159" t="str">
        <x:v>Protect critical assets with upgrades tailored to local climate threats (flood defences, storm hardening, etc.). Selected solutions must match the specific vulnerabilities identified.</x:v>
      </x:c>
      <x:c r="R80" s="159" t="str"/>
      <x:c r="S80" s="160" t="str">
        <x:v>Medium</x:v>
      </x:c>
    </x:row>
    <x:row r="81" ht="90" customHeight="1">
      <x:c r="A81" s="165" t="str">
        <x:v>ipcc_0087</x:v>
      </x:c>
      <x:c r="B81" s="159" t="str">
        <x:v>Improve Infrastructure retrofitting</x:v>
      </x:c>
      <x:c r="C81" s="159" t="str">
        <x:v>Energy security</x:v>
      </x:c>
      <x:c r="D81" s="159" t="str">
        <x:v>Vulnerability</x:v>
      </x:c>
      <x:c r="E81" s="153" t="str"/>
      <x:c r="F81" s="153" t="str"/>
      <x:c r="G81" s="159" t="str">
        <x:v>Stronger Power: Improving Power Sector Resilience to Natural Hazards</x:v>
      </x:c>
      <x:c r="H81" s="159" t="str">
        <x:v>https://documents1.worldbank.org/curated/en/200771560790885170/pdf/Stronger-Power-Improving-Power-Sector-Resilience-to-Natural-Hazards.pdf</x:v>
      </x:c>
      <x:c r="I81" s="168" t="n">
        <x:v>25</x:v>
      </x:c>
      <x:c r="J81" s="159" t="str">
        <x:v>24</x:v>
      </x:c>
      <x:c r="K81" s="159" t="str">
        <x:v>Verified — exact</x:v>
      </x:c>
      <x:c r="L81" s="159" t="str">
        <x:v>Normalized quote occurs on the cited PDF page.</x:v>
      </x:c>
      <x:c r="M81" s="159" t="str">
        <x:v>Supports</x:v>
      </x:c>
      <x:c r="N81" s="159" t="str">
        <x:v>Part of action</x:v>
      </x:c>
      <x:c r="O81" s="159" t="str">
        <x:v>No</x:v>
      </x:c>
      <x:c r="P81" s="159" t="str">
        <x:v>Electricity interruption</x:v>
      </x:c>
      <x:c r="Q81" s="159" t="str">
        <x:v>One straightforward way to improve power system performance during floods is to elevate solar panels, or to locate plants or substations in an elevated area that will not be flooded – and, when possible, far enough from the coastline to avoid coastal flood. For existing plants that cannot be moved, elevating critical components is an option (particularly for substations), as is building dikes or flood protection walls.</x:v>
      </x:c>
      <x:c r="R81" s="159" t="str"/>
      <x:c r="S81" s="160" t="str">
        <x:v>Medium</x:v>
      </x:c>
    </x:row>
    <x:row r="82" ht="90" customHeight="1">
      <x:c r="A82" s="165" t="str">
        <x:v>icare_0171</x:v>
      </x:c>
      <x:c r="B82" s="159" t="str">
        <x:v>Improve the hydrometeorological forecasting, monitoring, and alert system for climate risks</x:v>
      </x:c>
      <x:c r="C82" s="159" t="str">
        <x:v>Energy security</x:v>
      </x:c>
      <x:c r="D82" s="159" t="str">
        <x:v>Vulnerability</x:v>
      </x:c>
      <x:c r="E82" s="153" t="str"/>
      <x:c r="F82" s="153" t="str"/>
      <x:c r="G82" s="159" t="str">
        <x:v>Enhancing Resilience: Climate-proofing Power Infrastructure</x:v>
      </x:c>
      <x:c r="H82" s="159" t="str">
        <x:v>https://www.irena.org/-/media/Files/IRENA/Agency/Publication/2025/Dec/IRENA_TEC_Enhancing_resilience_power_infrastructure_2025.pdf</x:v>
      </x:c>
      <x:c r="I82" s="168" t="n">
        <x:v>9</x:v>
      </x:c>
      <x:c r="J82" s="159" t="str">
        <x:v>9</x:v>
      </x:c>
      <x:c r="K82" s="159" t="str">
        <x:v>Verified — exact</x:v>
      </x:c>
      <x:c r="L82" s="159" t="str">
        <x:v>Normalized quote occurs on the cited PDF page.</x:v>
      </x:c>
      <x:c r="M82" s="159" t="str">
        <x:v>Supports</x:v>
      </x:c>
      <x:c r="N82" s="159" t="str">
        <x:v>Part of action</x:v>
      </x:c>
      <x:c r="O82" s="159" t="str">
        <x:v>No</x:v>
      </x:c>
      <x:c r="P82" s="159" t="str">
        <x:v>Resilient cities</x:v>
      </x:c>
      <x:c r="Q82" s="159" t="str">
        <x:v>Predictive analytics, forecasting and smart monitoring enable proactive responses to weather risks. This minimises outages and optimises existing infrastructure, avoiding costly buildouts.</x:v>
      </x:c>
      <x:c r="R82" s="159" t="str"/>
      <x:c r="S82" s="160" t="str">
        <x:v>Low</x:v>
      </x:c>
    </x:row>
    <x:row r="83" ht="90" customHeight="1">
      <x:c r="A83" s="165" t="str">
        <x:v>icare_0171</x:v>
      </x:c>
      <x:c r="B83" s="159" t="str">
        <x:v>Improve the hydrometeorological forecasting, monitoring, and alert system for climate risks</x:v>
      </x:c>
      <x:c r="C83" s="159" t="str">
        <x:v>Energy security</x:v>
      </x:c>
      <x:c r="D83" s="159" t="str">
        <x:v>Vulnerability</x:v>
      </x:c>
      <x:c r="E83" s="153" t="str"/>
      <x:c r="F83" s="153" t="str"/>
      <x:c r="G83" s="159" t="str">
        <x:v>Stronger Power: Improving Power Sector Resilience to Natural Hazards</x:v>
      </x:c>
      <x:c r="H83" s="159" t="str">
        <x:v>https://documents1.worldbank.org/curated/en/200771560790885170/pdf/Stronger-Power-Improving-Power-Sector-Resilience-to-Natural-Hazards.pdf</x:v>
      </x:c>
      <x:c r="I83" s="168" t="n">
        <x:v>35</x:v>
      </x:c>
      <x:c r="J83" s="159" t="str">
        <x:v>34</x:v>
      </x:c>
      <x:c r="K83" s="159" t="str">
        <x:v>Verified — exact</x:v>
      </x:c>
      <x:c r="L83" s="159" t="str">
        <x:v>Normalized quote occurs on the cited PDF page.</x:v>
      </x:c>
      <x:c r="M83" s="159" t="str">
        <x:v>Supports</x:v>
      </x:c>
      <x:c r="N83" s="159" t="str">
        <x:v>Part of action</x:v>
      </x:c>
      <x:c r="O83" s="159" t="str">
        <x:v>No</x:v>
      </x:c>
      <x:c r="P83" s="159" t="str">
        <x:v>Resilient cities</x:v>
      </x:c>
      <x:c r="Q83" s="159" t="str">
        <x:v>TV, internet, radio, or newspapers, as well as automated phone text messaging, can be used to communicate the need for demand reduction to users when an extreme weather event is expected (Brown 2016).</x:v>
      </x:c>
      <x:c r="R83" s="159" t="str"/>
      <x:c r="S83" s="160" t="str">
        <x:v>Low</x:v>
      </x:c>
    </x:row>
    <x:row r="84" ht="90" customHeight="1">
      <x:c r="A84" s="165" t="str">
        <x:v>ipcc_0099</x:v>
      </x:c>
      <x:c r="B84" s="159" t="str">
        <x:v>Increase Water Capture and Storage</x:v>
      </x:c>
      <x:c r="C84" s="159" t="str">
        <x:v>Energy security</x:v>
      </x:c>
      <x:c r="D84" s="159" t="str">
        <x:v>Vulnerability</x:v>
      </x:c>
      <x:c r="E84" s="153" t="str"/>
      <x:c r="F84" s="153" t="str"/>
      <x:c r="G84" s="159" t="str">
        <x:v>Enhancing Resilience: Climate-proofing Power Infrastructure</x:v>
      </x:c>
      <x:c r="H84" s="159" t="str">
        <x:v>https://www.irena.org/-/media/Files/IRENA/Agency/Publication/2025/Dec/IRENA_TEC_Enhancing_resilience_power_infrastructure_2025.pdf</x:v>
      </x:c>
      <x:c r="I84" s="168" t="n">
        <x:v>37</x:v>
      </x:c>
      <x:c r="J84" s="159" t="str">
        <x:v>37</x:v>
      </x:c>
      <x:c r="K84" s="159" t="str">
        <x:v>Verified — ordered</x:v>
      </x:c>
      <x:c r="L84" s="159" t="str">
        <x:v>Ordered token coverage on the cited PDF page is 100.0%.</x:v>
      </x:c>
      <x:c r="M84" s="159" t="str">
        <x:v>Supports</x:v>
      </x:c>
      <x:c r="N84" s="159" t="str">
        <x:v>Whole action</x:v>
      </x:c>
      <x:c r="O84" s="159" t="str">
        <x:v>No</x:v>
      </x:c>
      <x:c r="P84" s="159" t="str">
        <x:v>Energy stored in hydroelectric reservoirs</x:v>
      </x:c>
      <x:c r="Q84" s="159" t="str">
        <x:v>PSH offers unmatched capacity for long-duration energy storage (hours to days), ensuring reliable power supply during extended outages, extreme weather events or disruption to fuel supply chains (LDES, 2023). PSH can offer between 12-hour and 31-hour storage depth (AEMO, 2019).</x:v>
      </x:c>
      <x:c r="R84" s="159" t="str">
        <x:v>12-hour to 31-hour storage depth</x:v>
      </x:c>
      <x:c r="S84" s="160" t="str">
        <x:v>Medium</x:v>
      </x:c>
    </x:row>
    <x:row r="85" ht="90" customHeight="1">
      <x:c r="A85" s="165" t="str">
        <x:v>ipcc_0104</x:v>
      </x:c>
      <x:c r="B85" s="159" t="str">
        <x:v>Plan and support permanent climate‑related migration</x:v>
      </x:c>
      <x:c r="C85" s="159" t="str">
        <x:v>Energy security</x:v>
      </x:c>
      <x:c r="D85" s="159" t="str">
        <x:v>Exposure</x:v>
      </x:c>
      <x:c r="E85" s="153" t="str"/>
      <x:c r="F85" s="153" t="str"/>
      <x:c r="G85" s="159" t="str">
        <x:v>Climate Change 2022: Impacts, Adaptation and Vulnerability</x:v>
      </x:c>
      <x:c r="H85" s="159" t="str">
        <x:v>https://www.ipcc.ch/report/ar6/wg2/downloads/report/IPCC_AR6_WGII_FullReport.pdf</x:v>
      </x:c>
      <x:c r="I85" s="168" t="n">
        <x:v>37</x:v>
      </x:c>
      <x:c r="J85" s="159" t="str">
        <x:v>25</x:v>
      </x:c>
      <x:c r="K85" s="159" t="str">
        <x:v>Verified — ordered</x:v>
      </x:c>
      <x:c r="L85" s="159" t="str">
        <x:v>Ordered token coverage on the cited PDF page is 100.0%.</x:v>
      </x:c>
      <x:c r="M85" s="159" t="str">
        <x:v>Supports</x:v>
      </x:c>
      <x:c r="N85" s="159" t="str">
        <x:v>Whole action</x:v>
      </x:c>
      <x:c r="O85" s="159" t="str">
        <x:v>No</x:v>
      </x:c>
      <x:c r="P85" s="159" t="str">
        <x:v>Population density</x:v>
      </x:c>
      <x:c r="Q85" s="159" t="str">
        <x:v>Responses to ongoing sea level rise and land subsidence in low-lying coastal cities and settlements and small islands include protection, accommodation, advance and planned relocation (high confidence). These responses are more effective if combined and/or sequenced, planned well ahead, aligned with sociocultural values and development priorities, and underpinned by inclusive community engagement processes (high confidence).</x:v>
      </x:c>
      <x:c r="R85" s="159" t="str"/>
      <x:c r="S85" s="160" t="str">
        <x:v>Medium</x:v>
      </x:c>
    </x:row>
    <x:row r="86" ht="90" customHeight="1">
      <x:c r="A86" s="165" t="str">
        <x:v>ipcc_0104</x:v>
      </x:c>
      <x:c r="B86" s="159" t="str">
        <x:v>Plan and support permanent climate‑related migration</x:v>
      </x:c>
      <x:c r="C86" s="159" t="str">
        <x:v>Energy security</x:v>
      </x:c>
      <x:c r="D86" s="159" t="str">
        <x:v>Exposure</x:v>
      </x:c>
      <x:c r="E86" s="153" t="str"/>
      <x:c r="F86" s="153" t="str"/>
      <x:c r="G86" s="159" t="str">
        <x:v>Climate Change 2022: Impacts, Adaptation and Vulnerability</x:v>
      </x:c>
      <x:c r="H86" s="159" t="str">
        <x:v>https://www.ipcc.ch/report/ar6/wg2/downloads/report/IPCC_AR6_WGII_FullReport.pdf</x:v>
      </x:c>
      <x:c r="I86" s="168" t="n">
        <x:v>108</x:v>
      </x:c>
      <x:c r="J86" s="159" t="str">
        <x:v>96</x:v>
      </x:c>
      <x:c r="K86" s="159" t="str">
        <x:v>Verified — ordered</x:v>
      </x:c>
      <x:c r="L86" s="159" t="str">
        <x:v>Ordered token coverage on the cited PDF page is 98.0%.</x:v>
      </x:c>
      <x:c r="M86" s="159" t="str">
        <x:v>Qualifies</x:v>
      </x:c>
      <x:c r="N86" s="159" t="str">
        <x:v>Whole action</x:v>
      </x:c>
      <x:c r="O86" s="159" t="str">
        <x:v>Yes</x:v>
      </x:c>
      <x:c r="P86" s="159" t="str">
        <x:v>Population density</x:v>
      </x:c>
      <x:c r="Q86" s="159" t="str">
        <x:v>Properly supported and where levels of agency and assets are high, migration as an adaptation to climate change can reduce exposure and socioeconomic vulnerability (medium confidence). However, migration becomes a risk when climate hazards cause an individual, household or community to move involuntarily or with low agency (high confidence).</x:v>
      </x:c>
      <x:c r="R86" s="159" t="str"/>
      <x:c r="S86" s="160" t="str">
        <x:v>Medium</x:v>
      </x:c>
    </x:row>
    <x:row r="87" ht="90" customHeight="1">
      <x:c r="A87" s="165" t="str">
        <x:v>ipcc_0083</x:v>
      </x:c>
      <x:c r="B87" s="159" t="str">
        <x:v>Plan strategic coastal retreat for vulnerable communities</x:v>
      </x:c>
      <x:c r="C87" s="159" t="str">
        <x:v>Energy security</x:v>
      </x:c>
      <x:c r="D87" s="159" t="str">
        <x:v>Exposure</x:v>
      </x:c>
      <x:c r="E87" s="153" t="str"/>
      <x:c r="F87" s="153" t="str"/>
      <x:c r="G87" s="159" t="str">
        <x:v>Climate Change 2022: Impacts, Adaptation and Vulnerability</x:v>
      </x:c>
      <x:c r="H87" s="159" t="str">
        <x:v>https://www.ipcc.ch/report/ar6/wg2/downloads/report/IPCC_AR6_WGII_FullReport.pdf</x:v>
      </x:c>
      <x:c r="I87" s="168" t="n">
        <x:v>37</x:v>
      </x:c>
      <x:c r="J87" s="159" t="str">
        <x:v>25</x:v>
      </x:c>
      <x:c r="K87" s="159" t="str">
        <x:v>Verified — ordered</x:v>
      </x:c>
      <x:c r="L87" s="159" t="str">
        <x:v>Ordered token coverage on the cited PDF page is 100.0%.</x:v>
      </x:c>
      <x:c r="M87" s="159" t="str">
        <x:v>Supports</x:v>
      </x:c>
      <x:c r="N87" s="159" t="str">
        <x:v>Whole action</x:v>
      </x:c>
      <x:c r="O87" s="159" t="str">
        <x:v>No</x:v>
      </x:c>
      <x:c r="P87" s="159" t="str">
        <x:v>Population density</x:v>
      </x:c>
      <x:c r="Q87" s="159" t="str">
        <x:v>Responses to ongoing sea level rise and land subsidence in low-lying coastal cities and settlements and small islands include protection, accommodation, advance and planned relocation (high confidence). These responses are more effective if combined and/or sequenced, planned well ahead, aligned with sociocultural values and development priorities, and underpinned by inclusive community engagement processes (high confidence).</x:v>
      </x:c>
      <x:c r="R87" s="159" t="str"/>
      <x:c r="S87" s="160" t="str">
        <x:v>Medium</x:v>
      </x:c>
    </x:row>
    <x:row r="88" ht="90" customHeight="1">
      <x:c r="A88" s="165" t="str">
        <x:v>ipcc_0083</x:v>
      </x:c>
      <x:c r="B88" s="159" t="str">
        <x:v>Plan strategic coastal retreat for vulnerable communities</x:v>
      </x:c>
      <x:c r="C88" s="159" t="str">
        <x:v>Energy security</x:v>
      </x:c>
      <x:c r="D88" s="159" t="str">
        <x:v>Exposure</x:v>
      </x:c>
      <x:c r="E88" s="153" t="str"/>
      <x:c r="F88" s="153" t="str"/>
      <x:c r="G88" s="159" t="str">
        <x:v>Climate Change 2022: Impacts, Adaptation and Vulnerability</x:v>
      </x:c>
      <x:c r="H88" s="159" t="str">
        <x:v>https://www.ipcc.ch/report/ar6/wg2/downloads/report/IPCC_AR6_WGII_FullReport.pdf</x:v>
      </x:c>
      <x:c r="I88" s="168" t="n">
        <x:v>108</x:v>
      </x:c>
      <x:c r="J88" s="159" t="str">
        <x:v>96</x:v>
      </x:c>
      <x:c r="K88" s="159" t="str">
        <x:v>Verified — ordered</x:v>
      </x:c>
      <x:c r="L88" s="159" t="str">
        <x:v>Ordered token coverage on the cited PDF page is 98.0%.</x:v>
      </x:c>
      <x:c r="M88" s="159" t="str">
        <x:v>Qualifies</x:v>
      </x:c>
      <x:c r="N88" s="159" t="str">
        <x:v>Whole action</x:v>
      </x:c>
      <x:c r="O88" s="159" t="str">
        <x:v>Yes</x:v>
      </x:c>
      <x:c r="P88" s="159" t="str">
        <x:v>Population density</x:v>
      </x:c>
      <x:c r="Q88" s="159" t="str">
        <x:v>Properly supported and where levels of agency and assets are high, migration as an adaptation to climate change can reduce exposure and socioeconomic vulnerability (medium confidence). However, migration becomes a risk when climate hazards cause an individual, household or community to move involuntarily or with low agency (high confidence).</x:v>
      </x:c>
      <x:c r="R88" s="159" t="str"/>
      <x:c r="S88" s="160" t="str">
        <x:v>Medium</x:v>
      </x:c>
    </x:row>
    <x:row r="89" ht="90" customHeight="1">
      <x:c r="A89" s="165" t="str">
        <x:v>icare_0173</x:v>
      </x:c>
      <x:c r="B89" s="159" t="str">
        <x:v>Preventive maintenance of drainage systems</x:v>
      </x:c>
      <x:c r="C89" s="159" t="str">
        <x:v>Energy security</x:v>
      </x:c>
      <x:c r="D89" s="159" t="str">
        <x:v>Vulnerability</x:v>
      </x:c>
      <x:c r="E89" s="153" t="str"/>
      <x:c r="F89" s="153" t="str"/>
      <x:c r="G89" s="159" t="str">
        <x:v>Enhancing Resilience: Climate-proofing Power Infrastructure</x:v>
      </x:c>
      <x:c r="H89" s="159" t="str">
        <x:v>https://www.irena.org/-/media/Files/IRENA/Agency/Publication/2025/Dec/IRENA_TEC_Enhancing_resilience_power_infrastructure_2025.pdf</x:v>
      </x:c>
      <x:c r="I89" s="168" t="n">
        <x:v>9</x:v>
      </x:c>
      <x:c r="J89" s="159" t="str">
        <x:v>9</x:v>
      </x:c>
      <x:c r="K89" s="159" t="str">
        <x:v>Verified — exact</x:v>
      </x:c>
      <x:c r="L89" s="159" t="str">
        <x:v>Normalized quote occurs on the cited PDF page.</x:v>
      </x:c>
      <x:c r="M89" s="159" t="str">
        <x:v>Supports</x:v>
      </x:c>
      <x:c r="N89" s="159" t="str">
        <x:v>Part of action</x:v>
      </x:c>
      <x:c r="O89" s="159" t="str">
        <x:v>No</x:v>
      </x:c>
      <x:c r="P89" s="159" t="str">
        <x:v>Electricity interruption</x:v>
      </x:c>
      <x:c r="Q89" s="159" t="str">
        <x:v>Protect critical assets with upgrades tailored to local climate threats (flood defences, storm hardening, etc.). Selected solutions must match the specific vulnerabilities identified.</x:v>
      </x:c>
      <x:c r="R89" s="159" t="str"/>
      <x:c r="S89" s="160" t="str">
        <x:v>Low</x:v>
      </x:c>
    </x:row>
    <x:row r="90" ht="90" customHeight="1">
      <x:c r="A90" s="165" t="str">
        <x:v>icare_0173</x:v>
      </x:c>
      <x:c r="B90" s="159" t="str">
        <x:v>Preventive maintenance of drainage systems</x:v>
      </x:c>
      <x:c r="C90" s="159" t="str">
        <x:v>Energy security</x:v>
      </x:c>
      <x:c r="D90" s="159" t="str">
        <x:v>Vulnerability</x:v>
      </x:c>
      <x:c r="E90" s="153" t="str"/>
      <x:c r="F90" s="153" t="str"/>
      <x:c r="G90" s="159" t="str">
        <x:v>Stronger Power: Improving Power Sector Resilience to Natural Hazards</x:v>
      </x:c>
      <x:c r="H90" s="159" t="str">
        <x:v>https://documents1.worldbank.org/curated/en/200771560790885170/pdf/Stronger-Power-Improving-Power-Sector-Resilience-to-Natural-Hazards.pdf</x:v>
      </x:c>
      <x:c r="I90" s="168" t="n">
        <x:v>25</x:v>
      </x:c>
      <x:c r="J90" s="159" t="str">
        <x:v>24</x:v>
      </x:c>
      <x:c r="K90" s="159" t="str">
        <x:v>Verified — exact</x:v>
      </x:c>
      <x:c r="L90" s="159" t="str">
        <x:v>Normalized quote occurs on the cited PDF page.</x:v>
      </x:c>
      <x:c r="M90" s="159" t="str">
        <x:v>Supports</x:v>
      </x:c>
      <x:c r="N90" s="159" t="str">
        <x:v>Part of action</x:v>
      </x:c>
      <x:c r="O90" s="159" t="str">
        <x:v>No</x:v>
      </x:c>
      <x:c r="P90" s="159" t="str">
        <x:v>Electricity interruption</x:v>
      </x:c>
      <x:c r="Q90" s="159" t="str">
        <x:v>One straightforward way to improve power system performance during floods is to elevate solar panels, or to locate plants or substations in an elevated area that will not be flooded – and, when possible, far enough from the coastline to avoid coastal flood. For existing plants that cannot be moved, elevating critical components is an option (particularly for substations), as is building dikes or flood protection walls.</x:v>
      </x:c>
      <x:c r="R90" s="159" t="str"/>
      <x:c r="S90" s="160" t="str">
        <x:v>Low</x:v>
      </x:c>
    </x:row>
    <x:row r="91" ht="90" customHeight="1">
      <x:c r="A91" s="165" t="str">
        <x:v>icare_0178</x:v>
      </x:c>
      <x:c r="B91" s="159" t="str">
        <x:v>Redirect urban development through climate‑risk spatial planning</x:v>
      </x:c>
      <x:c r="C91" s="159" t="str">
        <x:v>Energy security</x:v>
      </x:c>
      <x:c r="D91" s="159" t="str">
        <x:v>Exposure</x:v>
      </x:c>
      <x:c r="E91" s="153" t="str"/>
      <x:c r="F91" s="153" t="str"/>
      <x:c r="G91" s="159" t="str">
        <x:v>Climate Change 2022: Impacts, Adaptation and Vulnerability</x:v>
      </x:c>
      <x:c r="H91" s="159" t="str">
        <x:v>https://www.ipcc.ch/report/ar6/wg2/downloads/report/IPCC_AR6_WGII_FullReport.pdf</x:v>
      </x:c>
      <x:c r="I91" s="168" t="n">
        <x:v>1657</x:v>
      </x:c>
      <x:c r="J91" s="159" t="str">
        <x:v>1645</x:v>
      </x:c>
      <x:c r="K91" s="159" t="str">
        <x:v>Verified — exact</x:v>
      </x:c>
      <x:c r="L91" s="159" t="str">
        <x:v>Normalized quote occurs on the cited PDF page.</x:v>
      </x:c>
      <x:c r="M91" s="159" t="str">
        <x:v>Supports</x:v>
      </x:c>
      <x:c r="N91" s="159" t="str">
        <x:v>Whole action</x:v>
      </x:c>
      <x:c r="O91" s="159" t="str">
        <x:v>No</x:v>
      </x:c>
      <x:c r="P91" s="159" t="str">
        <x:v>Population density</x:v>
      </x:c>
      <x:c r="Q91" s="159" t="str">
        <x:v>Reviewing land use and spatial planning to reduce exposure to climate risks</x:v>
      </x:c>
      <x:c r="R91" s="159" t="str"/>
      <x:c r="S91" s="160" t="str">
        <x:v>Medium</x:v>
      </x:c>
    </x:row>
    <x:row r="92" ht="90" customHeight="1">
      <x:c r="A92" s="165" t="str">
        <x:v>icare_0181</x:v>
      </x:c>
      <x:c r="B92" s="159" t="str">
        <x:v>Restore in Vulnerable Areas</x:v>
      </x:c>
      <x:c r="C92" s="159" t="str">
        <x:v>Energy security</x:v>
      </x:c>
      <x:c r="D92" s="159" t="str">
        <x:v>Exposure</x:v>
      </x:c>
      <x:c r="E92" s="153" t="str"/>
      <x:c r="F92" s="153" t="str"/>
      <x:c r="G92" s="159" t="str">
        <x:v>Climate Change 2022: Impacts, Adaptation and Vulnerability</x:v>
      </x:c>
      <x:c r="H92" s="159" t="str">
        <x:v>https://www.ipcc.ch/report/ar6/wg2/downloads/report/IPCC_AR6_WGII_FullReport.pdf</x:v>
      </x:c>
      <x:c r="I92" s="168" t="n">
        <x:v>37</x:v>
      </x:c>
      <x:c r="J92" s="159" t="str">
        <x:v>25</x:v>
      </x:c>
      <x:c r="K92" s="159" t="str">
        <x:v>Verified — ordered</x:v>
      </x:c>
      <x:c r="L92" s="159" t="str">
        <x:v>Ordered token coverage on the cited PDF page is 100.0%.</x:v>
      </x:c>
      <x:c r="M92" s="159" t="str">
        <x:v>Supports</x:v>
      </x:c>
      <x:c r="N92" s="159" t="str">
        <x:v>Whole action</x:v>
      </x:c>
      <x:c r="O92" s="159" t="str">
        <x:v>No</x:v>
      </x:c>
      <x:c r="P92" s="159" t="str">
        <x:v>Population density</x:v>
      </x:c>
      <x:c r="Q92" s="159" t="str">
        <x:v>Responses to ongoing sea level rise and land subsidence in low-lying coastal cities and settlements and small islands include protection, accommodation, advance and planned relocation (high confidence). These responses are more effective if combined and/or sequenced, planned well ahead, aligned with sociocultural values and development priorities, and underpinned by inclusive community engagement processes (high confidence).</x:v>
      </x:c>
      <x:c r="R92" s="159" t="str"/>
      <x:c r="S92" s="160" t="str">
        <x:v>Medium</x:v>
      </x:c>
    </x:row>
    <x:row r="93" ht="90" customHeight="1">
      <x:c r="A93" s="165" t="str">
        <x:v>icare_0181</x:v>
      </x:c>
      <x:c r="B93" s="159" t="str">
        <x:v>Restore in Vulnerable Areas</x:v>
      </x:c>
      <x:c r="C93" s="159" t="str">
        <x:v>Energy security</x:v>
      </x:c>
      <x:c r="D93" s="159" t="str">
        <x:v>Exposure</x:v>
      </x:c>
      <x:c r="E93" s="153" t="str"/>
      <x:c r="F93" s="153" t="str"/>
      <x:c r="G93" s="159" t="str">
        <x:v>Climate Change 2022: Impacts, Adaptation and Vulnerability</x:v>
      </x:c>
      <x:c r="H93" s="159" t="str">
        <x:v>https://www.ipcc.ch/report/ar6/wg2/downloads/report/IPCC_AR6_WGII_FullReport.pdf</x:v>
      </x:c>
      <x:c r="I93" s="168" t="n">
        <x:v>108</x:v>
      </x:c>
      <x:c r="J93" s="159" t="str">
        <x:v>96</x:v>
      </x:c>
      <x:c r="K93" s="159" t="str">
        <x:v>Verified — ordered</x:v>
      </x:c>
      <x:c r="L93" s="159" t="str">
        <x:v>Ordered token coverage on the cited PDF page is 98.0%.</x:v>
      </x:c>
      <x:c r="M93" s="159" t="str">
        <x:v>Qualifies</x:v>
      </x:c>
      <x:c r="N93" s="159" t="str">
        <x:v>Whole action</x:v>
      </x:c>
      <x:c r="O93" s="159" t="str">
        <x:v>Yes</x:v>
      </x:c>
      <x:c r="P93" s="159" t="str">
        <x:v>Population density</x:v>
      </x:c>
      <x:c r="Q93" s="159" t="str">
        <x:v>Properly supported and where levels of agency and assets are high, migration as an adaptation to climate change can reduce exposure and socioeconomic vulnerability (medium confidence). However, migration becomes a risk when climate hazards cause an individual, household or community to move involuntarily or with low agency (high confidence).</x:v>
      </x:c>
      <x:c r="R93" s="159" t="str"/>
      <x:c r="S93" s="160" t="str">
        <x:v>Medium</x:v>
      </x:c>
    </x:row>
    <x:row r="94" ht="90" customHeight="1">
      <x:c r="A94" s="165" t="str">
        <x:v>ipcc_0089</x:v>
      </x:c>
      <x:c r="B94" s="159" t="str">
        <x:v>Spatially redirect development</x:v>
      </x:c>
      <x:c r="C94" s="159" t="str">
        <x:v>Energy security</x:v>
      </x:c>
      <x:c r="D94" s="159" t="str">
        <x:v>Exposure</x:v>
      </x:c>
      <x:c r="E94" s="153" t="str"/>
      <x:c r="F94" s="153" t="str"/>
      <x:c r="G94" s="159" t="str">
        <x:v>Climate Change 2022: Impacts, Adaptation and Vulnerability</x:v>
      </x:c>
      <x:c r="H94" s="159" t="str">
        <x:v>https://www.ipcc.ch/report/ar6/wg2/downloads/report/IPCC_AR6_WGII_FullReport.pdf</x:v>
      </x:c>
      <x:c r="I94" s="168" t="n">
        <x:v>1657</x:v>
      </x:c>
      <x:c r="J94" s="159" t="str">
        <x:v>1645</x:v>
      </x:c>
      <x:c r="K94" s="159" t="str">
        <x:v>Verified — exact</x:v>
      </x:c>
      <x:c r="L94" s="159" t="str">
        <x:v>Normalized quote occurs on the cited PDF page.</x:v>
      </x:c>
      <x:c r="M94" s="159" t="str">
        <x:v>Supports</x:v>
      </x:c>
      <x:c r="N94" s="159" t="str">
        <x:v>Whole action</x:v>
      </x:c>
      <x:c r="O94" s="159" t="str">
        <x:v>No</x:v>
      </x:c>
      <x:c r="P94" s="159" t="str">
        <x:v>Population density</x:v>
      </x:c>
      <x:c r="Q94" s="159" t="str">
        <x:v>Reviewing land use and spatial planning to reduce exposure to climate risks</x:v>
      </x:c>
      <x:c r="R94" s="159" t="str"/>
      <x:c r="S94" s="160" t="str">
        <x:v>Medium</x:v>
      </x:c>
    </x:row>
    <x:row r="95" ht="90" customHeight="1">
      <x:c r="A95" s="165" t="str">
        <x:v>ipcc_0103</x:v>
      </x:c>
      <x:c r="B95" s="159" t="str">
        <x:v>Strengthen cooperative climate governance</x:v>
      </x:c>
      <x:c r="C95" s="159" t="str">
        <x:v>Energy security</x:v>
      </x:c>
      <x:c r="D95" s="159" t="str">
        <x:v>Vulnerability</x:v>
      </x:c>
      <x:c r="E95" s="153" t="str"/>
      <x:c r="F95" s="153" t="str"/>
      <x:c r="G95" s="159" t="str">
        <x:v>Enhancing Resilience: Climate-proofing Power Infrastructure</x:v>
      </x:c>
      <x:c r="H95" s="159" t="str">
        <x:v>https://www.irena.org/-/media/Files/IRENA/Agency/Publication/2025/Dec/IRENA_TEC_Enhancing_resilience_power_infrastructure_2025.pdf</x:v>
      </x:c>
      <x:c r="I95" s="168" t="n">
        <x:v>30</x:v>
      </x:c>
      <x:c r="J95" s="159" t="str">
        <x:v>30</x:v>
      </x:c>
      <x:c r="K95" s="159" t="str">
        <x:v>Verified — exact</x:v>
      </x:c>
      <x:c r="L95" s="159" t="str">
        <x:v>Normalized quote occurs on the cited PDF page.</x:v>
      </x:c>
      <x:c r="M95" s="159" t="str">
        <x:v>Supports</x:v>
      </x:c>
      <x:c r="N95" s="159" t="str">
        <x:v>Whole action</x:v>
      </x:c>
      <x:c r="O95" s="159" t="str">
        <x:v>No</x:v>
      </x:c>
      <x:c r="P95" s="159" t="str">
        <x:v>Resilient cities</x:v>
      </x:c>
      <x:c r="Q95" s="159" t="str">
        <x:v>One of the key steps within the resilience framework is to develop an emergency management plan, which includes preparing a checklist, developing and reviewing outage recovery plans, procuring and conducting periodic review of back up resources, and coordination between different personnel and stakeholders. It is also important to create schemes to enhance the capacity of the system to withstand an event, minimise damage, recover rapidly and adapt to it.</x:v>
      </x:c>
      <x:c r="R95" s="159" t="str"/>
      <x:c r="S95" s="160" t="str">
        <x:v>High</x:v>
      </x:c>
    </x:row>
    <x:row r="96" ht="90" customHeight="1">
      <x:c r="A96" s="165" t="str">
        <x:v>ipcc_0103</x:v>
      </x:c>
      <x:c r="B96" s="159" t="str">
        <x:v>Strengthen cooperative climate governance</x:v>
      </x:c>
      <x:c r="C96" s="159" t="str">
        <x:v>Energy security</x:v>
      </x:c>
      <x:c r="D96" s="159" t="str">
        <x:v>Vulnerability</x:v>
      </x:c>
      <x:c r="E96" s="153" t="str"/>
      <x:c r="F96" s="153" t="str"/>
      <x:c r="G96" s="159" t="str">
        <x:v>Stronger Power: Improving Power Sector Resilience to Natural Hazards</x:v>
      </x:c>
      <x:c r="H96" s="159" t="str">
        <x:v>https://documents1.worldbank.org/curated/en/200771560790885170/pdf/Stronger-Power-Improving-Power-Sector-Resilience-to-Natural-Hazards.pdf</x:v>
      </x:c>
      <x:c r="I96" s="168" t="n">
        <x:v>38</x:v>
      </x:c>
      <x:c r="J96" s="159" t="str">
        <x:v>37</x:v>
      </x:c>
      <x:c r="K96" s="159" t="str">
        <x:v>Verified — exact</x:v>
      </x:c>
      <x:c r="L96" s="159" t="str">
        <x:v>Normalized quote occurs on the cited PDF page.</x:v>
      </x:c>
      <x:c r="M96" s="159" t="str">
        <x:v>Supports</x:v>
      </x:c>
      <x:c r="N96" s="159" t="str">
        <x:v>Whole action</x:v>
      </x:c>
      <x:c r="O96" s="159" t="str">
        <x:v>No</x:v>
      </x:c>
      <x:c r="P96" s="159" t="str">
        <x:v>Resilient cities</x:v>
      </x:c>
      <x:c r="Q96" s="159" t="str">
        <x:v>Recovery operations encompass not only specific steps for damage recovery and power restoration, but also internal institutional coordination and cooperation with other utilities, governmental institutions, and municipalities.</x:v>
      </x:c>
      <x:c r="R96" s="159" t="str"/>
      <x:c r="S96" s="160" t="str">
        <x:v>High</x:v>
      </x:c>
    </x:row>
    <x:row r="97" ht="90" customHeight="1">
      <x:c r="A97" s="165" t="str">
        <x:v>ipcc_0091</x:v>
      </x:c>
      <x:c r="B97" s="159" t="str">
        <x:v>Support livelihood diversification for climate resilience</x:v>
      </x:c>
      <x:c r="C97" s="159" t="str">
        <x:v>Energy security</x:v>
      </x:c>
      <x:c r="D97" s="159" t="str">
        <x:v>Vulnerability</x:v>
      </x:c>
      <x:c r="E97" s="153" t="str"/>
      <x:c r="F97" s="153" t="str"/>
      <x:c r="G97" s="159" t="str">
        <x:v>Climate Change 2022: Impacts, Adaptation and Vulnerability</x:v>
      </x:c>
      <x:c r="H97" s="159" t="str">
        <x:v>https://www.ipcc.ch/report/ar6/wg2/downloads/report/IPCC_AR6_WGII_FullReport.pdf</x:v>
      </x:c>
      <x:c r="I97" s="168" t="n">
        <x:v>111</x:v>
      </x:c>
      <x:c r="J97" s="159" t="str">
        <x:v>99</x:v>
      </x:c>
      <x:c r="K97" s="159" t="str">
        <x:v>Verified — ordered</x:v>
      </x:c>
      <x:c r="L97" s="159" t="str">
        <x:v>Ordered token coverage on the cited PDF page is 100.0%.</x:v>
      </x:c>
      <x:c r="M97" s="159" t="str">
        <x:v>Qualifies</x:v>
      </x:c>
      <x:c r="N97" s="159" t="str">
        <x:v>Whole action</x:v>
      </x:c>
      <x:c r="O97" s="159" t="str">
        <x:v>No</x:v>
      </x:c>
      <x:c r="P97" s="159" t="str">
        <x:v>Municipal GDP per capita | Income greater than two minimum wages</x:v>
      </x:c>
      <x:c r="Q97" s="159" t="str">
        <x:v>There is high evidence (medium agreement) that diversifying livelihoods improves incomes and reduces socioeconomic vulnerability, but feasibility changes depending on livelihood type, opportunities and local context.</x:v>
      </x:c>
      <x:c r="R97" s="159" t="str"/>
      <x:c r="S97" s="160" t="str">
        <x:v>Low</x:v>
      </x:c>
    </x:row>
    <x:row r="98" ht="90" customHeight="1">
      <x:c r="A98" s="165" t="str">
        <x:v>ipcc_0088</x:v>
      </x:c>
      <x:c r="B98" s="159" t="str">
        <x:v>Update and enforce climate‑resilient building codes</x:v>
      </x:c>
      <x:c r="C98" s="159" t="str">
        <x:v>Energy security</x:v>
      </x:c>
      <x:c r="D98" s="159" t="str">
        <x:v>Vulnerability</x:v>
      </x:c>
      <x:c r="E98" s="153" t="str"/>
      <x:c r="F98" s="153" t="str"/>
      <x:c r="G98" s="159" t="str">
        <x:v>Stronger Power: Improving Power Sector Resilience to Natural Hazards</x:v>
      </x:c>
      <x:c r="H98" s="159" t="str">
        <x:v>https://documents1.worldbank.org/curated/en/200771560790885170/pdf/Stronger-Power-Improving-Power-Sector-Resilience-to-Natural-Hazards.pdf</x:v>
      </x:c>
      <x:c r="I98" s="168" t="n">
        <x:v>38</x:v>
      </x:c>
      <x:c r="J98" s="159" t="str">
        <x:v>37</x:v>
      </x:c>
      <x:c r="K98" s="159" t="str">
        <x:v>Verified — exact</x:v>
      </x:c>
      <x:c r="L98" s="159" t="str">
        <x:v>Normalized quote occurs on the cited PDF page.</x:v>
      </x:c>
      <x:c r="M98" s="159" t="str">
        <x:v>Supports</x:v>
      </x:c>
      <x:c r="N98" s="159" t="str">
        <x:v>Whole action</x:v>
      </x:c>
      <x:c r="O98" s="159" t="str">
        <x:v>No</x:v>
      </x:c>
      <x:c r="P98" s="159" t="str">
        <x:v>Resilient cities</x:v>
      </x:c>
      <x:c r="Q98" s="159" t="str">
        <x:v>Resilience depends on developing or sustaining the laws, regulations, and guidelines that require utilities to (i) apply appropriate safety standards to resilient power facilities, both in the installation/construction phase and during regular maintenance and operation; and (ii) prepare an emergency action plan to be submitted to the relevant authority.</x:v>
      </x:c>
      <x:c r="R98" s="159" t="str"/>
      <x:c r="S98" s="160" t="str">
        <x:v>Medium</x:v>
      </x:c>
    </x:row>
    <x:row r="99" ht="90" customHeight="1">
      <x:c r="A99" s="165" t="str">
        <x:v>ipcc_0088</x:v>
      </x:c>
      <x:c r="B99" s="159" t="str">
        <x:v>Update and enforce climate‑resilient building codes</x:v>
      </x:c>
      <x:c r="C99" s="159" t="str">
        <x:v>Energy security</x:v>
      </x:c>
      <x:c r="D99" s="159" t="str">
        <x:v>Vulnerability</x:v>
      </x:c>
      <x:c r="E99" s="153" t="str"/>
      <x:c r="F99" s="153" t="str"/>
      <x:c r="G99" s="159" t="str">
        <x:v>Brazil 2025 Energy Policy Review</x:v>
      </x:c>
      <x:c r="H99" s="159" t="str">
        <x:v>https://iea.blob.core.windows.net/assets/6ea1af14-d51f-47f5-8fe7-76bfd55b0ea0/Brazil2025-EnergyPolicyReview.pdf</x:v>
      </x:c>
      <x:c r="I99" s="168" t="n">
        <x:v>59</x:v>
      </x:c>
      <x:c r="J99" s="159" t="str">
        <x:v>59</x:v>
      </x:c>
      <x:c r="K99" s="159" t="str">
        <x:v>Verified — exact</x:v>
      </x:c>
      <x:c r="L99" s="159" t="str">
        <x:v>Normalized quote occurs on the cited PDF page.</x:v>
      </x:c>
      <x:c r="M99" s="159" t="str">
        <x:v>Qualifies</x:v>
      </x:c>
      <x:c r="N99" s="159" t="str">
        <x:v>Whole action</x:v>
      </x:c>
      <x:c r="O99" s="159" t="str">
        <x:v>No</x:v>
      </x:c>
      <x:c r="P99" s="159" t="str">
        <x:v>Resilient cities</x:v>
      </x:c>
      <x:c r="Q99" s="159" t="str">
        <x:v>The regulation ABNT NBR 15.775 sets requirements for the thermal performance of building fabric and is mandatory for all new residential buildings, though enforcement is variable. The standard was updated in 2024 to become more stringent.</x:v>
      </x:c>
      <x:c r="R99" s="159" t="str"/>
      <x:c r="S99" s="160" t="str">
        <x:v>Medium</x:v>
      </x:c>
    </x:row>
    <x:row r="100" ht="90" customHeight="1">
      <x:c r="A100" s="165" t="str">
        <x:v>icare_0184</x:v>
      </x:c>
      <x:c r="B100" s="159" t="str">
        <x:v>Upgrade Slope stabilization and drainage</x:v>
      </x:c>
      <x:c r="C100" s="159" t="str">
        <x:v>Energy security</x:v>
      </x:c>
      <x:c r="D100" s="159" t="str">
        <x:v>Vulnerability</x:v>
      </x:c>
      <x:c r="E100" s="153" t="str"/>
      <x:c r="F100" s="153" t="str"/>
      <x:c r="G100" s="159" t="str">
        <x:v>Enhancing Resilience: Climate-proofing Power Infrastructure</x:v>
      </x:c>
      <x:c r="H100" s="159" t="str">
        <x:v>https://www.irena.org/-/media/Files/IRENA/Agency/Publication/2025/Dec/IRENA_TEC_Enhancing_resilience_power_infrastructure_2025.pdf</x:v>
      </x:c>
      <x:c r="I100" s="168" t="n">
        <x:v>9</x:v>
      </x:c>
      <x:c r="J100" s="159" t="str">
        <x:v>9</x:v>
      </x:c>
      <x:c r="K100" s="159" t="str">
        <x:v>Verified — exact</x:v>
      </x:c>
      <x:c r="L100" s="159" t="str">
        <x:v>Normalized quote occurs on the cited PDF page.</x:v>
      </x:c>
      <x:c r="M100" s="159" t="str">
        <x:v>Supports</x:v>
      </x:c>
      <x:c r="N100" s="159" t="str">
        <x:v>Part of action</x:v>
      </x:c>
      <x:c r="O100" s="159" t="str">
        <x:v>No</x:v>
      </x:c>
      <x:c r="P100" s="159" t="str">
        <x:v>Electricity interruption</x:v>
      </x:c>
      <x:c r="Q100" s="159" t="str">
        <x:v>Protect critical assets with upgrades tailored to local climate threats (flood defences, storm hardening, etc.). Selected solutions must match the specific vulnerabilities identified.</x:v>
      </x:c>
      <x:c r="R100" s="159" t="str"/>
      <x:c r="S100" s="160" t="str">
        <x:v>Low</x:v>
      </x:c>
    </x:row>
    <x:row r="101" ht="90" customHeight="1">
      <x:c r="A101" s="165" t="str">
        <x:v>icare_0184</x:v>
      </x:c>
      <x:c r="B101" s="159" t="str">
        <x:v>Upgrade Slope stabilization and drainage</x:v>
      </x:c>
      <x:c r="C101" s="159" t="str">
        <x:v>Energy security</x:v>
      </x:c>
      <x:c r="D101" s="159" t="str">
        <x:v>Vulnerability</x:v>
      </x:c>
      <x:c r="E101" s="153" t="str"/>
      <x:c r="F101" s="153" t="str"/>
      <x:c r="G101" s="159" t="str">
        <x:v>Stronger Power: Improving Power Sector Resilience to Natural Hazards</x:v>
      </x:c>
      <x:c r="H101" s="159" t="str">
        <x:v>https://documents1.worldbank.org/curated/en/200771560790885170/pdf/Stronger-Power-Improving-Power-Sector-Resilience-to-Natural-Hazards.pdf</x:v>
      </x:c>
      <x:c r="I101" s="168" t="n">
        <x:v>25</x:v>
      </x:c>
      <x:c r="J101" s="159" t="str">
        <x:v>24</x:v>
      </x:c>
      <x:c r="K101" s="159" t="str">
        <x:v>Verified — exact</x:v>
      </x:c>
      <x:c r="L101" s="159" t="str">
        <x:v>Normalized quote occurs on the cited PDF page.</x:v>
      </x:c>
      <x:c r="M101" s="159" t="str">
        <x:v>Supports</x:v>
      </x:c>
      <x:c r="N101" s="159" t="str">
        <x:v>Part of action</x:v>
      </x:c>
      <x:c r="O101" s="159" t="str">
        <x:v>No</x:v>
      </x:c>
      <x:c r="P101" s="159" t="str">
        <x:v>Electricity interruption</x:v>
      </x:c>
      <x:c r="Q101" s="159" t="str">
        <x:v>One straightforward way to improve power system performance during floods is to elevate solar panels, or to locate plants or substations in an elevated area that will not be flooded – and, when possible, far enough from the coastline to avoid coastal flood. For existing plants that cannot be moved, elevating critical components is an option (particularly for substations), as is building dikes or flood protection walls.</x:v>
      </x:c>
      <x:c r="R101" s="159" t="str"/>
      <x:c r="S101" s="160" t="str">
        <x:v>Low</x:v>
      </x:c>
    </x:row>
    <x:row r="102" ht="90" customHeight="1">
      <x:c r="A102" s="165" t="str">
        <x:v>c40_0048</x:v>
      </x:c>
      <x:c r="B102" s="159" t="str">
        <x:v>Upgrade urban drainage systems</x:v>
      </x:c>
      <x:c r="C102" s="159" t="str">
        <x:v>Energy security</x:v>
      </x:c>
      <x:c r="D102" s="159" t="str">
        <x:v>Vulnerability</x:v>
      </x:c>
      <x:c r="E102" s="153" t="str"/>
      <x:c r="F102" s="153" t="str"/>
      <x:c r="G102" s="159" t="str">
        <x:v>Enhancing Resilience: Climate-proofing Power Infrastructure</x:v>
      </x:c>
      <x:c r="H102" s="159" t="str">
        <x:v>https://www.irena.org/-/media/Files/IRENA/Agency/Publication/2025/Dec/IRENA_TEC_Enhancing_resilience_power_infrastructure_2025.pdf</x:v>
      </x:c>
      <x:c r="I102" s="168" t="n">
        <x:v>9</x:v>
      </x:c>
      <x:c r="J102" s="159" t="str">
        <x:v>9</x:v>
      </x:c>
      <x:c r="K102" s="159" t="str">
        <x:v>Verified — exact</x:v>
      </x:c>
      <x:c r="L102" s="159" t="str">
        <x:v>Normalized quote occurs on the cited PDF page.</x:v>
      </x:c>
      <x:c r="M102" s="159" t="str">
        <x:v>Supports</x:v>
      </x:c>
      <x:c r="N102" s="159" t="str">
        <x:v>Part of action</x:v>
      </x:c>
      <x:c r="O102" s="159" t="str">
        <x:v>No</x:v>
      </x:c>
      <x:c r="P102" s="159" t="str">
        <x:v>Electricity interruption</x:v>
      </x:c>
      <x:c r="Q102" s="159" t="str">
        <x:v>Protect critical assets with upgrades tailored to local climate threats (flood defences, storm hardening, etc.). Selected solutions must match the specific vulnerabilities identified.</x:v>
      </x:c>
      <x:c r="R102" s="159" t="str"/>
      <x:c r="S102" s="160" t="str">
        <x:v>Low</x:v>
      </x:c>
    </x:row>
    <x:row r="103" ht="90" customHeight="1">
      <x:c r="A103" s="165" t="str">
        <x:v>c40_0048</x:v>
      </x:c>
      <x:c r="B103" s="159" t="str">
        <x:v>Upgrade urban drainage systems</x:v>
      </x:c>
      <x:c r="C103" s="159" t="str">
        <x:v>Energy security</x:v>
      </x:c>
      <x:c r="D103" s="159" t="str">
        <x:v>Vulnerability</x:v>
      </x:c>
      <x:c r="E103" s="153" t="str"/>
      <x:c r="F103" s="153" t="str"/>
      <x:c r="G103" s="159" t="str">
        <x:v>Stronger Power: Improving Power Sector Resilience to Natural Hazards</x:v>
      </x:c>
      <x:c r="H103" s="159" t="str">
        <x:v>https://documents1.worldbank.org/curated/en/200771560790885170/pdf/Stronger-Power-Improving-Power-Sector-Resilience-to-Natural-Hazards.pdf</x:v>
      </x:c>
      <x:c r="I103" s="168" t="n">
        <x:v>25</x:v>
      </x:c>
      <x:c r="J103" s="159" t="str">
        <x:v>24</x:v>
      </x:c>
      <x:c r="K103" s="159" t="str">
        <x:v>Verified — exact</x:v>
      </x:c>
      <x:c r="L103" s="159" t="str">
        <x:v>Normalized quote occurs on the cited PDF page.</x:v>
      </x:c>
      <x:c r="M103" s="159" t="str">
        <x:v>Supports</x:v>
      </x:c>
      <x:c r="N103" s="159" t="str">
        <x:v>Part of action</x:v>
      </x:c>
      <x:c r="O103" s="159" t="str">
        <x:v>No</x:v>
      </x:c>
      <x:c r="P103" s="159" t="str">
        <x:v>Electricity interruption</x:v>
      </x:c>
      <x:c r="Q103" s="159" t="str">
        <x:v>One straightforward way to improve power system performance during floods is to elevate solar panels, or to locate plants or substations in an elevated area that will not be flooded – and, when possible, far enough from the coastline to avoid coastal flood. For existing plants that cannot be moved, elevating critical components is an option (particularly for substations), as is building dikes or flood protection walls.</x:v>
      </x:c>
      <x:c r="R103" s="159" t="str"/>
      <x:c r="S103" s="160" t="str">
        <x:v>Low</x:v>
      </x:c>
    </x:row>
    <x:row r="104" ht="90" customHeight="1">
      <x:c r="A104" s="165" t="str">
        <x:v>icare_0176</x:v>
      </x:c>
      <x:c r="B104" s="159" t="str">
        <x:v>Develop a Climate Action Plan</x:v>
      </x:c>
      <x:c r="C104" s="159" t="str">
        <x:v>Food security</x:v>
      </x:c>
      <x:c r="D104" s="159" t="str">
        <x:v>Vulnerability</x:v>
      </x:c>
      <x:c r="E104" s="153" t="str"/>
      <x:c r="F104" s="153" t="str"/>
      <x:c r="G104" s="159" t="str">
        <x:v>Climate Change 2022: Impacts, Adaptation and Vulnerability (AR6 WGII), Chapter 5: Food, Fibre and Other Ecosystem Products</x:v>
      </x:c>
      <x:c r="H104" s="159" t="str">
        <x:v>https://www.ipcc.ch/report/ar6/wg2/downloads/report/IPCC_AR6_WGII_Chapter05.pdf</x:v>
      </x:c>
      <x:c r="I104" s="168" t="n">
        <x:v>7</x:v>
      </x:c>
      <x:c r="J104" s="159" t="str">
        <x:v>719</x:v>
      </x:c>
      <x:c r="K104" s="159" t="str">
        <x:v>Verified — ordered</x:v>
      </x:c>
      <x:c r="L104" s="159" t="str">
        <x:v>Ordered token coverage on the cited PDF page is 100.0%.</x:v>
      </x:c>
      <x:c r="M104" s="159" t="str">
        <x:v>Supports</x:v>
      </x:c>
      <x:c r="N104" s="159" t="str">
        <x:v>Part of action</x:v>
      </x:c>
      <x:c r="O104" s="159" t="str">
        <x:v>No</x:v>
      </x:c>
      <x:c r="P104" s="159" t="str">
        <x:v>Investment in agrarian and environmental management policies | Federal investment per capita | Food safety instruments</x:v>
      </x:c>
      <x:c r="Q104" s="159" t="str">
        <x:v>Supportive public policies will enhance effectiveness and/or feasibility of adaptation in ecosystem provisioning services (medium confidence). Policies that support system transitions include shifting subsidies, removing perverse incentives, regulation and certification, green public procurement, investment in sustainable value chains, support for capacity-building, access to insurance premiums, payments for ecosystem services, and social protection, among others (medium confidence).</x:v>
      </x:c>
      <x:c r="R104" s="159" t="str"/>
      <x:c r="S104" s="160" t="str">
        <x:v>Low</x:v>
      </x:c>
    </x:row>
    <x:row r="105" ht="90" customHeight="1">
      <x:c r="A105" s="165" t="str">
        <x:v>icare_0182</x:v>
      </x:c>
      <x:c r="B105" s="159" t="str">
        <x:v>Develop an Urban Afforestation Plan</x:v>
      </x:c>
      <x:c r="C105" s="159" t="str">
        <x:v>Food security</x:v>
      </x:c>
      <x:c r="D105" s="159" t="str">
        <x:v>Vulnerability</x:v>
      </x:c>
      <x:c r="E105" s="153" t="str"/>
      <x:c r="F105" s="153" t="str"/>
      <x:c r="G105" s="159" t="str">
        <x:v>Future of Food: Shaping a Climate-Smart Global Food System</x:v>
      </x:c>
      <x:c r="H105" s="159" t="str">
        <x:v>https://documents1.worldbank.org/curated/en/645981468189237140/pdf/100046-WP-PUBLIC-dislcose-7am-10-8-15-Box393216B.pdf</x:v>
      </x:c>
      <x:c r="I105" s="168" t="n">
        <x:v>14</x:v>
      </x:c>
      <x:c r="J105" s="159" t="str">
        <x:v>12</x:v>
      </x:c>
      <x:c r="K105" s="159" t="str">
        <x:v>Verified — ordered</x:v>
      </x:c>
      <x:c r="L105" s="159" t="str">
        <x:v>Ordered token coverage on the cited PDF page is 98.9%.</x:v>
      </x:c>
      <x:c r="M105" s="159" t="str">
        <x:v>Supports</x:v>
      </x:c>
      <x:c r="N105" s="159" t="str">
        <x:v>Part of action</x:v>
      </x:c>
      <x:c r="O105" s="159" t="str">
        <x:v>No</x:v>
      </x:c>
      <x:c r="P105" s="159" t="str">
        <x:v>Agricultural areas with soil susceptible to erosion | Vegetation cover losses</x:v>
      </x:c>
      <x:c r="Q105" s="159" t="str">
        <x:v>In Himachal Pradesh state, improved management of the Mid-Himalayan watershed as part of a national watershed management program has given farmers US$8 million in carbon credits from the Prototype Carbon Fund. To date, up to 10,000 hectares of nonarable agricultural wastelands have been restored and degraded forests have been afforested. On arable lands, more than 10,000 water harvesting structures have been built, expanding irrigation potential by nearly 9,000 hectares benefiting some 54,000 rural households (24 percent of which are vulnerable households) increasing their resilience to drought.</x:v>
      </x:c>
      <x:c r="R105" s="159" t="str">
        <x:v>10,000 ha restored/afforested; 10,000+ water-harvesting structures; nearly 9,000 ha additional irrigation potential</x:v>
      </x:c>
      <x:c r="S105" s="160" t="str">
        <x:v>Low</x:v>
      </x:c>
    </x:row>
    <x:row r="106" ht="90" customHeight="1">
      <x:c r="A106" s="165" t="str">
        <x:v>icare_0144</x:v>
      </x:c>
      <x:c r="B106" s="159" t="str">
        <x:v>Establish a financial support program for extreme weather events</x:v>
      </x:c>
      <x:c r="C106" s="159" t="str">
        <x:v>Food security</x:v>
      </x:c>
      <x:c r="D106" s="159" t="str">
        <x:v>Vulnerability</x:v>
      </x:c>
      <x:c r="E106" s="153" t="str"/>
      <x:c r="F106" s="153" t="str"/>
      <x:c r="G106" s="159" t="str">
        <x:v>Climate Change 2022: Impacts, Adaptation and Vulnerability (AR6 WGII), Chapter 5: Food, Fibre and Other Ecosystem Products</x:v>
      </x:c>
      <x:c r="H106" s="159" t="str">
        <x:v>https://www.ipcc.ch/report/ar6/wg2/downloads/report/IPCC_AR6_WGII_Chapter05.pdf</x:v>
      </x:c>
      <x:c r="I106" s="168" t="n">
        <x:v>7</x:v>
      </x:c>
      <x:c r="J106" s="159" t="str">
        <x:v>719</x:v>
      </x:c>
      <x:c r="K106" s="159" t="str">
        <x:v>Verified — ordered</x:v>
      </x:c>
      <x:c r="L106" s="159" t="str">
        <x:v>Ordered token coverage on the cited PDF page is 100.0%.</x:v>
      </x:c>
      <x:c r="M106" s="159" t="str">
        <x:v>Supports</x:v>
      </x:c>
      <x:c r="N106" s="159" t="str">
        <x:v>Part of action</x:v>
      </x:c>
      <x:c r="O106" s="159" t="str">
        <x:v>No</x:v>
      </x:c>
      <x:c r="P106" s="159" t="str">
        <x:v>Investment in agrarian and environmental management policies | Harvest guarantee program | PRONAF coverage | Proagro coverage plus | PSR coverage | Federal investment per capita | Scope of the family allowance program | Households with high per capita income</x:v>
      </x:c>
      <x:c r="Q106" s="159" t="str">
        <x:v>Supportive public policies will enhance effectiveness and/or feasibility of adaptation in ecosystem provisioning services (medium confidence). Policies that support system transitions include shifting subsidies, removing perverse incentives, regulation and certification, green public procurement, investment in sustainable value chains, support for capacity-building, access to insurance premiums, payments for ecosystem services, and social protection, among others (medium confidence).</x:v>
      </x:c>
      <x:c r="R106" s="159" t="str"/>
      <x:c r="S106" s="160" t="str">
        <x:v>Medium</x:v>
      </x:c>
    </x:row>
    <x:row r="107" ht="90" customHeight="1">
      <x:c r="A107" s="165" t="str">
        <x:v>icare_0160</x:v>
      </x:c>
      <x:c r="B107" s="159" t="str">
        <x:v>Establish mechanisms for intersectoral coordination and public participation in climate policy</x:v>
      </x:c>
      <x:c r="C107" s="159" t="str">
        <x:v>Food security</x:v>
      </x:c>
      <x:c r="D107" s="159" t="str">
        <x:v>Vulnerability</x:v>
      </x:c>
      <x:c r="E107" s="153" t="str"/>
      <x:c r="F107" s="153" t="str"/>
      <x:c r="G107" s="159" t="str">
        <x:v>Climate Change 2022: Impacts, Adaptation and Vulnerability (AR6 WGII), Chapter 5: Food, Fibre and Other Ecosystem Products</x:v>
      </x:c>
      <x:c r="H107" s="159" t="str">
        <x:v>https://www.ipcc.ch/report/ar6/wg2/downloads/report/IPCC_AR6_WGII_Chapter05.pdf</x:v>
      </x:c>
      <x:c r="I107" s="168" t="n">
        <x:v>7</x:v>
      </x:c>
      <x:c r="J107" s="159" t="str">
        <x:v>719</x:v>
      </x:c>
      <x:c r="K107" s="159" t="str">
        <x:v>Verified — ordered</x:v>
      </x:c>
      <x:c r="L107" s="159" t="str">
        <x:v>Ordered token coverage on the cited PDF page is 100.0%.</x:v>
      </x:c>
      <x:c r="M107" s="159" t="str">
        <x:v>Supports</x:v>
      </x:c>
      <x:c r="N107" s="159" t="str">
        <x:v>Part of action</x:v>
      </x:c>
      <x:c r="O107" s="159" t="str">
        <x:v>No</x:v>
      </x:c>
      <x:c r="P107" s="159" t="str">
        <x:v>Investment in agrarian and environmental management policies | Associativism | Federal investment per capita | Food safety instruments</x:v>
      </x:c>
      <x:c r="Q107" s="159" t="str">
        <x:v>Supportive public policies will enhance effectiveness and/or feasibility of adaptation in ecosystem provisioning services (medium confidence). Policies that support system transitions include shifting subsidies, removing perverse incentives, regulation and certification, green public procurement, investment in sustainable value chains, support for capacity-building, access to insurance premiums, payments for ecosystem services, and social protection, among others (medium confidence).</x:v>
      </x:c>
      <x:c r="R107" s="159" t="str"/>
      <x:c r="S107" s="160" t="str">
        <x:v>Low</x:v>
      </x:c>
    </x:row>
    <x:row r="108" ht="90" customHeight="1">
      <x:c r="A108" s="165" t="str">
        <x:v>ipcc_0090</x:v>
      </x:c>
      <x:c r="B108" s="159" t="str">
        <x:v>Expand climate risk insurance coverage</x:v>
      </x:c>
      <x:c r="C108" s="159" t="str">
        <x:v>Food security</x:v>
      </x:c>
      <x:c r="D108" s="159" t="str">
        <x:v>Vulnerability</x:v>
      </x:c>
      <x:c r="E108" s="153" t="str"/>
      <x:c r="F108" s="153" t="str"/>
      <x:c r="G108" s="159" t="str">
        <x:v>Climate Change 2022: Impacts, Adaptation and Vulnerability (AR6 WGII), Chapter 5: Food, Fibre and Other Ecosystem Products</x:v>
      </x:c>
      <x:c r="H108" s="159" t="str">
        <x:v>https://www.ipcc.ch/report/ar6/wg2/downloads/report/IPCC_AR6_WGII_Chapter05.pdf</x:v>
      </x:c>
      <x:c r="I108" s="168" t="n">
        <x:v>7</x:v>
      </x:c>
      <x:c r="J108" s="159" t="str">
        <x:v>719</x:v>
      </x:c>
      <x:c r="K108" s="159" t="str">
        <x:v>Verified — ordered</x:v>
      </x:c>
      <x:c r="L108" s="159" t="str">
        <x:v>Ordered token coverage on the cited PDF page is 100.0%.</x:v>
      </x:c>
      <x:c r="M108" s="159" t="str">
        <x:v>Supports</x:v>
      </x:c>
      <x:c r="N108" s="159" t="str">
        <x:v>Part of action</x:v>
      </x:c>
      <x:c r="O108" s="159" t="str">
        <x:v>No</x:v>
      </x:c>
      <x:c r="P108" s="159" t="str">
        <x:v>Harvest guarantee program | PRONAF coverage | Proagro coverage plus | PSR coverage | Food safety instruments | Scope of the family allowance program | Households with high per capita income</x:v>
      </x:c>
      <x:c r="Q108" s="159" t="str">
        <x:v>Supportive public policies will enhance effectiveness and/or feasibility of adaptation in ecosystem provisioning services (medium confidence). Policies that support system transitions include shifting subsidies, removing perverse incentives, regulation and certification, green public procurement, investment in sustainable value chains, support for capacity-building, access to insurance premiums, payments for ecosystem services, and social protection, among others (medium confidence).</x:v>
      </x:c>
      <x:c r="R108" s="159" t="str"/>
      <x:c r="S108" s="160" t="str">
        <x:v>Medium</x:v>
      </x:c>
    </x:row>
    <x:row r="109" ht="90" customHeight="1">
      <x:c r="A109" s="165" t="str">
        <x:v>ipcc_0092</x:v>
      </x:c>
      <x:c r="B109" s="159" t="str">
        <x:v>Expand climate‑responsive social safety nets</x:v>
      </x:c>
      <x:c r="C109" s="159" t="str">
        <x:v>Food security</x:v>
      </x:c>
      <x:c r="D109" s="159" t="str">
        <x:v>Vulnerability</x:v>
      </x:c>
      <x:c r="E109" s="153" t="str"/>
      <x:c r="F109" s="153" t="str"/>
      <x:c r="G109" s="159" t="str">
        <x:v>Climate Change 2022: Impacts, Adaptation and Vulnerability (AR6 WGII), Chapter 5: Food, Fibre and Other Ecosystem Products</x:v>
      </x:c>
      <x:c r="H109" s="159" t="str">
        <x:v>https://www.ipcc.ch/report/ar6/wg2/downloads/report/IPCC_AR6_WGII_Chapter05.pdf</x:v>
      </x:c>
      <x:c r="I109" s="168" t="n">
        <x:v>7</x:v>
      </x:c>
      <x:c r="J109" s="159" t="str">
        <x:v>719</x:v>
      </x:c>
      <x:c r="K109" s="159" t="str">
        <x:v>Verified — ordered</x:v>
      </x:c>
      <x:c r="L109" s="159" t="str">
        <x:v>Ordered token coverage on the cited PDF page is 100.0%.</x:v>
      </x:c>
      <x:c r="M109" s="159" t="str">
        <x:v>Supports</x:v>
      </x:c>
      <x:c r="N109" s="159" t="str">
        <x:v>Part of action</x:v>
      </x:c>
      <x:c r="O109" s="159" t="str">
        <x:v>No</x:v>
      </x:c>
      <x:c r="P109" s="159" t="str">
        <x:v>Federal investment per capita | Food safety instruments | Scope of the family allowance program | Households with high per capita income</x:v>
      </x:c>
      <x:c r="Q109" s="159" t="str">
        <x:v>Supportive public policies will enhance effectiveness and/or feasibility of adaptation in ecosystem provisioning services (medium confidence). Policies that support system transitions include shifting subsidies, removing perverse incentives, regulation and certification, green public procurement, investment in sustainable value chains, support for capacity-building, access to insurance premiums, payments for ecosystem services, and social protection, among others (medium confidence).</x:v>
      </x:c>
      <x:c r="R109" s="159" t="str"/>
      <x:c r="S109" s="160" t="str">
        <x:v>High</x:v>
      </x:c>
    </x:row>
    <x:row r="110" ht="90" customHeight="1">
      <x:c r="A110" s="165" t="str">
        <x:v>ipcc_0092</x:v>
      </x:c>
      <x:c r="B110" s="159" t="str">
        <x:v>Expand climate‑responsive social safety nets</x:v>
      </x:c>
      <x:c r="C110" s="159" t="str">
        <x:v>Food security</x:v>
      </x:c>
      <x:c r="D110" s="159" t="str">
        <x:v>Vulnerability</x:v>
      </x:c>
      <x:c r="E110" s="153" t="str"/>
      <x:c r="F110" s="153" t="str"/>
      <x:c r="G110" s="159" t="str">
        <x:v>Climate Change 2022: Impacts, Adaptation and Vulnerability (AR6 WGII), Chapter 5: Food, Fibre and Other Ecosystem Products</x:v>
      </x:c>
      <x:c r="H110" s="159" t="str">
        <x:v>https://www.ipcc.ch/report/ar6/wg2/downloads/report/IPCC_AR6_WGII_Chapter05.pdf</x:v>
      </x:c>
      <x:c r="I110" s="168" t="n">
        <x:v>89</x:v>
      </x:c>
      <x:c r="J110" s="159" t="str">
        <x:v>801</x:v>
      </x:c>
      <x:c r="K110" s="159" t="str">
        <x:v>Verified — ordered</x:v>
      </x:c>
      <x:c r="L110" s="159" t="str">
        <x:v>Ordered token coverage on the cited PDF page is 100.0%.</x:v>
      </x:c>
      <x:c r="M110" s="159" t="str">
        <x:v>Supports</x:v>
      </x:c>
      <x:c r="N110" s="159" t="str">
        <x:v>Whole action</x:v>
      </x:c>
      <x:c r="O110" s="159" t="str">
        <x:v>No</x:v>
      </x:c>
      <x:c r="P110" s="159" t="str">
        <x:v>Food and nutritional insecurity | Child malnutrition | Federal investment per capita | Food safety instruments | National school feeding program (PNAE) | Food Acquisition Program (PAA) | Scope of the family allowance program | Equality in intra-household income distribution | Households with high per capita income</x:v>
      </x:c>
      <x:c r="Q110" s="159" t="str">
        <x:v>Integrated multi-sectoral strategies that incorporate social protection are effective adaptation responses (high confidence). Social protection programmes, such as cash transfers, weather index insurance and asset-building activities such as well construction, can support short-term responses to acute food insecurity in response to extreme events but can also build adaptive capacity longer term.</x:v>
      </x:c>
      <x:c r="R110" s="159" t="str"/>
      <x:c r="S110" s="160" t="str">
        <x:v>High</x:v>
      </x:c>
    </x:row>
    <x:row r="111" ht="90" customHeight="1">
      <x:c r="A111" s="165" t="str">
        <x:v>ipcc_0086</x:v>
      </x:c>
      <x:c r="B111" s="159" t="str">
        <x:v>Implement ecosystem‑based adaptation measures</x:v>
      </x:c>
      <x:c r="C111" s="159" t="str">
        <x:v>Food security</x:v>
      </x:c>
      <x:c r="D111" s="159" t="str">
        <x:v>Vulnerability</x:v>
      </x:c>
      <x:c r="E111" s="153" t="str"/>
      <x:c r="F111" s="153" t="str"/>
      <x:c r="G111" s="159" t="str">
        <x:v>Future of Food: Shaping a Climate-Smart Global Food System</x:v>
      </x:c>
      <x:c r="H111" s="159" t="str">
        <x:v>https://documents1.worldbank.org/curated/en/645981468189237140/pdf/100046-WP-PUBLIC-dislcose-7am-10-8-15-Box393216B.pdf</x:v>
      </x:c>
      <x:c r="I111" s="168" t="n">
        <x:v>14</x:v>
      </x:c>
      <x:c r="J111" s="159" t="str">
        <x:v>12</x:v>
      </x:c>
      <x:c r="K111" s="159" t="str">
        <x:v>Verified — ordered</x:v>
      </x:c>
      <x:c r="L111" s="159" t="str">
        <x:v>Ordered token coverage on the cited PDF page is 98.9%.</x:v>
      </x:c>
      <x:c r="M111" s="159" t="str">
        <x:v>Supports</x:v>
      </x:c>
      <x:c r="N111" s="159" t="str">
        <x:v>Part of action</x:v>
      </x:c>
      <x:c r="O111" s="159" t="str">
        <x:v>No</x:v>
      </x:c>
      <x:c r="P111" s="159" t="str">
        <x:v>Susceptibility of agricultural productivity | Irrigation susceptibility | Agriculture and water availability | Agricultural areas with low agricultural potential | Agricultural areas with soil susceptible to erosion | Water deficit | Vegetation cover losses</x:v>
      </x:c>
      <x:c r="Q111" s="159" t="str">
        <x:v>In Himachal Pradesh state, improved management of the Mid-Himalayan watershed as part of a national watershed management program has given farmers US$8 million in carbon credits from the Prototype Carbon Fund. To date, up to 10,000 hectares of nonarable agricultural wastelands have been restored and degraded forests have been afforested. On arable lands, more than 10,000 water harvesting structures have been built, expanding irrigation potential by nearly 9,000 hectares benefiting some 54,000 rural households (24 percent of which are vulnerable households) increasing their resilience to drought.</x:v>
      </x:c>
      <x:c r="R111" s="159" t="str">
        <x:v>10,000 ha restored/afforested; 10,000+ water-harvesting structures; nearly 9,000 ha additional irrigation potential</x:v>
      </x:c>
      <x:c r="S111" s="160" t="str">
        <x:v>Low</x:v>
      </x:c>
    </x:row>
    <x:row r="112" ht="90" customHeight="1">
      <x:c r="A112" s="165" t="str">
        <x:v>icare_0183</x:v>
      </x:c>
      <x:c r="B112" s="159" t="str">
        <x:v>Implement Multi-hazard Early Warning Systems (MH-EWS)</x:v>
      </x:c>
      <x:c r="C112" s="159" t="str">
        <x:v>Food security</x:v>
      </x:c>
      <x:c r="D112" s="159" t="str">
        <x:v>Vulnerability</x:v>
      </x:c>
      <x:c r="E112" s="153" t="str"/>
      <x:c r="F112" s="153" t="str"/>
      <x:c r="G112" s="159" t="str">
        <x:v>Estratégia de Adaptação à Mudança do Clima para a Agropecuária Brasileira</x:v>
      </x:c>
      <x:c r="H112" s="159" t="str">
        <x:v>https://repositorio-dspace.agricultura.gov.br/bitstream/1/2120/4/PORTUGU%C3%8AS_NAP-Brazil-adaptation-report-pt-July03.pdf</x:v>
      </x:c>
      <x:c r="I112" s="168" t="n">
        <x:v>13</x:v>
      </x:c>
      <x:c r="J112" s="159" t="str">
        <x:v>4</x:v>
      </x:c>
      <x:c r="K112" s="159" t="str">
        <x:v>Verified — exact</x:v>
      </x:c>
      <x:c r="L112" s="159" t="str">
        <x:v>Normalized quote occurs on the cited PDF page.</x:v>
      </x:c>
      <x:c r="M112" s="159" t="str">
        <x:v>Supports</x:v>
      </x:c>
      <x:c r="N112" s="159" t="str">
        <x:v>Whole action</x:v>
      </x:c>
      <x:c r="O112" s="159" t="str">
        <x:v>No</x:v>
      </x:c>
      <x:c r="P112" s="159" t="str">
        <x:v>Susceptibility of agricultural productivity | Susceptibility of livestock productivity | Irrigation susceptibility | Fire hotspots | Agriculture and water availability | Water deficit</x:v>
      </x:c>
      <x:c r="Q112" s="159" t="str">
        <x:v>Previsão Climática e Zoneamento Territorial (PZ): ferramentas importantes pois possibilitam a construção de cenários preditivos e exploratórios sobre os efeitos da mudança do clima na agricultura e minimizam os riscos climáticos. Além de permitir compreender a favorabilidade climática para as áreas de produção de determinadas culturas considerando clima, solo (textura) e ciclo da cultivar, evitando os riscos.</x:v>
      </x:c>
      <x:c r="R112" s="159" t="str"/>
      <x:c r="S112" s="160" t="str">
        <x:v>Medium</x:v>
      </x:c>
    </x:row>
    <x:row r="113" ht="90" customHeight="1">
      <x:c r="A113" s="165" t="str">
        <x:v>ipcc_0100</x:v>
      </x:c>
      <x:c r="B113" s="159" t="str">
        <x:v>Improve Efficient water use/demand</x:v>
      </x:c>
      <x:c r="C113" s="159" t="str">
        <x:v>Food security</x:v>
      </x:c>
      <x:c r="D113" s="159" t="str">
        <x:v>Vulnerability</x:v>
      </x:c>
      <x:c r="E113" s="153" t="str"/>
      <x:c r="F113" s="153" t="str"/>
      <x:c r="G113" s="159" t="str">
        <x:v>Future of Food: Shaping a Climate-Smart Global Food System</x:v>
      </x:c>
      <x:c r="H113" s="159" t="str">
        <x:v>https://documents1.worldbank.org/curated/en/645981468189237140/pdf/100046-WP-PUBLIC-dislcose-7am-10-8-15-Box393216B.pdf</x:v>
      </x:c>
      <x:c r="I113" s="168" t="n">
        <x:v>14</x:v>
      </x:c>
      <x:c r="J113" s="159" t="str">
        <x:v>12</x:v>
      </x:c>
      <x:c r="K113" s="159" t="str">
        <x:v>Verified — ordered</x:v>
      </x:c>
      <x:c r="L113" s="159" t="str">
        <x:v>Ordered token coverage on the cited PDF page is 95.3%.</x:v>
      </x:c>
      <x:c r="M113" s="159" t="str">
        <x:v>Supports</x:v>
      </x:c>
      <x:c r="N113" s="159" t="str">
        <x:v>Whole action</x:v>
      </x:c>
      <x:c r="O113" s="159" t="str">
        <x:v>No</x:v>
      </x:c>
      <x:c r="P113" s="159" t="str">
        <x:v>Irrigation susceptibility | Agriculture and water availability | Water deficit | Technical guidance | Direct source water shortage</x:v>
      </x:c>
      <x:c r="Q113" s="159" t="str">
        <x:v>Switching from flood irrigation to alternative wetting and drying of plots has reduced input costs by 20 percent, raised productivity by 5–10 percent, and significantly cut methane emissions and water use. Science, technology, outreach, training, and extension services for farmers and cooperatives through Farmer Field Schools; increased availability of certified seed; and better irrigation management techniques helped deliver the technology at large scale.</x:v>
      </x:c>
      <x:c r="R113" s="159" t="str">
        <x:v>20% lower input costs; 5–10% higher productivity; reduced water use</x:v>
      </x:c>
      <x:c r="S113" s="160" t="str">
        <x:v>Medium</x:v>
      </x:c>
    </x:row>
    <x:row r="114" ht="90" customHeight="1">
      <x:c r="A114" s="165" t="str">
        <x:v>icare_0164</x:v>
      </x:c>
      <x:c r="B114" s="159" t="str">
        <x:v>Improve Hydrological Monitoring System with Telemetry Stations</x:v>
      </x:c>
      <x:c r="C114" s="159" t="str">
        <x:v>Food security</x:v>
      </x:c>
      <x:c r="D114" s="159" t="str">
        <x:v>Vulnerability</x:v>
      </x:c>
      <x:c r="E114" s="153" t="str"/>
      <x:c r="F114" s="153" t="str"/>
      <x:c r="G114" s="159" t="str">
        <x:v>Estratégia de Adaptação à Mudança do Clima para a Agropecuária Brasileira</x:v>
      </x:c>
      <x:c r="H114" s="159" t="str">
        <x:v>https://repositorio-dspace.agricultura.gov.br/bitstream/1/2120/4/PORTUGU%C3%8AS_NAP-Brazil-adaptation-report-pt-July03.pdf</x:v>
      </x:c>
      <x:c r="I114" s="168" t="n">
        <x:v>13</x:v>
      </x:c>
      <x:c r="J114" s="159" t="str">
        <x:v>4</x:v>
      </x:c>
      <x:c r="K114" s="159" t="str">
        <x:v>Verified — exact</x:v>
      </x:c>
      <x:c r="L114" s="159" t="str">
        <x:v>Normalized quote occurs on the cited PDF page.</x:v>
      </x:c>
      <x:c r="M114" s="159" t="str">
        <x:v>Supports</x:v>
      </x:c>
      <x:c r="N114" s="159" t="str">
        <x:v>Whole action</x:v>
      </x:c>
      <x:c r="O114" s="159" t="str">
        <x:v>No</x:v>
      </x:c>
      <x:c r="P114" s="159" t="str">
        <x:v>Irrigation susceptibility | Agriculture and water availability | Water deficit</x:v>
      </x:c>
      <x:c r="Q114" s="159" t="str">
        <x:v>Previsão Climática e Zoneamento Territorial (PZ): ferramentas importantes pois possibilitam a construção de cenários preditivos e exploratórios sobre os efeitos da mudança do clima na agricultura e minimizam os riscos climáticos. Além de permitir compreender a favorabilidade climática para as áreas de produção de determinadas culturas considerando clima, solo (textura) e ciclo da cultivar, evitando os riscos.</x:v>
      </x:c>
      <x:c r="R114" s="159" t="str"/>
      <x:c r="S114" s="160" t="str">
        <x:v>Medium</x:v>
      </x:c>
    </x:row>
    <x:row r="115" ht="90" customHeight="1">
      <x:c r="A115" s="165" t="str">
        <x:v>icare_0156</x:v>
      </x:c>
      <x:c r="B115" s="159" t="str">
        <x:v>Improve Implementation of urban gardens</x:v>
      </x:c>
      <x:c r="C115" s="159" t="str">
        <x:v>Food security</x:v>
      </x:c>
      <x:c r="D115" s="159" t="str">
        <x:v>Vulnerability</x:v>
      </x:c>
      <x:c r="E115" s="153" t="str"/>
      <x:c r="F115" s="153" t="str"/>
      <x:c r="G115" s="159" t="str">
        <x:v>Climate Change 2022: Impacts, Adaptation and Vulnerability (AR6 WGII), Chapter 5: Food, Fibre and Other Ecosystem Products</x:v>
      </x:c>
      <x:c r="H115" s="159" t="str">
        <x:v>https://www.ipcc.ch/report/ar6/wg2/downloads/report/IPCC_AR6_WGII_Chapter05.pdf</x:v>
      </x:c>
      <x:c r="I115" s="168" t="n">
        <x:v>33</x:v>
      </x:c>
      <x:c r="J115" s="159" t="str">
        <x:v>745</x:v>
      </x:c>
      <x:c r="K115" s="159" t="str">
        <x:v>Verified — ordered</x:v>
      </x:c>
      <x:c r="L115" s="159" t="str">
        <x:v>Ordered token coverage on the cited PDF page is 100.0%.</x:v>
      </x:c>
      <x:c r="M115" s="159" t="str">
        <x:v>Supports</x:v>
      </x:c>
      <x:c r="N115" s="159" t="str">
        <x:v>Part of action</x:v>
      </x:c>
      <x:c r="O115" s="159" t="str">
        <x:v>No</x:v>
      </x:c>
      <x:c r="P115" s="159" t="str">
        <x:v>Susceptibility of agricultural productivity | Homogeneity of agricultural production | Agricultural areas with low agricultural potential | Technical guidance</x:v>
      </x:c>
      <x:c r="Q115" s="159" t="str">
        <x:v>Crop diversification reduces cereal crop sensitivity to precipitation variability, yield losses and crop insurance payouts under drought (high confidence). For example, a study in Canada comparing diversified rotations and monoculture corn found significant positive yield impacts, yield stability and increased SOC under both RCP4.5 and RCP8.5 by 2100.</x:v>
      </x:c>
      <x:c r="R115" s="159" t="str"/>
      <x:c r="S115" s="160" t="str">
        <x:v>Low</x:v>
      </x:c>
    </x:row>
    <x:row r="116" ht="90" customHeight="1">
      <x:c r="A116" s="165" t="str">
        <x:v>icare_0171</x:v>
      </x:c>
      <x:c r="B116" s="159" t="str">
        <x:v>Improve the hydrometeorological forecasting, monitoring, and alert system for climate risks</x:v>
      </x:c>
      <x:c r="C116" s="159" t="str">
        <x:v>Food security</x:v>
      </x:c>
      <x:c r="D116" s="159" t="str">
        <x:v>Vulnerability</x:v>
      </x:c>
      <x:c r="E116" s="153" t="str"/>
      <x:c r="F116" s="153" t="str"/>
      <x:c r="G116" s="159" t="str">
        <x:v>Estratégia de Adaptação à Mudança do Clima para a Agropecuária Brasileira</x:v>
      </x:c>
      <x:c r="H116" s="159" t="str">
        <x:v>https://repositorio-dspace.agricultura.gov.br/bitstream/1/2120/4/PORTUGU%C3%8AS_NAP-Brazil-adaptation-report-pt-July03.pdf</x:v>
      </x:c>
      <x:c r="I116" s="168" t="n">
        <x:v>13</x:v>
      </x:c>
      <x:c r="J116" s="159" t="str">
        <x:v>4</x:v>
      </x:c>
      <x:c r="K116" s="159" t="str">
        <x:v>Verified — exact</x:v>
      </x:c>
      <x:c r="L116" s="159" t="str">
        <x:v>Normalized quote occurs on the cited PDF page.</x:v>
      </x:c>
      <x:c r="M116" s="159" t="str">
        <x:v>Supports</x:v>
      </x:c>
      <x:c r="N116" s="159" t="str">
        <x:v>Whole action</x:v>
      </x:c>
      <x:c r="O116" s="159" t="str">
        <x:v>No</x:v>
      </x:c>
      <x:c r="P116" s="159" t="str">
        <x:v>Susceptibility of agricultural productivity | Susceptibility of livestock productivity | Irrigation susceptibility | Fire hotspots | Agriculture and water availability | Water deficit</x:v>
      </x:c>
      <x:c r="Q116" s="159" t="str">
        <x:v>Previsão Climática e Zoneamento Territorial (PZ): ferramentas importantes pois possibilitam a construção de cenários preditivos e exploratórios sobre os efeitos da mudança do clima na agricultura e minimizam os riscos climáticos. Além de permitir compreender a favorabilidade climática para as áreas de produção de determinadas culturas considerando clima, solo (textura) e ciclo da cultivar, evitando os riscos.</x:v>
      </x:c>
      <x:c r="R116" s="159" t="str"/>
      <x:c r="S116" s="160" t="str">
        <x:v>Medium</x:v>
      </x:c>
    </x:row>
    <x:row r="117" ht="90" customHeight="1">
      <x:c r="A117" s="165" t="str">
        <x:v>ipcc_0101</x:v>
      </x:c>
      <x:c r="B117" s="159" t="str">
        <x:v>Improve urban water management</x:v>
      </x:c>
      <x:c r="C117" s="159" t="str">
        <x:v>Food security</x:v>
      </x:c>
      <x:c r="D117" s="159" t="str">
        <x:v>Vulnerability</x:v>
      </x:c>
      <x:c r="E117" s="153" t="str"/>
      <x:c r="F117" s="153" t="str"/>
      <x:c r="G117" s="159" t="str">
        <x:v>Future of Food: Shaping a Climate-Smart Global Food System</x:v>
      </x:c>
      <x:c r="H117" s="159" t="str">
        <x:v>https://documents1.worldbank.org/curated/en/645981468189237140/pdf/100046-WP-PUBLIC-dislcose-7am-10-8-15-Box393216B.pdf</x:v>
      </x:c>
      <x:c r="I117" s="168" t="n">
        <x:v>14</x:v>
      </x:c>
      <x:c r="J117" s="159" t="str">
        <x:v>12</x:v>
      </x:c>
      <x:c r="K117" s="159" t="str">
        <x:v>Verified — ordered</x:v>
      </x:c>
      <x:c r="L117" s="159" t="str">
        <x:v>Ordered token coverage on the cited PDF page is 98.9%.</x:v>
      </x:c>
      <x:c r="M117" s="159" t="str">
        <x:v>Supports</x:v>
      </x:c>
      <x:c r="N117" s="159" t="str">
        <x:v>Part of action</x:v>
      </x:c>
      <x:c r="O117" s="159" t="str">
        <x:v>No</x:v>
      </x:c>
      <x:c r="P117" s="159" t="str">
        <x:v>Direct source water shortage | Compromised water quality | Cistern program service</x:v>
      </x:c>
      <x:c r="Q117" s="159" t="str">
        <x:v>In Himachal Pradesh state, improved management of the Mid-Himalayan watershed as part of a national watershed management program has given farmers US$8 million in carbon credits from the Prototype Carbon Fund. To date, up to 10,000 hectares of nonarable agricultural wastelands have been restored and degraded forests have been afforested. On arable lands, more than 10,000 water harvesting structures have been built, expanding irrigation potential by nearly 9,000 hectares benefiting some 54,000 rural households (24 percent of which are vulnerable households) increasing their resilience to drought.</x:v>
      </x:c>
      <x:c r="R117" s="159" t="str">
        <x:v>10,000 ha restored/afforested; 10,000+ water-harvesting structures; nearly 9,000 ha additional irrigation potential</x:v>
      </x:c>
      <x:c r="S117" s="160" t="str">
        <x:v>Low</x:v>
      </x:c>
    </x:row>
    <x:row r="118" ht="90" customHeight="1">
      <x:c r="A118" s="165" t="str">
        <x:v>c40_0056</x:v>
      </x:c>
      <x:c r="B118" s="159" t="str">
        <x:v>Improve Watershed Protection and Management</x:v>
      </x:c>
      <x:c r="C118" s="159" t="str">
        <x:v>Food security</x:v>
      </x:c>
      <x:c r="D118" s="159" t="str">
        <x:v>Vulnerability</x:v>
      </x:c>
      <x:c r="E118" s="153" t="str"/>
      <x:c r="F118" s="153" t="str"/>
      <x:c r="G118" s="159" t="str">
        <x:v>Future of Food: Shaping a Climate-Smart Global Food System</x:v>
      </x:c>
      <x:c r="H118" s="159" t="str">
        <x:v>https://documents1.worldbank.org/curated/en/645981468189237140/pdf/100046-WP-PUBLIC-dislcose-7am-10-8-15-Box393216B.pdf</x:v>
      </x:c>
      <x:c r="I118" s="168" t="n">
        <x:v>14</x:v>
      </x:c>
      <x:c r="J118" s="159" t="str">
        <x:v>12</x:v>
      </x:c>
      <x:c r="K118" s="159" t="str">
        <x:v>Verified — ordered</x:v>
      </x:c>
      <x:c r="L118" s="159" t="str">
        <x:v>Ordered token coverage on the cited PDF page is 98.9%.</x:v>
      </x:c>
      <x:c r="M118" s="159" t="str">
        <x:v>Supports</x:v>
      </x:c>
      <x:c r="N118" s="159" t="str">
        <x:v>Part of action</x:v>
      </x:c>
      <x:c r="O118" s="159" t="str">
        <x:v>No</x:v>
      </x:c>
      <x:c r="P118" s="159" t="str">
        <x:v>Agriculture and water availability | Agricultural areas with soil susceptible to erosion | Water deficit | Vegetation cover losses | Compromised water quality</x:v>
      </x:c>
      <x:c r="Q118" s="159" t="str">
        <x:v>In Himachal Pradesh state, improved management of the Mid-Himalayan watershed as part of a national watershed management program has given farmers US$8 million in carbon credits from the Prototype Carbon Fund. To date, up to 10,000 hectares of nonarable agricultural wastelands have been restored and degraded forests have been afforested. On arable lands, more than 10,000 water harvesting structures have been built, expanding irrigation potential by nearly 9,000 hectares benefiting some 54,000 rural households (24 percent of which are vulnerable households) increasing their resilience to drought.</x:v>
      </x:c>
      <x:c r="R118" s="159" t="str">
        <x:v>10,000 ha restored/afforested; 10,000+ water-harvesting structures; nearly 9,000 ha additional irrigation potential</x:v>
      </x:c>
      <x:c r="S118" s="160" t="str">
        <x:v>Low</x:v>
      </x:c>
    </x:row>
    <x:row r="119" ht="90" customHeight="1">
      <x:c r="A119" s="165" t="str">
        <x:v>ipcc_0098</x:v>
      </x:c>
      <x:c r="B119" s="159" t="str">
        <x:v>Increase resilience by improving access to food, improving livelihoods and promoting dietary shifts and food waste reduction</x:v>
      </x:c>
      <x:c r="C119" s="159" t="str">
        <x:v>Food security</x:v>
      </x:c>
      <x:c r="D119" s="159" t="str">
        <x:v>Vulnerability</x:v>
      </x:c>
      <x:c r="E119" s="153" t="str"/>
      <x:c r="F119" s="153" t="str"/>
      <x:c r="G119" s="159" t="str">
        <x:v>Future of Food: Shaping a Climate-Smart Global Food System</x:v>
      </x:c>
      <x:c r="H119" s="159" t="str">
        <x:v>https://documents1.worldbank.org/curated/en/645981468189237140/pdf/100046-WP-PUBLIC-dislcose-7am-10-8-15-Box393216B.pdf</x:v>
      </x:c>
      <x:c r="I119" s="168" t="n">
        <x:v>12</x:v>
      </x:c>
      <x:c r="J119" s="159" t="str">
        <x:v>10</x:v>
      </x:c>
      <x:c r="K119" s="159" t="str">
        <x:v>Verified — ordered</x:v>
      </x:c>
      <x:c r="L119" s="159" t="str">
        <x:v>Ordered token coverage on the cited PDF page is 97.2%.</x:v>
      </x:c>
      <x:c r="M119" s="159" t="str">
        <x:v>Supports</x:v>
      </x:c>
      <x:c r="N119" s="159" t="str">
        <x:v>Part of action</x:v>
      </x:c>
      <x:c r="O119" s="159" t="str">
        <x:v>No</x:v>
      </x:c>
      <x:c r="P119" s="159" t="str">
        <x:v>Storage capacity | Ultra-processed food commercial establishments | Municipalities without a basic food supply network | Food and nutritional insecurity | Overweight and obesity | Food safety instruments</x:v>
      </x:c>
      <x:c r="Q119" s="159" t="str">
        <x:v>Reducing food waste and food loss is key for boosting the CSA triple win by raising the overall food system productivity while delivering greater resilience and lower emissions by using less land, forests, and water resources.</x:v>
      </x:c>
      <x:c r="R119" s="159" t="str"/>
      <x:c r="S119" s="160" t="str">
        <x:v>Medium</x:v>
      </x:c>
    </x:row>
    <x:row r="120" ht="90" customHeight="1">
      <x:c r="A120" s="165" t="str">
        <x:v>ipcc_0098</x:v>
      </x:c>
      <x:c r="B120" s="159" t="str">
        <x:v>Increase resilience by improving access to food, improving livelihoods and promoting dietary shifts and food waste reduction</x:v>
      </x:c>
      <x:c r="C120" s="159" t="str">
        <x:v>Food security</x:v>
      </x:c>
      <x:c r="D120" s="159" t="str">
        <x:v>Vulnerability</x:v>
      </x:c>
      <x:c r="E120" s="153" t="str"/>
      <x:c r="F120" s="153" t="str"/>
      <x:c r="G120" s="159" t="str">
        <x:v>Climate Change 2022: Impacts, Adaptation and Vulnerability (AR6 WGII), Chapter 5: Food, Fibre and Other Ecosystem Products</x:v>
      </x:c>
      <x:c r="H120" s="159" t="str">
        <x:v>https://www.ipcc.ch/report/ar6/wg2/downloads/report/IPCC_AR6_WGII_Chapter05.pdf</x:v>
      </x:c>
      <x:c r="I120" s="168" t="n">
        <x:v>89</x:v>
      </x:c>
      <x:c r="J120" s="159" t="str">
        <x:v>801</x:v>
      </x:c>
      <x:c r="K120" s="159" t="str">
        <x:v>Verified — ordered</x:v>
      </x:c>
      <x:c r="L120" s="159" t="str">
        <x:v>Ordered token coverage on the cited PDF page is 100.0%.</x:v>
      </x:c>
      <x:c r="M120" s="159" t="str">
        <x:v>Supports</x:v>
      </x:c>
      <x:c r="N120" s="159" t="str">
        <x:v>Whole action</x:v>
      </x:c>
      <x:c r="O120" s="159" t="str">
        <x:v>No</x:v>
      </x:c>
      <x:c r="P120" s="159" t="str">
        <x:v>Food and nutritional insecurity | Child malnutrition | Food safety instruments | National school feeding program (PNAE) | Food Acquisition Program (PAA) | Scope of the family allowance program | Households with high per capita income</x:v>
      </x:c>
      <x:c r="Q120" s="159" t="str">
        <x:v>Integrated multi-sectoral strategies that incorporate social protection are effective adaptation responses (high confidence). Social protection programmes, such as cash transfers, weather index insurance and asset-building activities such as well construction, can support short-term responses to acute food insecurity in response to extreme events but can also build adaptive capacity longer term.</x:v>
      </x:c>
      <x:c r="R120" s="159" t="str"/>
      <x:c r="S120" s="160" t="str">
        <x:v>Medium</x:v>
      </x:c>
    </x:row>
    <x:row r="121" ht="90" customHeight="1">
      <x:c r="A121" s="165" t="str">
        <x:v>ipcc_0099</x:v>
      </x:c>
      <x:c r="B121" s="159" t="str">
        <x:v>Increase Water Capture and Storage</x:v>
      </x:c>
      <x:c r="C121" s="159" t="str">
        <x:v>Food security</x:v>
      </x:c>
      <x:c r="D121" s="159" t="str">
        <x:v>Vulnerability</x:v>
      </x:c>
      <x:c r="E121" s="153" t="str"/>
      <x:c r="F121" s="153" t="str"/>
      <x:c r="G121" s="159" t="str">
        <x:v>Future of Food: Shaping a Climate-Smart Global Food System</x:v>
      </x:c>
      <x:c r="H121" s="159" t="str">
        <x:v>https://documents1.worldbank.org/curated/en/645981468189237140/pdf/100046-WP-PUBLIC-dislcose-7am-10-8-15-Box393216B.pdf</x:v>
      </x:c>
      <x:c r="I121" s="168" t="n">
        <x:v>14</x:v>
      </x:c>
      <x:c r="J121" s="159" t="str">
        <x:v>12</x:v>
      </x:c>
      <x:c r="K121" s="159" t="str">
        <x:v>Verified — ordered</x:v>
      </x:c>
      <x:c r="L121" s="159" t="str">
        <x:v>Ordered token coverage on the cited PDF page is 98.9%.</x:v>
      </x:c>
      <x:c r="M121" s="159" t="str">
        <x:v>Supports</x:v>
      </x:c>
      <x:c r="N121" s="159" t="str">
        <x:v>Part of action</x:v>
      </x:c>
      <x:c r="O121" s="159" t="str">
        <x:v>No</x:v>
      </x:c>
      <x:c r="P121" s="159" t="str">
        <x:v>Irrigation susceptibility | Agriculture and water availability | Water deficit | cistern program | Cistern program service</x:v>
      </x:c>
      <x:c r="Q121" s="159" t="str">
        <x:v>In Himachal Pradesh state, improved management of the Mid-Himalayan watershed as part of a national watershed management program has given farmers US$8 million in carbon credits from the Prototype Carbon Fund. To date, up to 10,000 hectares of nonarable agricultural wastelands have been restored and degraded forests have been afforested. On arable lands, more than 10,000 water harvesting structures have been built, expanding irrigation potential by nearly 9,000 hectares benefiting some 54,000 rural households (24 percent of which are vulnerable households) increasing their resilience to drought.</x:v>
      </x:c>
      <x:c r="R121" s="159" t="str">
        <x:v>10,000 ha restored/afforested; 10,000+ water-harvesting structures; nearly 9,000 ha additional irrigation potential</x:v>
      </x:c>
      <x:c r="S121" s="160" t="str">
        <x:v>Low</x:v>
      </x:c>
    </x:row>
    <x:row r="122" ht="90" customHeight="1">
      <x:c r="A122" s="165" t="str">
        <x:v>c40_0053</x:v>
      </x:c>
      <x:c r="B122" s="159" t="str">
        <x:v>Promote water-saving technologies and practices</x:v>
      </x:c>
      <x:c r="C122" s="159" t="str">
        <x:v>Food security</x:v>
      </x:c>
      <x:c r="D122" s="159" t="str">
        <x:v>Vulnerability</x:v>
      </x:c>
      <x:c r="E122" s="153" t="str"/>
      <x:c r="F122" s="153" t="str"/>
      <x:c r="G122" s="159" t="str">
        <x:v>Future of Food: Shaping a Climate-Smart Global Food System</x:v>
      </x:c>
      <x:c r="H122" s="159" t="str">
        <x:v>https://documents1.worldbank.org/curated/en/645981468189237140/pdf/100046-WP-PUBLIC-dislcose-7am-10-8-15-Box393216B.pdf</x:v>
      </x:c>
      <x:c r="I122" s="168" t="n">
        <x:v>14</x:v>
      </x:c>
      <x:c r="J122" s="159" t="str">
        <x:v>12</x:v>
      </x:c>
      <x:c r="K122" s="159" t="str">
        <x:v>Verified — ordered</x:v>
      </x:c>
      <x:c r="L122" s="159" t="str">
        <x:v>Ordered token coverage on the cited PDF page is 95.3%.</x:v>
      </x:c>
      <x:c r="M122" s="159" t="str">
        <x:v>Supports</x:v>
      </x:c>
      <x:c r="N122" s="159" t="str">
        <x:v>Whole action</x:v>
      </x:c>
      <x:c r="O122" s="159" t="str">
        <x:v>No</x:v>
      </x:c>
      <x:c r="P122" s="159" t="str">
        <x:v>Irrigation susceptibility | Agriculture and water availability | Water deficit | Direct source water shortage</x:v>
      </x:c>
      <x:c r="Q122" s="159" t="str">
        <x:v>Switching from flood irrigation to alternative wetting and drying of plots has reduced input costs by 20 percent, raised productivity by 5–10 percent, and significantly cut methane emissions and water use. Science, technology, outreach, training, and extension services for farmers and cooperatives through Farmer Field Schools; increased availability of certified seed; and better irrigation management techniques helped deliver the technology at large scale.</x:v>
      </x:c>
      <x:c r="R122" s="159" t="str">
        <x:v>20% lower input costs; 5–10% higher productivity; reduced water use</x:v>
      </x:c>
      <x:c r="S122" s="160" t="str">
        <x:v>Medium</x:v>
      </x:c>
    </x:row>
    <x:row r="123" ht="90" customHeight="1">
      <x:c r="A123" s="165" t="str">
        <x:v>ipcc_0085</x:v>
      </x:c>
      <x:c r="B123" s="159" t="str">
        <x:v>Reduce pressures on ecosystems to build resilience</x:v>
      </x:c>
      <x:c r="C123" s="159" t="str">
        <x:v>Food security</x:v>
      </x:c>
      <x:c r="D123" s="159" t="str">
        <x:v>Vulnerability</x:v>
      </x:c>
      <x:c r="E123" s="153" t="str"/>
      <x:c r="F123" s="153" t="str"/>
      <x:c r="G123" s="159" t="str">
        <x:v>Future of Food: Shaping a Climate-Smart Global Food System</x:v>
      </x:c>
      <x:c r="H123" s="159" t="str">
        <x:v>https://documents1.worldbank.org/curated/en/645981468189237140/pdf/100046-WP-PUBLIC-dislcose-7am-10-8-15-Box393216B.pdf</x:v>
      </x:c>
      <x:c r="I123" s="168" t="n">
        <x:v>14</x:v>
      </x:c>
      <x:c r="J123" s="159" t="str">
        <x:v>12</x:v>
      </x:c>
      <x:c r="K123" s="159" t="str">
        <x:v>Verified — ordered</x:v>
      </x:c>
      <x:c r="L123" s="159" t="str">
        <x:v>Ordered token coverage on the cited PDF page is 98.9%.</x:v>
      </x:c>
      <x:c r="M123" s="159" t="str">
        <x:v>Supports</x:v>
      </x:c>
      <x:c r="N123" s="159" t="str">
        <x:v>Part of action</x:v>
      </x:c>
      <x:c r="O123" s="159" t="str">
        <x:v>No</x:v>
      </x:c>
      <x:c r="P123" s="159" t="str">
        <x:v>Vegetation cover losses | Compromised water quality</x:v>
      </x:c>
      <x:c r="Q123" s="159" t="str">
        <x:v>In Himachal Pradesh state, improved management of the Mid-Himalayan watershed as part of a national watershed management program has given farmers US$8 million in carbon credits from the Prototype Carbon Fund. To date, up to 10,000 hectares of nonarable agricultural wastelands have been restored and degraded forests have been afforested. On arable lands, more than 10,000 water harvesting structures have been built, expanding irrigation potential by nearly 9,000 hectares benefiting some 54,000 rural households (24 percent of which are vulnerable households) increasing their resilience to drought.</x:v>
      </x:c>
      <x:c r="R123" s="159" t="str">
        <x:v>10,000 ha restored/afforested; 10,000+ water-harvesting structures; nearly 9,000 ha additional irrigation potential</x:v>
      </x:c>
      <x:c r="S123" s="160" t="str">
        <x:v>Low</x:v>
      </x:c>
    </x:row>
    <x:row r="124" ht="90" customHeight="1">
      <x:c r="A124" s="165" t="str">
        <x:v>ipcc_0084</x:v>
      </x:c>
      <x:c r="B124" s="159" t="str">
        <x:v>Restore/create natural areas</x:v>
      </x:c>
      <x:c r="C124" s="159" t="str">
        <x:v>Food security</x:v>
      </x:c>
      <x:c r="D124" s="159" t="str">
        <x:v>Vulnerability</x:v>
      </x:c>
      <x:c r="E124" s="153" t="str"/>
      <x:c r="F124" s="153" t="str"/>
      <x:c r="G124" s="159" t="str">
        <x:v>Future of Food: Shaping a Climate-Smart Global Food System</x:v>
      </x:c>
      <x:c r="H124" s="159" t="str">
        <x:v>https://documents1.worldbank.org/curated/en/645981468189237140/pdf/100046-WP-PUBLIC-dislcose-7am-10-8-15-Box393216B.pdf</x:v>
      </x:c>
      <x:c r="I124" s="168" t="n">
        <x:v>14</x:v>
      </x:c>
      <x:c r="J124" s="159" t="str">
        <x:v>12</x:v>
      </x:c>
      <x:c r="K124" s="159" t="str">
        <x:v>Verified — ordered</x:v>
      </x:c>
      <x:c r="L124" s="159" t="str">
        <x:v>Ordered token coverage on the cited PDF page is 98.9%.</x:v>
      </x:c>
      <x:c r="M124" s="159" t="str">
        <x:v>Supports</x:v>
      </x:c>
      <x:c r="N124" s="159" t="str">
        <x:v>Part of action</x:v>
      </x:c>
      <x:c r="O124" s="159" t="str">
        <x:v>No</x:v>
      </x:c>
      <x:c r="P124" s="159" t="str">
        <x:v>Vegetation cover losses</x:v>
      </x:c>
      <x:c r="Q124" s="159" t="str">
        <x:v>In Himachal Pradesh state, improved management of the Mid-Himalayan watershed as part of a national watershed management program has given farmers US$8 million in carbon credits from the Prototype Carbon Fund. To date, up to 10,000 hectares of nonarable agricultural wastelands have been restored and degraded forests have been afforested. On arable lands, more than 10,000 water harvesting structures have been built, expanding irrigation potential by nearly 9,000 hectares benefiting some 54,000 rural households (24 percent of which are vulnerable households) increasing their resilience to drought.</x:v>
      </x:c>
      <x:c r="R124" s="159" t="str">
        <x:v>10,000 ha restored/afforested; 10,000+ water-harvesting structures; nearly 9,000 ha additional irrigation potential</x:v>
      </x:c>
      <x:c r="S124" s="160" t="str">
        <x:v>Low</x:v>
      </x:c>
    </x:row>
    <x:row r="125" ht="90" customHeight="1">
      <x:c r="A125" s="165" t="str">
        <x:v>ipcc_0096</x:v>
      </x:c>
      <x:c r="B125" s="159" t="str">
        <x:v>Strengthen climate resilience in farming and fisheries</x:v>
      </x:c>
      <x:c r="C125" s="159" t="str">
        <x:v>Food security</x:v>
      </x:c>
      <x:c r="D125" s="159" t="str">
        <x:v>Vulnerability</x:v>
      </x:c>
      <x:c r="E125" s="153" t="str"/>
      <x:c r="F125" s="153" t="str"/>
      <x:c r="G125" s="159" t="str">
        <x:v>Future of Food: Shaping a Climate-Smart Global Food System</x:v>
      </x:c>
      <x:c r="H125" s="159" t="str">
        <x:v>https://documents1.worldbank.org/curated/en/645981468189237140/pdf/100046-WP-PUBLIC-dislcose-7am-10-8-15-Box393216B.pdf</x:v>
      </x:c>
      <x:c r="I125" s="168" t="n">
        <x:v>14</x:v>
      </x:c>
      <x:c r="J125" s="159" t="str">
        <x:v>12</x:v>
      </x:c>
      <x:c r="K125" s="159" t="str">
        <x:v>Verified — ordered</x:v>
      </x:c>
      <x:c r="L125" s="159" t="str">
        <x:v>Ordered token coverage on the cited PDF page is 95.3%.</x:v>
      </x:c>
      <x:c r="M125" s="159" t="str">
        <x:v>Supports</x:v>
      </x:c>
      <x:c r="N125" s="159" t="str">
        <x:v>Whole action</x:v>
      </x:c>
      <x:c r="O125" s="159" t="str">
        <x:v>No</x:v>
      </x:c>
      <x:c r="P125" s="159" t="str">
        <x:v>Susceptibility of agricultural productivity | Irrigation susceptibility | Agriculture and water availability | Water deficit | Technical guidance</x:v>
      </x:c>
      <x:c r="Q125" s="159" t="str">
        <x:v>Switching from flood irrigation to alternative wetting and drying of plots has reduced input costs by 20 percent, raised productivity by 5–10 percent, and significantly cut methane emissions and water use. Science, technology, outreach, training, and extension services for farmers and cooperatives through Farmer Field Schools; increased availability of certified seed; and better irrigation management techniques helped deliver the technology at large scale.</x:v>
      </x:c>
      <x:c r="R125" s="159" t="str">
        <x:v>20% lower input costs; 5–10% higher productivity; reduced water use</x:v>
      </x:c>
      <x:c r="S125" s="160" t="str">
        <x:v>Medium</x:v>
      </x:c>
    </x:row>
    <x:row r="126" ht="90" customHeight="1">
      <x:c r="A126" s="165" t="str">
        <x:v>ipcc_0096</x:v>
      </x:c>
      <x:c r="B126" s="159" t="str">
        <x:v>Strengthen climate resilience in farming and fisheries</x:v>
      </x:c>
      <x:c r="C126" s="159" t="str">
        <x:v>Food security</x:v>
      </x:c>
      <x:c r="D126" s="159" t="str">
        <x:v>Vulnerability</x:v>
      </x:c>
      <x:c r="E126" s="153" t="str"/>
      <x:c r="F126" s="153" t="str"/>
      <x:c r="G126" s="159" t="str">
        <x:v>Climate Change 2022: Impacts, Adaptation and Vulnerability (AR6 WGII), Chapter 5: Food, Fibre and Other Ecosystem Products</x:v>
      </x:c>
      <x:c r="H126" s="159" t="str">
        <x:v>https://www.ipcc.ch/report/ar6/wg2/downloads/report/IPCC_AR6_WGII_Chapter05.pdf</x:v>
      </x:c>
      <x:c r="I126" s="168" t="n">
        <x:v>33</x:v>
      </x:c>
      <x:c r="J126" s="159" t="str">
        <x:v>745</x:v>
      </x:c>
      <x:c r="K126" s="159" t="str">
        <x:v>Verified — ordered</x:v>
      </x:c>
      <x:c r="L126" s="159" t="str">
        <x:v>Ordered token coverage on the cited PDF page is 100.0%.</x:v>
      </x:c>
      <x:c r="M126" s="159" t="str">
        <x:v>Supports</x:v>
      </x:c>
      <x:c r="N126" s="159" t="str">
        <x:v>Part of action</x:v>
      </x:c>
      <x:c r="O126" s="159" t="str">
        <x:v>No</x:v>
      </x:c>
      <x:c r="P126" s="159" t="str">
        <x:v>Susceptibility of agricultural productivity | Homogeneity of agricultural production | Agriculture and water availability | Agricultural areas with low agricultural potential | Agricultural areas with soil susceptible to erosion | Water deficit | Vegetation cover losses | Technical guidance</x:v>
      </x:c>
      <x:c r="Q126" s="159" t="str">
        <x:v>Crop diversification reduces cereal crop sensitivity to precipitation variability, yield losses and crop insurance payouts under drought (high confidence). For example, a study in Canada comparing diversified rotations and monoculture corn found significant positive yield impacts, yield stability and increased SOC under both RCP4.5 and RCP8.5 by 2100.</x:v>
      </x:c>
      <x:c r="R126" s="159" t="str"/>
      <x:c r="S126" s="160" t="str">
        <x:v>Medium</x:v>
      </x:c>
    </x:row>
    <x:row r="127" ht="90" customHeight="1">
      <x:c r="A127" s="165" t="str">
        <x:v>ipcc_0103</x:v>
      </x:c>
      <x:c r="B127" s="159" t="str">
        <x:v>Strengthen cooperative climate governance</x:v>
      </x:c>
      <x:c r="C127" s="159" t="str">
        <x:v>Food security</x:v>
      </x:c>
      <x:c r="D127" s="159" t="str">
        <x:v>Vulnerability</x:v>
      </x:c>
      <x:c r="E127" s="153" t="str"/>
      <x:c r="F127" s="153" t="str"/>
      <x:c r="G127" s="159" t="str">
        <x:v>Climate Change 2022: Impacts, Adaptation and Vulnerability (AR6 WGII), Chapter 5: Food, Fibre and Other Ecosystem Products</x:v>
      </x:c>
      <x:c r="H127" s="159" t="str">
        <x:v>https://www.ipcc.ch/report/ar6/wg2/downloads/report/IPCC_AR6_WGII_Chapter05.pdf</x:v>
      </x:c>
      <x:c r="I127" s="168" t="n">
        <x:v>7</x:v>
      </x:c>
      <x:c r="J127" s="159" t="str">
        <x:v>719</x:v>
      </x:c>
      <x:c r="K127" s="159" t="str">
        <x:v>Verified — ordered</x:v>
      </x:c>
      <x:c r="L127" s="159" t="str">
        <x:v>Ordered token coverage on the cited PDF page is 100.0%.</x:v>
      </x:c>
      <x:c r="M127" s="159" t="str">
        <x:v>Supports</x:v>
      </x:c>
      <x:c r="N127" s="159" t="str">
        <x:v>Part of action</x:v>
      </x:c>
      <x:c r="O127" s="159" t="str">
        <x:v>No</x:v>
      </x:c>
      <x:c r="P127" s="159" t="str">
        <x:v>Investment in agrarian and environmental management policies | Associativism | Federal investment per capita | Food safety instruments</x:v>
      </x:c>
      <x:c r="Q127" s="159" t="str">
        <x:v>Supportive public policies will enhance effectiveness and/or feasibility of adaptation in ecosystem provisioning services (medium confidence). Policies that support system transitions include shifting subsidies, removing perverse incentives, regulation and certification, green public procurement, investment in sustainable value chains, support for capacity-building, access to insurance premiums, payments for ecosystem services, and social protection, among others (medium confidence).</x:v>
      </x:c>
      <x:c r="R127" s="159" t="str"/>
      <x:c r="S127" s="160" t="str">
        <x:v>Low</x:v>
      </x:c>
    </x:row>
    <x:row r="128" ht="90" customHeight="1">
      <x:c r="A128" s="165" t="str">
        <x:v>ipcc_0091</x:v>
      </x:c>
      <x:c r="B128" s="159" t="str">
        <x:v>Support livelihood diversification for climate resilience</x:v>
      </x:c>
      <x:c r="C128" s="159" t="str">
        <x:v>Food security</x:v>
      </x:c>
      <x:c r="D128" s="159" t="str">
        <x:v>Vulnerability</x:v>
      </x:c>
      <x:c r="E128" s="153" t="str"/>
      <x:c r="F128" s="153" t="str"/>
      <x:c r="G128" s="159" t="str">
        <x:v>Future of Food: Shaping a Climate-Smart Global Food System</x:v>
      </x:c>
      <x:c r="H128" s="159" t="str">
        <x:v>https://documents1.worldbank.org/curated/en/645981468189237140/pdf/100046-WP-PUBLIC-dislcose-7am-10-8-15-Box393216B.pdf</x:v>
      </x:c>
      <x:c r="I128" s="168" t="n">
        <x:v>15</x:v>
      </x:c>
      <x:c r="J128" s="159" t="str">
        <x:v>13</x:v>
      </x:c>
      <x:c r="K128" s="159" t="str">
        <x:v>Verified — ordered</x:v>
      </x:c>
      <x:c r="L128" s="159" t="str">
        <x:v>Ordered token coverage on the cited PDF page is 100.0%.</x:v>
      </x:c>
      <x:c r="M128" s="159" t="str">
        <x:v>Supports</x:v>
      </x:c>
      <x:c r="N128" s="159" t="str">
        <x:v>Whole action</x:v>
      </x:c>
      <x:c r="O128" s="159" t="str">
        <x:v>No</x:v>
      </x:c>
      <x:c r="P128" s="159" t="str">
        <x:v>Diversity of revenues | Food and nutritional insecurity | Households with high per capita income</x:v>
      </x:c>
      <x:c r="Q128" s="159" t="str">
        <x:v>Intercropping promoted through this collaboration has helped to boost incomes and fight hunger in the coffee lands while delivering adaptation and mitigation benefits in part of Nicaragua and in Chiapas state, Mexico. Diversified production systems have helped boost the resilience of farmer incomes throughout the year, while fruit trees provide shade, boosting resilience to drought and heat, and absorb carbon.</x:v>
      </x:c>
      <x:c r="R128" s="159" t="str"/>
      <x:c r="S128" s="160" t="str">
        <x:v>Medium</x:v>
      </x:c>
    </x:row>
    <x:row r="129" ht="90" customHeight="1">
      <x:c r="A129" s="165" t="str">
        <x:v>ipcc_0097</x:v>
      </x:c>
      <x:c r="B129" s="159" t="str">
        <x:v>Upgrade food storage and distribution for climate resilience</x:v>
      </x:c>
      <x:c r="C129" s="159" t="str">
        <x:v>Food security</x:v>
      </x:c>
      <x:c r="D129" s="159" t="str">
        <x:v>Vulnerability</x:v>
      </x:c>
      <x:c r="E129" s="153" t="str"/>
      <x:c r="F129" s="153" t="str"/>
      <x:c r="G129" s="159" t="str">
        <x:v>Future of Food: Shaping a Climate-Smart Global Food System</x:v>
      </x:c>
      <x:c r="H129" s="159" t="str">
        <x:v>https://documents1.worldbank.org/curated/en/645981468189237140/pdf/100046-WP-PUBLIC-dislcose-7am-10-8-15-Box393216B.pdf</x:v>
      </x:c>
      <x:c r="I129" s="168" t="n">
        <x:v>12</x:v>
      </x:c>
      <x:c r="J129" s="159" t="str">
        <x:v>10</x:v>
      </x:c>
      <x:c r="K129" s="159" t="str">
        <x:v>Verified — ordered</x:v>
      </x:c>
      <x:c r="L129" s="159" t="str">
        <x:v>Ordered token coverage on the cited PDF page is 97.2%.</x:v>
      </x:c>
      <x:c r="M129" s="159" t="str">
        <x:v>Supports</x:v>
      </x:c>
      <x:c r="N129" s="159" t="str">
        <x:v>Part of action</x:v>
      </x:c>
      <x:c r="O129" s="159" t="str">
        <x:v>No</x:v>
      </x:c>
      <x:c r="P129" s="159" t="str">
        <x:v>Storage capacity | Distance from warehouses | Municipalities without a basic food supply network | Food and nutritional insecurity | Food safety instruments</x:v>
      </x:c>
      <x:c r="Q129" s="159" t="str">
        <x:v>Reducing food waste and food loss is key for boosting the CSA triple win by raising the overall food system productivity while delivering greater resilience and lower emissions by using less land, forests, and water resources.</x:v>
      </x:c>
      <x:c r="R129" s="159" t="str"/>
      <x:c r="S129" s="160" t="str">
        <x:v>Low</x:v>
      </x:c>
    </x:row>
    <x:row r="130" ht="90" customHeight="1">
      <x:c r="A130" s="165" t="str">
        <x:v>icare_0184</x:v>
      </x:c>
      <x:c r="B130" s="159" t="str">
        <x:v>Upgrade Slope stabilization and drainage</x:v>
      </x:c>
      <x:c r="C130" s="159" t="str">
        <x:v>Food security</x:v>
      </x:c>
      <x:c r="D130" s="159" t="str">
        <x:v>Vulnerability</x:v>
      </x:c>
      <x:c r="E130" s="153" t="str"/>
      <x:c r="F130" s="153" t="str"/>
      <x:c r="G130" s="159" t="str">
        <x:v>Future of Food: Shaping a Climate-Smart Global Food System</x:v>
      </x:c>
      <x:c r="H130" s="159" t="str">
        <x:v>https://documents1.worldbank.org/curated/en/645981468189237140/pdf/100046-WP-PUBLIC-dislcose-7am-10-8-15-Box393216B.pdf</x:v>
      </x:c>
      <x:c r="I130" s="168" t="n">
        <x:v>14</x:v>
      </x:c>
      <x:c r="J130" s="159" t="str">
        <x:v>12</x:v>
      </x:c>
      <x:c r="K130" s="159" t="str">
        <x:v>Verified — ordered</x:v>
      </x:c>
      <x:c r="L130" s="159" t="str">
        <x:v>Ordered token coverage on the cited PDF page is 98.9%.</x:v>
      </x:c>
      <x:c r="M130" s="159" t="str">
        <x:v>Supports</x:v>
      </x:c>
      <x:c r="N130" s="159" t="str">
        <x:v>Part of action</x:v>
      </x:c>
      <x:c r="O130" s="159" t="str">
        <x:v>No</x:v>
      </x:c>
      <x:c r="P130" s="159" t="str">
        <x:v>Agricultural areas with soil susceptible to erosion</x:v>
      </x:c>
      <x:c r="Q130" s="159" t="str">
        <x:v>In Himachal Pradesh state, improved management of the Mid-Himalayan watershed as part of a national watershed management program has given farmers US$8 million in carbon credits from the Prototype Carbon Fund. To date, up to 10,000 hectares of nonarable agricultural wastelands have been restored and degraded forests have been afforested. On arable lands, more than 10,000 water harvesting structures have been built, expanding irrigation potential by nearly 9,000 hectares benefiting some 54,000 rural households (24 percent of which are vulnerable households) increasing their resilience to drought.</x:v>
      </x:c>
      <x:c r="R130" s="159" t="str">
        <x:v>10,000 ha restored/afforested; 10,000+ water-harvesting structures; nearly 9,000 ha additional irrigation potential</x:v>
      </x:c>
      <x:c r="S130" s="160" t="str">
        <x:v>Low</x:v>
      </x:c>
    </x:row>
    <x:row r="131" ht="90" customHeight="1">
      <x:c r="A131" s="165" t="str">
        <x:v>c40_0049</x:v>
      </x:c>
      <x:c r="B131" s="159" t="str">
        <x:v>Build and maintain shelters for critical climate hazards</x:v>
      </x:c>
      <x:c r="C131" s="159" t="str">
        <x:v>Geohydrological disasters</x:v>
      </x:c>
      <x:c r="D131" s="159" t="str">
        <x:v>Vulnerability</x:v>
      </x:c>
      <x:c r="E131" s="153" t="str"/>
      <x:c r="F131" s="153" t="str"/>
      <x:c r="G131" s="159" t="str">
        <x:v>Making Cities Resilient 2030 (MCR2030): Initial Proposal</x:v>
      </x:c>
      <x:c r="H131" s="159" t="str">
        <x:v>https://mcr2030.undrr.org/sites/default/files/2021-04/MCR2030%20in%20English%20ver.2%20%2820210302%29.pdf?startDownload=true</x:v>
      </x:c>
      <x:c r="I131" s="168" t="n">
        <x:v>2</x:v>
      </x:c>
      <x:c r="J131" s="159" t="str">
        <x:v>2</x:v>
      </x:c>
      <x:c r="K131" s="159" t="str">
        <x:v>Verified — ordered</x:v>
      </x:c>
      <x:c r="L131" s="159" t="str">
        <x:v>Ordered token coverage on the cited PDF page is 100.0%.</x:v>
      </x:c>
      <x:c r="M131" s="159" t="str">
        <x:v>Supports</x:v>
      </x:c>
      <x:c r="N131" s="159" t="str">
        <x:v>Part of action</x:v>
      </x:c>
      <x:c r="O131" s="159" t="str">
        <x:v>No</x:v>
      </x:c>
      <x:c r="P131" s="159" t="str">
        <x:v>Actions to reduce risk | Actions to reduce risk</x:v>
      </x:c>
      <x:c r="Q131" s="159" t="str">
        <x:v>Strategic Objective 2. Strengthen cities' capacity to develop local strategies/plans to enhance resilience; by: improving their self-assessment and diagnostic skills; providing relevant training and tools for strategic planning to reduce disaster and climate risks and for risk-informed development. Strategic Objective 3. Support cities to implement local strategies/plans to enhance resilience; by: providing access to finance for supporting DRR, climate change adaptation and to implement resilience initiatives; improving the ability of local authorities to plan, design, build and manage resilient infrastructure; improving the capacity of local authorities to use nature-based solutions and seek innovative approach to address local resilience.</x:v>
      </x:c>
      <x:c r="R131" s="159" t="str"/>
      <x:c r="S131" s="160" t="str">
        <x:v>Low</x:v>
      </x:c>
    </x:row>
    <x:row r="132" ht="90" customHeight="1">
      <x:c r="A132" s="165" t="str">
        <x:v>icare_0170</x:v>
      </x:c>
      <x:c r="B132" s="159" t="str">
        <x:v>Build safe housing and implement urban rehabilitation projects for populations living in high-risk areas</x:v>
      </x:c>
      <x:c r="C132" s="159" t="str">
        <x:v>Geohydrological disasters</x:v>
      </x:c>
      <x:c r="D132" s="159" t="str">
        <x:v>Vulnerability</x:v>
      </x:c>
      <x:c r="E132" s="153" t="str"/>
      <x:c r="F132" s="153" t="str"/>
      <x:c r="G132" s="159" t="str">
        <x:v>Manual para Apresentação de Propostas para Sistemas de Drenagem Urbana Sustentável e de Manejo de Águas Pluviais</x:v>
      </x:c>
      <x:c r="H132" s="159" t="str">
        <x:v>https://www.gov.br/mdr/pt-br/assuntos/emendasparlamentares/acao_10SG_drenagem_urbana.pdf</x:v>
      </x:c>
      <x:c r="I132" s="168" t="n">
        <x:v>5</x:v>
      </x:c>
      <x:c r="J132" s="159" t="str">
        <x:v>5</x:v>
      </x:c>
      <x:c r="K132" s="159" t="str">
        <x:v>Verified — exact</x:v>
      </x:c>
      <x:c r="L132" s="159" t="str">
        <x:v>Normalized quote occurs on the cited PDF page.</x:v>
      </x:c>
      <x:c r="M132" s="159" t="str">
        <x:v>Supports</x:v>
      </x:c>
      <x:c r="N132" s="159" t="str">
        <x:v>Part of action</x:v>
      </x:c>
      <x:c r="O132" s="159" t="str">
        <x:v>No</x:v>
      </x:c>
      <x:c r="P132" s="159" t="str">
        <x:v>Urban occupation management in risk areas | Actions to reduce risk | Inappropriate households | Drainage | Urban occupation management in risk areas | Actions to reduce risk | Inappropriate households | Drainage</x:v>
      </x:c>
      <x:c r="Q132" s="159" t="str">
        <x:v>A ação de apoio a Sistemas de Drenagem Urbana Sustentável e de Manejo de Águas Pluviais do Programa Gestão de Riscos e Desastres objetiva apoiar a redução do risco de desastres naturais em municípios críticos a partir do planejamento e da execução de obras, em articulação com as políticas de desenvolvimento urbano, de uso e ocupação do solo e de gestão das respectivas bacias hidrográficas, com foco na gestão sustentável da drenagem urbana, por meio de ações estruturais e não-estruturais dirigidas à recuperação de áreas úmidas, à prevenção, ao controle e à minimização dos impactos provocados por alagamentos, enchentes e inundações urbanas e ribeirinhas.</x:v>
      </x:c>
      <x:c r="R132" s="159" t="str"/>
      <x:c r="S132" s="160" t="str">
        <x:v>Medium</x:v>
      </x:c>
    </x:row>
    <x:row r="133" ht="90" customHeight="1">
      <x:c r="A133" s="165" t="str">
        <x:v>icare_0170</x:v>
      </x:c>
      <x:c r="B133" s="159" t="str">
        <x:v>Build safe housing and implement urban rehabilitation projects for populations living in high-risk areas</x:v>
      </x:c>
      <x:c r="C133" s="159" t="str">
        <x:v>Geohydrological disasters</x:v>
      </x:c>
      <x:c r="D133" s="159" t="str">
        <x:v>Vulnerability</x:v>
      </x:c>
      <x:c r="E133" s="153" t="str"/>
      <x:c r="F133" s="153" t="str"/>
      <x:c r="G133" s="159" t="str">
        <x:v>Manual para Apresentação de Propostas para Sistemas de Drenagem Urbana Sustentável e de Manejo de Águas Pluviais</x:v>
      </x:c>
      <x:c r="H133" s="159" t="str">
        <x:v>https://www.gov.br/mdr/pt-br/assuntos/emendasparlamentares/acao_10SG_drenagem_urbana.pdf</x:v>
      </x:c>
      <x:c r="I133" s="168" t="n">
        <x:v>9</x:v>
      </x:c>
      <x:c r="J133" s="159" t="str">
        <x:v>9</x:v>
      </x:c>
      <x:c r="K133" s="159" t="str">
        <x:v>Verified — exact</x:v>
      </x:c>
      <x:c r="L133" s="159" t="str">
        <x:v>Normalized quote occurs on the cited PDF page.</x:v>
      </x:c>
      <x:c r="M133" s="159" t="str">
        <x:v>Supports</x:v>
      </x:c>
      <x:c r="N133" s="159" t="str">
        <x:v>Whole action</x:v>
      </x:c>
      <x:c r="O133" s="159" t="str">
        <x:v>No</x:v>
      </x:c>
      <x:c r="P133" s="159" t="str">
        <x:v>Urban occupation management in risk areas | Actions to reduce risk | Inappropriate households | Drainage | Urban occupation management in risk areas | Actions to reduce risk | Inappropriate households | Drainage</x:v>
      </x:c>
      <x:c r="Q133" s="159" t="str">
        <x:v>Os projetos deverão quantificar o número de famílias e edificações beneficiadas que sairão da área de risco de alagamentos para o cenário projetado após a execução das obras de drenagem propostas, por meio da apresentação de mapas que apresentem as manchas de inundação para diferentes Tempos de Retorno (TR), para situação antes e após a execução da intervenção na área proposta.</x:v>
      </x:c>
      <x:c r="R133" s="159" t="str"/>
      <x:c r="S133" s="160" t="str">
        <x:v>Medium</x:v>
      </x:c>
    </x:row>
    <x:row r="134" ht="90" customHeight="1">
      <x:c r="A134" s="165" t="str">
        <x:v>icare_0170</x:v>
      </x:c>
      <x:c r="B134" s="159" t="str">
        <x:v>Build safe housing and implement urban rehabilitation projects for populations living in high-risk areas</x:v>
      </x:c>
      <x:c r="C134" s="159" t="str">
        <x:v>Geohydrological disasters</x:v>
      </x:c>
      <x:c r="D134" s="159" t="str">
        <x:v>Vulnerability</x:v>
      </x:c>
      <x:c r="E134" s="153" t="str"/>
      <x:c r="F134" s="153" t="str"/>
      <x:c r="G134" s="159" t="str">
        <x:v>Climate Change 2022: Impacts, Adaptation and Vulnerability</x:v>
      </x:c>
      <x:c r="H134" s="159" t="str">
        <x:v>https://www.ipcc.ch/report/ar6/wg2/downloads/report/IPCC_AR6_WGII_FullReport.pdf</x:v>
      </x:c>
      <x:c r="I134" s="168" t="n">
        <x:v>37</x:v>
      </x:c>
      <x:c r="J134" s="159" t="str">
        <x:v>25</x:v>
      </x:c>
      <x:c r="K134" s="159" t="str">
        <x:v>Verified — ordered</x:v>
      </x:c>
      <x:c r="L134" s="159" t="str">
        <x:v>Ordered token coverage on the cited PDF page is 100.0%.</x:v>
      </x:c>
      <x:c r="M134" s="159" t="str">
        <x:v>Supports</x:v>
      </x:c>
      <x:c r="N134" s="159" t="str">
        <x:v>Part of action</x:v>
      </x:c>
      <x:c r="O134" s="159" t="str">
        <x:v>No</x:v>
      </x:c>
      <x:c r="P134" s="159" t="str">
        <x:v>Urban occupation management in risk areas | Actions to reduce risk | Housing governance | Inappropriate households | Urban occupation management in risk areas | Actions to reduce risk | Housing governance | Inappropriate households</x:v>
      </x:c>
      <x:c r="Q134" s="159" t="str">
        <x:v>Responses to ongoing sea level rise and land subsidence in low-lying coastal cities and settlements and small islands include protection, accommodation, advance and planned relocation (high confidence). These responses are more effective if combined and/or sequenced, planned well ahead, aligned with sociocultural values and development priorities, and underpinned by inclusive community engagement processes (high confidence).</x:v>
      </x:c>
      <x:c r="R134" s="159" t="str"/>
      <x:c r="S134" s="160" t="str">
        <x:v>Medium</x:v>
      </x:c>
    </x:row>
    <x:row r="135" ht="90" customHeight="1">
      <x:c r="A135" s="165" t="str">
        <x:v>icare_0170</x:v>
      </x:c>
      <x:c r="B135" s="159" t="str">
        <x:v>Build safe housing and implement urban rehabilitation projects for populations living in high-risk areas</x:v>
      </x:c>
      <x:c r="C135" s="159" t="str">
        <x:v>Geohydrological disasters</x:v>
      </x:c>
      <x:c r="D135" s="159" t="str">
        <x:v>Exposure</x:v>
      </x:c>
      <x:c r="E135" s="153" t="str"/>
      <x:c r="F135" s="153" t="str"/>
      <x:c r="G135" s="159" t="str">
        <x:v>Climate Change 2022: Impacts, Adaptation and Vulnerability</x:v>
      </x:c>
      <x:c r="H135" s="159" t="str">
        <x:v>https://www.ipcc.ch/report/ar6/wg2/downloads/report/IPCC_AR6_WGII_FullReport.pdf</x:v>
      </x:c>
      <x:c r="I135" s="168" t="n">
        <x:v>37</x:v>
      </x:c>
      <x:c r="J135" s="159" t="str">
        <x:v>25</x:v>
      </x:c>
      <x:c r="K135" s="159" t="str">
        <x:v>Verified — ordered</x:v>
      </x:c>
      <x:c r="L135" s="159" t="str">
        <x:v>Ordered token coverage on the cited PDF page is 100.0%.</x:v>
      </x:c>
      <x:c r="M135" s="159" t="str">
        <x:v>Supports</x:v>
      </x:c>
      <x:c r="N135" s="159" t="str">
        <x:v>Whole action</x:v>
      </x:c>
      <x:c r="O135" s="159" t="str">
        <x:v>No</x:v>
      </x:c>
      <x:c r="P135" s="159" t="str">
        <x:v>Households in risk areas | Urban population density | Households in risk areas | Urban population density</x:v>
      </x:c>
      <x:c r="Q135" s="159" t="str">
        <x:v>Responses to ongoing sea level rise and land subsidence in low-lying coastal cities and settlements and small islands include protection, accommodation, advance and planned relocation (high confidence). These responses are more effective if combined and/or sequenced, planned well ahead, aligned with sociocultural values and development priorities, and underpinned by inclusive community engagement processes (high confidence).</x:v>
      </x:c>
      <x:c r="R135" s="159" t="str"/>
      <x:c r="S135" s="160" t="str">
        <x:v>Medium</x:v>
      </x:c>
    </x:row>
    <x:row r="136" ht="90" customHeight="1">
      <x:c r="A136" s="165" t="str">
        <x:v>icare_0154</x:v>
      </x:c>
      <x:c r="B136" s="159" t="str">
        <x:v>Clean and unclog drainage channels and install eco-barriers</x:v>
      </x:c>
      <x:c r="C136" s="159" t="str">
        <x:v>Geohydrological disasters</x:v>
      </x:c>
      <x:c r="D136" s="159" t="str">
        <x:v>Vulnerability</x:v>
      </x:c>
      <x:c r="E136" s="153" t="str"/>
      <x:c r="F136" s="153" t="str"/>
      <x:c r="G136" s="159" t="str">
        <x:v>Manual para Apresentação de Propostas para Sistemas de Drenagem Urbana Sustentável e de Manejo de Águas Pluviais</x:v>
      </x:c>
      <x:c r="H136" s="159" t="str">
        <x:v>https://www.gov.br/mdr/pt-br/assuntos/emendasparlamentares/acao_10SG_drenagem_urbana.pdf</x:v>
      </x:c>
      <x:c r="I136" s="168" t="n">
        <x:v>5</x:v>
      </x:c>
      <x:c r="J136" s="159" t="str">
        <x:v>5</x:v>
      </x:c>
      <x:c r="K136" s="159" t="str">
        <x:v>Verified — exact</x:v>
      </x:c>
      <x:c r="L136" s="159" t="str">
        <x:v>Normalized quote occurs on the cited PDF page.</x:v>
      </x:c>
      <x:c r="M136" s="159" t="str">
        <x:v>Supports</x:v>
      </x:c>
      <x:c r="N136" s="159" t="str">
        <x:v>Part of action</x:v>
      </x:c>
      <x:c r="O136" s="159" t="str">
        <x:v>No</x:v>
      </x:c>
      <x:c r="P136" s="159" t="str">
        <x:v>Waste management and public cleaning | Actions to reduce risk | Municipal basic sanitation plan | Basic sanitation | Drainage</x:v>
      </x:c>
      <x:c r="Q136" s="159" t="str">
        <x:v>A ação de apoio a Sistemas de Drenagem Urbana Sustentável e de Manejo de Águas Pluviais do Programa Gestão de Riscos e Desastres objetiva apoiar a redução do risco de desastres naturais em municípios críticos a partir do planejamento e da execução de obras, em articulação com as políticas de desenvolvimento urbano, de uso e ocupação do solo e de gestão das respectivas bacias hidrográficas, com foco na gestão sustentável da drenagem urbana, por meio de ações estruturais e não-estruturais dirigidas à recuperação de áreas úmidas, à prevenção, ao controle e à minimização dos impactos provocados por alagamentos, enchentes e inundações urbanas e ribeirinhas.</x:v>
      </x:c>
      <x:c r="R136" s="159" t="str"/>
      <x:c r="S136" s="160" t="str">
        <x:v>Medium</x:v>
      </x:c>
    </x:row>
    <x:row r="137" ht="90" customHeight="1">
      <x:c r="A137" s="165" t="str">
        <x:v>icare_0154</x:v>
      </x:c>
      <x:c r="B137" s="159" t="str">
        <x:v>Clean and unclog drainage channels and install eco-barriers</x:v>
      </x:c>
      <x:c r="C137" s="159" t="str">
        <x:v>Geohydrological disasters</x:v>
      </x:c>
      <x:c r="D137" s="159" t="str">
        <x:v>Vulnerability</x:v>
      </x:c>
      <x:c r="E137" s="153" t="str"/>
      <x:c r="F137" s="153" t="str"/>
      <x:c r="G137" s="159" t="str">
        <x:v>Manual para Apresentação de Propostas para Sistemas de Drenagem Urbana Sustentável e de Manejo de Águas Pluviais</x:v>
      </x:c>
      <x:c r="H137" s="159" t="str">
        <x:v>https://www.gov.br/mdr/pt-br/assuntos/emendasparlamentares/acao_10SG_drenagem_urbana.pdf</x:v>
      </x:c>
      <x:c r="I137" s="168" t="n">
        <x:v>9</x:v>
      </x:c>
      <x:c r="J137" s="159" t="str">
        <x:v>9</x:v>
      </x:c>
      <x:c r="K137" s="159" t="str">
        <x:v>Verified — exact</x:v>
      </x:c>
      <x:c r="L137" s="159" t="str">
        <x:v>Normalized quote occurs on the cited PDF page.</x:v>
      </x:c>
      <x:c r="M137" s="159" t="str">
        <x:v>Supports</x:v>
      </x:c>
      <x:c r="N137" s="159" t="str">
        <x:v>Whole action</x:v>
      </x:c>
      <x:c r="O137" s="159" t="str">
        <x:v>No</x:v>
      </x:c>
      <x:c r="P137" s="159" t="str">
        <x:v>Waste management and public cleaning | Actions to reduce risk | Municipal basic sanitation plan | Basic sanitation | Drainage</x:v>
      </x:c>
      <x:c r="Q137" s="159" t="str">
        <x:v>Os projetos deverão quantificar o número de famílias e edificações beneficiadas que sairão da área de risco de alagamentos para o cenário projetado após a execução das obras de drenagem propostas, por meio da apresentação de mapas que apresentem as manchas de inundação para diferentes Tempos de Retorno (TR), para situação antes e após a execução da intervenção na área proposta.</x:v>
      </x:c>
      <x:c r="R137" s="159" t="str"/>
      <x:c r="S137" s="160" t="str">
        <x:v>Medium</x:v>
      </x:c>
    </x:row>
    <x:row r="138" ht="90" customHeight="1">
      <x:c r="A138" s="165" t="str">
        <x:v>icare_0176</x:v>
      </x:c>
      <x:c r="B138" s="159" t="str">
        <x:v>Develop a Climate Action Plan</x:v>
      </x:c>
      <x:c r="C138" s="159" t="str">
        <x:v>Geohydrological disasters</x:v>
      </x:c>
      <x:c r="D138" s="159" t="str">
        <x:v>Vulnerability</x:v>
      </x:c>
      <x:c r="E138" s="153" t="str"/>
      <x:c r="F138" s="153" t="str"/>
      <x:c r="G138" s="159" t="str">
        <x:v>Making Cities Resilient 2030 (MCR2030): Initial Proposal</x:v>
      </x:c>
      <x:c r="H138" s="159" t="str">
        <x:v>https://mcr2030.undrr.org/sites/default/files/2021-04/MCR2030%20in%20English%20ver.2%20%2820210302%29.pdf?startDownload=true</x:v>
      </x:c>
      <x:c r="I138" s="168" t="n">
        <x:v>2</x:v>
      </x:c>
      <x:c r="J138" s="159" t="str">
        <x:v>2</x:v>
      </x:c>
      <x:c r="K138" s="159" t="str">
        <x:v>Verified — ordered</x:v>
      </x:c>
      <x:c r="L138" s="159" t="str">
        <x:v>Ordered token coverage on the cited PDF page is 100.0%.</x:v>
      </x:c>
      <x:c r="M138" s="159" t="str">
        <x:v>Supports</x:v>
      </x:c>
      <x:c r="N138" s="159" t="str">
        <x:v>Part of action</x:v>
      </x:c>
      <x:c r="O138" s="159" t="str">
        <x:v>No</x:v>
      </x:c>
      <x:c r="P138" s="159" t="str">
        <x:v>Resilient cities program | Institutions for risk management | Actions to reduce risk | Environmental governance | Resilient cities program | Institutions for risk management | Actions to reduce risk | Environmental governance</x:v>
      </x:c>
      <x:c r="Q138" s="159" t="str">
        <x:v>Strategic Objective 2. Strengthen cities' capacity to develop local strategies/plans to enhance resilience; by: improving their self-assessment and diagnostic skills; providing relevant training and tools for strategic planning to reduce disaster and climate risks and for risk-informed development. Strategic Objective 3. Support cities to implement local strategies/plans to enhance resilience; by: providing access to finance for supporting DRR, climate change adaptation and to implement resilience initiatives; improving the ability of local authorities to plan, design, build and manage resilient infrastructure; improving the capacity of local authorities to use nature-based solutions and seek innovative approach to address local resilience.</x:v>
      </x:c>
      <x:c r="R138" s="159" t="str"/>
      <x:c r="S138" s="160" t="str">
        <x:v>Low</x:v>
      </x:c>
    </x:row>
    <x:row r="139" ht="90" customHeight="1">
      <x:c r="A139" s="165" t="str">
        <x:v>icare_0182</x:v>
      </x:c>
      <x:c r="B139" s="159" t="str">
        <x:v>Develop an Urban Afforestation Plan</x:v>
      </x:c>
      <x:c r="C139" s="159" t="str">
        <x:v>Geohydrological disasters</x:v>
      </x:c>
      <x:c r="D139" s="159" t="str">
        <x:v>Vulnerability</x:v>
      </x:c>
      <x:c r="E139" s="153" t="str"/>
      <x:c r="F139" s="153" t="str"/>
      <x:c r="G139" s="159" t="str">
        <x:v>Making Cities Resilient 2030 (MCR2030): Initial Proposal</x:v>
      </x:c>
      <x:c r="H139" s="159" t="str">
        <x:v>https://mcr2030.undrr.org/sites/default/files/2021-04/MCR2030%20in%20English%20ver.2%20%2820210302%29.pdf?startDownload=true</x:v>
      </x:c>
      <x:c r="I139" s="168" t="n">
        <x:v>2</x:v>
      </x:c>
      <x:c r="J139" s="159" t="str">
        <x:v>2</x:v>
      </x:c>
      <x:c r="K139" s="159" t="str">
        <x:v>Verified — ordered</x:v>
      </x:c>
      <x:c r="L139" s="159" t="str">
        <x:v>Ordered token coverage on the cited PDF page is 100.0%.</x:v>
      </x:c>
      <x:c r="M139" s="159" t="str">
        <x:v>Supports</x:v>
      </x:c>
      <x:c r="N139" s="159" t="str">
        <x:v>Part of action</x:v>
      </x:c>
      <x:c r="O139" s="159" t="str">
        <x:v>No</x:v>
      </x:c>
      <x:c r="P139" s="159" t="str">
        <x:v>Actions to reduce risk | Land use and occupation | Environmental governance | Actions to reduce risk | Land use and occupation | Environmental governance</x:v>
      </x:c>
      <x:c r="Q139" s="159" t="str">
        <x:v>Strategic Objective 2. Strengthen cities' capacity to develop local strategies/plans to enhance resilience; by: improving their self-assessment and diagnostic skills; providing relevant training and tools for strategic planning to reduce disaster and climate risks and for risk-informed development. Strategic Objective 3. Support cities to implement local strategies/plans to enhance resilience; by: providing access to finance for supporting DRR, climate change adaptation and to implement resilience initiatives; improving the ability of local authorities to plan, design, build and manage resilient infrastructure; improving the capacity of local authorities to use nature-based solutions and seek innovative approach to address local resilience.</x:v>
      </x:c>
      <x:c r="R139" s="159" t="str"/>
      <x:c r="S139" s="160" t="str">
        <x:v>Low</x:v>
      </x:c>
    </x:row>
    <x:row r="140" ht="90" customHeight="1">
      <x:c r="A140" s="165" t="str">
        <x:v>icare_0182</x:v>
      </x:c>
      <x:c r="B140" s="159" t="str">
        <x:v>Develop an Urban Afforestation Plan</x:v>
      </x:c>
      <x:c r="C140" s="159" t="str">
        <x:v>Geohydrological disasters</x:v>
      </x:c>
      <x:c r="D140" s="159" t="str">
        <x:v>Vulnerability</x:v>
      </x:c>
      <x:c r="E140" s="153" t="str"/>
      <x:c r="F140" s="153" t="str"/>
      <x:c r="G140" s="159" t="str">
        <x:v>Making Cities Resilient 2030 (MCR2030): Initial Proposal</x:v>
      </x:c>
      <x:c r="H140" s="159" t="str">
        <x:v>https://mcr2030.undrr.org/sites/default/files/2021-04/MCR2030%20in%20English%20ver.2%20%2820210302%29.pdf?startDownload=true</x:v>
      </x:c>
      <x:c r="I140" s="168" t="n">
        <x:v>9</x:v>
      </x:c>
      <x:c r="J140" s="159" t="str">
        <x:v>9</x:v>
      </x:c>
      <x:c r="K140" s="159" t="str">
        <x:v>Verified — exact</x:v>
      </x:c>
      <x:c r="L140" s="159" t="str">
        <x:v>Normalized quote occurs on the cited PDF page.</x:v>
      </x:c>
      <x:c r="M140" s="159" t="str">
        <x:v>Supports</x:v>
      </x:c>
      <x:c r="N140" s="159" t="str">
        <x:v>Part of action</x:v>
      </x:c>
      <x:c r="O140" s="159" t="str">
        <x:v>No</x:v>
      </x:c>
      <x:c r="P140" s="159" t="str">
        <x:v>Actions to reduce risk | Land use and occupation | Environmental governance | Actions to reduce risk | Land use and occupation | Environmental governance</x:v>
      </x:c>
      <x:c r="Q140" s="159" t="str">
        <x:v>Infrastructure resilience and a city's environs cannot rely on over-engineered solutions. Cities need to incorporate their natural assets in building their resilience in a manner that maximizes the deployment of natural features further adding to their sustainability.</x:v>
      </x:c>
      <x:c r="R140" s="159" t="str"/>
      <x:c r="S140" s="160" t="str">
        <x:v>Low</x:v>
      </x:c>
    </x:row>
    <x:row r="141" ht="90" customHeight="1">
      <x:c r="A141" s="165" t="str">
        <x:v>icare_0172</x:v>
      </x:c>
      <x:c r="B141" s="159" t="str">
        <x:v>Develop and implement the Municipal Risk Reduction Plan (PMRR) and identify population groups vulnerable to climate risks.</x:v>
      </x:c>
      <x:c r="C141" s="159" t="str">
        <x:v>Geohydrological disasters</x:v>
      </x:c>
      <x:c r="D141" s="159" t="str">
        <x:v>Vulnerability</x:v>
      </x:c>
      <x:c r="E141" s="153" t="str"/>
      <x:c r="F141" s="153" t="str"/>
      <x:c r="G141" s="159" t="str">
        <x:v>Making Cities Resilient 2030 (MCR2030): Initial Proposal</x:v>
      </x:c>
      <x:c r="H141" s="159" t="str">
        <x:v>https://mcr2030.undrr.org/sites/default/files/2021-04/MCR2030%20in%20English%20ver.2%20%2820210302%29.pdf?startDownload=true</x:v>
      </x:c>
      <x:c r="I141" s="168" t="n">
        <x:v>2</x:v>
      </x:c>
      <x:c r="J141" s="159" t="str">
        <x:v>2</x:v>
      </x:c>
      <x:c r="K141" s="159" t="str">
        <x:v>Verified — ordered</x:v>
      </x:c>
      <x:c r="L141" s="159" t="str">
        <x:v>Ordered token coverage on the cited PDF page is 100.0%.</x:v>
      </x:c>
      <x:c r="M141" s="159" t="str">
        <x:v>Supports</x:v>
      </x:c>
      <x:c r="N141" s="159" t="str">
        <x:v>Part of action</x:v>
      </x:c>
      <x:c r="O141" s="159" t="str">
        <x:v>No</x:v>
      </x:c>
      <x:c r="P141" s="159" t="str">
        <x:v>Resilient cities program | Institutions for risk management | Urban occupation management in risk areas | Actions to reduce risk | Land use and occupation | Resilient cities program | Institutions for risk management | Urban occupation management in risk areas | Actions to reduce risk | Land use and occupation</x:v>
      </x:c>
      <x:c r="Q141" s="159" t="str">
        <x:v>Strategic Objective 2. Strengthen cities' capacity to develop local strategies/plans to enhance resilience; by: improving their self-assessment and diagnostic skills; providing relevant training and tools for strategic planning to reduce disaster and climate risks and for risk-informed development. Strategic Objective 3. Support cities to implement local strategies/plans to enhance resilience; by: providing access to finance for supporting DRR, climate change adaptation and to implement resilience initiatives; improving the ability of local authorities to plan, design, build and manage resilient infrastructure; improving the capacity of local authorities to use nature-based solutions and seek innovative approach to address local resilience.</x:v>
      </x:c>
      <x:c r="R141" s="159" t="str"/>
      <x:c r="S141" s="160" t="str">
        <x:v>Low</x:v>
      </x:c>
    </x:row>
    <x:row r="142" ht="90" customHeight="1">
      <x:c r="A142" s="165" t="str">
        <x:v>icare_0172</x:v>
      </x:c>
      <x:c r="B142" s="159" t="str">
        <x:v>Develop and implement the Municipal Risk Reduction Plan (PMRR) and identify population groups vulnerable to climate risks.</x:v>
      </x:c>
      <x:c r="C142" s="159" t="str">
        <x:v>Geohydrological disasters</x:v>
      </x:c>
      <x:c r="D142" s="159" t="str">
        <x:v>Vulnerability</x:v>
      </x:c>
      <x:c r="E142" s="153" t="str"/>
      <x:c r="F142" s="153" t="str"/>
      <x:c r="G142" s="159" t="str">
        <x:v>Early Warnings for All: Executive Action Plan 2023–2027</x:v>
      </x:c>
      <x:c r="H142" s="159" t="str">
        <x:v>https://www.undrr.org/sites/default/files/inline-files/EWS_Executive_Action_Plan_en_compressed%20%281%29.pdf?startDownload=true</x:v>
      </x:c>
      <x:c r="I142" s="168" t="n">
        <x:v>6</x:v>
      </x:c>
      <x:c r="J142" s="159" t="str">
        <x:v>1</x:v>
      </x:c>
      <x:c r="K142" s="159" t="str">
        <x:v>Verified — exact</x:v>
      </x:c>
      <x:c r="L142" s="159" t="str">
        <x:v>Normalized quote occurs on the cited PDF page.</x:v>
      </x:c>
      <x:c r="M142" s="159" t="str">
        <x:v>Supports</x:v>
      </x:c>
      <x:c r="N142" s="159" t="str">
        <x:v>Part of action</x:v>
      </x:c>
      <x:c r="O142" s="159" t="str">
        <x:v>No</x:v>
      </x:c>
      <x:c r="P142" s="159" t="str">
        <x:v>Institutions for risk management | Actions to reduce risk | Early warning systems | Contingency plan | Institutions for risk management | Actions to reduce risk | Early warning systems | Contingency plan</x:v>
      </x:c>
      <x:c r="Q142" s="159" t="str">
        <x:v>Early warnings save lives and provide vast economic benefits. Just 24 hours' notice of an impending hazardous event can cut the ensuing damage by 30 per cent. The Global Commission on Adaptation found that spending just $800 million on such systems in developing countries would avoid losses of $3–16 billion per annum.</x:v>
      </x:c>
      <x:c r="R142" s="159" t="str">
        <x:v>24 hours' notice can reduce ensuing damage by 30%; $800m investment could avoid $3–16bn annual losses</x:v>
      </x:c>
      <x:c r="S142" s="160" t="str">
        <x:v>Low</x:v>
      </x:c>
    </x:row>
    <x:row r="143" ht="90" customHeight="1">
      <x:c r="A143" s="165" t="str">
        <x:v>icare_0144</x:v>
      </x:c>
      <x:c r="B143" s="159" t="str">
        <x:v>Establish a financial support program for extreme weather events</x:v>
      </x:c>
      <x:c r="C143" s="159" t="str">
        <x:v>Geohydrological disasters</x:v>
      </x:c>
      <x:c r="D143" s="159" t="str">
        <x:v>Vulnerability</x:v>
      </x:c>
      <x:c r="E143" s="153" t="str"/>
      <x:c r="F143" s="153" t="str"/>
      <x:c r="G143" s="159" t="str">
        <x:v>Coping with Losses: Options for Disaster Risk Financing in Brazil</x:v>
      </x:c>
      <x:c r="H143" s="159" t="str">
        <x:v>https://documents1.worldbank.org/curated/en/138651519418943510/pdf/111953-PUBLIC-OptionsforDisasterRiskFinancinginBrazil-FINAL-Low.pdf</x:v>
      </x:c>
      <x:c r="I143" s="168" t="n">
        <x:v>10</x:v>
      </x:c>
      <x:c r="J143" s="159" t="str">
        <x:v>8</x:v>
      </x:c>
      <x:c r="K143" s="159" t="str">
        <x:v>Verified — ordered</x:v>
      </x:c>
      <x:c r="L143" s="159" t="str">
        <x:v>Ordered token coverage on the cited PDF page is 95.9%.</x:v>
      </x:c>
      <x:c r="M143" s="159" t="str">
        <x:v>Supports</x:v>
      </x:c>
      <x:c r="N143" s="159" t="str">
        <x:v>Part of action</x:v>
      </x:c>
      <x:c r="O143" s="159" t="str">
        <x:v>No</x:v>
      </x:c>
      <x:c r="P143" s="159" t="str">
        <x:v>Investment in adaptation policies | Employment and income | Gross domestic product by urban area | Actions to reduce risk | Housing governance | Investment in adaptation policies | Employment and income | Gross domestic product by urban area | Actions to reduce risk | Housing governance</x:v>
      </x:c>
      <x:c r="Q143" s="159" t="str">
        <x:v>The use of fiscal risk assessment tools can support policy makers to design a disaster risk financing and insurance strategy better suited to the country's hazard profile. By using partial historical data on disaster losses, it was possible to carry out a preliminary fiscal risk assessment of Brazil.</x:v>
      </x:c>
      <x:c r="R143" s="159" t="str"/>
      <x:c r="S143" s="160" t="str">
        <x:v>Low</x:v>
      </x:c>
    </x:row>
    <x:row r="144" ht="90" customHeight="1">
      <x:c r="A144" s="165" t="str">
        <x:v>icare_0169</x:v>
      </x:c>
      <x:c r="B144" s="159" t="str">
        <x:v>Establish a Plan for Preparation and Emergency Response Measures in the event of extreme weather events</x:v>
      </x:c>
      <x:c r="C144" s="159" t="str">
        <x:v>Geohydrological disasters</x:v>
      </x:c>
      <x:c r="D144" s="159" t="str">
        <x:v>Vulnerability</x:v>
      </x:c>
      <x:c r="E144" s="153" t="str"/>
      <x:c r="F144" s="153" t="str"/>
      <x:c r="G144" s="159" t="str">
        <x:v>Early Warnings for All: Executive Action Plan 2023–2027</x:v>
      </x:c>
      <x:c r="H144" s="159" t="str">
        <x:v>https://www.undrr.org/sites/default/files/inline-files/EWS_Executive_Action_Plan_en_compressed%20%281%29.pdf?startDownload=true</x:v>
      </x:c>
      <x:c r="I144" s="168" t="n">
        <x:v>6</x:v>
      </x:c>
      <x:c r="J144" s="159" t="str">
        <x:v>1</x:v>
      </x:c>
      <x:c r="K144" s="159" t="str">
        <x:v>Verified — exact</x:v>
      </x:c>
      <x:c r="L144" s="159" t="str">
        <x:v>Normalized quote occurs on the cited PDF page.</x:v>
      </x:c>
      <x:c r="M144" s="159" t="str">
        <x:v>Supports</x:v>
      </x:c>
      <x:c r="N144" s="159" t="str">
        <x:v>Part of action</x:v>
      </x:c>
      <x:c r="O144" s="159" t="str">
        <x:v>No</x:v>
      </x:c>
      <x:c r="P144" s="159" t="str">
        <x:v>Institutions for risk management | Actions to reduce risk | Contingency plan | Institutions for risk management | Actions to reduce risk | Contingency plan</x:v>
      </x:c>
      <x:c r="Q144" s="159" t="str">
        <x:v>Early warnings save lives and provide vast economic benefits. Just 24 hours' notice of an impending hazardous event can cut the ensuing damage by 30 per cent. The Global Commission on Adaptation found that spending just $800 million on such systems in developing countries would avoid losses of $3–16 billion per annum.</x:v>
      </x:c>
      <x:c r="R144" s="159" t="str">
        <x:v>24 hours' notice can reduce ensuing damage by 30%; $800m investment could avoid $3–16bn annual losses</x:v>
      </x:c>
      <x:c r="S144" s="160" t="str">
        <x:v>Low</x:v>
      </x:c>
    </x:row>
    <x:row r="145" ht="90" customHeight="1">
      <x:c r="A145" s="165" t="str">
        <x:v>icare_0160</x:v>
      </x:c>
      <x:c r="B145" s="159" t="str">
        <x:v>Establish mechanisms for intersectoral coordination and public participation in climate policy</x:v>
      </x:c>
      <x:c r="C145" s="159" t="str">
        <x:v>Geohydrological disasters</x:v>
      </x:c>
      <x:c r="D145" s="159" t="str">
        <x:v>Vulnerability</x:v>
      </x:c>
      <x:c r="E145" s="153" t="str"/>
      <x:c r="F145" s="153" t="str"/>
      <x:c r="G145" s="159" t="str">
        <x:v>Making Cities Resilient 2030 (MCR2030): Initial Proposal</x:v>
      </x:c>
      <x:c r="H145" s="159" t="str">
        <x:v>https://mcr2030.undrr.org/sites/default/files/2021-04/MCR2030%20in%20English%20ver.2%20%2820210302%29.pdf?startDownload=true</x:v>
      </x:c>
      <x:c r="I145" s="168" t="n">
        <x:v>2</x:v>
      </x:c>
      <x:c r="J145" s="159" t="str">
        <x:v>2</x:v>
      </x:c>
      <x:c r="K145" s="159" t="str">
        <x:v>Verified — ordered</x:v>
      </x:c>
      <x:c r="L145" s="159" t="str">
        <x:v>Ordered token coverage on the cited PDF page is 100.0%.</x:v>
      </x:c>
      <x:c r="M145" s="159" t="str">
        <x:v>Supports</x:v>
      </x:c>
      <x:c r="N145" s="159" t="str">
        <x:v>Part of action</x:v>
      </x:c>
      <x:c r="O145" s="159" t="str">
        <x:v>No</x:v>
      </x:c>
      <x:c r="P145" s="159" t="str">
        <x:v>Institutions for risk management | Environmental governance | Institutions for risk management | Environmental governance</x:v>
      </x:c>
      <x:c r="Q145" s="159" t="str">
        <x:v>Strategic Objective 2. Strengthen cities' capacity to develop local strategies/plans to enhance resilience; by: improving their self-assessment and diagnostic skills; providing relevant training and tools for strategic planning to reduce disaster and climate risks and for risk-informed development. Strategic Objective 3. Support cities to implement local strategies/plans to enhance resilience; by: providing access to finance for supporting DRR, climate change adaptation and to implement resilience initiatives; improving the ability of local authorities to plan, design, build and manage resilient infrastructure; improving the capacity of local authorities to use nature-based solutions and seek innovative approach to address local resilience.</x:v>
      </x:c>
      <x:c r="R145" s="159" t="str"/>
      <x:c r="S145" s="160" t="str">
        <x:v>Low</x:v>
      </x:c>
    </x:row>
    <x:row r="146" ht="90" customHeight="1">
      <x:c r="A146" s="165" t="str">
        <x:v>ipcc_0090</x:v>
      </x:c>
      <x:c r="B146" s="159" t="str">
        <x:v>Expand climate risk insurance coverage</x:v>
      </x:c>
      <x:c r="C146" s="159" t="str">
        <x:v>Geohydrological disasters</x:v>
      </x:c>
      <x:c r="D146" s="159" t="str">
        <x:v>Vulnerability</x:v>
      </x:c>
      <x:c r="E146" s="153" t="str"/>
      <x:c r="F146" s="153" t="str"/>
      <x:c r="G146" s="159" t="str">
        <x:v>Coping with Losses: Options for Disaster Risk Financing in Brazil</x:v>
      </x:c>
      <x:c r="H146" s="159" t="str">
        <x:v>https://documents1.worldbank.org/curated/en/138651519418943510/pdf/111953-PUBLIC-OptionsforDisasterRiskFinancinginBrazil-FINAL-Low.pdf</x:v>
      </x:c>
      <x:c r="I146" s="168" t="n">
        <x:v>10</x:v>
      </x:c>
      <x:c r="J146" s="159" t="str">
        <x:v>8</x:v>
      </x:c>
      <x:c r="K146" s="159" t="str">
        <x:v>Verified — ordered</x:v>
      </x:c>
      <x:c r="L146" s="159" t="str">
        <x:v>Ordered token coverage on the cited PDF page is 95.9%.</x:v>
      </x:c>
      <x:c r="M146" s="159" t="str">
        <x:v>Supports</x:v>
      </x:c>
      <x:c r="N146" s="159" t="str">
        <x:v>Part of action</x:v>
      </x:c>
      <x:c r="O146" s="159" t="str">
        <x:v>No</x:v>
      </x:c>
      <x:c r="P146" s="159" t="str">
        <x:v>Investment in adaptation policies | Tax management | Employment and income | Gross domestic product by urban area | Investment in adaptation policies | Tax management | Employment and income | Gross domestic product by urban area</x:v>
      </x:c>
      <x:c r="Q146" s="159" t="str">
        <x:v>The use of fiscal risk assessment tools can support policy makers to design a disaster risk financing and insurance strategy better suited to the country's hazard profile. By using partial historical data on disaster losses, it was possible to carry out a preliminary fiscal risk assessment of Brazil.</x:v>
      </x:c>
      <x:c r="R146" s="159" t="str"/>
      <x:c r="S146" s="160" t="str">
        <x:v>Medium</x:v>
      </x:c>
    </x:row>
    <x:row r="147" ht="90" customHeight="1">
      <x:c r="A147" s="165" t="str">
        <x:v>ipcc_0090</x:v>
      </x:c>
      <x:c r="B147" s="159" t="str">
        <x:v>Expand climate risk insurance coverage</x:v>
      </x:c>
      <x:c r="C147" s="159" t="str">
        <x:v>Geohydrological disasters</x:v>
      </x:c>
      <x:c r="D147" s="159" t="str">
        <x:v>Vulnerability</x:v>
      </x:c>
      <x:c r="E147" s="153" t="str"/>
      <x:c r="F147" s="153" t="str"/>
      <x:c r="G147" s="159" t="str">
        <x:v>Climate Change 2022: Impacts, Adaptation and Vulnerability</x:v>
      </x:c>
      <x:c r="H147" s="159" t="str">
        <x:v>https://www.ipcc.ch/report/ar6/wg2/downloads/report/IPCC_AR6_WGII_FullReport.pdf</x:v>
      </x:c>
      <x:c r="I147" s="168" t="n">
        <x:v>111</x:v>
      </x:c>
      <x:c r="J147" s="159" t="str">
        <x:v>99</x:v>
      </x:c>
      <x:c r="K147" s="159" t="str">
        <x:v>Verified — ordered</x:v>
      </x:c>
      <x:c r="L147" s="159" t="str">
        <x:v>Ordered token coverage on the cited PDF page is 100.0%.</x:v>
      </x:c>
      <x:c r="M147" s="159" t="str">
        <x:v>Supports</x:v>
      </x:c>
      <x:c r="N147" s="159" t="str">
        <x:v>Whole action</x:v>
      </x:c>
      <x:c r="O147" s="159" t="str">
        <x:v>No</x:v>
      </x:c>
      <x:c r="P147" s="159" t="str">
        <x:v>Investment in adaptation policies | Tax management | Employment and income | Gross domestic product by urban area | Investment in adaptation policies | Tax management | Employment and income | Gross domestic product by urban area</x:v>
      </x:c>
      <x:c r="Q147" s="159" t="str">
        <x:v>Risk insurance can be a feasible tool to adapt to transfer climate risks and support sustainable development (high confidence). They can reduce both vulnerability and exposure, support post-disaster recovery and reduce financial burden on governments, households and business.</x:v>
      </x:c>
      <x:c r="R147" s="159" t="str"/>
      <x:c r="S147" s="160" t="str">
        <x:v>Medium</x:v>
      </x:c>
    </x:row>
    <x:row r="148" ht="90" customHeight="1">
      <x:c r="A148" s="165" t="str">
        <x:v>ipcc_0092</x:v>
      </x:c>
      <x:c r="B148" s="159" t="str">
        <x:v>Expand climate‑responsive social safety nets</x:v>
      </x:c>
      <x:c r="C148" s="159" t="str">
        <x:v>Geohydrological disasters</x:v>
      </x:c>
      <x:c r="D148" s="159" t="str">
        <x:v>Vulnerability</x:v>
      </x:c>
      <x:c r="E148" s="153" t="str"/>
      <x:c r="F148" s="153" t="str"/>
      <x:c r="G148" s="159" t="str">
        <x:v>Climate Change 2022: Impacts, Adaptation and Vulnerability</x:v>
      </x:c>
      <x:c r="H148" s="159" t="str">
        <x:v>https://www.ipcc.ch/report/ar6/wg2/downloads/report/IPCC_AR6_WGII_FullReport.pdf</x:v>
      </x:c>
      <x:c r="I148" s="168" t="n">
        <x:v>37</x:v>
      </x:c>
      <x:c r="J148" s="159" t="str">
        <x:v>25</x:v>
      </x:c>
      <x:c r="K148" s="159" t="str">
        <x:v>Verified — exact</x:v>
      </x:c>
      <x:c r="L148" s="159" t="str">
        <x:v>Normalized quote occurs on the cited PDF page.</x:v>
      </x:c>
      <x:c r="M148" s="159" t="str">
        <x:v>Supports</x:v>
      </x:c>
      <x:c r="N148" s="159" t="str">
        <x:v>Whole action</x:v>
      </x:c>
      <x:c r="O148" s="159" t="str">
        <x:v>No</x:v>
      </x:c>
      <x:c r="P148" s="159" t="str">
        <x:v>Employment and income | Population with special demands | Income inequality | Employment and income | Population with special demands | Income inequality</x:v>
      </x:c>
      <x:c r="Q148" s="159" t="str">
        <x:v>Integrating climate adaptation into social protection programs, including cash transfers and public works programmes, is highly feasible and increases resilience to climate change, especially when supported by basic services and infrastructure. Social safety nets are increasingly being reconfigured to build adaptive capacities of the most vulnerable in rural and also urban communities.</x:v>
      </x:c>
      <x:c r="R148" s="159" t="str"/>
      <x:c r="S148" s="160" t="str">
        <x:v>Medium</x:v>
      </x:c>
    </x:row>
    <x:row r="149" ht="90" customHeight="1">
      <x:c r="A149" s="165" t="str">
        <x:v>icare_0180</x:v>
      </x:c>
      <x:c r="B149" s="159" t="str">
        <x:v>Expand urban green-blue networks and corridors</x:v>
      </x:c>
      <x:c r="C149" s="159" t="str">
        <x:v>Geohydrological disasters</x:v>
      </x:c>
      <x:c r="D149" s="159" t="str">
        <x:v>Vulnerability</x:v>
      </x:c>
      <x:c r="E149" s="153" t="str"/>
      <x:c r="F149" s="153" t="str"/>
      <x:c r="G149" s="159" t="str">
        <x:v>Making Cities Resilient 2030 (MCR2030): Initial Proposal</x:v>
      </x:c>
      <x:c r="H149" s="159" t="str">
        <x:v>https://mcr2030.undrr.org/sites/default/files/2021-04/MCR2030%20in%20English%20ver.2%20%2820210302%29.pdf?startDownload=true</x:v>
      </x:c>
      <x:c r="I149" s="168" t="n">
        <x:v>2</x:v>
      </x:c>
      <x:c r="J149" s="159" t="str">
        <x:v>2</x:v>
      </x:c>
      <x:c r="K149" s="159" t="str">
        <x:v>Verified — ordered</x:v>
      </x:c>
      <x:c r="L149" s="159" t="str">
        <x:v>Ordered token coverage on the cited PDF page is 100.0%.</x:v>
      </x:c>
      <x:c r="M149" s="159" t="str">
        <x:v>Supports</x:v>
      </x:c>
      <x:c r="N149" s="159" t="str">
        <x:v>Part of action</x:v>
      </x:c>
      <x:c r="O149" s="159" t="str">
        <x:v>No</x:v>
      </x:c>
      <x:c r="P149" s="159" t="str">
        <x:v>Actions to reduce risk | Land use and occupation | Drainage</x:v>
      </x:c>
      <x:c r="Q149" s="159" t="str">
        <x:v>Strategic Objective 2. Strengthen cities' capacity to develop local strategies/plans to enhance resilience; by: improving their self-assessment and diagnostic skills; providing relevant training and tools for strategic planning to reduce disaster and climate risks and for risk-informed development. Strategic Objective 3. Support cities to implement local strategies/plans to enhance resilience; by: providing access to finance for supporting DRR, climate change adaptation and to implement resilience initiatives; improving the ability of local authorities to plan, design, build and manage resilient infrastructure; improving the capacity of local authorities to use nature-based solutions and seek innovative approach to address local resilience.</x:v>
      </x:c>
      <x:c r="R149" s="159" t="str"/>
      <x:c r="S149" s="160" t="str">
        <x:v>Low</x:v>
      </x:c>
    </x:row>
    <x:row r="150" ht="90" customHeight="1">
      <x:c r="A150" s="165" t="str">
        <x:v>icare_0180</x:v>
      </x:c>
      <x:c r="B150" s="159" t="str">
        <x:v>Expand urban green-blue networks and corridors</x:v>
      </x:c>
      <x:c r="C150" s="159" t="str">
        <x:v>Geohydrological disasters</x:v>
      </x:c>
      <x:c r="D150" s="159" t="str">
        <x:v>Vulnerability</x:v>
      </x:c>
      <x:c r="E150" s="153" t="str"/>
      <x:c r="F150" s="153" t="str"/>
      <x:c r="G150" s="159" t="str">
        <x:v>Making Cities Resilient 2030 (MCR2030): Initial Proposal</x:v>
      </x:c>
      <x:c r="H150" s="159" t="str">
        <x:v>https://mcr2030.undrr.org/sites/default/files/2021-04/MCR2030%20in%20English%20ver.2%20%2820210302%29.pdf?startDownload=true</x:v>
      </x:c>
      <x:c r="I150" s="168" t="n">
        <x:v>9</x:v>
      </x:c>
      <x:c r="J150" s="159" t="str">
        <x:v>9</x:v>
      </x:c>
      <x:c r="K150" s="159" t="str">
        <x:v>Verified — exact</x:v>
      </x:c>
      <x:c r="L150" s="159" t="str">
        <x:v>Normalized quote occurs on the cited PDF page.</x:v>
      </x:c>
      <x:c r="M150" s="159" t="str">
        <x:v>Supports</x:v>
      </x:c>
      <x:c r="N150" s="159" t="str">
        <x:v>Part of action</x:v>
      </x:c>
      <x:c r="O150" s="159" t="str">
        <x:v>No</x:v>
      </x:c>
      <x:c r="P150" s="159" t="str">
        <x:v>Actions to reduce risk | Land use and occupation | Drainage</x:v>
      </x:c>
      <x:c r="Q150" s="159" t="str">
        <x:v>Infrastructure resilience and a city's environs cannot rely on over-engineered solutions. Cities need to incorporate their natural assets in building their resilience in a manner that maximizes the deployment of natural features further adding to their sustainability.</x:v>
      </x:c>
      <x:c r="R150" s="159" t="str"/>
      <x:c r="S150" s="160" t="str">
        <x:v>Low</x:v>
      </x:c>
    </x:row>
    <x:row r="151" ht="90" customHeight="1">
      <x:c r="A151" s="165" t="str">
        <x:v>icare_0183</x:v>
      </x:c>
      <x:c r="B151" s="159" t="str">
        <x:v>Implement Multi-hazard Early Warning Systems (MH-EWS)</x:v>
      </x:c>
      <x:c r="C151" s="159" t="str">
        <x:v>Geohydrological disasters</x:v>
      </x:c>
      <x:c r="D151" s="159" t="str">
        <x:v>Vulnerability</x:v>
      </x:c>
      <x:c r="E151" s="153" t="str"/>
      <x:c r="F151" s="153" t="str"/>
      <x:c r="G151" s="159" t="str">
        <x:v>Early Warnings for All: Executive Action Plan 2023–2027</x:v>
      </x:c>
      <x:c r="H151" s="159" t="str">
        <x:v>https://www.undrr.org/sites/default/files/inline-files/EWS_Executive_Action_Plan_en_compressed%20%281%29.pdf?startDownload=true</x:v>
      </x:c>
      <x:c r="I151" s="168" t="n">
        <x:v>6</x:v>
      </x:c>
      <x:c r="J151" s="159" t="str">
        <x:v>1</x:v>
      </x:c>
      <x:c r="K151" s="159" t="str">
        <x:v>Verified — exact</x:v>
      </x:c>
      <x:c r="L151" s="159" t="str">
        <x:v>Normalized quote occurs on the cited PDF page.</x:v>
      </x:c>
      <x:c r="M151" s="159" t="str">
        <x:v>Supports</x:v>
      </x:c>
      <x:c r="N151" s="159" t="str">
        <x:v>Whole action</x:v>
      </x:c>
      <x:c r="O151" s="159" t="str">
        <x:v>No</x:v>
      </x:c>
      <x:c r="P151" s="159" t="str">
        <x:v>Early warning systems | Early warning systems</x:v>
      </x:c>
      <x:c r="Q151" s="159" t="str">
        <x:v>Early warnings save lives and provide vast economic benefits. Just 24 hours' notice of an impending hazardous event can cut the ensuing damage by 30 per cent. The Global Commission on Adaptation found that spending just $800 million on such systems in developing countries would avoid losses of $3–16 billion per annum.</x:v>
      </x:c>
      <x:c r="R151" s="159" t="str">
        <x:v>24 hours' notice can reduce ensuing damage by 30%; $800m investment could avoid $3–16bn annual losses</x:v>
      </x:c>
      <x:c r="S151" s="160" t="str">
        <x:v>Medium</x:v>
      </x:c>
    </x:row>
    <x:row r="152" ht="90" customHeight="1">
      <x:c r="A152" s="165" t="str">
        <x:v>icare_0164</x:v>
      </x:c>
      <x:c r="B152" s="159" t="str">
        <x:v>Improve Hydrological Monitoring System with Telemetry Stations</x:v>
      </x:c>
      <x:c r="C152" s="159" t="str">
        <x:v>Geohydrological disasters</x:v>
      </x:c>
      <x:c r="D152" s="159" t="str">
        <x:v>Vulnerability</x:v>
      </x:c>
      <x:c r="E152" s="153" t="str"/>
      <x:c r="F152" s="153" t="str"/>
      <x:c r="G152" s="159" t="str">
        <x:v>Early Warnings for All: Executive Action Plan 2023–2027</x:v>
      </x:c>
      <x:c r="H152" s="159" t="str">
        <x:v>https://www.undrr.org/sites/default/files/inline-files/EWS_Executive_Action_Plan_en_compressed%20%281%29.pdf?startDownload=true</x:v>
      </x:c>
      <x:c r="I152" s="168" t="n">
        <x:v>6</x:v>
      </x:c>
      <x:c r="J152" s="159" t="str">
        <x:v>1</x:v>
      </x:c>
      <x:c r="K152" s="159" t="str">
        <x:v>Verified — exact</x:v>
      </x:c>
      <x:c r="L152" s="159" t="str">
        <x:v>Normalized quote occurs on the cited PDF page.</x:v>
      </x:c>
      <x:c r="M152" s="159" t="str">
        <x:v>Supports</x:v>
      </x:c>
      <x:c r="N152" s="159" t="str">
        <x:v>Whole action</x:v>
      </x:c>
      <x:c r="O152" s="159" t="str">
        <x:v>No</x:v>
      </x:c>
      <x:c r="P152" s="159" t="str">
        <x:v>Early warning systems | Early warning systems</x:v>
      </x:c>
      <x:c r="Q152" s="159" t="str">
        <x:v>Early warnings save lives and provide vast economic benefits. Just 24 hours' notice of an impending hazardous event can cut the ensuing damage by 30 per cent. The Global Commission on Adaptation found that spending just $800 million on such systems in developing countries would avoid losses of $3–16 billion per annum.</x:v>
      </x:c>
      <x:c r="R152" s="159" t="str">
        <x:v>24 hours' notice can reduce ensuing damage by 30%; $800m investment could avoid $3–16bn annual losses</x:v>
      </x:c>
      <x:c r="S152" s="160" t="str">
        <x:v>Medium</x:v>
      </x:c>
    </x:row>
    <x:row r="153" ht="90" customHeight="1">
      <x:c r="A153" s="165" t="str">
        <x:v>ipcc_0087</x:v>
      </x:c>
      <x:c r="B153" s="159" t="str">
        <x:v>Improve Infrastructure retrofitting</x:v>
      </x:c>
      <x:c r="C153" s="159" t="str">
        <x:v>Geohydrological disasters</x:v>
      </x:c>
      <x:c r="D153" s="159" t="str">
        <x:v>Vulnerability</x:v>
      </x:c>
      <x:c r="E153" s="153" t="str"/>
      <x:c r="F153" s="153" t="str"/>
      <x:c r="G153" s="159" t="str">
        <x:v>Making Cities Resilient 2030 (MCR2030): Initial Proposal</x:v>
      </x:c>
      <x:c r="H153" s="159" t="str">
        <x:v>https://mcr2030.undrr.org/sites/default/files/2021-04/MCR2030%20in%20English%20ver.2%20%2820210302%29.pdf?startDownload=true</x:v>
      </x:c>
      <x:c r="I153" s="168" t="n">
        <x:v>2</x:v>
      </x:c>
      <x:c r="J153" s="159" t="str">
        <x:v>2</x:v>
      </x:c>
      <x:c r="K153" s="159" t="str">
        <x:v>Verified — ordered</x:v>
      </x:c>
      <x:c r="L153" s="159" t="str">
        <x:v>Ordered token coverage on the cited PDF page is 100.0%.</x:v>
      </x:c>
      <x:c r="M153" s="159" t="str">
        <x:v>Supports</x:v>
      </x:c>
      <x:c r="N153" s="159" t="str">
        <x:v>Part of action</x:v>
      </x:c>
      <x:c r="O153" s="159" t="str">
        <x:v>No</x:v>
      </x:c>
      <x:c r="P153" s="159" t="str">
        <x:v>Actions to reduce risk | Housing governance | Transport governance | Inappropriate households | Lack of urban mobility | Inaccessibility to cities | Basic sanitation | Drainage | Actions to reduce risk | Housing governance | Transport governance | Inappropriate households | Lack of urban mobility | Inaccessibility to cities | Basic sanitation | Drainage</x:v>
      </x:c>
      <x:c r="Q153" s="159" t="str">
        <x:v>Strategic Objective 2. Strengthen cities' capacity to develop local strategies/plans to enhance resilience; by: improving their self-assessment and diagnostic skills; providing relevant training and tools for strategic planning to reduce disaster and climate risks and for risk-informed development. Strategic Objective 3. Support cities to implement local strategies/plans to enhance resilience; by: providing access to finance for supporting DRR, climate change adaptation and to implement resilience initiatives; improving the ability of local authorities to plan, design, build and manage resilient infrastructure; improving the capacity of local authorities to use nature-based solutions and seek innovative approach to address local resilience.</x:v>
      </x:c>
      <x:c r="R153" s="159" t="str"/>
      <x:c r="S153" s="160" t="str">
        <x:v>Medium</x:v>
      </x:c>
    </x:row>
    <x:row r="154" ht="90" customHeight="1">
      <x:c r="A154" s="165" t="str">
        <x:v>icare_0171</x:v>
      </x:c>
      <x:c r="B154" s="159" t="str">
        <x:v>Improve the hydrometeorological forecasting, monitoring, and alert system for climate risks</x:v>
      </x:c>
      <x:c r="C154" s="159" t="str">
        <x:v>Geohydrological disasters</x:v>
      </x:c>
      <x:c r="D154" s="159" t="str">
        <x:v>Vulnerability</x:v>
      </x:c>
      <x:c r="E154" s="153" t="str"/>
      <x:c r="F154" s="153" t="str"/>
      <x:c r="G154" s="159" t="str">
        <x:v>Early Warnings for All: Executive Action Plan 2023–2027</x:v>
      </x:c>
      <x:c r="H154" s="159" t="str">
        <x:v>https://www.undrr.org/sites/default/files/inline-files/EWS_Executive_Action_Plan_en_compressed%20%281%29.pdf?startDownload=true</x:v>
      </x:c>
      <x:c r="I154" s="168" t="n">
        <x:v>6</x:v>
      </x:c>
      <x:c r="J154" s="159" t="str">
        <x:v>1</x:v>
      </x:c>
      <x:c r="K154" s="159" t="str">
        <x:v>Verified — exact</x:v>
      </x:c>
      <x:c r="L154" s="159" t="str">
        <x:v>Normalized quote occurs on the cited PDF page.</x:v>
      </x:c>
      <x:c r="M154" s="159" t="str">
        <x:v>Supports</x:v>
      </x:c>
      <x:c r="N154" s="159" t="str">
        <x:v>Whole action</x:v>
      </x:c>
      <x:c r="O154" s="159" t="str">
        <x:v>No</x:v>
      </x:c>
      <x:c r="P154" s="159" t="str">
        <x:v>Early warning systems | Early warning systems</x:v>
      </x:c>
      <x:c r="Q154" s="159" t="str">
        <x:v>Early warnings save lives and provide vast economic benefits. Just 24 hours' notice of an impending hazardous event can cut the ensuing damage by 30 per cent. The Global Commission on Adaptation found that spending just $800 million on such systems in developing countries would avoid losses of $3–16 billion per annum.</x:v>
      </x:c>
      <x:c r="R154" s="159" t="str">
        <x:v>24 hours' notice can reduce ensuing damage by 30%; $800m investment could avoid $3–16bn annual losses</x:v>
      </x:c>
      <x:c r="S154" s="160" t="str">
        <x:v>Medium</x:v>
      </x:c>
    </x:row>
    <x:row r="155" ht="90" customHeight="1">
      <x:c r="A155" s="165" t="str">
        <x:v>ipcc_0101</x:v>
      </x:c>
      <x:c r="B155" s="159" t="str">
        <x:v>Improve urban water management</x:v>
      </x:c>
      <x:c r="C155" s="159" t="str">
        <x:v>Geohydrological disasters</x:v>
      </x:c>
      <x:c r="D155" s="159" t="str">
        <x:v>Vulnerability</x:v>
      </x:c>
      <x:c r="E155" s="153" t="str"/>
      <x:c r="F155" s="153" t="str"/>
      <x:c r="G155" s="159" t="str">
        <x:v>Manual para Apresentação de Propostas para Sistemas de Drenagem Urbana Sustentável e de Manejo de Águas Pluviais</x:v>
      </x:c>
      <x:c r="H155" s="159" t="str">
        <x:v>https://www.gov.br/mdr/pt-br/assuntos/emendasparlamentares/acao_10SG_drenagem_urbana.pdf</x:v>
      </x:c>
      <x:c r="I155" s="168" t="n">
        <x:v>5</x:v>
      </x:c>
      <x:c r="J155" s="159" t="str">
        <x:v>5</x:v>
      </x:c>
      <x:c r="K155" s="159" t="str">
        <x:v>Verified — exact</x:v>
      </x:c>
      <x:c r="L155" s="159" t="str">
        <x:v>Normalized quote occurs on the cited PDF page.</x:v>
      </x:c>
      <x:c r="M155" s="159" t="str">
        <x:v>Supports</x:v>
      </x:c>
      <x:c r="N155" s="159" t="str">
        <x:v>Part of action</x:v>
      </x:c>
      <x:c r="O155" s="159" t="str">
        <x:v>No</x:v>
      </x:c>
      <x:c r="P155" s="159" t="str">
        <x:v>Basic sanitation | Drainage | Actions to reduce risk | Municipal basic sanitation plan | Basic sanitation | Drainage</x:v>
      </x:c>
      <x:c r="Q155" s="159" t="str">
        <x:v>A ação de apoio a Sistemas de Drenagem Urbana Sustentável e de Manejo de Águas Pluviais do Programa Gestão de Riscos e Desastres objetiva apoiar a redução do risco de desastres naturais em municípios críticos a partir do planejamento e da execução de obras, em articulação com as políticas de desenvolvimento urbano, de uso e ocupação do solo e de gestão das respectivas bacias hidrográficas, com foco na gestão sustentável da drenagem urbana, por meio de ações estruturais e não-estruturais dirigidas à recuperação de áreas úmidas, à prevenção, ao controle e à minimização dos impactos provocados por alagamentos, enchentes e inundações urbanas e ribeirinhas.</x:v>
      </x:c>
      <x:c r="R155" s="159" t="str"/>
      <x:c r="S155" s="160" t="str">
        <x:v>Medium</x:v>
      </x:c>
    </x:row>
    <x:row r="156" ht="90" customHeight="1">
      <x:c r="A156" s="165" t="str">
        <x:v>ipcc_0101</x:v>
      </x:c>
      <x:c r="B156" s="159" t="str">
        <x:v>Improve urban water management</x:v>
      </x:c>
      <x:c r="C156" s="159" t="str">
        <x:v>Geohydrological disasters</x:v>
      </x:c>
      <x:c r="D156" s="159" t="str">
        <x:v>Vulnerability</x:v>
      </x:c>
      <x:c r="E156" s="153" t="str"/>
      <x:c r="F156" s="153" t="str"/>
      <x:c r="G156" s="159" t="str">
        <x:v>Manual para Apresentação de Propostas para Sistemas de Drenagem Urbana Sustentável e de Manejo de Águas Pluviais</x:v>
      </x:c>
      <x:c r="H156" s="159" t="str">
        <x:v>https://www.gov.br/mdr/pt-br/assuntos/emendasparlamentares/acao_10SG_drenagem_urbana.pdf</x:v>
      </x:c>
      <x:c r="I156" s="168" t="n">
        <x:v>9</x:v>
      </x:c>
      <x:c r="J156" s="159" t="str">
        <x:v>9</x:v>
      </x:c>
      <x:c r="K156" s="159" t="str">
        <x:v>Verified — exact</x:v>
      </x:c>
      <x:c r="L156" s="159" t="str">
        <x:v>Normalized quote occurs on the cited PDF page.</x:v>
      </x:c>
      <x:c r="M156" s="159" t="str">
        <x:v>Supports</x:v>
      </x:c>
      <x:c r="N156" s="159" t="str">
        <x:v>Whole action</x:v>
      </x:c>
      <x:c r="O156" s="159" t="str">
        <x:v>No</x:v>
      </x:c>
      <x:c r="P156" s="159" t="str">
        <x:v>Drainage | Actions to reduce risk | Municipal basic sanitation plan | Basic sanitation | Drainage</x:v>
      </x:c>
      <x:c r="Q156" s="159" t="str">
        <x:v>Os projetos deverão quantificar o número de famílias e edificações beneficiadas que sairão da área de risco de alagamentos para o cenário projetado após a execução das obras de drenagem propostas, por meio da apresentação de mapas que apresentem as manchas de inundação para diferentes Tempos de Retorno (TR), para situação antes e após a execução da intervenção na área proposta.</x:v>
      </x:c>
      <x:c r="R156" s="159" t="str"/>
      <x:c r="S156" s="160" t="str">
        <x:v>Medium</x:v>
      </x:c>
    </x:row>
    <x:row r="157" ht="90" customHeight="1">
      <x:c r="A157" s="165" t="str">
        <x:v>c40_0056</x:v>
      </x:c>
      <x:c r="B157" s="159" t="str">
        <x:v>Improve Watershed Protection and Management</x:v>
      </x:c>
      <x:c r="C157" s="159" t="str">
        <x:v>Geohydrological disasters</x:v>
      </x:c>
      <x:c r="D157" s="159" t="str">
        <x:v>Vulnerability</x:v>
      </x:c>
      <x:c r="E157" s="153" t="str"/>
      <x:c r="F157" s="153" t="str"/>
      <x:c r="G157" s="159" t="str">
        <x:v>Making Cities Resilient 2030 (MCR2030): Initial Proposal</x:v>
      </x:c>
      <x:c r="H157" s="159" t="str">
        <x:v>https://mcr2030.undrr.org/sites/default/files/2021-04/MCR2030%20in%20English%20ver.2%20%2820210302%29.pdf?startDownload=true</x:v>
      </x:c>
      <x:c r="I157" s="168" t="n">
        <x:v>2</x:v>
      </x:c>
      <x:c r="J157" s="159" t="str">
        <x:v>2</x:v>
      </x:c>
      <x:c r="K157" s="159" t="str">
        <x:v>Verified — ordered</x:v>
      </x:c>
      <x:c r="L157" s="159" t="str">
        <x:v>Ordered token coverage on the cited PDF page is 100.0%.</x:v>
      </x:c>
      <x:c r="M157" s="159" t="str">
        <x:v>Supports</x:v>
      </x:c>
      <x:c r="N157" s="159" t="str">
        <x:v>Part of action</x:v>
      </x:c>
      <x:c r="O157" s="159" t="str">
        <x:v>No</x:v>
      </x:c>
      <x:c r="P157" s="159" t="str">
        <x:v>Actions to reduce risk | Land use and occupation | Environmental governance | Actions to reduce risk | Land use and occupation | Environmental governance</x:v>
      </x:c>
      <x:c r="Q157" s="159" t="str">
        <x:v>Strategic Objective 2. Strengthen cities' capacity to develop local strategies/plans to enhance resilience; by: improving their self-assessment and diagnostic skills; providing relevant training and tools for strategic planning to reduce disaster and climate risks and for risk-informed development. Strategic Objective 3. Support cities to implement local strategies/plans to enhance resilience; by: providing access to finance for supporting DRR, climate change adaptation and to implement resilience initiatives; improving the ability of local authorities to plan, design, build and manage resilient infrastructure; improving the capacity of local authorities to use nature-based solutions and seek innovative approach to address local resilience.</x:v>
      </x:c>
      <x:c r="R157" s="159" t="str"/>
      <x:c r="S157" s="160" t="str">
        <x:v>Low</x:v>
      </x:c>
    </x:row>
    <x:row r="158" ht="90" customHeight="1">
      <x:c r="A158" s="165" t="str">
        <x:v>c40_0056</x:v>
      </x:c>
      <x:c r="B158" s="159" t="str">
        <x:v>Improve Watershed Protection and Management</x:v>
      </x:c>
      <x:c r="C158" s="159" t="str">
        <x:v>Geohydrological disasters</x:v>
      </x:c>
      <x:c r="D158" s="159" t="str">
        <x:v>Vulnerability</x:v>
      </x:c>
      <x:c r="E158" s="153" t="str"/>
      <x:c r="F158" s="153" t="str"/>
      <x:c r="G158" s="159" t="str">
        <x:v>Manual para Apresentação de Propostas para Sistemas de Drenagem Urbana Sustentável e de Manejo de Águas Pluviais</x:v>
      </x:c>
      <x:c r="H158" s="159" t="str">
        <x:v>https://www.gov.br/mdr/pt-br/assuntos/emendasparlamentares/acao_10SG_drenagem_urbana.pdf</x:v>
      </x:c>
      <x:c r="I158" s="168" t="n">
        <x:v>5</x:v>
      </x:c>
      <x:c r="J158" s="159" t="str">
        <x:v>5</x:v>
      </x:c>
      <x:c r="K158" s="159" t="str">
        <x:v>Verified — exact</x:v>
      </x:c>
      <x:c r="L158" s="159" t="str">
        <x:v>Normalized quote occurs on the cited PDF page.</x:v>
      </x:c>
      <x:c r="M158" s="159" t="str">
        <x:v>Supports</x:v>
      </x:c>
      <x:c r="N158" s="159" t="str">
        <x:v>Part of action</x:v>
      </x:c>
      <x:c r="O158" s="159" t="str">
        <x:v>No</x:v>
      </x:c>
      <x:c r="P158" s="159" t="str">
        <x:v>Actions to reduce risk | Land use and occupation | Actions to reduce risk | Land use and occupation</x:v>
      </x:c>
      <x:c r="Q158" s="159" t="str">
        <x:v>A ação de apoio a Sistemas de Drenagem Urbana Sustentável e de Manejo de Águas Pluviais do Programa Gestão de Riscos e Desastres objetiva apoiar a redução do risco de desastres naturais em municípios críticos a partir do planejamento e da execução de obras, em articulação com as políticas de desenvolvimento urbano, de uso e ocupação do solo e de gestão das respectivas bacias hidrográficas, com foco na gestão sustentável da drenagem urbana, por meio de ações estruturais e não-estruturais dirigidas à recuperação de áreas úmidas, à prevenção, ao controle e à minimização dos impactos provocados por alagamentos, enchentes e inundações urbanas e ribeirinhas.</x:v>
      </x:c>
      <x:c r="R158" s="159" t="str"/>
      <x:c r="S158" s="160" t="str">
        <x:v>Low</x:v>
      </x:c>
    </x:row>
    <x:row r="159" ht="90" customHeight="1">
      <x:c r="A159" s="165" t="str">
        <x:v>c40_0056</x:v>
      </x:c>
      <x:c r="B159" s="159" t="str">
        <x:v>Improve Watershed Protection and Management</x:v>
      </x:c>
      <x:c r="C159" s="159" t="str">
        <x:v>Geohydrological disasters</x:v>
      </x:c>
      <x:c r="D159" s="159" t="str">
        <x:v>Vulnerability</x:v>
      </x:c>
      <x:c r="E159" s="153" t="str"/>
      <x:c r="F159" s="153" t="str"/>
      <x:c r="G159" s="159" t="str">
        <x:v>Making Cities Resilient 2030 (MCR2030): Initial Proposal</x:v>
      </x:c>
      <x:c r="H159" s="159" t="str">
        <x:v>https://mcr2030.undrr.org/sites/default/files/2021-04/MCR2030%20in%20English%20ver.2%20%2820210302%29.pdf?startDownload=true</x:v>
      </x:c>
      <x:c r="I159" s="168" t="n">
        <x:v>9</x:v>
      </x:c>
      <x:c r="J159" s="159" t="str">
        <x:v>9</x:v>
      </x:c>
      <x:c r="K159" s="159" t="str">
        <x:v>Verified — exact</x:v>
      </x:c>
      <x:c r="L159" s="159" t="str">
        <x:v>Normalized quote occurs on the cited PDF page.</x:v>
      </x:c>
      <x:c r="M159" s="159" t="str">
        <x:v>Supports</x:v>
      </x:c>
      <x:c r="N159" s="159" t="str">
        <x:v>Part of action</x:v>
      </x:c>
      <x:c r="O159" s="159" t="str">
        <x:v>No</x:v>
      </x:c>
      <x:c r="P159" s="159" t="str">
        <x:v>Actions to reduce risk | Land use and occupation | Environmental governance | Actions to reduce risk | Land use and occupation | Environmental governance</x:v>
      </x:c>
      <x:c r="Q159" s="159" t="str">
        <x:v>Infrastructure resilience and a city's environs cannot rely on over-engineered solutions. Cities need to incorporate their natural assets in building their resilience in a manner that maximizes the deployment of natural features further adding to their sustainability.</x:v>
      </x:c>
      <x:c r="R159" s="159" t="str"/>
      <x:c r="S159" s="160" t="str">
        <x:v>Low</x:v>
      </x:c>
    </x:row>
    <x:row r="160" ht="90" customHeight="1">
      <x:c r="A160" s="165" t="str">
        <x:v>ipcc_0099</x:v>
      </x:c>
      <x:c r="B160" s="159" t="str">
        <x:v>Increase Water Capture and Storage</x:v>
      </x:c>
      <x:c r="C160" s="159" t="str">
        <x:v>Geohydrological disasters</x:v>
      </x:c>
      <x:c r="D160" s="159" t="str">
        <x:v>Vulnerability</x:v>
      </x:c>
      <x:c r="E160" s="153" t="str"/>
      <x:c r="F160" s="153" t="str"/>
      <x:c r="G160" s="159" t="str">
        <x:v>Manual para Apresentação de Propostas para Sistemas de Drenagem Urbana Sustentável e de Manejo de Águas Pluviais</x:v>
      </x:c>
      <x:c r="H160" s="159" t="str">
        <x:v>https://www.gov.br/mdr/pt-br/assuntos/emendasparlamentares/acao_10SG_drenagem_urbana.pdf</x:v>
      </x:c>
      <x:c r="I160" s="168" t="n">
        <x:v>5</x:v>
      </x:c>
      <x:c r="J160" s="159" t="str">
        <x:v>5</x:v>
      </x:c>
      <x:c r="K160" s="159" t="str">
        <x:v>Verified — exact</x:v>
      </x:c>
      <x:c r="L160" s="159" t="str">
        <x:v>Normalized quote occurs on the cited PDF page.</x:v>
      </x:c>
      <x:c r="M160" s="159" t="str">
        <x:v>Supports</x:v>
      </x:c>
      <x:c r="N160" s="159" t="str">
        <x:v>Part of action</x:v>
      </x:c>
      <x:c r="O160" s="159" t="str">
        <x:v>No</x:v>
      </x:c>
      <x:c r="P160" s="159" t="str">
        <x:v>Actions to reduce risk | Drainage</x:v>
      </x:c>
      <x:c r="Q160" s="159" t="str">
        <x:v>A ação de apoio a Sistemas de Drenagem Urbana Sustentável e de Manejo de Águas Pluviais do Programa Gestão de Riscos e Desastres objetiva apoiar a redução do risco de desastres naturais em municípios críticos a partir do planejamento e da execução de obras, em articulação com as políticas de desenvolvimento urbano, de uso e ocupação do solo e de gestão das respectivas bacias hidrográficas, com foco na gestão sustentável da drenagem urbana, por meio de ações estruturais e não-estruturais dirigidas à recuperação de áreas úmidas, à prevenção, ao controle e à minimização dos impactos provocados por alagamentos, enchentes e inundações urbanas e ribeirinhas.</x:v>
      </x:c>
      <x:c r="R160" s="159" t="str"/>
      <x:c r="S160" s="160" t="str">
        <x:v>Low</x:v>
      </x:c>
    </x:row>
    <x:row r="161" ht="90" customHeight="1">
      <x:c r="A161" s="165" t="str">
        <x:v>ipcc_0104</x:v>
      </x:c>
      <x:c r="B161" s="159" t="str">
        <x:v>Plan and support permanent climate‑related migration</x:v>
      </x:c>
      <x:c r="C161" s="159" t="str">
        <x:v>Geohydrological disasters</x:v>
      </x:c>
      <x:c r="D161" s="159" t="str">
        <x:v>Vulnerability</x:v>
      </x:c>
      <x:c r="E161" s="153" t="str"/>
      <x:c r="F161" s="153" t="str"/>
      <x:c r="G161" s="159" t="str">
        <x:v>Climate Change 2022: Impacts, Adaptation and Vulnerability</x:v>
      </x:c>
      <x:c r="H161" s="159" t="str">
        <x:v>https://www.ipcc.ch/report/ar6/wg2/downloads/report/IPCC_AR6_WGII_FullReport.pdf</x:v>
      </x:c>
      <x:c r="I161" s="168" t="n">
        <x:v>37</x:v>
      </x:c>
      <x:c r="J161" s="159" t="str">
        <x:v>25</x:v>
      </x:c>
      <x:c r="K161" s="159" t="str">
        <x:v>Verified — ordered</x:v>
      </x:c>
      <x:c r="L161" s="159" t="str">
        <x:v>Ordered token coverage on the cited PDF page is 100.0%.</x:v>
      </x:c>
      <x:c r="M161" s="159" t="str">
        <x:v>Supports</x:v>
      </x:c>
      <x:c r="N161" s="159" t="str">
        <x:v>Part of action</x:v>
      </x:c>
      <x:c r="O161" s="159" t="str">
        <x:v>No</x:v>
      </x:c>
      <x:c r="P161" s="159" t="str">
        <x:v>Urban occupation management in risk areas | Housing governance | Inappropriate households | Urban occupation management in risk areas | Housing governance | Inappropriate households</x:v>
      </x:c>
      <x:c r="Q161" s="159" t="str">
        <x:v>Responses to ongoing sea level rise and land subsidence in low-lying coastal cities and settlements and small islands include protection, accommodation, advance and planned relocation (high confidence). These responses are more effective if combined and/or sequenced, planned well ahead, aligned with sociocultural values and development priorities, and underpinned by inclusive community engagement processes (high confidence).</x:v>
      </x:c>
      <x:c r="R161" s="159" t="str"/>
      <x:c r="S161" s="160" t="str">
        <x:v>Medium</x:v>
      </x:c>
    </x:row>
    <x:row r="162" ht="90" customHeight="1">
      <x:c r="A162" s="165" t="str">
        <x:v>ipcc_0104</x:v>
      </x:c>
      <x:c r="B162" s="159" t="str">
        <x:v>Plan and support permanent climate‑related migration</x:v>
      </x:c>
      <x:c r="C162" s="159" t="str">
        <x:v>Geohydrological disasters</x:v>
      </x:c>
      <x:c r="D162" s="159" t="str">
        <x:v>Exposure</x:v>
      </x:c>
      <x:c r="E162" s="153" t="str"/>
      <x:c r="F162" s="153" t="str"/>
      <x:c r="G162" s="159" t="str">
        <x:v>Climate Change 2022: Impacts, Adaptation and Vulnerability</x:v>
      </x:c>
      <x:c r="H162" s="159" t="str">
        <x:v>https://www.ipcc.ch/report/ar6/wg2/downloads/report/IPCC_AR6_WGII_FullReport.pdf</x:v>
      </x:c>
      <x:c r="I162" s="168" t="n">
        <x:v>37</x:v>
      </x:c>
      <x:c r="J162" s="159" t="str">
        <x:v>25</x:v>
      </x:c>
      <x:c r="K162" s="159" t="str">
        <x:v>Verified — ordered</x:v>
      </x:c>
      <x:c r="L162" s="159" t="str">
        <x:v>Ordered token coverage on the cited PDF page is 100.0%.</x:v>
      </x:c>
      <x:c r="M162" s="159" t="str">
        <x:v>Supports</x:v>
      </x:c>
      <x:c r="N162" s="159" t="str">
        <x:v>Whole action</x:v>
      </x:c>
      <x:c r="O162" s="159" t="str">
        <x:v>No</x:v>
      </x:c>
      <x:c r="P162" s="159" t="str">
        <x:v>Households in risk areas | Urban population density | Households in risk areas | Urban population density</x:v>
      </x:c>
      <x:c r="Q162" s="159" t="str">
        <x:v>Responses to ongoing sea level rise and land subsidence in low-lying coastal cities and settlements and small islands include protection, accommodation, advance and planned relocation (high confidence). These responses are more effective if combined and/or sequenced, planned well ahead, aligned with sociocultural values and development priorities, and underpinned by inclusive community engagement processes (high confidence).</x:v>
      </x:c>
      <x:c r="R162" s="159" t="str"/>
      <x:c r="S162" s="160" t="str">
        <x:v>Medium</x:v>
      </x:c>
    </x:row>
    <x:row r="163" ht="90" customHeight="1">
      <x:c r="A163" s="165" t="str">
        <x:v>ipcc_0104</x:v>
      </x:c>
      <x:c r="B163" s="159" t="str">
        <x:v>Plan and support permanent climate‑related migration</x:v>
      </x:c>
      <x:c r="C163" s="159" t="str">
        <x:v>Geohydrological disasters</x:v>
      </x:c>
      <x:c r="D163" s="159" t="str">
        <x:v>Vulnerability</x:v>
      </x:c>
      <x:c r="E163" s="153" t="str"/>
      <x:c r="F163" s="153" t="str"/>
      <x:c r="G163" s="159" t="str">
        <x:v>Climate Change 2022: Impacts, Adaptation and Vulnerability</x:v>
      </x:c>
      <x:c r="H163" s="159" t="str">
        <x:v>https://www.ipcc.ch/report/ar6/wg2/downloads/report/IPCC_AR6_WGII_FullReport.pdf</x:v>
      </x:c>
      <x:c r="I163" s="168" t="n">
        <x:v>108</x:v>
      </x:c>
      <x:c r="J163" s="159" t="str">
        <x:v>96</x:v>
      </x:c>
      <x:c r="K163" s="159" t="str">
        <x:v>Verified — ordered</x:v>
      </x:c>
      <x:c r="L163" s="159" t="str">
        <x:v>Ordered token coverage on the cited PDF page is 98.0%.</x:v>
      </x:c>
      <x:c r="M163" s="159" t="str">
        <x:v>Qualifies</x:v>
      </x:c>
      <x:c r="N163" s="159" t="str">
        <x:v>Whole action</x:v>
      </x:c>
      <x:c r="O163" s="159" t="str">
        <x:v>No</x:v>
      </x:c>
      <x:c r="P163" s="159" t="str">
        <x:v>Urban occupation management in risk areas | Housing governance | Inappropriate households | Urban occupation management in risk areas | Housing governance | Inappropriate households</x:v>
      </x:c>
      <x:c r="Q163" s="159" t="str">
        <x:v>Properly supported and where levels of agency and assets are high, migration as an adaptation to climate change can reduce exposure and socioeconomic vulnerability (medium confidence). However, migration becomes a risk when climate hazards cause an individual, household or community to move involuntarily or with low agency (high confidence).</x:v>
      </x:c>
      <x:c r="R163" s="159" t="str"/>
      <x:c r="S163" s="160" t="str">
        <x:v>Medium</x:v>
      </x:c>
    </x:row>
    <x:row r="164" ht="90" customHeight="1">
      <x:c r="A164" s="165" t="str">
        <x:v>ipcc_0104</x:v>
      </x:c>
      <x:c r="B164" s="159" t="str">
        <x:v>Plan and support permanent climate‑related migration</x:v>
      </x:c>
      <x:c r="C164" s="159" t="str">
        <x:v>Geohydrological disasters</x:v>
      </x:c>
      <x:c r="D164" s="159" t="str">
        <x:v>Exposure</x:v>
      </x:c>
      <x:c r="E164" s="153" t="str"/>
      <x:c r="F164" s="153" t="str"/>
      <x:c r="G164" s="159" t="str">
        <x:v>Climate Change 2022: Impacts, Adaptation and Vulnerability</x:v>
      </x:c>
      <x:c r="H164" s="159" t="str">
        <x:v>https://www.ipcc.ch/report/ar6/wg2/downloads/report/IPCC_AR6_WGII_FullReport.pdf</x:v>
      </x:c>
      <x:c r="I164" s="168" t="n">
        <x:v>108</x:v>
      </x:c>
      <x:c r="J164" s="159" t="str">
        <x:v>96</x:v>
      </x:c>
      <x:c r="K164" s="159" t="str">
        <x:v>Verified — ordered</x:v>
      </x:c>
      <x:c r="L164" s="159" t="str">
        <x:v>Ordered token coverage on the cited PDF page is 98.0%.</x:v>
      </x:c>
      <x:c r="M164" s="159" t="str">
        <x:v>Qualifies</x:v>
      </x:c>
      <x:c r="N164" s="159" t="str">
        <x:v>Whole action</x:v>
      </x:c>
      <x:c r="O164" s="159" t="str">
        <x:v>No</x:v>
      </x:c>
      <x:c r="P164" s="159" t="str">
        <x:v>Households in risk areas | Urban population density | Households in risk areas | Urban population density</x:v>
      </x:c>
      <x:c r="Q164" s="159" t="str">
        <x:v>Properly supported and where levels of agency and assets are high, migration as an adaptation to climate change can reduce exposure and socioeconomic vulnerability (medium confidence). However, migration becomes a risk when climate hazards cause an individual, household or community to move involuntarily or with low agency (high confidence).</x:v>
      </x:c>
      <x:c r="R164" s="159" t="str"/>
      <x:c r="S164" s="160" t="str">
        <x:v>Medium</x:v>
      </x:c>
    </x:row>
    <x:row r="165" ht="90" customHeight="1">
      <x:c r="A165" s="165" t="str">
        <x:v>icare_0173</x:v>
      </x:c>
      <x:c r="B165" s="159" t="str">
        <x:v>Preventive maintenance of drainage systems</x:v>
      </x:c>
      <x:c r="C165" s="159" t="str">
        <x:v>Geohydrological disasters</x:v>
      </x:c>
      <x:c r="D165" s="159" t="str">
        <x:v>Vulnerability</x:v>
      </x:c>
      <x:c r="E165" s="153" t="str"/>
      <x:c r="F165" s="153" t="str"/>
      <x:c r="G165" s="159" t="str">
        <x:v>Manual para Apresentação de Propostas para Sistemas de Drenagem Urbana Sustentável e de Manejo de Águas Pluviais</x:v>
      </x:c>
      <x:c r="H165" s="159" t="str">
        <x:v>https://www.gov.br/mdr/pt-br/assuntos/emendasparlamentares/acao_10SG_drenagem_urbana.pdf</x:v>
      </x:c>
      <x:c r="I165" s="168" t="n">
        <x:v>5</x:v>
      </x:c>
      <x:c r="J165" s="159" t="str">
        <x:v>5</x:v>
      </x:c>
      <x:c r="K165" s="159" t="str">
        <x:v>Verified — exact</x:v>
      </x:c>
      <x:c r="L165" s="159" t="str">
        <x:v>Normalized quote occurs on the cited PDF page.</x:v>
      </x:c>
      <x:c r="M165" s="159" t="str">
        <x:v>Supports</x:v>
      </x:c>
      <x:c r="N165" s="159" t="str">
        <x:v>Part of action</x:v>
      </x:c>
      <x:c r="O165" s="159" t="str">
        <x:v>No</x:v>
      </x:c>
      <x:c r="P165" s="159" t="str">
        <x:v>Waste management and public cleaning | Actions to reduce risk | Municipal basic sanitation plan | Basic sanitation | Drainage</x:v>
      </x:c>
      <x:c r="Q165" s="159" t="str">
        <x:v>A ação de apoio a Sistemas de Drenagem Urbana Sustentável e de Manejo de Águas Pluviais do Programa Gestão de Riscos e Desastres objetiva apoiar a redução do risco de desastres naturais em municípios críticos a partir do planejamento e da execução de obras, em articulação com as políticas de desenvolvimento urbano, de uso e ocupação do solo e de gestão das respectivas bacias hidrográficas, com foco na gestão sustentável da drenagem urbana, por meio de ações estruturais e não-estruturais dirigidas à recuperação de áreas úmidas, à prevenção, ao controle e à minimização dos impactos provocados por alagamentos, enchentes e inundações urbanas e ribeirinhas.</x:v>
      </x:c>
      <x:c r="R165" s="159" t="str"/>
      <x:c r="S165" s="160" t="str">
        <x:v>Medium</x:v>
      </x:c>
    </x:row>
    <x:row r="166" ht="90" customHeight="1">
      <x:c r="A166" s="165" t="str">
        <x:v>icare_0173</x:v>
      </x:c>
      <x:c r="B166" s="159" t="str">
        <x:v>Preventive maintenance of drainage systems</x:v>
      </x:c>
      <x:c r="C166" s="159" t="str">
        <x:v>Geohydrological disasters</x:v>
      </x:c>
      <x:c r="D166" s="159" t="str">
        <x:v>Vulnerability</x:v>
      </x:c>
      <x:c r="E166" s="153" t="str"/>
      <x:c r="F166" s="153" t="str"/>
      <x:c r="G166" s="159" t="str">
        <x:v>Manual para Apresentação de Propostas para Sistemas de Drenagem Urbana Sustentável e de Manejo de Águas Pluviais</x:v>
      </x:c>
      <x:c r="H166" s="159" t="str">
        <x:v>https://www.gov.br/mdr/pt-br/assuntos/emendasparlamentares/acao_10SG_drenagem_urbana.pdf</x:v>
      </x:c>
      <x:c r="I166" s="168" t="n">
        <x:v>9</x:v>
      </x:c>
      <x:c r="J166" s="159" t="str">
        <x:v>9</x:v>
      </x:c>
      <x:c r="K166" s="159" t="str">
        <x:v>Verified — exact</x:v>
      </x:c>
      <x:c r="L166" s="159" t="str">
        <x:v>Normalized quote occurs on the cited PDF page.</x:v>
      </x:c>
      <x:c r="M166" s="159" t="str">
        <x:v>Supports</x:v>
      </x:c>
      <x:c r="N166" s="159" t="str">
        <x:v>Whole action</x:v>
      </x:c>
      <x:c r="O166" s="159" t="str">
        <x:v>No</x:v>
      </x:c>
      <x:c r="P166" s="159" t="str">
        <x:v>Waste management and public cleaning | Actions to reduce risk | Municipal basic sanitation plan | Basic sanitation | Drainage</x:v>
      </x:c>
      <x:c r="Q166" s="159" t="str">
        <x:v>Os projetos deverão quantificar o número de famílias e edificações beneficiadas que sairão da área de risco de alagamentos para o cenário projetado após a execução das obras de drenagem propostas, por meio da apresentação de mapas que apresentem as manchas de inundação para diferentes Tempos de Retorno (TR), para situação antes e após a execução da intervenção na área proposta.</x:v>
      </x:c>
      <x:c r="R166" s="159" t="str"/>
      <x:c r="S166" s="160" t="str">
        <x:v>Medium</x:v>
      </x:c>
    </x:row>
    <x:row r="167" ht="90" customHeight="1">
      <x:c r="A167" s="165" t="str">
        <x:v>icare_0178</x:v>
      </x:c>
      <x:c r="B167" s="159" t="str">
        <x:v>Redirect urban development through climate‑risk spatial planning</x:v>
      </x:c>
      <x:c r="C167" s="159" t="str">
        <x:v>Geohydrological disasters</x:v>
      </x:c>
      <x:c r="D167" s="159" t="str">
        <x:v>Vulnerability</x:v>
      </x:c>
      <x:c r="E167" s="153" t="str"/>
      <x:c r="F167" s="153" t="str"/>
      <x:c r="G167" s="159" t="str">
        <x:v>Making Cities Resilient 2030 (MCR2030): Initial Proposal</x:v>
      </x:c>
      <x:c r="H167" s="159" t="str">
        <x:v>https://mcr2030.undrr.org/sites/default/files/2021-04/MCR2030%20in%20English%20ver.2%20%2820210302%29.pdf?startDownload=true</x:v>
      </x:c>
      <x:c r="I167" s="168" t="n">
        <x:v>2</x:v>
      </x:c>
      <x:c r="J167" s="159" t="str">
        <x:v>2</x:v>
      </x:c>
      <x:c r="K167" s="159" t="str">
        <x:v>Verified — ordered</x:v>
      </x:c>
      <x:c r="L167" s="159" t="str">
        <x:v>Ordered token coverage on the cited PDF page is 100.0%.</x:v>
      </x:c>
      <x:c r="M167" s="159" t="str">
        <x:v>Supports</x:v>
      </x:c>
      <x:c r="N167" s="159" t="str">
        <x:v>Part of action</x:v>
      </x:c>
      <x:c r="O167" s="159" t="str">
        <x:v>No</x:v>
      </x:c>
      <x:c r="P167" s="159" t="str">
        <x:v>Urban occupation management in risk areas | Actions to reduce risk | Land use and occupation | Urban occupation management in risk areas | Actions to reduce risk | Land use and occupation</x:v>
      </x:c>
      <x:c r="Q167" s="159" t="str">
        <x:v>Strategic Objective 2. Strengthen cities' capacity to develop local strategies/plans to enhance resilience; by: improving their self-assessment and diagnostic skills; providing relevant training and tools for strategic planning to reduce disaster and climate risks and for risk-informed development. Strategic Objective 3. Support cities to implement local strategies/plans to enhance resilience; by: providing access to finance for supporting DRR, climate change adaptation and to implement resilience initiatives; improving the ability of local authorities to plan, design, build and manage resilient infrastructure; improving the capacity of local authorities to use nature-based solutions and seek innovative approach to address local resilience.</x:v>
      </x:c>
      <x:c r="R167" s="159" t="str"/>
      <x:c r="S167" s="160" t="str">
        <x:v>Medium</x:v>
      </x:c>
    </x:row>
    <x:row r="168" ht="90" customHeight="1">
      <x:c r="A168" s="165" t="str">
        <x:v>icare_0178</x:v>
      </x:c>
      <x:c r="B168" s="159" t="str">
        <x:v>Redirect urban development through climate‑risk spatial planning</x:v>
      </x:c>
      <x:c r="C168" s="159" t="str">
        <x:v>Geohydrological disasters</x:v>
      </x:c>
      <x:c r="D168" s="159" t="str">
        <x:v>Vulnerability</x:v>
      </x:c>
      <x:c r="E168" s="153" t="str"/>
      <x:c r="F168" s="153" t="str"/>
      <x:c r="G168" s="159" t="str">
        <x:v>Climate Change 2022: Impacts, Adaptation and Vulnerability</x:v>
      </x:c>
      <x:c r="H168" s="159" t="str">
        <x:v>https://www.ipcc.ch/report/ar6/wg2/downloads/report/IPCC_AR6_WGII_FullReport.pdf</x:v>
      </x:c>
      <x:c r="I168" s="168" t="n">
        <x:v>1657</x:v>
      </x:c>
      <x:c r="J168" s="159" t="str">
        <x:v>1645</x:v>
      </x:c>
      <x:c r="K168" s="159" t="str">
        <x:v>Verified — exact</x:v>
      </x:c>
      <x:c r="L168" s="159" t="str">
        <x:v>Normalized quote occurs on the cited PDF page.</x:v>
      </x:c>
      <x:c r="M168" s="159" t="str">
        <x:v>Supports</x:v>
      </x:c>
      <x:c r="N168" s="159" t="str">
        <x:v>Whole action</x:v>
      </x:c>
      <x:c r="O168" s="159" t="str">
        <x:v>No</x:v>
      </x:c>
      <x:c r="P168" s="159" t="str">
        <x:v>Urban occupation management in risk areas | Actions to reduce risk | Land use and occupation | Urban occupation management in risk areas | Actions to reduce risk | Land use and occupation</x:v>
      </x:c>
      <x:c r="Q168" s="159" t="str">
        <x:v>Reviewing land use and spatial planning to reduce exposure to climate risks.</x:v>
      </x:c>
      <x:c r="R168" s="159" t="str"/>
      <x:c r="S168" s="160" t="str">
        <x:v>Medium</x:v>
      </x:c>
    </x:row>
    <x:row r="169" ht="90" customHeight="1">
      <x:c r="A169" s="165" t="str">
        <x:v>icare_0178</x:v>
      </x:c>
      <x:c r="B169" s="159" t="str">
        <x:v>Redirect urban development through climate‑risk spatial planning</x:v>
      </x:c>
      <x:c r="C169" s="159" t="str">
        <x:v>Geohydrological disasters</x:v>
      </x:c>
      <x:c r="D169" s="159" t="str">
        <x:v>Exposure</x:v>
      </x:c>
      <x:c r="E169" s="153" t="str"/>
      <x:c r="F169" s="153" t="str"/>
      <x:c r="G169" s="159" t="str">
        <x:v>Climate Change 2022: Impacts, Adaptation and Vulnerability</x:v>
      </x:c>
      <x:c r="H169" s="159" t="str">
        <x:v>https://www.ipcc.ch/report/ar6/wg2/downloads/report/IPCC_AR6_WGII_FullReport.pdf</x:v>
      </x:c>
      <x:c r="I169" s="168" t="n">
        <x:v>1657</x:v>
      </x:c>
      <x:c r="J169" s="159" t="str">
        <x:v>1645</x:v>
      </x:c>
      <x:c r="K169" s="159" t="str">
        <x:v>Verified — exact</x:v>
      </x:c>
      <x:c r="L169" s="159" t="str">
        <x:v>Normalized quote occurs on the cited PDF page.</x:v>
      </x:c>
      <x:c r="M169" s="159" t="str">
        <x:v>Supports</x:v>
      </x:c>
      <x:c r="N169" s="159" t="str">
        <x:v>Whole action</x:v>
      </x:c>
      <x:c r="O169" s="159" t="str">
        <x:v>No</x:v>
      </x:c>
      <x:c r="P169" s="159" t="str">
        <x:v>Households in risk areas | Urban population density | Households in risk areas | Urban population density</x:v>
      </x:c>
      <x:c r="Q169" s="159" t="str">
        <x:v>Reviewing land use and spatial planning to reduce exposure to climate risks.</x:v>
      </x:c>
      <x:c r="R169" s="159" t="str"/>
      <x:c r="S169" s="160" t="str">
        <x:v>Medium</x:v>
      </x:c>
    </x:row>
    <x:row r="170" ht="90" customHeight="1">
      <x:c r="A170" s="165" t="str">
        <x:v>icare_0181</x:v>
      </x:c>
      <x:c r="B170" s="159" t="str">
        <x:v>Restore in Vulnerable Areas</x:v>
      </x:c>
      <x:c r="C170" s="159" t="str">
        <x:v>Geohydrological disasters</x:v>
      </x:c>
      <x:c r="D170" s="159" t="str">
        <x:v>Vulnerability</x:v>
      </x:c>
      <x:c r="E170" s="153" t="str"/>
      <x:c r="F170" s="153" t="str"/>
      <x:c r="G170" s="159" t="str">
        <x:v>Manual para Apresentação de Propostas para Sistemas de Drenagem Urbana Sustentável e de Manejo de Águas Pluviais</x:v>
      </x:c>
      <x:c r="H170" s="159" t="str">
        <x:v>https://www.gov.br/mdr/pt-br/assuntos/emendasparlamentares/acao_10SG_drenagem_urbana.pdf</x:v>
      </x:c>
      <x:c r="I170" s="168" t="n">
        <x:v>5</x:v>
      </x:c>
      <x:c r="J170" s="159" t="str">
        <x:v>5</x:v>
      </x:c>
      <x:c r="K170" s="159" t="str">
        <x:v>Verified — exact</x:v>
      </x:c>
      <x:c r="L170" s="159" t="str">
        <x:v>Normalized quote occurs on the cited PDF page.</x:v>
      </x:c>
      <x:c r="M170" s="159" t="str">
        <x:v>Supports</x:v>
      </x:c>
      <x:c r="N170" s="159" t="str">
        <x:v>Part of action</x:v>
      </x:c>
      <x:c r="O170" s="159" t="str">
        <x:v>No</x:v>
      </x:c>
      <x:c r="P170" s="159" t="str">
        <x:v>Urban occupation management in risk areas | Actions to reduce risk | Inappropriate households | Basic sanitation | Drainage | Urban occupation management in risk areas | Actions to reduce risk | Inappropriate households | Basic sanitation | Drainage</x:v>
      </x:c>
      <x:c r="Q170" s="159" t="str">
        <x:v>A ação de apoio a Sistemas de Drenagem Urbana Sustentável e de Manejo de Águas Pluviais do Programa Gestão de Riscos e Desastres objetiva apoiar a redução do risco de desastres naturais em municípios críticos a partir do planejamento e da execução de obras, em articulação com as políticas de desenvolvimento urbano, de uso e ocupação do solo e de gestão das respectivas bacias hidrográficas, com foco na gestão sustentável da drenagem urbana, por meio de ações estruturais e não-estruturais dirigidas à recuperação de áreas úmidas, à prevenção, ao controle e à minimização dos impactos provocados por alagamentos, enchentes e inundações urbanas e ribeirinhas.</x:v>
      </x:c>
      <x:c r="R170" s="159" t="str"/>
      <x:c r="S170" s="160" t="str">
        <x:v>Medium</x:v>
      </x:c>
    </x:row>
    <x:row r="171" ht="90" customHeight="1">
      <x:c r="A171" s="165" t="str">
        <x:v>icare_0181</x:v>
      </x:c>
      <x:c r="B171" s="159" t="str">
        <x:v>Restore in Vulnerable Areas</x:v>
      </x:c>
      <x:c r="C171" s="159" t="str">
        <x:v>Geohydrological disasters</x:v>
      </x:c>
      <x:c r="D171" s="159" t="str">
        <x:v>Vulnerability</x:v>
      </x:c>
      <x:c r="E171" s="153" t="str"/>
      <x:c r="F171" s="153" t="str"/>
      <x:c r="G171" s="159" t="str">
        <x:v>Manual para Apresentação de Propostas para Sistemas de Drenagem Urbana Sustentável e de Manejo de Águas Pluviais</x:v>
      </x:c>
      <x:c r="H171" s="159" t="str">
        <x:v>https://www.gov.br/mdr/pt-br/assuntos/emendasparlamentares/acao_10SG_drenagem_urbana.pdf</x:v>
      </x:c>
      <x:c r="I171" s="168" t="n">
        <x:v>9</x:v>
      </x:c>
      <x:c r="J171" s="159" t="str">
        <x:v>9</x:v>
      </x:c>
      <x:c r="K171" s="159" t="str">
        <x:v>Verified — exact</x:v>
      </x:c>
      <x:c r="L171" s="159" t="str">
        <x:v>Normalized quote occurs on the cited PDF page.</x:v>
      </x:c>
      <x:c r="M171" s="159" t="str">
        <x:v>Supports</x:v>
      </x:c>
      <x:c r="N171" s="159" t="str">
        <x:v>Whole action</x:v>
      </x:c>
      <x:c r="O171" s="159" t="str">
        <x:v>No</x:v>
      </x:c>
      <x:c r="P171" s="159" t="str">
        <x:v>Urban occupation management in risk areas | Actions to reduce risk | Inappropriate households | Drainage | Urban occupation management in risk areas | Actions to reduce risk | Inappropriate households | Basic sanitation | Drainage</x:v>
      </x:c>
      <x:c r="Q171" s="159" t="str">
        <x:v>Os projetos deverão quantificar o número de famílias e edificações beneficiadas que sairão da área de risco de alagamentos para o cenário projetado após a execução das obras de drenagem propostas, por meio da apresentação de mapas que apresentem as manchas de inundação para diferentes Tempos de Retorno (TR), para situação antes e após a execução da intervenção na área proposta.</x:v>
      </x:c>
      <x:c r="R171" s="159" t="str"/>
      <x:c r="S171" s="160" t="str">
        <x:v>Medium</x:v>
      </x:c>
    </x:row>
    <x:row r="172" ht="90" customHeight="1">
      <x:c r="A172" s="165" t="str">
        <x:v>icare_0181</x:v>
      </x:c>
      <x:c r="B172" s="159" t="str">
        <x:v>Restore in Vulnerable Areas</x:v>
      </x:c>
      <x:c r="C172" s="159" t="str">
        <x:v>Geohydrological disasters</x:v>
      </x:c>
      <x:c r="D172" s="159" t="str">
        <x:v>Vulnerability</x:v>
      </x:c>
      <x:c r="E172" s="153" t="str"/>
      <x:c r="F172" s="153" t="str"/>
      <x:c r="G172" s="159" t="str">
        <x:v>Climate Change 2022: Impacts, Adaptation and Vulnerability</x:v>
      </x:c>
      <x:c r="H172" s="159" t="str">
        <x:v>https://www.ipcc.ch/report/ar6/wg2/downloads/report/IPCC_AR6_WGII_FullReport.pdf</x:v>
      </x:c>
      <x:c r="I172" s="168" t="n">
        <x:v>37</x:v>
      </x:c>
      <x:c r="J172" s="159" t="str">
        <x:v>25</x:v>
      </x:c>
      <x:c r="K172" s="159" t="str">
        <x:v>Verified — ordered</x:v>
      </x:c>
      <x:c r="L172" s="159" t="str">
        <x:v>Ordered token coverage on the cited PDF page is 100.0%.</x:v>
      </x:c>
      <x:c r="M172" s="159" t="str">
        <x:v>Supports</x:v>
      </x:c>
      <x:c r="N172" s="159" t="str">
        <x:v>Part of action</x:v>
      </x:c>
      <x:c r="O172" s="159" t="str">
        <x:v>No</x:v>
      </x:c>
      <x:c r="P172" s="159" t="str">
        <x:v>Urban occupation management in risk areas | Actions to reduce risk | Housing governance | Inappropriate households | Urban occupation management in risk areas | Actions to reduce risk | Housing governance | Inappropriate households</x:v>
      </x:c>
      <x:c r="Q172" s="159" t="str">
        <x:v>Responses to ongoing sea level rise and land subsidence in low-lying coastal cities and settlements and small islands include protection, accommodation, advance and planned relocation (high confidence). These responses are more effective if combined and/or sequenced, planned well ahead, aligned with sociocultural values and development priorities, and underpinned by inclusive community engagement processes (high confidence).</x:v>
      </x:c>
      <x:c r="R172" s="159" t="str"/>
      <x:c r="S172" s="160" t="str">
        <x:v>Medium</x:v>
      </x:c>
    </x:row>
    <x:row r="173" ht="90" customHeight="1">
      <x:c r="A173" s="165" t="str">
        <x:v>icare_0181</x:v>
      </x:c>
      <x:c r="B173" s="159" t="str">
        <x:v>Restore in Vulnerable Areas</x:v>
      </x:c>
      <x:c r="C173" s="159" t="str">
        <x:v>Geohydrological disasters</x:v>
      </x:c>
      <x:c r="D173" s="159" t="str">
        <x:v>Exposure</x:v>
      </x:c>
      <x:c r="E173" s="153" t="str"/>
      <x:c r="F173" s="153" t="str"/>
      <x:c r="G173" s="159" t="str">
        <x:v>Climate Change 2022: Impacts, Adaptation and Vulnerability</x:v>
      </x:c>
      <x:c r="H173" s="159" t="str">
        <x:v>https://www.ipcc.ch/report/ar6/wg2/downloads/report/IPCC_AR6_WGII_FullReport.pdf</x:v>
      </x:c>
      <x:c r="I173" s="168" t="n">
        <x:v>37</x:v>
      </x:c>
      <x:c r="J173" s="159" t="str">
        <x:v>25</x:v>
      </x:c>
      <x:c r="K173" s="159" t="str">
        <x:v>Verified — ordered</x:v>
      </x:c>
      <x:c r="L173" s="159" t="str">
        <x:v>Ordered token coverage on the cited PDF page is 100.0%.</x:v>
      </x:c>
      <x:c r="M173" s="159" t="str">
        <x:v>Supports</x:v>
      </x:c>
      <x:c r="N173" s="159" t="str">
        <x:v>Whole action</x:v>
      </x:c>
      <x:c r="O173" s="159" t="str">
        <x:v>No</x:v>
      </x:c>
      <x:c r="P173" s="159" t="str">
        <x:v>Households in risk areas | Urban population density | Households in risk areas | Urban population density</x:v>
      </x:c>
      <x:c r="Q173" s="159" t="str">
        <x:v>Responses to ongoing sea level rise and land subsidence in low-lying coastal cities and settlements and small islands include protection, accommodation, advance and planned relocation (high confidence). These responses are more effective if combined and/or sequenced, planned well ahead, aligned with sociocultural values and development priorities, and underpinned by inclusive community engagement processes (high confidence).</x:v>
      </x:c>
      <x:c r="R173" s="159" t="str"/>
      <x:c r="S173" s="160" t="str">
        <x:v>Medium</x:v>
      </x:c>
    </x:row>
    <x:row r="174" ht="90" customHeight="1">
      <x:c r="A174" s="165" t="str">
        <x:v>ipcc_0089</x:v>
      </x:c>
      <x:c r="B174" s="159" t="str">
        <x:v>Spatially redirect development</x:v>
      </x:c>
      <x:c r="C174" s="159" t="str">
        <x:v>Geohydrological disasters</x:v>
      </x:c>
      <x:c r="D174" s="159" t="str">
        <x:v>Vulnerability</x:v>
      </x:c>
      <x:c r="E174" s="153" t="str"/>
      <x:c r="F174" s="153" t="str"/>
      <x:c r="G174" s="159" t="str">
        <x:v>Making Cities Resilient 2030 (MCR2030): Initial Proposal</x:v>
      </x:c>
      <x:c r="H174" s="159" t="str">
        <x:v>https://mcr2030.undrr.org/sites/default/files/2021-04/MCR2030%20in%20English%20ver.2%20%2820210302%29.pdf?startDownload=true</x:v>
      </x:c>
      <x:c r="I174" s="168" t="n">
        <x:v>2</x:v>
      </x:c>
      <x:c r="J174" s="159" t="str">
        <x:v>2</x:v>
      </x:c>
      <x:c r="K174" s="159" t="str">
        <x:v>Verified — ordered</x:v>
      </x:c>
      <x:c r="L174" s="159" t="str">
        <x:v>Ordered token coverage on the cited PDF page is 100.0%.</x:v>
      </x:c>
      <x:c r="M174" s="159" t="str">
        <x:v>Supports</x:v>
      </x:c>
      <x:c r="N174" s="159" t="str">
        <x:v>Part of action</x:v>
      </x:c>
      <x:c r="O174" s="159" t="str">
        <x:v>No</x:v>
      </x:c>
      <x:c r="P174" s="159" t="str">
        <x:v>Urban occupation management in risk areas | Actions to reduce risk | Land use and occupation | Urban occupation management in risk areas | Actions to reduce risk | Land use and occupation</x:v>
      </x:c>
      <x:c r="Q174" s="159" t="str">
        <x:v>Strategic Objective 2. Strengthen cities' capacity to develop local strategies/plans to enhance resilience; by: improving their self-assessment and diagnostic skills; providing relevant training and tools for strategic planning to reduce disaster and climate risks and for risk-informed development. Strategic Objective 3. Support cities to implement local strategies/plans to enhance resilience; by: providing access to finance for supporting DRR, climate change adaptation and to implement resilience initiatives; improving the ability of local authorities to plan, design, build and manage resilient infrastructure; improving the capacity of local authorities to use nature-based solutions and seek innovative approach to address local resilience.</x:v>
      </x:c>
      <x:c r="R174" s="159" t="str"/>
      <x:c r="S174" s="160" t="str">
        <x:v>Medium</x:v>
      </x:c>
    </x:row>
    <x:row r="175" ht="90" customHeight="1">
      <x:c r="A175" s="165" t="str">
        <x:v>ipcc_0089</x:v>
      </x:c>
      <x:c r="B175" s="159" t="str">
        <x:v>Spatially redirect development</x:v>
      </x:c>
      <x:c r="C175" s="159" t="str">
        <x:v>Geohydrological disasters</x:v>
      </x:c>
      <x:c r="D175" s="159" t="str">
        <x:v>Vulnerability</x:v>
      </x:c>
      <x:c r="E175" s="153" t="str"/>
      <x:c r="F175" s="153" t="str"/>
      <x:c r="G175" s="159" t="str">
        <x:v>Climate Change 2022: Impacts, Adaptation and Vulnerability</x:v>
      </x:c>
      <x:c r="H175" s="159" t="str">
        <x:v>https://www.ipcc.ch/report/ar6/wg2/downloads/report/IPCC_AR6_WGII_FullReport.pdf</x:v>
      </x:c>
      <x:c r="I175" s="168" t="n">
        <x:v>1657</x:v>
      </x:c>
      <x:c r="J175" s="159" t="str">
        <x:v>1645</x:v>
      </x:c>
      <x:c r="K175" s="159" t="str">
        <x:v>Verified — exact</x:v>
      </x:c>
      <x:c r="L175" s="159" t="str">
        <x:v>Normalized quote occurs on the cited PDF page.</x:v>
      </x:c>
      <x:c r="M175" s="159" t="str">
        <x:v>Supports</x:v>
      </x:c>
      <x:c r="N175" s="159" t="str">
        <x:v>Whole action</x:v>
      </x:c>
      <x:c r="O175" s="159" t="str">
        <x:v>No</x:v>
      </x:c>
      <x:c r="P175" s="159" t="str">
        <x:v>Urban occupation management in risk areas | Actions to reduce risk | Land use and occupation | Urban occupation management in risk areas | Actions to reduce risk | Land use and occupation</x:v>
      </x:c>
      <x:c r="Q175" s="159" t="str">
        <x:v>Reviewing land use and spatial planning to reduce exposure to climate risks.</x:v>
      </x:c>
      <x:c r="R175" s="159" t="str"/>
      <x:c r="S175" s="160" t="str">
        <x:v>Medium</x:v>
      </x:c>
    </x:row>
    <x:row r="176" ht="90" customHeight="1">
      <x:c r="A176" s="165" t="str">
        <x:v>ipcc_0089</x:v>
      </x:c>
      <x:c r="B176" s="159" t="str">
        <x:v>Spatially redirect development</x:v>
      </x:c>
      <x:c r="C176" s="159" t="str">
        <x:v>Geohydrological disasters</x:v>
      </x:c>
      <x:c r="D176" s="159" t="str">
        <x:v>Exposure</x:v>
      </x:c>
      <x:c r="E176" s="153" t="str"/>
      <x:c r="F176" s="153" t="str"/>
      <x:c r="G176" s="159" t="str">
        <x:v>Climate Change 2022: Impacts, Adaptation and Vulnerability</x:v>
      </x:c>
      <x:c r="H176" s="159" t="str">
        <x:v>https://www.ipcc.ch/report/ar6/wg2/downloads/report/IPCC_AR6_WGII_FullReport.pdf</x:v>
      </x:c>
      <x:c r="I176" s="168" t="n">
        <x:v>1657</x:v>
      </x:c>
      <x:c r="J176" s="159" t="str">
        <x:v>1645</x:v>
      </x:c>
      <x:c r="K176" s="159" t="str">
        <x:v>Verified — exact</x:v>
      </x:c>
      <x:c r="L176" s="159" t="str">
        <x:v>Normalized quote occurs on the cited PDF page.</x:v>
      </x:c>
      <x:c r="M176" s="159" t="str">
        <x:v>Supports</x:v>
      </x:c>
      <x:c r="N176" s="159" t="str">
        <x:v>Whole action</x:v>
      </x:c>
      <x:c r="O176" s="159" t="str">
        <x:v>No</x:v>
      </x:c>
      <x:c r="P176" s="159" t="str">
        <x:v>Households in risk areas | Urban population density | Households in risk areas | Urban population density</x:v>
      </x:c>
      <x:c r="Q176" s="159" t="str">
        <x:v>Reviewing land use and spatial planning to reduce exposure to climate risks.</x:v>
      </x:c>
      <x:c r="R176" s="159" t="str"/>
      <x:c r="S176" s="160" t="str">
        <x:v>Medium</x:v>
      </x:c>
    </x:row>
    <x:row r="177" ht="90" customHeight="1">
      <x:c r="A177" s="165" t="str">
        <x:v>ipcc_0103</x:v>
      </x:c>
      <x:c r="B177" s="159" t="str">
        <x:v>Strengthen cooperative climate governance</x:v>
      </x:c>
      <x:c r="C177" s="159" t="str">
        <x:v>Geohydrological disasters</x:v>
      </x:c>
      <x:c r="D177" s="159" t="str">
        <x:v>Vulnerability</x:v>
      </x:c>
      <x:c r="E177" s="153" t="str"/>
      <x:c r="F177" s="153" t="str"/>
      <x:c r="G177" s="159" t="str">
        <x:v>Making Cities Resilient 2030 (MCR2030): Initial Proposal</x:v>
      </x:c>
      <x:c r="H177" s="159" t="str">
        <x:v>https://mcr2030.undrr.org/sites/default/files/2021-04/MCR2030%20in%20English%20ver.2%20%2820210302%29.pdf?startDownload=true</x:v>
      </x:c>
      <x:c r="I177" s="168" t="n">
        <x:v>2</x:v>
      </x:c>
      <x:c r="J177" s="159" t="str">
        <x:v>2</x:v>
      </x:c>
      <x:c r="K177" s="159" t="str">
        <x:v>Verified — ordered</x:v>
      </x:c>
      <x:c r="L177" s="159" t="str">
        <x:v>Ordered token coverage on the cited PDF page is 100.0%.</x:v>
      </x:c>
      <x:c r="M177" s="159" t="str">
        <x:v>Supports</x:v>
      </x:c>
      <x:c r="N177" s="159" t="str">
        <x:v>Part of action</x:v>
      </x:c>
      <x:c r="O177" s="159" t="str">
        <x:v>No</x:v>
      </x:c>
      <x:c r="P177" s="159" t="str">
        <x:v>Institutions for risk management | Land use and occupation | Environmental governance | Institutions for risk management | Land use and occupation | Environmental governance</x:v>
      </x:c>
      <x:c r="Q177" s="159" t="str">
        <x:v>Strategic Objective 2. Strengthen cities' capacity to develop local strategies/plans to enhance resilience; by: improving their self-assessment and diagnostic skills; providing relevant training and tools for strategic planning to reduce disaster and climate risks and for risk-informed development. Strategic Objective 3. Support cities to implement local strategies/plans to enhance resilience; by: providing access to finance for supporting DRR, climate change adaptation and to implement resilience initiatives; improving the ability of local authorities to plan, design, build and manage resilient infrastructure; improving the capacity of local authorities to use nature-based solutions and seek innovative approach to address local resilience.</x:v>
      </x:c>
      <x:c r="R177" s="159" t="str"/>
      <x:c r="S177" s="160" t="str">
        <x:v>Low</x:v>
      </x:c>
    </x:row>
    <x:row r="178" ht="90" customHeight="1">
      <x:c r="A178" s="165" t="str">
        <x:v>icare_0162</x:v>
      </x:c>
      <x:c r="B178" s="159" t="str">
        <x:v>Strengthen programs for control and conservation of protected areas</x:v>
      </x:c>
      <x:c r="C178" s="159" t="str">
        <x:v>Geohydrological disasters</x:v>
      </x:c>
      <x:c r="D178" s="159" t="str">
        <x:v>Vulnerability</x:v>
      </x:c>
      <x:c r="E178" s="153" t="str"/>
      <x:c r="F178" s="153" t="str"/>
      <x:c r="G178" s="159" t="str">
        <x:v>Making Cities Resilient 2030 (MCR2030): Initial Proposal</x:v>
      </x:c>
      <x:c r="H178" s="159" t="str">
        <x:v>https://mcr2030.undrr.org/sites/default/files/2021-04/MCR2030%20in%20English%20ver.2%20%2820210302%29.pdf?startDownload=true</x:v>
      </x:c>
      <x:c r="I178" s="168" t="n">
        <x:v>2</x:v>
      </x:c>
      <x:c r="J178" s="159" t="str">
        <x:v>2</x:v>
      </x:c>
      <x:c r="K178" s="159" t="str">
        <x:v>Verified — ordered</x:v>
      </x:c>
      <x:c r="L178" s="159" t="str">
        <x:v>Ordered token coverage on the cited PDF page is 100.0%.</x:v>
      </x:c>
      <x:c r="M178" s="159" t="str">
        <x:v>Supports</x:v>
      </x:c>
      <x:c r="N178" s="159" t="str">
        <x:v>Part of action</x:v>
      </x:c>
      <x:c r="O178" s="159" t="str">
        <x:v>No</x:v>
      </x:c>
      <x:c r="P178" s="159" t="str">
        <x:v>Actions to reduce risk | Land use and occupation | Environmental governance | Actions to reduce risk | Land use and occupation | Environmental governance</x:v>
      </x:c>
      <x:c r="Q178" s="159" t="str">
        <x:v>Strategic Objective 2. Strengthen cities' capacity to develop local strategies/plans to enhance resilience; by: improving their self-assessment and diagnostic skills; providing relevant training and tools for strategic planning to reduce disaster and climate risks and for risk-informed development. Strategic Objective 3. Support cities to implement local strategies/plans to enhance resilience; by: providing access to finance for supporting DRR, climate change adaptation and to implement resilience initiatives; improving the ability of local authorities to plan, design, build and manage resilient infrastructure; improving the capacity of local authorities to use nature-based solutions and seek innovative approach to address local resilience.</x:v>
      </x:c>
      <x:c r="R178" s="159" t="str"/>
      <x:c r="S178" s="160" t="str">
        <x:v>Low</x:v>
      </x:c>
    </x:row>
    <x:row r="179" ht="90" customHeight="1">
      <x:c r="A179" s="165" t="str">
        <x:v>icare_0162</x:v>
      </x:c>
      <x:c r="B179" s="159" t="str">
        <x:v>Strengthen programs for control and conservation of protected areas</x:v>
      </x:c>
      <x:c r="C179" s="159" t="str">
        <x:v>Geohydrological disasters</x:v>
      </x:c>
      <x:c r="D179" s="159" t="str">
        <x:v>Vulnerability</x:v>
      </x:c>
      <x:c r="E179" s="153" t="str"/>
      <x:c r="F179" s="153" t="str"/>
      <x:c r="G179" s="159" t="str">
        <x:v>Making Cities Resilient 2030 (MCR2030): Initial Proposal</x:v>
      </x:c>
      <x:c r="H179" s="159" t="str">
        <x:v>https://mcr2030.undrr.org/sites/default/files/2021-04/MCR2030%20in%20English%20ver.2%20%2820210302%29.pdf?startDownload=true</x:v>
      </x:c>
      <x:c r="I179" s="168" t="n">
        <x:v>9</x:v>
      </x:c>
      <x:c r="J179" s="159" t="str">
        <x:v>9</x:v>
      </x:c>
      <x:c r="K179" s="159" t="str">
        <x:v>Verified — exact</x:v>
      </x:c>
      <x:c r="L179" s="159" t="str">
        <x:v>Normalized quote occurs on the cited PDF page.</x:v>
      </x:c>
      <x:c r="M179" s="159" t="str">
        <x:v>Supports</x:v>
      </x:c>
      <x:c r="N179" s="159" t="str">
        <x:v>Part of action</x:v>
      </x:c>
      <x:c r="O179" s="159" t="str">
        <x:v>No</x:v>
      </x:c>
      <x:c r="P179" s="159" t="str">
        <x:v>Actions to reduce risk | Land use and occupation | Environmental governance | Actions to reduce risk | Land use and occupation | Environmental governance</x:v>
      </x:c>
      <x:c r="Q179" s="159" t="str">
        <x:v>Infrastructure resilience and a city's environs cannot rely on over-engineered solutions. Cities need to incorporate their natural assets in building their resilience in a manner that maximizes the deployment of natural features further adding to their sustainability.</x:v>
      </x:c>
      <x:c r="R179" s="159" t="str"/>
      <x:c r="S179" s="160" t="str">
        <x:v>Low</x:v>
      </x:c>
    </x:row>
    <x:row r="180" ht="90" customHeight="1">
      <x:c r="A180" s="165" t="str">
        <x:v>ipcc_0091</x:v>
      </x:c>
      <x:c r="B180" s="159" t="str">
        <x:v>Support livelihood diversification for climate resilience</x:v>
      </x:c>
      <x:c r="C180" s="159" t="str">
        <x:v>Geohydrological disasters</x:v>
      </x:c>
      <x:c r="D180" s="159" t="str">
        <x:v>Vulnerability</x:v>
      </x:c>
      <x:c r="E180" s="153" t="str"/>
      <x:c r="F180" s="153" t="str"/>
      <x:c r="G180" s="159" t="str">
        <x:v>Climate Change 2022: Impacts, Adaptation and Vulnerability</x:v>
      </x:c>
      <x:c r="H180" s="159" t="str">
        <x:v>https://www.ipcc.ch/report/ar6/wg2/downloads/report/IPCC_AR6_WGII_FullReport.pdf</x:v>
      </x:c>
      <x:c r="I180" s="168" t="n">
        <x:v>111</x:v>
      </x:c>
      <x:c r="J180" s="159" t="str">
        <x:v>99</x:v>
      </x:c>
      <x:c r="K180" s="159" t="str">
        <x:v>Verified — ordered</x:v>
      </x:c>
      <x:c r="L180" s="159" t="str">
        <x:v>Ordered token coverage on the cited PDF page is 100.0%.</x:v>
      </x:c>
      <x:c r="M180" s="159" t="str">
        <x:v>Supports</x:v>
      </x:c>
      <x:c r="N180" s="159" t="str">
        <x:v>Whole action</x:v>
      </x:c>
      <x:c r="O180" s="159" t="str">
        <x:v>No</x:v>
      </x:c>
      <x:c r="P180" s="159" t="str">
        <x:v>Employment and income | Gross domestic product by urban area | Income inequality | Employment and income | Gross domestic product by urban area | Income inequality</x:v>
      </x:c>
      <x:c r="Q180" s="159" t="str">
        <x:v>There is high evidence (medium agreement) that diversifying livelihoods improves incomes and reduces socioeconomic vulnerability, but feasibility changes depending on livelihood type, opportunities and local context.</x:v>
      </x:c>
      <x:c r="R180" s="159" t="str"/>
      <x:c r="S180" s="160" t="str">
        <x:v>Medium</x:v>
      </x:c>
    </x:row>
    <x:row r="181" ht="90" customHeight="1">
      <x:c r="A181" s="165" t="str">
        <x:v>ipcc_0088</x:v>
      </x:c>
      <x:c r="B181" s="159" t="str">
        <x:v>Update and enforce climate‑resilient building codes</x:v>
      </x:c>
      <x:c r="C181" s="159" t="str">
        <x:v>Geohydrological disasters</x:v>
      </x:c>
      <x:c r="D181" s="159" t="str">
        <x:v>Vulnerability</x:v>
      </x:c>
      <x:c r="E181" s="153" t="str"/>
      <x:c r="F181" s="153" t="str"/>
      <x:c r="G181" s="159" t="str">
        <x:v>Making Cities Resilient 2030 (MCR2030): Initial Proposal</x:v>
      </x:c>
      <x:c r="H181" s="159" t="str">
        <x:v>https://mcr2030.undrr.org/sites/default/files/2021-04/MCR2030%20in%20English%20ver.2%20%2820210302%29.pdf?startDownload=true</x:v>
      </x:c>
      <x:c r="I181" s="168" t="n">
        <x:v>2</x:v>
      </x:c>
      <x:c r="J181" s="159" t="str">
        <x:v>2</x:v>
      </x:c>
      <x:c r="K181" s="159" t="str">
        <x:v>Verified — ordered</x:v>
      </x:c>
      <x:c r="L181" s="159" t="str">
        <x:v>Ordered token coverage on the cited PDF page is 100.0%.</x:v>
      </x:c>
      <x:c r="M181" s="159" t="str">
        <x:v>Supports</x:v>
      </x:c>
      <x:c r="N181" s="159" t="str">
        <x:v>Part of action</x:v>
      </x:c>
      <x:c r="O181" s="159" t="str">
        <x:v>No</x:v>
      </x:c>
      <x:c r="P181" s="159" t="str">
        <x:v>Urban occupation management in risk areas | Actions to reduce risk | Land use and occupation | Housing governance | Inappropriate households | Urban occupation management in risk areas | Actions to reduce risk | Land use and occupation | Housing governance | Inappropriate households</x:v>
      </x:c>
      <x:c r="Q181" s="159" t="str">
        <x:v>Strategic Objective 2. Strengthen cities' capacity to develop local strategies/plans to enhance resilience; by: improving their self-assessment and diagnostic skills; providing relevant training and tools for strategic planning to reduce disaster and climate risks and for risk-informed development. Strategic Objective 3. Support cities to implement local strategies/plans to enhance resilience; by: providing access to finance for supporting DRR, climate change adaptation and to implement resilience initiatives; improving the ability of local authorities to plan, design, build and manage resilient infrastructure; improving the capacity of local authorities to use nature-based solutions and seek innovative approach to address local resilience.</x:v>
      </x:c>
      <x:c r="R181" s="159" t="str"/>
      <x:c r="S181" s="160" t="str">
        <x:v>Medium</x:v>
      </x:c>
    </x:row>
    <x:row r="182" ht="90" customHeight="1">
      <x:c r="A182" s="165" t="str">
        <x:v>icare_0184</x:v>
      </x:c>
      <x:c r="B182" s="159" t="str">
        <x:v>Upgrade Slope stabilization and drainage</x:v>
      </x:c>
      <x:c r="C182" s="159" t="str">
        <x:v>Geohydrological disasters</x:v>
      </x:c>
      <x:c r="D182" s="159" t="str">
        <x:v>Vulnerability</x:v>
      </x:c>
      <x:c r="E182" s="153" t="str"/>
      <x:c r="F182" s="153" t="str"/>
      <x:c r="G182" s="159" t="str">
        <x:v>Manual para Apresentação de Propostas para Sistemas de Drenagem Urbana Sustentável e de Manejo de Águas Pluviais</x:v>
      </x:c>
      <x:c r="H182" s="159" t="str">
        <x:v>https://www.gov.br/mdr/pt-br/assuntos/emendasparlamentares/acao_10SG_drenagem_urbana.pdf</x:v>
      </x:c>
      <x:c r="I182" s="168" t="n">
        <x:v>5</x:v>
      </x:c>
      <x:c r="J182" s="159" t="str">
        <x:v>5</x:v>
      </x:c>
      <x:c r="K182" s="159" t="str">
        <x:v>Verified — exact</x:v>
      </x:c>
      <x:c r="L182" s="159" t="str">
        <x:v>Normalized quote occurs on the cited PDF page.</x:v>
      </x:c>
      <x:c r="M182" s="159" t="str">
        <x:v>Supports</x:v>
      </x:c>
      <x:c r="N182" s="159" t="str">
        <x:v>Part of action</x:v>
      </x:c>
      <x:c r="O182" s="159" t="str">
        <x:v>No</x:v>
      </x:c>
      <x:c r="P182" s="159" t="str">
        <x:v>Actions to reduce risk | Land use and occupation | Drainage | Actions to reduce risk | Land use and occupation | Drainage</x:v>
      </x:c>
      <x:c r="Q182" s="159" t="str">
        <x:v>A ação de apoio a Sistemas de Drenagem Urbana Sustentável e de Manejo de Águas Pluviais do Programa Gestão de Riscos e Desastres objetiva apoiar a redução do risco de desastres naturais em municípios críticos a partir do planejamento e da execução de obras, em articulação com as políticas de desenvolvimento urbano, de uso e ocupação do solo e de gestão das respectivas bacias hidrográficas, com foco na gestão sustentável da drenagem urbana, por meio de ações estruturais e não-estruturais dirigidas à recuperação de áreas úmidas, à prevenção, ao controle e à minimização dos impactos provocados por alagamentos, enchentes e inundações urbanas e ribeirinhas.</x:v>
      </x:c>
      <x:c r="R182" s="159" t="str"/>
      <x:c r="S182" s="160" t="str">
        <x:v>Low</x:v>
      </x:c>
    </x:row>
    <x:row r="183" ht="90" customHeight="1">
      <x:c r="A183" s="165" t="str">
        <x:v>icare_0184</x:v>
      </x:c>
      <x:c r="B183" s="159" t="str">
        <x:v>Upgrade Slope stabilization and drainage</x:v>
      </x:c>
      <x:c r="C183" s="159" t="str">
        <x:v>Geohydrological disasters</x:v>
      </x:c>
      <x:c r="D183" s="159" t="str">
        <x:v>Vulnerability</x:v>
      </x:c>
      <x:c r="E183" s="153" t="str"/>
      <x:c r="F183" s="153" t="str"/>
      <x:c r="G183" s="159" t="str">
        <x:v>Manual para Apresentação de Propostas para Sistemas de Drenagem Urbana Sustentável e de Manejo de Águas Pluviais</x:v>
      </x:c>
      <x:c r="H183" s="159" t="str">
        <x:v>https://www.gov.br/mdr/pt-br/assuntos/emendasparlamentares/acao_10SG_drenagem_urbana.pdf</x:v>
      </x:c>
      <x:c r="I183" s="168" t="n">
        <x:v>9</x:v>
      </x:c>
      <x:c r="J183" s="159" t="str">
        <x:v>9</x:v>
      </x:c>
      <x:c r="K183" s="159" t="str">
        <x:v>Verified — exact</x:v>
      </x:c>
      <x:c r="L183" s="159" t="str">
        <x:v>Normalized quote occurs on the cited PDF page.</x:v>
      </x:c>
      <x:c r="M183" s="159" t="str">
        <x:v>Supports</x:v>
      </x:c>
      <x:c r="N183" s="159" t="str">
        <x:v>Part of action</x:v>
      </x:c>
      <x:c r="O183" s="159" t="str">
        <x:v>No</x:v>
      </x:c>
      <x:c r="P183" s="159" t="str">
        <x:v>Actions to reduce risk | Drainage | Actions to reduce risk | Drainage</x:v>
      </x:c>
      <x:c r="Q183" s="159" t="str">
        <x:v>Os projetos deverão quantificar o número de famílias e edificações beneficiadas que sairão da área de risco de alagamentos para o cenário projetado após a execução das obras de drenagem propostas, por meio da apresentação de mapas que apresentem as manchas de inundação para diferentes Tempos de Retorno (TR), para situação antes e após a execução da intervenção na área proposta.</x:v>
      </x:c>
      <x:c r="R183" s="159" t="str"/>
      <x:c r="S183" s="160" t="str">
        <x:v>Low</x:v>
      </x:c>
    </x:row>
    <x:row r="184" ht="90" customHeight="1">
      <x:c r="A184" s="165" t="str">
        <x:v>c40_0048</x:v>
      </x:c>
      <x:c r="B184" s="159" t="str">
        <x:v>Upgrade urban drainage systems</x:v>
      </x:c>
      <x:c r="C184" s="159" t="str">
        <x:v>Geohydrological disasters</x:v>
      </x:c>
      <x:c r="D184" s="159" t="str">
        <x:v>Vulnerability</x:v>
      </x:c>
      <x:c r="E184" s="153" t="str"/>
      <x:c r="F184" s="153" t="str"/>
      <x:c r="G184" s="159" t="str">
        <x:v>Manual para Apresentação de Propostas para Sistemas de Drenagem Urbana Sustentável e de Manejo de Águas Pluviais</x:v>
      </x:c>
      <x:c r="H184" s="159" t="str">
        <x:v>https://www.gov.br/mdr/pt-br/assuntos/emendasparlamentares/acao_10SG_drenagem_urbana.pdf</x:v>
      </x:c>
      <x:c r="I184" s="168" t="n">
        <x:v>5</x:v>
      </x:c>
      <x:c r="J184" s="159" t="str">
        <x:v>5</x:v>
      </x:c>
      <x:c r="K184" s="159" t="str">
        <x:v>Verified — exact</x:v>
      </x:c>
      <x:c r="L184" s="159" t="str">
        <x:v>Normalized quote occurs on the cited PDF page.</x:v>
      </x:c>
      <x:c r="M184" s="159" t="str">
        <x:v>Supports</x:v>
      </x:c>
      <x:c r="N184" s="159" t="str">
        <x:v>Part of action</x:v>
      </x:c>
      <x:c r="O184" s="159" t="str">
        <x:v>No</x:v>
      </x:c>
      <x:c r="P184" s="159" t="str">
        <x:v>Actions to reduce risk | Drainage</x:v>
      </x:c>
      <x:c r="Q184" s="159" t="str">
        <x:v>A ação de apoio a Sistemas de Drenagem Urbana Sustentável e de Manejo de Águas Pluviais do Programa Gestão de Riscos e Desastres objetiva apoiar a redução do risco de desastres naturais em municípios críticos a partir do planejamento e da execução de obras, em articulação com as políticas de desenvolvimento urbano, de uso e ocupação do solo e de gestão das respectivas bacias hidrográficas, com foco na gestão sustentável da drenagem urbana, por meio de ações estruturais e não-estruturais dirigidas à recuperação de áreas úmidas, à prevenção, ao controle e à minimização dos impactos provocados por alagamentos, enchentes e inundações urbanas e ribeirinhas.</x:v>
      </x:c>
      <x:c r="R184" s="159" t="str"/>
      <x:c r="S184" s="160" t="str">
        <x:v>Medium</x:v>
      </x:c>
    </x:row>
    <x:row r="185" ht="90" customHeight="1">
      <x:c r="A185" s="165" t="str">
        <x:v>c40_0048</x:v>
      </x:c>
      <x:c r="B185" s="159" t="str">
        <x:v>Upgrade urban drainage systems</x:v>
      </x:c>
      <x:c r="C185" s="159" t="str">
        <x:v>Geohydrological disasters</x:v>
      </x:c>
      <x:c r="D185" s="159" t="str">
        <x:v>Vulnerability</x:v>
      </x:c>
      <x:c r="E185" s="153" t="str"/>
      <x:c r="F185" s="153" t="str"/>
      <x:c r="G185" s="159" t="str">
        <x:v>Manual para Apresentação de Propostas para Sistemas de Drenagem Urbana Sustentável e de Manejo de Águas Pluviais</x:v>
      </x:c>
      <x:c r="H185" s="159" t="str">
        <x:v>https://www.gov.br/mdr/pt-br/assuntos/emendasparlamentares/acao_10SG_drenagem_urbana.pdf</x:v>
      </x:c>
      <x:c r="I185" s="168" t="n">
        <x:v>9</x:v>
      </x:c>
      <x:c r="J185" s="159" t="str">
        <x:v>9</x:v>
      </x:c>
      <x:c r="K185" s="159" t="str">
        <x:v>Verified — exact</x:v>
      </x:c>
      <x:c r="L185" s="159" t="str">
        <x:v>Normalized quote occurs on the cited PDF page.</x:v>
      </x:c>
      <x:c r="M185" s="159" t="str">
        <x:v>Supports</x:v>
      </x:c>
      <x:c r="N185" s="159" t="str">
        <x:v>Whole action</x:v>
      </x:c>
      <x:c r="O185" s="159" t="str">
        <x:v>No</x:v>
      </x:c>
      <x:c r="P185" s="159" t="str">
        <x:v>Actions to reduce risk | Drainage</x:v>
      </x:c>
      <x:c r="Q185" s="159" t="str">
        <x:v>Os projetos deverão quantificar o número de famílias e edificações beneficiadas que sairão da área de risco de alagamentos para o cenário projetado após a execução das obras de drenagem propostas, por meio da apresentação de mapas que apresentem as manchas de inundação para diferentes Tempos de Retorno (TR), para situação antes e após a execução da intervenção na área proposta.</x:v>
      </x:c>
      <x:c r="R185" s="159" t="str"/>
      <x:c r="S185" s="160" t="str">
        <x:v>Medium</x:v>
      </x:c>
    </x:row>
    <x:row r="186" ht="90" customHeight="1">
      <x:c r="A186" s="165" t="str">
        <x:v>icare_0170</x:v>
      </x:c>
      <x:c r="B186" s="159" t="str">
        <x:v>Build safe housing and implement urban rehabilitation projects for populations living in high-risk areas</x:v>
      </x:c>
      <x:c r="C186" s="159" t="str">
        <x:v>Health</x:v>
      </x:c>
      <x:c r="D186" s="159" t="str">
        <x:v>Vulnerability</x:v>
      </x:c>
      <x:c r="E186" s="153" t="str"/>
      <x:c r="F186" s="153" t="str"/>
      <x:c r="G186" s="159" t="str">
        <x:v>Operational Framework for Building Climate Resilient Health Systems</x:v>
      </x:c>
      <x:c r="H186" s="159" t="str">
        <x:v>https://iris.who.int/server/api/core/bitstreams/63c28858-bafe-4ba0-881a-af0517b7e1bf/content?download=1</x:v>
      </x:c>
      <x:c r="I186" s="168" t="n">
        <x:v>17</x:v>
      </x:c>
      <x:c r="J186" s="159" t="str">
        <x:v>11</x:v>
      </x:c>
      <x:c r="K186" s="159" t="str">
        <x:v>Verified — ordered</x:v>
      </x:c>
      <x:c r="L186" s="159" t="str">
        <x:v>Ordered token coverage on the cited PDF page is 97.2%.</x:v>
      </x:c>
      <x:c r="M186" s="159" t="str">
        <x:v>Supports</x:v>
      </x:c>
      <x:c r="N186" s="159" t="str">
        <x:v>Part of action</x:v>
      </x:c>
      <x:c r="O186" s="159" t="str">
        <x:v>No</x:v>
      </x:c>
      <x:c r="P186" s="159" t="str">
        <x:v>No access to adequate sanitation | Households without access to garbage collection | Households without access to garbage collection | Households without access to garbage collection | Water supply</x:v>
      </x:c>
      <x:c r="Q186" s="159" t="str">
        <x:v>The challenge of climate change requires a wider perspective, which includes the selection of more climate-resilient intervention options both within healthcare and in health-determining sectors, from renewable energy in health facilities to climate resilient water and sanitation infrastructure. Building and expanding traditional systems of healthcare delivery to enhance climate resilience includes attention to improved management of the environmental determinants of health, such as water and sanitation, nutrition and air quality.</x:v>
      </x:c>
      <x:c r="R186" s="159" t="str"/>
      <x:c r="S186" s="160" t="str">
        <x:v>Low</x:v>
      </x:c>
    </x:row>
    <x:row r="187" ht="90" customHeight="1">
      <x:c r="A187" s="165" t="str">
        <x:v>icare_0170</x:v>
      </x:c>
      <x:c r="B187" s="159" t="str">
        <x:v>Build safe housing and implement urban rehabilitation projects for populations living in high-risk areas</x:v>
      </x:c>
      <x:c r="C187" s="159" t="str">
        <x:v>Health</x:v>
      </x:c>
      <x:c r="D187" s="159" t="str">
        <x:v>Exposure</x:v>
      </x:c>
      <x:c r="E187" s="153" t="str"/>
      <x:c r="F187" s="153" t="str"/>
      <x:c r="G187" s="159" t="str">
        <x:v>Climate Change 2022: Impacts, Adaptation and Vulnerability</x:v>
      </x:c>
      <x:c r="H187" s="159" t="str">
        <x:v>https://www.ipcc.ch/report/ar6/wg2/downloads/report/IPCC_AR6_WGII_FullReport.pdf</x:v>
      </x:c>
      <x:c r="I187" s="168" t="n">
        <x:v>37</x:v>
      </x:c>
      <x:c r="J187" s="159" t="str">
        <x:v>25</x:v>
      </x:c>
      <x:c r="K187" s="159" t="str">
        <x:v>Verified — ordered</x:v>
      </x:c>
      <x:c r="L187" s="159" t="str">
        <x:v>Ordered token coverage on the cited PDF page is 100.0%.</x:v>
      </x:c>
      <x:c r="M187" s="159" t="str">
        <x:v>Supports</x:v>
      </x:c>
      <x:c r="N187" s="159" t="str">
        <x:v>Whole action</x:v>
      </x:c>
      <x:c r="O187" s="159" t="str">
        <x:v>No</x:v>
      </x:c>
      <x:c r="P187" s="159" t="str">
        <x:v>Settlements | Rural population | Settlements | Informal settlements | Settlements | Population density | Informal settlements</x:v>
      </x:c>
      <x:c r="Q187" s="159" t="str">
        <x:v>Responses to ongoing sea level rise and land subsidence in low-lying coastal cities and settlements and small islands include protection, accommodation, advance and planned relocation (high confidence). These responses are more effective if combined and/or sequenced, planned well ahead, aligned with sociocultural values and development priorities, and underpinned by inclusive community engagement processes (high confidence).</x:v>
      </x:c>
      <x:c r="R187" s="159" t="str"/>
      <x:c r="S187" s="160" t="str">
        <x:v>Medium</x:v>
      </x:c>
    </x:row>
    <x:row r="188" ht="90" customHeight="1">
      <x:c r="A188" s="165" t="str">
        <x:v>icare_0154</x:v>
      </x:c>
      <x:c r="B188" s="159" t="str">
        <x:v>Clean and unclog drainage channels and install eco-barriers</x:v>
      </x:c>
      <x:c r="C188" s="159" t="str">
        <x:v>Health</x:v>
      </x:c>
      <x:c r="D188" s="159" t="str">
        <x:v>Vulnerability</x:v>
      </x:c>
      <x:c r="E188" s="153" t="str"/>
      <x:c r="F188" s="153" t="str"/>
      <x:c r="G188" s="159" t="str">
        <x:v>Operational Framework for Building Climate Resilient Health Systems</x:v>
      </x:c>
      <x:c r="H188" s="159" t="str">
        <x:v>https://iris.who.int/server/api/core/bitstreams/63c28858-bafe-4ba0-881a-af0517b7e1bf/content?download=1</x:v>
      </x:c>
      <x:c r="I188" s="168" t="n">
        <x:v>17</x:v>
      </x:c>
      <x:c r="J188" s="159" t="str">
        <x:v>11</x:v>
      </x:c>
      <x:c r="K188" s="159" t="str">
        <x:v>Verified — ordered</x:v>
      </x:c>
      <x:c r="L188" s="159" t="str">
        <x:v>Ordered token coverage on the cited PDF page is 97.2%.</x:v>
      </x:c>
      <x:c r="M188" s="159" t="str">
        <x:v>Supports</x:v>
      </x:c>
      <x:c r="N188" s="159" t="str">
        <x:v>Part of action</x:v>
      </x:c>
      <x:c r="O188" s="159" t="str">
        <x:v>No</x:v>
      </x:c>
      <x:c r="P188" s="159" t="str">
        <x:v>Households without access to garbage collection | Households without access to garbage collection | Households without access to garbage collection | Water supply</x:v>
      </x:c>
      <x:c r="Q188" s="159" t="str">
        <x:v>The challenge of climate change requires a wider perspective, which includes the selection of more climate-resilient intervention options both within healthcare and in health-determining sectors, from renewable energy in health facilities to climate resilient water and sanitation infrastructure. Building and expanding traditional systems of healthcare delivery to enhance climate resilience includes attention to improved management of the environmental determinants of health, such as water and sanitation, nutrition and air quality.</x:v>
      </x:c>
      <x:c r="R188" s="159" t="str"/>
      <x:c r="S188" s="160" t="str">
        <x:v>Low</x:v>
      </x:c>
    </x:row>
    <x:row r="189" ht="90" customHeight="1">
      <x:c r="A189" s="165" t="str">
        <x:v>ipcc_0102</x:v>
      </x:c>
      <x:c r="B189" s="159" t="str">
        <x:v>Facilitate seasonal and temporary mobility strategies</x:v>
      </x:c>
      <x:c r="C189" s="159" t="str">
        <x:v>Health</x:v>
      </x:c>
      <x:c r="D189" s="159" t="str">
        <x:v>Vulnerability</x:v>
      </x:c>
      <x:c r="E189" s="153" t="str"/>
      <x:c r="F189" s="153" t="str"/>
      <x:c r="G189" s="159" t="str">
        <x:v>Climate Change 2022: Impacts, Adaptation and Vulnerability</x:v>
      </x:c>
      <x:c r="H189" s="159" t="str">
        <x:v>https://www.ipcc.ch/report/ar6/wg2/downloads/report/IPCC_AR6_WGII_FullReport.pdf</x:v>
      </x:c>
      <x:c r="I189" s="168" t="n">
        <x:v>108</x:v>
      </x:c>
      <x:c r="J189" s="159" t="str">
        <x:v>96</x:v>
      </x:c>
      <x:c r="K189" s="159" t="str">
        <x:v>Verified — ordered</x:v>
      </x:c>
      <x:c r="L189" s="159" t="str">
        <x:v>Ordered token coverage on the cited PDF page is 98.0%.</x:v>
      </x:c>
      <x:c r="M189" s="159" t="str">
        <x:v>Qualifies</x:v>
      </x:c>
      <x:c r="N189" s="159" t="str">
        <x:v>Whole action</x:v>
      </x:c>
      <x:c r="O189" s="159" t="str">
        <x:v>No</x:v>
      </x:c>
      <x:c r="P189" s="159" t="str">
        <x:v>Recent immigration | Recent immigration</x:v>
      </x:c>
      <x:c r="Q189" s="159" t="str">
        <x:v>Properly supported and where levels of agency and assets are high, migration as an adaptation to climate change can reduce exposure and socioeconomic vulnerability (medium confidence). However, migration becomes a risk when climate hazards cause an individual, household or community to move involuntarily or with low agency (high confidence).</x:v>
      </x:c>
      <x:c r="R189" s="159" t="str"/>
      <x:c r="S189" s="160" t="str">
        <x:v>Low</x:v>
      </x:c>
    </x:row>
    <x:row r="190" ht="90" customHeight="1">
      <x:c r="A190" s="165" t="str">
        <x:v>ipcc_0102</x:v>
      </x:c>
      <x:c r="B190" s="159" t="str">
        <x:v>Facilitate seasonal and temporary mobility strategies</x:v>
      </x:c>
      <x:c r="C190" s="159" t="str">
        <x:v>Health</x:v>
      </x:c>
      <x:c r="D190" s="159" t="str">
        <x:v>Exposure</x:v>
      </x:c>
      <x:c r="E190" s="153" t="str"/>
      <x:c r="F190" s="153" t="str"/>
      <x:c r="G190" s="159" t="str">
        <x:v>Climate Change 2022: Impacts, Adaptation and Vulnerability</x:v>
      </x:c>
      <x:c r="H190" s="159" t="str">
        <x:v>https://www.ipcc.ch/report/ar6/wg2/downloads/report/IPCC_AR6_WGII_FullReport.pdf</x:v>
      </x:c>
      <x:c r="I190" s="168" t="n">
        <x:v>108</x:v>
      </x:c>
      <x:c r="J190" s="159" t="str">
        <x:v>96</x:v>
      </x:c>
      <x:c r="K190" s="159" t="str">
        <x:v>Verified — ordered</x:v>
      </x:c>
      <x:c r="L190" s="159" t="str">
        <x:v>Ordered token coverage on the cited PDF page is 98.0%.</x:v>
      </x:c>
      <x:c r="M190" s="159" t="str">
        <x:v>Qualifies</x:v>
      </x:c>
      <x:c r="N190" s="159" t="str">
        <x:v>Whole action</x:v>
      </x:c>
      <x:c r="O190" s="159" t="str">
        <x:v>No</x:v>
      </x:c>
      <x:c r="P190" s="159" t="str">
        <x:v>Settlements | Rural population | Settlements | Informal settlements | Settlements | Population density | Informal settlements</x:v>
      </x:c>
      <x:c r="Q190" s="159" t="str">
        <x:v>Properly supported and where levels of agency and assets are high, migration as an adaptation to climate change can reduce exposure and socioeconomic vulnerability (medium confidence). However, migration becomes a risk when climate hazards cause an individual, household or community to move involuntarily or with low agency (high confidence).</x:v>
      </x:c>
      <x:c r="R190" s="159" t="str"/>
      <x:c r="S190" s="160" t="str">
        <x:v>Low</x:v>
      </x:c>
    </x:row>
    <x:row r="191" ht="90" customHeight="1">
      <x:c r="A191" s="165" t="str">
        <x:v>icare_0185</x:v>
      </x:c>
      <x:c r="B191" s="159" t="str">
        <x:v>Improve Creation of An Epidemiological Intelligence Center</x:v>
      </x:c>
      <x:c r="C191" s="159" t="str">
        <x:v>Health</x:v>
      </x:c>
      <x:c r="D191" s="159" t="str">
        <x:v>Vulnerability</x:v>
      </x:c>
      <x:c r="E191" s="153" t="str"/>
      <x:c r="F191" s="153" t="str"/>
      <x:c r="G191" s="159" t="str">
        <x:v>Climate change and health: vulnerability and adaptation assessment</x:v>
      </x:c>
      <x:c r="H191" s="159" t="str">
        <x:v>https://iris.who.int/server/api/core/bitstreams/6edda8d7-451e-4edc-b096-c84d76e1355b/content?download=1</x:v>
      </x:c>
      <x:c r="I191" s="168" t="n">
        <x:v>17</x:v>
      </x:c>
      <x:c r="J191" s="159" t="str">
        <x:v>5</x:v>
      </x:c>
      <x:c r="K191" s="159" t="str">
        <x:v>Verified — ordered</x:v>
      </x:c>
      <x:c r="L191" s="159" t="str">
        <x:v>Ordered token coverage on the cited PDF page is 96.8%.</x:v>
      </x:c>
      <x:c r="M191" s="159" t="str">
        <x:v>Supports</x:v>
      </x:c>
      <x:c r="N191" s="159" t="str">
        <x:v>Whole action</x:v>
      </x:c>
      <x:c r="O191" s="159" t="str">
        <x:v>No</x:v>
      </x:c>
      <x:c r="P191" s="159" t="str">
        <x:v>Ipa | falciparum malaria | Access to diagnosis and treatment | Incidence of American cutaneous leishmaniasis | Incidence of visceral leishmaniasis | Incidence of arboviruses dengue, zika and chikungunya</x:v>
      </x:c>
      <x:c r="Q191" s="159" t="str">
        <x:v>A national or subnational vulnerability and adaptation assessment provides public health officials with robust information to strengthen health systems and communities in high-priority areas, including developing and implementing health information systems (e.g. monitoring and surveillance systems, syndromic surveillance systems) to track illnesses, injuries and deaths and to inform early warning systems that protect health (e.g. linked to meteorological information).</x:v>
      </x:c>
      <x:c r="R191" s="159" t="str"/>
      <x:c r="S191" s="160" t="str">
        <x:v>Medium</x:v>
      </x:c>
    </x:row>
    <x:row r="192" ht="90" customHeight="1">
      <x:c r="A192" s="165" t="str">
        <x:v>ipcc_0100</x:v>
      </x:c>
      <x:c r="B192" s="159" t="str">
        <x:v>Improve Efficient water use/demand</x:v>
      </x:c>
      <x:c r="C192" s="159" t="str">
        <x:v>Health</x:v>
      </x:c>
      <x:c r="D192" s="159" t="str">
        <x:v>Vulnerability</x:v>
      </x:c>
      <x:c r="E192" s="153" t="str"/>
      <x:c r="F192" s="153" t="str"/>
      <x:c r="G192" s="159" t="str">
        <x:v>Operational Framework for Building Climate Resilient Health Systems</x:v>
      </x:c>
      <x:c r="H192" s="159" t="str">
        <x:v>https://iris.who.int/server/api/core/bitstreams/63c28858-bafe-4ba0-881a-af0517b7e1bf/content?download=1</x:v>
      </x:c>
      <x:c r="I192" s="168" t="n">
        <x:v>17</x:v>
      </x:c>
      <x:c r="J192" s="159" t="str">
        <x:v>11</x:v>
      </x:c>
      <x:c r="K192" s="159" t="str">
        <x:v>Verified — ordered</x:v>
      </x:c>
      <x:c r="L192" s="159" t="str">
        <x:v>Ordered token coverage on the cited PDF page is 97.2%.</x:v>
      </x:c>
      <x:c r="M192" s="159" t="str">
        <x:v>Supports</x:v>
      </x:c>
      <x:c r="N192" s="159" t="str">
        <x:v>Part of action</x:v>
      </x:c>
      <x:c r="O192" s="159" t="str">
        <x:v>No</x:v>
      </x:c>
      <x:c r="P192" s="159" t="str">
        <x:v>Water supply</x:v>
      </x:c>
      <x:c r="Q192" s="159" t="str">
        <x:v>The challenge of climate change requires a wider perspective, which includes the selection of more climate-resilient intervention options both within healthcare and in health-determining sectors, from renewable energy in health facilities to climate resilient water and sanitation infrastructure. Building and expanding traditional systems of healthcare delivery to enhance climate resilience includes attention to improved management of the environmental determinants of health, such as water and sanitation, nutrition and air quality.</x:v>
      </x:c>
      <x:c r="R192" s="159" t="str"/>
      <x:c r="S192" s="160" t="str">
        <x:v>Low</x:v>
      </x:c>
    </x:row>
    <x:row r="193" ht="90" customHeight="1">
      <x:c r="A193" s="165" t="str">
        <x:v>ipcc_0101</x:v>
      </x:c>
      <x:c r="B193" s="159" t="str">
        <x:v>Improve urban water management</x:v>
      </x:c>
      <x:c r="C193" s="159" t="str">
        <x:v>Health</x:v>
      </x:c>
      <x:c r="D193" s="159" t="str">
        <x:v>Vulnerability</x:v>
      </x:c>
      <x:c r="E193" s="153" t="str"/>
      <x:c r="F193" s="153" t="str"/>
      <x:c r="G193" s="159" t="str">
        <x:v>Operational Framework for Building Climate Resilient Health Systems</x:v>
      </x:c>
      <x:c r="H193" s="159" t="str">
        <x:v>https://iris.who.int/server/api/core/bitstreams/63c28858-bafe-4ba0-881a-af0517b7e1bf/content?download=1</x:v>
      </x:c>
      <x:c r="I193" s="168" t="n">
        <x:v>17</x:v>
      </x:c>
      <x:c r="J193" s="159" t="str">
        <x:v>11</x:v>
      </x:c>
      <x:c r="K193" s="159" t="str">
        <x:v>Verified — ordered</x:v>
      </x:c>
      <x:c r="L193" s="159" t="str">
        <x:v>Ordered token coverage on the cited PDF page is 97.2%.</x:v>
      </x:c>
      <x:c r="M193" s="159" t="str">
        <x:v>Supports</x:v>
      </x:c>
      <x:c r="N193" s="159" t="str">
        <x:v>Part of action</x:v>
      </x:c>
      <x:c r="O193" s="159" t="str">
        <x:v>No</x:v>
      </x:c>
      <x:c r="P193" s="159" t="str">
        <x:v>No access to adequate sanitation | Water supply | Presence of cistern</x:v>
      </x:c>
      <x:c r="Q193" s="159" t="str">
        <x:v>The challenge of climate change requires a wider perspective, which includes the selection of more climate-resilient intervention options both within healthcare and in health-determining sectors, from renewable energy in health facilities to climate resilient water and sanitation infrastructure. Building and expanding traditional systems of healthcare delivery to enhance climate resilience includes attention to improved management of the environmental determinants of health, such as water and sanitation, nutrition and air quality.</x:v>
      </x:c>
      <x:c r="R193" s="159" t="str"/>
      <x:c r="S193" s="160" t="str">
        <x:v>Low</x:v>
      </x:c>
    </x:row>
    <x:row r="194" ht="90" customHeight="1">
      <x:c r="A194" s="165" t="str">
        <x:v>c40_0056</x:v>
      </x:c>
      <x:c r="B194" s="159" t="str">
        <x:v>Improve Watershed Protection and Management</x:v>
      </x:c>
      <x:c r="C194" s="159" t="str">
        <x:v>Health</x:v>
      </x:c>
      <x:c r="D194" s="159" t="str">
        <x:v>Vulnerability</x:v>
      </x:c>
      <x:c r="E194" s="153" t="str"/>
      <x:c r="F194" s="153" t="str"/>
      <x:c r="G194" s="159" t="str">
        <x:v>Operational Framework for Building Climate Resilient Health Systems</x:v>
      </x:c>
      <x:c r="H194" s="159" t="str">
        <x:v>https://iris.who.int/server/api/core/bitstreams/63c28858-bafe-4ba0-881a-af0517b7e1bf/content?download=1</x:v>
      </x:c>
      <x:c r="I194" s="168" t="n">
        <x:v>17</x:v>
      </x:c>
      <x:c r="J194" s="159" t="str">
        <x:v>11</x:v>
      </x:c>
      <x:c r="K194" s="159" t="str">
        <x:v>Verified — ordered</x:v>
      </x:c>
      <x:c r="L194" s="159" t="str">
        <x:v>Ordered token coverage on the cited PDF page is 97.2%.</x:v>
      </x:c>
      <x:c r="M194" s="159" t="str">
        <x:v>Supports</x:v>
      </x:c>
      <x:c r="N194" s="159" t="str">
        <x:v>Part of action</x:v>
      </x:c>
      <x:c r="O194" s="159" t="str">
        <x:v>No</x:v>
      </x:c>
      <x:c r="P194" s="159" t="str">
        <x:v>No access to adequate sanitation | Water supply</x:v>
      </x:c>
      <x:c r="Q194" s="159" t="str">
        <x:v>The challenge of climate change requires a wider perspective, which includes the selection of more climate-resilient intervention options both within healthcare and in health-determining sectors, from renewable energy in health facilities to climate resilient water and sanitation infrastructure. Building and expanding traditional systems of healthcare delivery to enhance climate resilience includes attention to improved management of the environmental determinants of health, such as water and sanitation, nutrition and air quality.</x:v>
      </x:c>
      <x:c r="R194" s="159" t="str"/>
      <x:c r="S194" s="160" t="str">
        <x:v>Low</x:v>
      </x:c>
    </x:row>
    <x:row r="195" ht="90" customHeight="1">
      <x:c r="A195" s="165" t="str">
        <x:v>ipcc_0099</x:v>
      </x:c>
      <x:c r="B195" s="159" t="str">
        <x:v>Increase Water Capture and Storage</x:v>
      </x:c>
      <x:c r="C195" s="159" t="str">
        <x:v>Health</x:v>
      </x:c>
      <x:c r="D195" s="159" t="str">
        <x:v>Vulnerability</x:v>
      </x:c>
      <x:c r="E195" s="153" t="str"/>
      <x:c r="F195" s="153" t="str"/>
      <x:c r="G195" s="159" t="str">
        <x:v>Operational Framework for Building Climate Resilient Health Systems</x:v>
      </x:c>
      <x:c r="H195" s="159" t="str">
        <x:v>https://iris.who.int/server/api/core/bitstreams/63c28858-bafe-4ba0-881a-af0517b7e1bf/content?download=1</x:v>
      </x:c>
      <x:c r="I195" s="168" t="n">
        <x:v>17</x:v>
      </x:c>
      <x:c r="J195" s="159" t="str">
        <x:v>11</x:v>
      </x:c>
      <x:c r="K195" s="159" t="str">
        <x:v>Verified — ordered</x:v>
      </x:c>
      <x:c r="L195" s="159" t="str">
        <x:v>Ordered token coverage on the cited PDF page is 97.2%.</x:v>
      </x:c>
      <x:c r="M195" s="159" t="str">
        <x:v>Supports</x:v>
      </x:c>
      <x:c r="N195" s="159" t="str">
        <x:v>Part of action</x:v>
      </x:c>
      <x:c r="O195" s="159" t="str">
        <x:v>No</x:v>
      </x:c>
      <x:c r="P195" s="159" t="str">
        <x:v>Water supply | Presence of cistern</x:v>
      </x:c>
      <x:c r="Q195" s="159" t="str">
        <x:v>The challenge of climate change requires a wider perspective, which includes the selection of more climate-resilient intervention options both within healthcare and in health-determining sectors, from renewable energy in health facilities to climate resilient water and sanitation infrastructure. Building and expanding traditional systems of healthcare delivery to enhance climate resilience includes attention to improved management of the environmental determinants of health, such as water and sanitation, nutrition and air quality.</x:v>
      </x:c>
      <x:c r="R195" s="159" t="str"/>
      <x:c r="S195" s="160" t="str">
        <x:v>Low</x:v>
      </x:c>
    </x:row>
    <x:row r="196" ht="90" customHeight="1">
      <x:c r="A196" s="165" t="str">
        <x:v>ipcc_0104</x:v>
      </x:c>
      <x:c r="B196" s="159" t="str">
        <x:v>Plan and support permanent climate‑related migration</x:v>
      </x:c>
      <x:c r="C196" s="159" t="str">
        <x:v>Health</x:v>
      </x:c>
      <x:c r="D196" s="159" t="str">
        <x:v>Vulnerability</x:v>
      </x:c>
      <x:c r="E196" s="153" t="str"/>
      <x:c r="F196" s="153" t="str"/>
      <x:c r="G196" s="159" t="str">
        <x:v>Climate Change 2022: Impacts, Adaptation and Vulnerability</x:v>
      </x:c>
      <x:c r="H196" s="159" t="str">
        <x:v>https://www.ipcc.ch/report/ar6/wg2/downloads/report/IPCC_AR6_WGII_FullReport.pdf</x:v>
      </x:c>
      <x:c r="I196" s="168" t="n">
        <x:v>108</x:v>
      </x:c>
      <x:c r="J196" s="159" t="str">
        <x:v>96</x:v>
      </x:c>
      <x:c r="K196" s="159" t="str">
        <x:v>Verified — ordered</x:v>
      </x:c>
      <x:c r="L196" s="159" t="str">
        <x:v>Ordered token coverage on the cited PDF page is 98.0%.</x:v>
      </x:c>
      <x:c r="M196" s="159" t="str">
        <x:v>Qualifies</x:v>
      </x:c>
      <x:c r="N196" s="159" t="str">
        <x:v>Whole action</x:v>
      </x:c>
      <x:c r="O196" s="159" t="str">
        <x:v>No</x:v>
      </x:c>
      <x:c r="P196" s="159" t="str">
        <x:v>Recent immigration | Recent immigration</x:v>
      </x:c>
      <x:c r="Q196" s="159" t="str">
        <x:v>Properly supported and where levels of agency and assets are high, migration as an adaptation to climate change can reduce exposure and socioeconomic vulnerability (medium confidence). However, migration becomes a risk when climate hazards cause an individual, household or community to move involuntarily or with low agency (high confidence).</x:v>
      </x:c>
      <x:c r="R196" s="159" t="str"/>
      <x:c r="S196" s="160" t="str">
        <x:v>Low</x:v>
      </x:c>
    </x:row>
    <x:row r="197" ht="90" customHeight="1">
      <x:c r="A197" s="165" t="str">
        <x:v>ipcc_0104</x:v>
      </x:c>
      <x:c r="B197" s="159" t="str">
        <x:v>Plan and support permanent climate‑related migration</x:v>
      </x:c>
      <x:c r="C197" s="159" t="str">
        <x:v>Health</x:v>
      </x:c>
      <x:c r="D197" s="159" t="str">
        <x:v>Exposure</x:v>
      </x:c>
      <x:c r="E197" s="153" t="str"/>
      <x:c r="F197" s="153" t="str"/>
      <x:c r="G197" s="159" t="str">
        <x:v>Climate Change 2022: Impacts, Adaptation and Vulnerability</x:v>
      </x:c>
      <x:c r="H197" s="159" t="str">
        <x:v>https://www.ipcc.ch/report/ar6/wg2/downloads/report/IPCC_AR6_WGII_FullReport.pdf</x:v>
      </x:c>
      <x:c r="I197" s="168" t="n">
        <x:v>108</x:v>
      </x:c>
      <x:c r="J197" s="159" t="str">
        <x:v>96</x:v>
      </x:c>
      <x:c r="K197" s="159" t="str">
        <x:v>Verified — ordered</x:v>
      </x:c>
      <x:c r="L197" s="159" t="str">
        <x:v>Ordered token coverage on the cited PDF page is 98.0%.</x:v>
      </x:c>
      <x:c r="M197" s="159" t="str">
        <x:v>Qualifies</x:v>
      </x:c>
      <x:c r="N197" s="159" t="str">
        <x:v>Whole action</x:v>
      </x:c>
      <x:c r="O197" s="159" t="str">
        <x:v>No</x:v>
      </x:c>
      <x:c r="P197" s="159" t="str">
        <x:v>Settlements | Rural population | Settlements | Informal settlements | Settlements | Population density | Informal settlements</x:v>
      </x:c>
      <x:c r="Q197" s="159" t="str">
        <x:v>Properly supported and where levels of agency and assets are high, migration as an adaptation to climate change can reduce exposure and socioeconomic vulnerability (medium confidence). However, migration becomes a risk when climate hazards cause an individual, household or community to move involuntarily or with low agency (high confidence).</x:v>
      </x:c>
      <x:c r="R197" s="159" t="str"/>
      <x:c r="S197" s="160" t="str">
        <x:v>Low</x:v>
      </x:c>
    </x:row>
    <x:row r="198" ht="90" customHeight="1">
      <x:c r="A198" s="165" t="str">
        <x:v>icare_0173</x:v>
      </x:c>
      <x:c r="B198" s="159" t="str">
        <x:v>Preventive maintenance of drainage systems</x:v>
      </x:c>
      <x:c r="C198" s="159" t="str">
        <x:v>Health</x:v>
      </x:c>
      <x:c r="D198" s="159" t="str">
        <x:v>Vulnerability</x:v>
      </x:c>
      <x:c r="E198" s="153" t="str"/>
      <x:c r="F198" s="153" t="str"/>
      <x:c r="G198" s="159" t="str">
        <x:v>Operational Framework for Building Climate Resilient Health Systems</x:v>
      </x:c>
      <x:c r="H198" s="159" t="str">
        <x:v>https://iris.who.int/server/api/core/bitstreams/63c28858-bafe-4ba0-881a-af0517b7e1bf/content?download=1</x:v>
      </x:c>
      <x:c r="I198" s="168" t="n">
        <x:v>17</x:v>
      </x:c>
      <x:c r="J198" s="159" t="str">
        <x:v>11</x:v>
      </x:c>
      <x:c r="K198" s="159" t="str">
        <x:v>Verified — ordered</x:v>
      </x:c>
      <x:c r="L198" s="159" t="str">
        <x:v>Ordered token coverage on the cited PDF page is 97.2%.</x:v>
      </x:c>
      <x:c r="M198" s="159" t="str">
        <x:v>Supports</x:v>
      </x:c>
      <x:c r="N198" s="159" t="str">
        <x:v>Part of action</x:v>
      </x:c>
      <x:c r="O198" s="159" t="str">
        <x:v>No</x:v>
      </x:c>
      <x:c r="P198" s="159" t="str">
        <x:v>Households without access to garbage collection | Households without access to garbage collection | Households without access to garbage collection | Water supply</x:v>
      </x:c>
      <x:c r="Q198" s="159" t="str">
        <x:v>The challenge of climate change requires a wider perspective, which includes the selection of more climate-resilient intervention options both within healthcare and in health-determining sectors, from renewable energy in health facilities to climate resilient water and sanitation infrastructure. Building and expanding traditional systems of healthcare delivery to enhance climate resilience includes attention to improved management of the environmental determinants of health, such as water and sanitation, nutrition and air quality.</x:v>
      </x:c>
      <x:c r="R198" s="159" t="str"/>
      <x:c r="S198" s="160" t="str">
        <x:v>Low</x:v>
      </x:c>
    </x:row>
    <x:row r="199" ht="90" customHeight="1">
      <x:c r="A199" s="165" t="str">
        <x:v>c40_0053</x:v>
      </x:c>
      <x:c r="B199" s="159" t="str">
        <x:v>Promote water-saving technologies and practices</x:v>
      </x:c>
      <x:c r="C199" s="159" t="str">
        <x:v>Health</x:v>
      </x:c>
      <x:c r="D199" s="159" t="str">
        <x:v>Vulnerability</x:v>
      </x:c>
      <x:c r="E199" s="153" t="str"/>
      <x:c r="F199" s="153" t="str"/>
      <x:c r="G199" s="159" t="str">
        <x:v>Operational Framework for Building Climate Resilient Health Systems</x:v>
      </x:c>
      <x:c r="H199" s="159" t="str">
        <x:v>https://iris.who.int/server/api/core/bitstreams/63c28858-bafe-4ba0-881a-af0517b7e1bf/content?download=1</x:v>
      </x:c>
      <x:c r="I199" s="168" t="n">
        <x:v>17</x:v>
      </x:c>
      <x:c r="J199" s="159" t="str">
        <x:v>11</x:v>
      </x:c>
      <x:c r="K199" s="159" t="str">
        <x:v>Verified — ordered</x:v>
      </x:c>
      <x:c r="L199" s="159" t="str">
        <x:v>Ordered token coverage on the cited PDF page is 97.2%.</x:v>
      </x:c>
      <x:c r="M199" s="159" t="str">
        <x:v>Supports</x:v>
      </x:c>
      <x:c r="N199" s="159" t="str">
        <x:v>Part of action</x:v>
      </x:c>
      <x:c r="O199" s="159" t="str">
        <x:v>No</x:v>
      </x:c>
      <x:c r="P199" s="159" t="str">
        <x:v>Water supply | Presence of cistern</x:v>
      </x:c>
      <x:c r="Q199" s="159" t="str">
        <x:v>The challenge of climate change requires a wider perspective, which includes the selection of more climate-resilient intervention options both within healthcare and in health-determining sectors, from renewable energy in health facilities to climate resilient water and sanitation infrastructure. Building and expanding traditional systems of healthcare delivery to enhance climate resilience includes attention to improved management of the environmental determinants of health, such as water and sanitation, nutrition and air quality.</x:v>
      </x:c>
      <x:c r="R199" s="159" t="str"/>
      <x:c r="S199" s="160" t="str">
        <x:v>Low</x:v>
      </x:c>
    </x:row>
    <x:row r="200" ht="90" customHeight="1">
      <x:c r="A200" s="165" t="str">
        <x:v>icare_0178</x:v>
      </x:c>
      <x:c r="B200" s="159" t="str">
        <x:v>Redirect urban development through climate‑risk spatial planning</x:v>
      </x:c>
      <x:c r="C200" s="159" t="str">
        <x:v>Health</x:v>
      </x:c>
      <x:c r="D200" s="159" t="str">
        <x:v>Exposure</x:v>
      </x:c>
      <x:c r="E200" s="153" t="str"/>
      <x:c r="F200" s="153" t="str"/>
      <x:c r="G200" s="159" t="str">
        <x:v>Climate Change 2022: Impacts, Adaptation and Vulnerability</x:v>
      </x:c>
      <x:c r="H200" s="159" t="str">
        <x:v>https://www.ipcc.ch/report/ar6/wg2/downloads/report/IPCC_AR6_WGII_FullReport.pdf</x:v>
      </x:c>
      <x:c r="I200" s="168" t="n">
        <x:v>1657</x:v>
      </x:c>
      <x:c r="J200" s="159" t="str">
        <x:v>1645</x:v>
      </x:c>
      <x:c r="K200" s="159" t="str">
        <x:v>Verified — exact</x:v>
      </x:c>
      <x:c r="L200" s="159" t="str">
        <x:v>Normalized quote occurs on the cited PDF page.</x:v>
      </x:c>
      <x:c r="M200" s="159" t="str">
        <x:v>Supports</x:v>
      </x:c>
      <x:c r="N200" s="159" t="str">
        <x:v>Whole action</x:v>
      </x:c>
      <x:c r="O200" s="159" t="str">
        <x:v>No</x:v>
      </x:c>
      <x:c r="P200" s="159" t="str">
        <x:v>Settlements | Rural population | Settlements | Informal settlements | Settlements | Population density | Informal settlements</x:v>
      </x:c>
      <x:c r="Q200" s="159" t="str">
        <x:v>Reviewing land use and spatial planning to reduce exposure to climate risks.</x:v>
      </x:c>
      <x:c r="R200" s="159" t="str"/>
      <x:c r="S200" s="160" t="str">
        <x:v>Medium</x:v>
      </x:c>
    </x:row>
    <x:row r="201" ht="90" customHeight="1">
      <x:c r="A201" s="165" t="str">
        <x:v>icare_0181</x:v>
      </x:c>
      <x:c r="B201" s="159" t="str">
        <x:v>Restore in Vulnerable Areas</x:v>
      </x:c>
      <x:c r="C201" s="159" t="str">
        <x:v>Health</x:v>
      </x:c>
      <x:c r="D201" s="159" t="str">
        <x:v>Vulnerability</x:v>
      </x:c>
      <x:c r="E201" s="153" t="str"/>
      <x:c r="F201" s="153" t="str"/>
      <x:c r="G201" s="159" t="str">
        <x:v>Operational Framework for Building Climate Resilient Health Systems</x:v>
      </x:c>
      <x:c r="H201" s="159" t="str">
        <x:v>https://iris.who.int/server/api/core/bitstreams/63c28858-bafe-4ba0-881a-af0517b7e1bf/content?download=1</x:v>
      </x:c>
      <x:c r="I201" s="168" t="n">
        <x:v>17</x:v>
      </x:c>
      <x:c r="J201" s="159" t="str">
        <x:v>11</x:v>
      </x:c>
      <x:c r="K201" s="159" t="str">
        <x:v>Verified — ordered</x:v>
      </x:c>
      <x:c r="L201" s="159" t="str">
        <x:v>Ordered token coverage on the cited PDF page is 97.2%.</x:v>
      </x:c>
      <x:c r="M201" s="159" t="str">
        <x:v>Supports</x:v>
      </x:c>
      <x:c r="N201" s="159" t="str">
        <x:v>Part of action</x:v>
      </x:c>
      <x:c r="O201" s="159" t="str">
        <x:v>No</x:v>
      </x:c>
      <x:c r="P201" s="159" t="str">
        <x:v>No access to adequate sanitation | Households without access to garbage collection | Households without access to garbage collection | Households without access to garbage collection | Water supply</x:v>
      </x:c>
      <x:c r="Q201" s="159" t="str">
        <x:v>The challenge of climate change requires a wider perspective, which includes the selection of more climate-resilient intervention options both within healthcare and in health-determining sectors, from renewable energy in health facilities to climate resilient water and sanitation infrastructure. Building and expanding traditional systems of healthcare delivery to enhance climate resilience includes attention to improved management of the environmental determinants of health, such as water and sanitation, nutrition and air quality.</x:v>
      </x:c>
      <x:c r="R201" s="159" t="str"/>
      <x:c r="S201" s="160" t="str">
        <x:v>Low</x:v>
      </x:c>
    </x:row>
    <x:row r="202" ht="90" customHeight="1">
      <x:c r="A202" s="165" t="str">
        <x:v>icare_0181</x:v>
      </x:c>
      <x:c r="B202" s="159" t="str">
        <x:v>Restore in Vulnerable Areas</x:v>
      </x:c>
      <x:c r="C202" s="159" t="str">
        <x:v>Health</x:v>
      </x:c>
      <x:c r="D202" s="159" t="str">
        <x:v>Exposure</x:v>
      </x:c>
      <x:c r="E202" s="153" t="str"/>
      <x:c r="F202" s="153" t="str"/>
      <x:c r="G202" s="159" t="str">
        <x:v>Climate Change 2022: Impacts, Adaptation and Vulnerability</x:v>
      </x:c>
      <x:c r="H202" s="159" t="str">
        <x:v>https://www.ipcc.ch/report/ar6/wg2/downloads/report/IPCC_AR6_WGII_FullReport.pdf</x:v>
      </x:c>
      <x:c r="I202" s="168" t="n">
        <x:v>37</x:v>
      </x:c>
      <x:c r="J202" s="159" t="str">
        <x:v>25</x:v>
      </x:c>
      <x:c r="K202" s="159" t="str">
        <x:v>Verified — ordered</x:v>
      </x:c>
      <x:c r="L202" s="159" t="str">
        <x:v>Ordered token coverage on the cited PDF page is 100.0%.</x:v>
      </x:c>
      <x:c r="M202" s="159" t="str">
        <x:v>Supports</x:v>
      </x:c>
      <x:c r="N202" s="159" t="str">
        <x:v>Whole action</x:v>
      </x:c>
      <x:c r="O202" s="159" t="str">
        <x:v>No</x:v>
      </x:c>
      <x:c r="P202" s="159" t="str">
        <x:v>Settlements | Rural population | Settlements | Informal settlements | Settlements | Population density | Informal settlements</x:v>
      </x:c>
      <x:c r="Q202" s="159" t="str">
        <x:v>Responses to ongoing sea level rise and land subsidence in low-lying coastal cities and settlements and small islands include protection, accommodation, advance and planned relocation (high confidence). These responses are more effective if combined and/or sequenced, planned well ahead, aligned with sociocultural values and development priorities, and underpinned by inclusive community engagement processes (high confidence).</x:v>
      </x:c>
      <x:c r="R202" s="159" t="str"/>
      <x:c r="S202" s="160" t="str">
        <x:v>Medium</x:v>
      </x:c>
    </x:row>
    <x:row r="203" ht="90" customHeight="1">
      <x:c r="A203" s="165" t="str">
        <x:v>ipcc_0089</x:v>
      </x:c>
      <x:c r="B203" s="159" t="str">
        <x:v>Spatially redirect development</x:v>
      </x:c>
      <x:c r="C203" s="159" t="str">
        <x:v>Health</x:v>
      </x:c>
      <x:c r="D203" s="159" t="str">
        <x:v>Exposure</x:v>
      </x:c>
      <x:c r="E203" s="153" t="str"/>
      <x:c r="F203" s="153" t="str"/>
      <x:c r="G203" s="159" t="str">
        <x:v>Climate Change 2022: Impacts, Adaptation and Vulnerability</x:v>
      </x:c>
      <x:c r="H203" s="159" t="str">
        <x:v>https://www.ipcc.ch/report/ar6/wg2/downloads/report/IPCC_AR6_WGII_FullReport.pdf</x:v>
      </x:c>
      <x:c r="I203" s="168" t="n">
        <x:v>1657</x:v>
      </x:c>
      <x:c r="J203" s="159" t="str">
        <x:v>1645</x:v>
      </x:c>
      <x:c r="K203" s="159" t="str">
        <x:v>Verified — exact</x:v>
      </x:c>
      <x:c r="L203" s="159" t="str">
        <x:v>Normalized quote occurs on the cited PDF page.</x:v>
      </x:c>
      <x:c r="M203" s="159" t="str">
        <x:v>Supports</x:v>
      </x:c>
      <x:c r="N203" s="159" t="str">
        <x:v>Whole action</x:v>
      </x:c>
      <x:c r="O203" s="159" t="str">
        <x:v>No</x:v>
      </x:c>
      <x:c r="P203" s="159" t="str">
        <x:v>Settlements | Deforestation | Settlements | Informal settlements | Natural coverage | Settlements | Natural coverage | Population density | Informal settlements | Deforestation</x:v>
      </x:c>
      <x:c r="Q203" s="159" t="str">
        <x:v>Reviewing land use and spatial planning to reduce exposure to climate risks.</x:v>
      </x:c>
      <x:c r="R203" s="159" t="str"/>
      <x:c r="S203" s="160" t="str">
        <x:v>Medium</x:v>
      </x:c>
    </x:row>
    <x:row r="204" ht="90" customHeight="1">
      <x:c r="A204" s="165" t="str">
        <x:v>ipcc_0094</x:v>
      </x:c>
      <x:c r="B204" s="159" t="str">
        <x:v>Strengthen climate‑resilient health services</x:v>
      </x:c>
      <x:c r="C204" s="159" t="str">
        <x:v>Health</x:v>
      </x:c>
      <x:c r="D204" s="159" t="str">
        <x:v>Vulnerability</x:v>
      </x:c>
      <x:c r="E204" s="153" t="str"/>
      <x:c r="F204" s="153" t="str"/>
      <x:c r="G204" s="159" t="str">
        <x:v>Guidance for Climate Resilient and Environmentally Sustainable Health Care Facilities</x:v>
      </x:c>
      <x:c r="H204" s="159" t="str">
        <x:v>https://iris.who.int/server/api/core/bitstreams/f914ca26-bee6-4c17-bf53-36e613f2abbb/content?download=1</x:v>
      </x:c>
      <x:c r="I204" s="168" t="n">
        <x:v>8</x:v>
      </x:c>
      <x:c r="J204" s="159" t="str">
        <x:v>vi</x:v>
      </x:c>
      <x:c r="K204" s="159" t="str">
        <x:v>Verified — exact</x:v>
      </x:c>
      <x:c r="L204" s="159" t="str">
        <x:v>Normalized quote occurs on the cited PDF page.</x:v>
      </x:c>
      <x:c r="M204" s="159" t="str">
        <x:v>Supports</x:v>
      </x:c>
      <x:c r="N204" s="159" t="str">
        <x:v>Whole action</x:v>
      </x:c>
      <x:c r="O204" s="159" t="str">
        <x:v>No</x:v>
      </x:c>
      <x:c r="P204" s="159" t="str">
        <x:v>Basic care coverage | Access to diagnosis and treatment | Basic care coverage | Basic care coverage | Basic care coverage</x:v>
      </x:c>
      <x:c r="Q204" s="159" t="str">
        <x:v>Climate-resilient and environmentally sustainable health care facilities contribute to high quality of care and accessibility of services, and by helping reduce facility costs also ensure better affordability. They are, therefore, an important component of universal health coverage.</x:v>
      </x:c>
      <x:c r="R204" s="159" t="str"/>
      <x:c r="S204" s="160" t="str">
        <x:v>High</x:v>
      </x:c>
    </x:row>
    <x:row r="205" ht="90" customHeight="1">
      <x:c r="A205" s="165" t="str">
        <x:v>ipcc_0094</x:v>
      </x:c>
      <x:c r="B205" s="159" t="str">
        <x:v>Strengthen climate‑resilient health services</x:v>
      </x:c>
      <x:c r="C205" s="159" t="str">
        <x:v>Health</x:v>
      </x:c>
      <x:c r="D205" s="159" t="str">
        <x:v>Vulnerability</x:v>
      </x:c>
      <x:c r="E205" s="153" t="str"/>
      <x:c r="F205" s="153" t="str"/>
      <x:c r="G205" s="159" t="str">
        <x:v>Operational Framework for Building Climate Resilient Health Systems</x:v>
      </x:c>
      <x:c r="H205" s="159" t="str">
        <x:v>https://iris.who.int/server/api/core/bitstreams/63c28858-bafe-4ba0-881a-af0517b7e1bf/content?download=1</x:v>
      </x:c>
      <x:c r="I205" s="168" t="n">
        <x:v>15</x:v>
      </x:c>
      <x:c r="J205" s="159" t="str">
        <x:v>9</x:v>
      </x:c>
      <x:c r="K205" s="159" t="str">
        <x:v>Verified — ordered</x:v>
      </x:c>
      <x:c r="L205" s="159" t="str">
        <x:v>Ordered token coverage on the cited PDF page is 97.8%.</x:v>
      </x:c>
      <x:c r="M205" s="159" t="str">
        <x:v>Supports</x:v>
      </x:c>
      <x:c r="N205" s="159" t="str">
        <x:v>Whole action</x:v>
      </x:c>
      <x:c r="O205" s="159" t="str">
        <x:v>No</x:v>
      </x:c>
      <x:c r="P205" s="159" t="str">
        <x:v>Basic care coverage | Access to diagnosis and treatment | Basic care coverage | Basic care coverage | Basic care coverage</x:v>
      </x:c>
      <x:c r="Q205" s="159" t="str">
        <x:v>For health system strengthening the following measures are recommended: an adequate workforce and climate-proofed infrastructure in local facilities to control climate-sensitive diseases and improve response to local emergencies; surveillance systems to monitor population health and environmental exposure; and good practices of health governance.</x:v>
      </x:c>
      <x:c r="R205" s="159" t="str"/>
      <x:c r="S205" s="160" t="str">
        <x:v>High</x:v>
      </x:c>
    </x:row>
    <x:row r="206" ht="90" customHeight="1">
      <x:c r="A206" s="165" t="str">
        <x:v>icare_0145</x:v>
      </x:c>
      <x:c r="B206" s="159" t="str">
        <x:v>Strengthen the healthcare system to respond effectively to extreme events</x:v>
      </x:c>
      <x:c r="C206" s="159" t="str">
        <x:v>Health</x:v>
      </x:c>
      <x:c r="D206" s="159" t="str">
        <x:v>Vulnerability</x:v>
      </x:c>
      <x:c r="E206" s="153" t="str"/>
      <x:c r="F206" s="153" t="str"/>
      <x:c r="G206" s="159" t="str">
        <x:v>Guidance for Climate Resilient and Environmentally Sustainable Health Care Facilities</x:v>
      </x:c>
      <x:c r="H206" s="159" t="str">
        <x:v>https://iris.who.int/server/api/core/bitstreams/f914ca26-bee6-4c17-bf53-36e613f2abbb/content?download=1</x:v>
      </x:c>
      <x:c r="I206" s="168" t="n">
        <x:v>8</x:v>
      </x:c>
      <x:c r="J206" s="159" t="str">
        <x:v>vi</x:v>
      </x:c>
      <x:c r="K206" s="159" t="str">
        <x:v>Verified — exact</x:v>
      </x:c>
      <x:c r="L206" s="159" t="str">
        <x:v>Normalized quote occurs on the cited PDF page.</x:v>
      </x:c>
      <x:c r="M206" s="159" t="str">
        <x:v>Supports</x:v>
      </x:c>
      <x:c r="N206" s="159" t="str">
        <x:v>Whole action</x:v>
      </x:c>
      <x:c r="O206" s="159" t="str">
        <x:v>No</x:v>
      </x:c>
      <x:c r="P206" s="159" t="str">
        <x:v>Basic care coverage | Access to diagnosis and treatment | Basic care coverage | Basic care coverage | Basic care coverage</x:v>
      </x:c>
      <x:c r="Q206" s="159" t="str">
        <x:v>Climate-resilient and environmentally sustainable health care facilities contribute to high quality of care and accessibility of services, and by helping reduce facility costs also ensure better affordability. They are, therefore, an important component of universal health coverage.</x:v>
      </x:c>
      <x:c r="R206" s="159" t="str"/>
      <x:c r="S206" s="160" t="str">
        <x:v>High</x:v>
      </x:c>
    </x:row>
    <x:row r="207" ht="90" customHeight="1">
      <x:c r="A207" s="165" t="str">
        <x:v>icare_0145</x:v>
      </x:c>
      <x:c r="B207" s="159" t="str">
        <x:v>Strengthen the healthcare system to respond effectively to extreme events</x:v>
      </x:c>
      <x:c r="C207" s="159" t="str">
        <x:v>Health</x:v>
      </x:c>
      <x:c r="D207" s="159" t="str">
        <x:v>Vulnerability</x:v>
      </x:c>
      <x:c r="E207" s="153" t="str"/>
      <x:c r="F207" s="153" t="str"/>
      <x:c r="G207" s="159" t="str">
        <x:v>Operational Framework for Building Climate Resilient Health Systems</x:v>
      </x:c>
      <x:c r="H207" s="159" t="str">
        <x:v>https://iris.who.int/server/api/core/bitstreams/63c28858-bafe-4ba0-881a-af0517b7e1bf/content?download=1</x:v>
      </x:c>
      <x:c r="I207" s="168" t="n">
        <x:v>15</x:v>
      </x:c>
      <x:c r="J207" s="159" t="str">
        <x:v>9</x:v>
      </x:c>
      <x:c r="K207" s="159" t="str">
        <x:v>Verified — ordered</x:v>
      </x:c>
      <x:c r="L207" s="159" t="str">
        <x:v>Ordered token coverage on the cited PDF page is 97.8%.</x:v>
      </x:c>
      <x:c r="M207" s="159" t="str">
        <x:v>Supports</x:v>
      </x:c>
      <x:c r="N207" s="159" t="str">
        <x:v>Whole action</x:v>
      </x:c>
      <x:c r="O207" s="159" t="str">
        <x:v>No</x:v>
      </x:c>
      <x:c r="P207" s="159" t="str">
        <x:v>Basic care coverage | Access to diagnosis and treatment | Basic care coverage | Basic care coverage | Basic care coverage</x:v>
      </x:c>
      <x:c r="Q207" s="159" t="str">
        <x:v>For health system strengthening the following measures are recommended: an adequate workforce and climate-proofed infrastructure in local facilities to control climate-sensitive diseases and improve response to local emergencies; surveillance systems to monitor population health and environmental exposure; and good practices of health governance.</x:v>
      </x:c>
      <x:c r="R207" s="159" t="str"/>
      <x:c r="S207" s="160" t="str">
        <x:v>High</x:v>
      </x:c>
    </x:row>
    <x:row r="208" ht="90" customHeight="1">
      <x:c r="A208" s="165" t="str">
        <x:v>c40_0048</x:v>
      </x:c>
      <x:c r="B208" s="159" t="str">
        <x:v>Upgrade urban drainage systems</x:v>
      </x:c>
      <x:c r="C208" s="159" t="str">
        <x:v>Health</x:v>
      </x:c>
      <x:c r="D208" s="159" t="str">
        <x:v>Vulnerability</x:v>
      </x:c>
      <x:c r="E208" s="153" t="str"/>
      <x:c r="F208" s="153" t="str"/>
      <x:c r="G208" s="159" t="str">
        <x:v>Operational Framework for Building Climate Resilient Health Systems</x:v>
      </x:c>
      <x:c r="H208" s="159" t="str">
        <x:v>https://iris.who.int/server/api/core/bitstreams/63c28858-bafe-4ba0-881a-af0517b7e1bf/content?download=1</x:v>
      </x:c>
      <x:c r="I208" s="168" t="n">
        <x:v>17</x:v>
      </x:c>
      <x:c r="J208" s="159" t="str">
        <x:v>11</x:v>
      </x:c>
      <x:c r="K208" s="159" t="str">
        <x:v>Verified — ordered</x:v>
      </x:c>
      <x:c r="L208" s="159" t="str">
        <x:v>Ordered token coverage on the cited PDF page is 97.2%.</x:v>
      </x:c>
      <x:c r="M208" s="159" t="str">
        <x:v>Supports</x:v>
      </x:c>
      <x:c r="N208" s="159" t="str">
        <x:v>Part of action</x:v>
      </x:c>
      <x:c r="O208" s="159" t="str">
        <x:v>No</x:v>
      </x:c>
      <x:c r="P208" s="159" t="str">
        <x:v>No access to adequate sanitation | Water supply</x:v>
      </x:c>
      <x:c r="Q208" s="159" t="str">
        <x:v>The challenge of climate change requires a wider perspective, which includes the selection of more climate-resilient intervention options both within healthcare and in health-determining sectors, from renewable energy in health facilities to climate resilient water and sanitation infrastructure. Building and expanding traditional systems of healthcare delivery to enhance climate resilience includes attention to improved management of the environmental determinants of health, such as water and sanitation, nutrition and air quality.</x:v>
      </x:c>
      <x:c r="R208" s="159" t="str"/>
      <x:c r="S208" s="160" t="str">
        <x:v>Low</x:v>
      </x:c>
    </x:row>
    <x:row r="209" ht="90" customHeight="1">
      <x:c r="A209" s="165" t="str">
        <x:v>icare_0170</x:v>
      </x:c>
      <x:c r="B209" s="159" t="str">
        <x:v>Build safe housing and implement urban rehabilitation projects for populations living in high-risk areas</x:v>
      </x:c>
      <x:c r="C209" s="159" t="str">
        <x:v>Water resources</x:v>
      </x:c>
      <x:c r="D209" s="159" t="str">
        <x:v>Vulnerability</x:v>
      </x:c>
      <x:c r="E209" s="153" t="str"/>
      <x:c r="F209" s="153" t="str"/>
      <x:c r="G209" s="159" t="str">
        <x:v>Plano Nacional de Segurança Hídrica</x:v>
      </x:c>
      <x:c r="H209" s="159" t="str">
        <x:v>https://arquivos.ana.gov.br/pnsh/pnsh.pdf</x:v>
      </x:c>
      <x:c r="I209" s="168" t="n">
        <x:v>29</x:v>
      </x:c>
      <x:c r="J209" s="159" t="str">
        <x:v>27</x:v>
      </x:c>
      <x:c r="K209" s="159" t="str">
        <x:v>Verified — exact</x:v>
      </x:c>
      <x:c r="L209" s="159" t="str">
        <x:v>Normalized quote occurs on the cited PDF page.</x:v>
      </x:c>
      <x:c r="M209" s="159" t="str">
        <x:v>Supports</x:v>
      </x:c>
      <x:c r="N209" s="159" t="str">
        <x:v>Part of action</x:v>
      </x:c>
      <x:c r="O209" s="159" t="str">
        <x:v>No</x:v>
      </x:c>
      <x:c r="P209" s="159" t="str">
        <x:v>Diseases due to inadequate sanitation | Water quality | Municipal basic sanitation plan</x:v>
      </x:c>
      <x:c r="Q209" s="159" t="str">
        <x:v>A tendência atual na prevenção e mitigação dos riscos de inundações graduais é a de implementar uma combinação de medidas de proteção estrutural e medidas não estruturais, com o intuito de conciliar as funções de armazenamento e escoamento das águas no sistema de drenagem com o espaço disponível e as necessidades relacionadas à ocupação humana sustentável.</x:v>
      </x:c>
      <x:c r="R209" s="159" t="str"/>
      <x:c r="S209" s="160" t="str">
        <x:v>Low</x:v>
      </x:c>
    </x:row>
    <x:row r="210" ht="90" customHeight="1">
      <x:c r="A210" s="165" t="str">
        <x:v>icare_0170</x:v>
      </x:c>
      <x:c r="B210" s="159" t="str">
        <x:v>Build safe housing and implement urban rehabilitation projects for populations living in high-risk areas</x:v>
      </x:c>
      <x:c r="C210" s="159" t="str">
        <x:v>Water resources</x:v>
      </x:c>
      <x:c r="D210" s="159" t="str">
        <x:v>Exposure</x:v>
      </x:c>
      <x:c r="E210" s="153" t="str"/>
      <x:c r="F210" s="153" t="str"/>
      <x:c r="G210" s="159" t="str">
        <x:v>Climate Change 2022: Impacts, Adaptation and Vulnerability — Chapter 4: Water</x:v>
      </x:c>
      <x:c r="H210" s="159" t="str">
        <x:v>https://www.ipcc.ch/report/ar6/wg2/downloads/report/IPCC_AR6_WGII_Chapter04.pdf</x:v>
      </x:c>
      <x:c r="I210" s="168" t="n">
        <x:v>81</x:v>
      </x:c>
      <x:c r="J210" s="159" t="str">
        <x:v>631</x:v>
      </x:c>
      <x:c r="K210" s="159" t="str">
        <x:v>Verified — ordered</x:v>
      </x:c>
      <x:c r="L210" s="159" t="str">
        <x:v>Ordered token coverage on the cited PDF page is 100.0%.</x:v>
      </x:c>
      <x:c r="M210" s="159" t="str">
        <x:v>Supports</x:v>
      </x:c>
      <x:c r="N210" s="159" t="str">
        <x:v>Whole action</x:v>
      </x:c>
      <x:c r="O210" s="159" t="str">
        <x:v>No</x:v>
      </x:c>
      <x:c r="P210" s="159" t="str">
        <x:v>Population density | Urban users exposed | Exposed rural users</x:v>
      </x:c>
      <x:c r="Q210" s="159" t="str">
        <x:v>Some adaptation options, such as water conservation, storage and infrastructure, voluntary migration, planned relocation due to flood risk/sea level rise, and international water treaties, can reduce vulnerability.</x:v>
      </x:c>
      <x:c r="R210" s="159" t="str"/>
      <x:c r="S210" s="160" t="str">
        <x:v>Medium</x:v>
      </x:c>
    </x:row>
    <x:row r="211" ht="90" customHeight="1">
      <x:c r="A211" s="165" t="str">
        <x:v>icare_0176</x:v>
      </x:c>
      <x:c r="B211" s="159" t="str">
        <x:v>Develop a Climate Action Plan</x:v>
      </x:c>
      <x:c r="C211" s="159" t="str">
        <x:v>Water resources</x:v>
      </x:c>
      <x:c r="D211" s="159" t="str">
        <x:v>Vulnerability</x:v>
      </x:c>
      <x:c r="E211" s="153" t="str"/>
      <x:c r="F211" s="153" t="str"/>
      <x:c r="G211" s="159" t="str">
        <x:v>Climate Change 2022: Impacts, Adaptation and Vulnerability — Chapter 4: Water</x:v>
      </x:c>
      <x:c r="H211" s="159" t="str">
        <x:v>https://www.ipcc.ch/report/ar6/wg2/downloads/report/IPCC_AR6_WGII_Chapter04.pdf</x:v>
      </x:c>
      <x:c r="I211" s="168" t="n">
        <x:v>7</x:v>
      </x:c>
      <x:c r="J211" s="159" t="str">
        <x:v>557</x:v>
      </x:c>
      <x:c r="K211" s="159" t="str">
        <x:v>Verified — ordered</x:v>
      </x:c>
      <x:c r="L211" s="159" t="str">
        <x:v>Ordered token coverage on the cited PDF page is 100.0%.</x:v>
      </x:c>
      <x:c r="M211" s="159" t="str">
        <x:v>Supports</x:v>
      </x:c>
      <x:c r="N211" s="159" t="str">
        <x:v>Part of action</x:v>
      </x:c>
      <x:c r="O211" s="159" t="str">
        <x:v>No</x:v>
      </x:c>
      <x:c r="P211" s="159" t="str">
        <x:v>Investments in adaptation policies | Resilient cities program</x:v>
      </x:c>
      <x:c r="Q211" s="159" t="str">
        <x:v>Water adaptation policies enabled through ethical co-production between holders of Indigenous knowledge, local knowledge and technical knowledge, through cooperation and coordinated actions among multiple actors, including women and all marginalised groups, at various levels of governance is needed for effective transitions towards climate resilient development (medium confidence).</x:v>
      </x:c>
      <x:c r="R211" s="159" t="str"/>
      <x:c r="S211" s="160" t="str">
        <x:v>Low</x:v>
      </x:c>
    </x:row>
    <x:row r="212" ht="90" customHeight="1">
      <x:c r="A212" s="165" t="str">
        <x:v>icare_0182</x:v>
      </x:c>
      <x:c r="B212" s="159" t="str">
        <x:v>Develop an Urban Afforestation Plan</x:v>
      </x:c>
      <x:c r="C212" s="159" t="str">
        <x:v>Water resources</x:v>
      </x:c>
      <x:c r="D212" s="159" t="str">
        <x:v>Vulnerability</x:v>
      </x:c>
      <x:c r="E212" s="153" t="str"/>
      <x:c r="F212" s="153" t="str"/>
      <x:c r="G212" s="159" t="str">
        <x:v>Flowing Forward: Freshwater Ecosystem Adaptation to Climate Change in Water Resources Management and Biodiversity Conservation</x:v>
      </x:c>
      <x:c r="H212" s="159" t="str">
        <x:v>https://awsassets.panda.org/downloads/flowing_forward_freshwater_ecosystem_adaptation_to_climate_change.pdf</x:v>
      </x:c>
      <x:c r="I212" s="168" t="n">
        <x:v>19</x:v>
      </x:c>
      <x:c r="J212" s="159" t="str">
        <x:v>13</x:v>
      </x:c>
      <x:c r="K212" s="159" t="str">
        <x:v>Verified — exact</x:v>
      </x:c>
      <x:c r="L212" s="159" t="str">
        <x:v>Normalized quote occurs on the cited PDF page.</x:v>
      </x:c>
      <x:c r="M212" s="159" t="str">
        <x:v>Supports</x:v>
      </x:c>
      <x:c r="N212" s="159" t="str">
        <x:v>Whole action</x:v>
      </x:c>
      <x:c r="O212" s="159" t="str">
        <x:v>No</x:v>
      </x:c>
      <x:c r="P212" s="159" t="str">
        <x:v>Water quality | Degraded and/or deforested areas | Areas with soils susceptible to erosion | Ecological flow for ecosystem uses | Nature reserve</x:v>
      </x:c>
      <x:c r="Q212" s="159" t="str">
        <x:v>In recognition of the importance of freshwater ecosystems and the services that they provide, environmental sustainability is recognized as a core principle of integrated water resources management, enshrined in the first of the Dublin principles that recognizes that 'effective management of water resources demands a holistic approach, linking social and economic development with protection of natural ecosystems.' This increasing recognition has led to the significant development of tools and approaches that seek to ensure the maintenance, protection and restoration of ecosystems and ecosystem services in on-going water resources management efforts.</x:v>
      </x:c>
      <x:c r="R212" s="159" t="str"/>
      <x:c r="S212" s="160" t="str">
        <x:v>High</x:v>
      </x:c>
    </x:row>
    <x:row r="213" ht="90" customHeight="1">
      <x:c r="A213" s="165" t="str">
        <x:v>icare_0182</x:v>
      </x:c>
      <x:c r="B213" s="159" t="str">
        <x:v>Develop an Urban Afforestation Plan</x:v>
      </x:c>
      <x:c r="C213" s="159" t="str">
        <x:v>Water resources</x:v>
      </x:c>
      <x:c r="D213" s="159" t="str">
        <x:v>Vulnerability</x:v>
      </x:c>
      <x:c r="E213" s="153" t="str"/>
      <x:c r="F213" s="153" t="str"/>
      <x:c r="G213" s="159" t="str">
        <x:v>Water and Climate Change Adaptation in Transboundary Basins: Lessons Learned and Good Practices</x:v>
      </x:c>
      <x:c r="H213" s="159" t="str">
        <x:v>https://unece.org/info/publications/pub/21743</x:v>
      </x:c>
      <x:c r="I213" s="168" t="n">
        <x:v>37</x:v>
      </x:c>
      <x:c r="J213" s="159" t="str"/>
      <x:c r="K213" s="159" t="str">
        <x:v>Verified — ordered</x:v>
      </x:c>
      <x:c r="L213" s="159" t="str">
        <x:v>Ordered token coverage on the cited PDF page is 100.0%.</x:v>
      </x:c>
      <x:c r="M213" s="159" t="str">
        <x:v>Supports</x:v>
      </x:c>
      <x:c r="N213" s="159" t="str">
        <x:v>Part of action</x:v>
      </x:c>
      <x:c r="O213" s="159" t="str">
        <x:v>No</x:v>
      </x:c>
      <x:c r="P213" s="159" t="str">
        <x:v>Water quality | Degraded and/or deforested areas | Areas with soils susceptible to erosion | Ecological flow for ecosystem uses | Nature reserve</x:v>
      </x:c>
      <x:c r="Q213" s="159" t="str">
        <x:v>The ecologic restoration project consisted in the transformation of rice fields into different habitats typical in wetlands. So far, the benefits of the project have been an improvement in water quality: the water ecosystems established in Tancat de la Pipa, both artificial wetlands with surface flow and lagoons, have shown a great capacity to reduce suspended solids, total phosphorous, total nitrogen and phytoplankton in water.</x:v>
      </x:c>
      <x:c r="R213" s="159" t="str"/>
      <x:c r="S213" s="160" t="str">
        <x:v>High</x:v>
      </x:c>
    </x:row>
    <x:row r="214" ht="90" customHeight="1">
      <x:c r="A214" s="165" t="str">
        <x:v>icare_0182</x:v>
      </x:c>
      <x:c r="B214" s="159" t="str">
        <x:v>Develop an Urban Afforestation Plan</x:v>
      </x:c>
      <x:c r="C214" s="159" t="str">
        <x:v>Water resources</x:v>
      </x:c>
      <x:c r="D214" s="159" t="str">
        <x:v>Vulnerability</x:v>
      </x:c>
      <x:c r="E214" s="153" t="str"/>
      <x:c r="F214" s="153" t="str"/>
      <x:c r="G214" s="159" t="str">
        <x:v>Climate Change 2022: Impacts, Adaptation and Vulnerability — Chapter 4: Water</x:v>
      </x:c>
      <x:c r="H214" s="159" t="str">
        <x:v>https://www.ipcc.ch/report/ar6/wg2/downloads/report/IPCC_AR6_WGII_Chapter04.pdf</x:v>
      </x:c>
      <x:c r="I214" s="168" t="n">
        <x:v>82</x:v>
      </x:c>
      <x:c r="J214" s="159" t="str">
        <x:v>632</x:v>
      </x:c>
      <x:c r="K214" s="159" t="str">
        <x:v>Verified — ordered</x:v>
      </x:c>
      <x:c r="L214" s="159" t="str">
        <x:v>Ordered token coverage on the cited PDF page is 100.0%.</x:v>
      </x:c>
      <x:c r="M214" s="159" t="str">
        <x:v>Supports</x:v>
      </x:c>
      <x:c r="N214" s="159" t="str">
        <x:v>Whole action</x:v>
      </x:c>
      <x:c r="O214" s="159" t="str">
        <x:v>No</x:v>
      </x:c>
      <x:c r="P214" s="159" t="str">
        <x:v>Water quality | Degraded and/or deforested areas | Areas with soils susceptible to erosion | Ecological flow for ecosystem uses | Nature reserve</x:v>
      </x:c>
      <x:c r="Q214" s="159" t="str">
        <x:v>NbS have been used for stormwater management by combining water purification and retention functions. NbS have also been used to mitigate impacts from high-impact extreme precipitation events by integrating large-scale NbS investment plans into urban planning in cities like New York and Copenhagen, highlighting the importance of blended finance and investment (including insurance) to mainstream NbS investments. In summary, there is growing evidence on NbS effectiveness as an adaptation measure and its critical role for transformative adaptation to address climate change water-related hazards and water security (medium evidence, high agreement).</x:v>
      </x:c>
      <x:c r="R214" s="159" t="str"/>
      <x:c r="S214" s="160" t="str">
        <x:v>High</x:v>
      </x:c>
    </x:row>
    <x:row r="215" ht="90" customHeight="1">
      <x:c r="A215" s="165" t="str">
        <x:v>icare_0172</x:v>
      </x:c>
      <x:c r="B215" s="159" t="str">
        <x:v>Develop and implement the Municipal Risk Reduction Plan (PMRR) and identify population groups vulnerable to climate risks.</x:v>
      </x:c>
      <x:c r="C215" s="159" t="str">
        <x:v>Water resources</x:v>
      </x:c>
      <x:c r="D215" s="159" t="str">
        <x:v>Vulnerability</x:v>
      </x:c>
      <x:c r="E215" s="153" t="str"/>
      <x:c r="F215" s="153" t="str"/>
      <x:c r="G215" s="159" t="str">
        <x:v>Water Security and Climate Change: Insights from Country Climate and Development Reports</x:v>
      </x:c>
      <x:c r="H215" s="159" t="str">
        <x:v>https://documents1.worldbank.org/curated/en/099124511122431814/pdf/IDU1fa8a4c3a1fd8c14810194851fb785b73d02d.pdf</x:v>
      </x:c>
      <x:c r="I215" s="168" t="n">
        <x:v>14</x:v>
      </x:c>
      <x:c r="J215" s="159" t="str"/>
      <x:c r="K215" s="159" t="str">
        <x:v>Verified — ordered</x:v>
      </x:c>
      <x:c r="L215" s="159" t="str">
        <x:v>Ordered token coverage on the cited PDF page is 100.0%.</x:v>
      </x:c>
      <x:c r="M215" s="159" t="str">
        <x:v>Supports</x:v>
      </x:c>
      <x:c r="N215" s="159" t="str">
        <x:v>Whole action</x:v>
      </x:c>
      <x:c r="O215" s="159" t="str">
        <x:v>No</x:v>
      </x:c>
      <x:c r="P215" s="159" t="str">
        <x:v>Drought-related prevention actions | Investments in adaptation policies | Resilient cities program</x:v>
      </x:c>
      <x:c r="Q215" s="159" t="str">
        <x:v>Smart agriculture, drip irrigation, agricultural research, reservoir management, and water availability forecast systems. Emergency response and alerts, digital infrastructure and apps. Surface water and underwater unmanned vehicles that monitor changes in climate and marine ecosystems.</x:v>
      </x:c>
      <x:c r="R215" s="159" t="str"/>
      <x:c r="S215" s="160" t="str">
        <x:v>Medium</x:v>
      </x:c>
    </x:row>
    <x:row r="216" ht="90" customHeight="1">
      <x:c r="A216" s="165" t="str">
        <x:v>icare_0144</x:v>
      </x:c>
      <x:c r="B216" s="159" t="str">
        <x:v>Establish a financial support program for extreme weather events</x:v>
      </x:c>
      <x:c r="C216" s="159" t="str">
        <x:v>Water resources</x:v>
      </x:c>
      <x:c r="D216" s="159" t="str">
        <x:v>Vulnerability</x:v>
      </x:c>
      <x:c r="E216" s="153" t="str"/>
      <x:c r="F216" s="153" t="str"/>
      <x:c r="G216" s="159" t="str">
        <x:v>Climate Change 2022: Impacts, Adaptation and Vulnerability — Chapter 4: Water</x:v>
      </x:c>
      <x:c r="H216" s="159" t="str">
        <x:v>https://www.ipcc.ch/report/ar6/wg2/downloads/report/IPCC_AR6_WGII_Chapter04.pdf</x:v>
      </x:c>
      <x:c r="I216" s="168" t="n">
        <x:v>75</x:v>
      </x:c>
      <x:c r="J216" s="159" t="str">
        <x:v>625</x:v>
      </x:c>
      <x:c r="K216" s="159" t="str">
        <x:v>Verified — ordered</x:v>
      </x:c>
      <x:c r="L216" s="159" t="str">
        <x:v>Ordered token coverage on the cited PDF page is 100.0%.</x:v>
      </x:c>
      <x:c r="M216" s="159" t="str">
        <x:v>Supports</x:v>
      </x:c>
      <x:c r="N216" s="159" t="str">
        <x:v>Part of action</x:v>
      </x:c>
      <x:c r="O216" s="159" t="str">
        <x:v>No</x:v>
      </x:c>
      <x:c r="P216" s="159" t="str">
        <x:v>Investments in adaptation policies | Income not affected by water prices | Income greater than two minimum wages</x:v>
      </x:c>
      <x:c r="Q216" s="159" t="str">
        <x:v>Access to credits, subsidies or insurance builds an important portfolio of reducing reliance on agricultural income alone. Training and capacity building are essential tools to ensure effective adaptation in agriculture, increasing food security. Public regulations, including water policies and allocations and incentive instruments, and availability of appropriate finance play an essential role in shaping and enabling water-related adaptation.</x:v>
      </x:c>
      <x:c r="R216" s="159" t="str"/>
      <x:c r="S216" s="160" t="str">
        <x:v>Low</x:v>
      </x:c>
    </x:row>
    <x:row r="217" ht="90" customHeight="1">
      <x:c r="A217" s="165" t="str">
        <x:v>icare_0169</x:v>
      </x:c>
      <x:c r="B217" s="159" t="str">
        <x:v>Establish a Plan for Preparation and Emergency Response Measures in the event of extreme weather events</x:v>
      </x:c>
      <x:c r="C217" s="159" t="str">
        <x:v>Water resources</x:v>
      </x:c>
      <x:c r="D217" s="159" t="str">
        <x:v>Vulnerability</x:v>
      </x:c>
      <x:c r="E217" s="153" t="str"/>
      <x:c r="F217" s="153" t="str"/>
      <x:c r="G217" s="159" t="str">
        <x:v>Water Security and Climate Change: Insights from Country Climate and Development Reports</x:v>
      </x:c>
      <x:c r="H217" s="159" t="str">
        <x:v>https://documents1.worldbank.org/curated/en/099124511122431814/pdf/IDU1fa8a4c3a1fd8c14810194851fb785b73d02d.pdf</x:v>
      </x:c>
      <x:c r="I217" s="168" t="n">
        <x:v>14</x:v>
      </x:c>
      <x:c r="J217" s="159" t="str"/>
      <x:c r="K217" s="159" t="str">
        <x:v>Verified — ordered</x:v>
      </x:c>
      <x:c r="L217" s="159" t="str">
        <x:v>Ordered token coverage on the cited PDF page is 100.0%.</x:v>
      </x:c>
      <x:c r="M217" s="159" t="str">
        <x:v>Supports</x:v>
      </x:c>
      <x:c r="N217" s="159" t="str">
        <x:v>Whole action</x:v>
      </x:c>
      <x:c r="O217" s="159" t="str">
        <x:v>No</x:v>
      </x:c>
      <x:c r="P217" s="159" t="str">
        <x:v>Drought-related prevention actions | Resilient cities program</x:v>
      </x:c>
      <x:c r="Q217" s="159" t="str">
        <x:v>Smart agriculture, drip irrigation, agricultural research, reservoir management, and water availability forecast systems. Emergency response and alerts, digital infrastructure and apps. Surface water and underwater unmanned vehicles that monitor changes in climate and marine ecosystems.</x:v>
      </x:c>
      <x:c r="R217" s="159" t="str"/>
      <x:c r="S217" s="160" t="str">
        <x:v>Medium</x:v>
      </x:c>
    </x:row>
    <x:row r="218" ht="90" customHeight="1">
      <x:c r="A218" s="165" t="str">
        <x:v>icare_0160</x:v>
      </x:c>
      <x:c r="B218" s="159" t="str">
        <x:v>Establish mechanisms for intersectoral coordination and public participation in climate policy</x:v>
      </x:c>
      <x:c r="C218" s="159" t="str">
        <x:v>Water resources</x:v>
      </x:c>
      <x:c r="D218" s="159" t="str">
        <x:v>Vulnerability</x:v>
      </x:c>
      <x:c r="E218" s="153" t="str"/>
      <x:c r="F218" s="153" t="str"/>
      <x:c r="G218" s="159" t="str">
        <x:v>Climate Change 2022: Impacts, Adaptation and Vulnerability — Chapter 4: Water</x:v>
      </x:c>
      <x:c r="H218" s="159" t="str">
        <x:v>https://www.ipcc.ch/report/ar6/wg2/downloads/report/IPCC_AR6_WGII_Chapter04.pdf</x:v>
      </x:c>
      <x:c r="I218" s="168" t="n">
        <x:v>7</x:v>
      </x:c>
      <x:c r="J218" s="159" t="str">
        <x:v>557</x:v>
      </x:c>
      <x:c r="K218" s="159" t="str">
        <x:v>Verified — ordered</x:v>
      </x:c>
      <x:c r="L218" s="159" t="str">
        <x:v>Ordered token coverage on the cited PDF page is 100.0%.</x:v>
      </x:c>
      <x:c r="M218" s="159" t="str">
        <x:v>Supports</x:v>
      </x:c>
      <x:c r="N218" s="159" t="str">
        <x:v>Part of action</x:v>
      </x:c>
      <x:c r="O218" s="159" t="str">
        <x:v>No</x:v>
      </x:c>
      <x:c r="P218" s="159" t="str">
        <x:v>Level of activity in basin committees | Investments in adaptation policies | Resilient cities program</x:v>
      </x:c>
      <x:c r="Q218" s="159" t="str">
        <x:v>Water adaptation policies enabled through ethical co-production between holders of Indigenous knowledge, local knowledge and technical knowledge, through cooperation and coordinated actions among multiple actors, including women and all marginalised groups, at various levels of governance is needed for effective transitions towards climate resilient development (medium confidence).</x:v>
      </x:c>
      <x:c r="R218" s="159" t="str"/>
      <x:c r="S218" s="160" t="str">
        <x:v>Low</x:v>
      </x:c>
    </x:row>
    <x:row r="219" ht="90" customHeight="1">
      <x:c r="A219" s="165" t="str">
        <x:v>ipcc_0090</x:v>
      </x:c>
      <x:c r="B219" s="159" t="str">
        <x:v>Expand climate risk insurance coverage</x:v>
      </x:c>
      <x:c r="C219" s="159" t="str">
        <x:v>Water resources</x:v>
      </x:c>
      <x:c r="D219" s="159" t="str">
        <x:v>Vulnerability</x:v>
      </x:c>
      <x:c r="E219" s="153" t="str"/>
      <x:c r="F219" s="153" t="str"/>
      <x:c r="G219" s="159" t="str">
        <x:v>Climate Change 2022: Impacts, Adaptation and Vulnerability — Chapter 4: Water</x:v>
      </x:c>
      <x:c r="H219" s="159" t="str">
        <x:v>https://www.ipcc.ch/report/ar6/wg2/downloads/report/IPCC_AR6_WGII_Chapter04.pdf</x:v>
      </x:c>
      <x:c r="I219" s="168" t="n">
        <x:v>75</x:v>
      </x:c>
      <x:c r="J219" s="159" t="str">
        <x:v>625</x:v>
      </x:c>
      <x:c r="K219" s="159" t="str">
        <x:v>Verified — ordered</x:v>
      </x:c>
      <x:c r="L219" s="159" t="str">
        <x:v>Ordered token coverage on the cited PDF page is 100.0%.</x:v>
      </x:c>
      <x:c r="M219" s="159" t="str">
        <x:v>Supports</x:v>
      </x:c>
      <x:c r="N219" s="159" t="str">
        <x:v>Part of action</x:v>
      </x:c>
      <x:c r="O219" s="159" t="str">
        <x:v>No</x:v>
      </x:c>
      <x:c r="P219" s="159" t="str">
        <x:v>Investments in adaptation policies | Agricultural participation in GDP | Industrial participation in GDP | Income not affected by water prices | Income greater than two minimum wages</x:v>
      </x:c>
      <x:c r="Q219" s="159" t="str">
        <x:v>Access to credits, subsidies or insurance builds an important portfolio of reducing reliance on agricultural income alone. Training and capacity building are essential tools to ensure effective adaptation in agriculture, increasing food security. Public regulations, including water policies and allocations and incentive instruments, and availability of appropriate finance play an essential role in shaping and enabling water-related adaptation.</x:v>
      </x:c>
      <x:c r="R219" s="159" t="str"/>
      <x:c r="S219" s="160" t="str">
        <x:v>Low</x:v>
      </x:c>
    </x:row>
    <x:row r="220" ht="90" customHeight="1">
      <x:c r="A220" s="165" t="str">
        <x:v>icare_0180</x:v>
      </x:c>
      <x:c r="B220" s="159" t="str">
        <x:v>Expand urban green-blue networks and corridors</x:v>
      </x:c>
      <x:c r="C220" s="159" t="str">
        <x:v>Water resources</x:v>
      </x:c>
      <x:c r="D220" s="159" t="str">
        <x:v>Vulnerability</x:v>
      </x:c>
      <x:c r="E220" s="153" t="str"/>
      <x:c r="F220" s="153" t="str"/>
      <x:c r="G220" s="159" t="str">
        <x:v>Flowing Forward: Freshwater Ecosystem Adaptation to Climate Change in Water Resources Management and Biodiversity Conservation</x:v>
      </x:c>
      <x:c r="H220" s="159" t="str">
        <x:v>https://awsassets.panda.org/downloads/flowing_forward_freshwater_ecosystem_adaptation_to_climate_change.pdf</x:v>
      </x:c>
      <x:c r="I220" s="168" t="n">
        <x:v>19</x:v>
      </x:c>
      <x:c r="J220" s="159" t="str">
        <x:v>13</x:v>
      </x:c>
      <x:c r="K220" s="159" t="str">
        <x:v>Verified — exact</x:v>
      </x:c>
      <x:c r="L220" s="159" t="str">
        <x:v>Normalized quote occurs on the cited PDF page.</x:v>
      </x:c>
      <x:c r="M220" s="159" t="str">
        <x:v>Supports</x:v>
      </x:c>
      <x:c r="N220" s="159" t="str">
        <x:v>Whole action</x:v>
      </x:c>
      <x:c r="O220" s="159" t="str">
        <x:v>No</x:v>
      </x:c>
      <x:c r="P220" s="159" t="str">
        <x:v>Water quality | Degraded and/or deforested areas | Areas with soils susceptible to erosion | Ecological flow for ecosystem uses | Nature reserve</x:v>
      </x:c>
      <x:c r="Q220" s="159" t="str">
        <x:v>In recognition of the importance of freshwater ecosystems and the services that they provide, environmental sustainability is recognized as a core principle of integrated water resources management, enshrined in the first of the Dublin principles that recognizes that 'effective management of water resources demands a holistic approach, linking social and economic development with protection of natural ecosystems.' This increasing recognition has led to the significant development of tools and approaches that seek to ensure the maintenance, protection and restoration of ecosystems and ecosystem services in on-going water resources management efforts.</x:v>
      </x:c>
      <x:c r="R220" s="159" t="str"/>
      <x:c r="S220" s="160" t="str">
        <x:v>High</x:v>
      </x:c>
    </x:row>
    <x:row r="221" ht="90" customHeight="1">
      <x:c r="A221" s="165" t="str">
        <x:v>icare_0180</x:v>
      </x:c>
      <x:c r="B221" s="159" t="str">
        <x:v>Expand urban green-blue networks and corridors</x:v>
      </x:c>
      <x:c r="C221" s="159" t="str">
        <x:v>Water resources</x:v>
      </x:c>
      <x:c r="D221" s="159" t="str">
        <x:v>Vulnerability</x:v>
      </x:c>
      <x:c r="E221" s="153" t="str"/>
      <x:c r="F221" s="153" t="str"/>
      <x:c r="G221" s="159" t="str">
        <x:v>Water and Climate Change Adaptation in Transboundary Basins: Lessons Learned and Good Practices</x:v>
      </x:c>
      <x:c r="H221" s="159" t="str">
        <x:v>https://unece.org/info/publications/pub/21743</x:v>
      </x:c>
      <x:c r="I221" s="168" t="n">
        <x:v>37</x:v>
      </x:c>
      <x:c r="J221" s="159" t="str"/>
      <x:c r="K221" s="159" t="str">
        <x:v>Verified — ordered</x:v>
      </x:c>
      <x:c r="L221" s="159" t="str">
        <x:v>Ordered token coverage on the cited PDF page is 100.0%.</x:v>
      </x:c>
      <x:c r="M221" s="159" t="str">
        <x:v>Supports</x:v>
      </x:c>
      <x:c r="N221" s="159" t="str">
        <x:v>Part of action</x:v>
      </x:c>
      <x:c r="O221" s="159" t="str">
        <x:v>No</x:v>
      </x:c>
      <x:c r="P221" s="159" t="str">
        <x:v>Water quality | Degraded and/or deforested areas | Areas with soils susceptible to erosion | Ecological flow for ecosystem uses | Nature reserve</x:v>
      </x:c>
      <x:c r="Q221" s="159" t="str">
        <x:v>The ecologic restoration project consisted in the transformation of rice fields into different habitats typical in wetlands. So far, the benefits of the project have been an improvement in water quality: the water ecosystems established in Tancat de la Pipa, both artificial wetlands with surface flow and lagoons, have shown a great capacity to reduce suspended solids, total phosphorous, total nitrogen and phytoplankton in water.</x:v>
      </x:c>
      <x:c r="R221" s="159" t="str"/>
      <x:c r="S221" s="160" t="str">
        <x:v>High</x:v>
      </x:c>
    </x:row>
    <x:row r="222" ht="90" customHeight="1">
      <x:c r="A222" s="165" t="str">
        <x:v>icare_0180</x:v>
      </x:c>
      <x:c r="B222" s="159" t="str">
        <x:v>Expand urban green-blue networks and corridors</x:v>
      </x:c>
      <x:c r="C222" s="159" t="str">
        <x:v>Water resources</x:v>
      </x:c>
      <x:c r="D222" s="159" t="str">
        <x:v>Vulnerability</x:v>
      </x:c>
      <x:c r="E222" s="153" t="str"/>
      <x:c r="F222" s="153" t="str"/>
      <x:c r="G222" s="159" t="str">
        <x:v>Climate Change 2022: Impacts, Adaptation and Vulnerability — Chapter 4: Water</x:v>
      </x:c>
      <x:c r="H222" s="159" t="str">
        <x:v>https://www.ipcc.ch/report/ar6/wg2/downloads/report/IPCC_AR6_WGII_Chapter04.pdf</x:v>
      </x:c>
      <x:c r="I222" s="168" t="n">
        <x:v>82</x:v>
      </x:c>
      <x:c r="J222" s="159" t="str">
        <x:v>632</x:v>
      </x:c>
      <x:c r="K222" s="159" t="str">
        <x:v>Verified — ordered</x:v>
      </x:c>
      <x:c r="L222" s="159" t="str">
        <x:v>Ordered token coverage on the cited PDF page is 100.0%.</x:v>
      </x:c>
      <x:c r="M222" s="159" t="str">
        <x:v>Supports</x:v>
      </x:c>
      <x:c r="N222" s="159" t="str">
        <x:v>Whole action</x:v>
      </x:c>
      <x:c r="O222" s="159" t="str">
        <x:v>No</x:v>
      </x:c>
      <x:c r="P222" s="159" t="str">
        <x:v>Water quality | Degraded and/or deforested areas | Areas with soils susceptible to erosion | Ecological flow for ecosystem uses | Nature reserve</x:v>
      </x:c>
      <x:c r="Q222" s="159" t="str">
        <x:v>NbS have been used for stormwater management by combining water purification and retention functions. NbS have also been used to mitigate impacts from high-impact extreme precipitation events by integrating large-scale NbS investment plans into urban planning in cities like New York and Copenhagen, highlighting the importance of blended finance and investment (including insurance) to mainstream NbS investments. In summary, there is growing evidence on NbS effectiveness as an adaptation measure and its critical role for transformative adaptation to address climate change water-related hazards and water security (medium evidence, high agreement).</x:v>
      </x:c>
      <x:c r="R222" s="159" t="str"/>
      <x:c r="S222" s="160" t="str">
        <x:v>High</x:v>
      </x:c>
    </x:row>
    <x:row r="223" ht="90" customHeight="1">
      <x:c r="A223" s="165" t="str">
        <x:v>ipcc_0102</x:v>
      </x:c>
      <x:c r="B223" s="159" t="str">
        <x:v>Facilitate seasonal and temporary mobility strategies</x:v>
      </x:c>
      <x:c r="C223" s="159" t="str">
        <x:v>Water resources</x:v>
      </x:c>
      <x:c r="D223" s="159" t="str">
        <x:v>Exposure</x:v>
      </x:c>
      <x:c r="E223" s="153" t="str"/>
      <x:c r="F223" s="153" t="str"/>
      <x:c r="G223" s="159" t="str">
        <x:v>Climate Change 2022: Impacts, Adaptation and Vulnerability — Chapter 4: Water</x:v>
      </x:c>
      <x:c r="H223" s="159" t="str">
        <x:v>https://www.ipcc.ch/report/ar6/wg2/downloads/report/IPCC_AR6_WGII_Chapter04.pdf</x:v>
      </x:c>
      <x:c r="I223" s="168" t="n">
        <x:v>81</x:v>
      </x:c>
      <x:c r="J223" s="159" t="str">
        <x:v>631</x:v>
      </x:c>
      <x:c r="K223" s="159" t="str">
        <x:v>Verified — ordered</x:v>
      </x:c>
      <x:c r="L223" s="159" t="str">
        <x:v>Ordered token coverage on the cited PDF page is 100.0%.</x:v>
      </x:c>
      <x:c r="M223" s="159" t="str">
        <x:v>Supports</x:v>
      </x:c>
      <x:c r="N223" s="159" t="str">
        <x:v>Whole action</x:v>
      </x:c>
      <x:c r="O223" s="159" t="str">
        <x:v>No</x:v>
      </x:c>
      <x:c r="P223" s="159" t="str">
        <x:v>Population density | Urban users exposed | Exposed rural users</x:v>
      </x:c>
      <x:c r="Q223" s="159" t="str">
        <x:v>Some adaptation options, such as water conservation, storage and infrastructure, voluntary migration, planned relocation due to flood risk/sea level rise, and international water treaties, can reduce vulnerability.</x:v>
      </x:c>
      <x:c r="R223" s="159" t="str"/>
      <x:c r="S223" s="160" t="str">
        <x:v>Medium</x:v>
      </x:c>
    </x:row>
    <x:row r="224" ht="90" customHeight="1">
      <x:c r="A224" s="165" t="str">
        <x:v>ipcc_0086</x:v>
      </x:c>
      <x:c r="B224" s="159" t="str">
        <x:v>Implement ecosystem‑based adaptation measures</x:v>
      </x:c>
      <x:c r="C224" s="159" t="str">
        <x:v>Water resources</x:v>
      </x:c>
      <x:c r="D224" s="159" t="str">
        <x:v>Vulnerability</x:v>
      </x:c>
      <x:c r="E224" s="153" t="str"/>
      <x:c r="F224" s="153" t="str"/>
      <x:c r="G224" s="159" t="str">
        <x:v>Flowing Forward: Freshwater Ecosystem Adaptation to Climate Change in Water Resources Management and Biodiversity Conservation</x:v>
      </x:c>
      <x:c r="H224" s="159" t="str">
        <x:v>https://awsassets.panda.org/downloads/flowing_forward_freshwater_ecosystem_adaptation_to_climate_change.pdf</x:v>
      </x:c>
      <x:c r="I224" s="168" t="n">
        <x:v>19</x:v>
      </x:c>
      <x:c r="J224" s="159" t="str">
        <x:v>13</x:v>
      </x:c>
      <x:c r="K224" s="159" t="str">
        <x:v>Verified — exact</x:v>
      </x:c>
      <x:c r="L224" s="159" t="str">
        <x:v>Normalized quote occurs on the cited PDF page.</x:v>
      </x:c>
      <x:c r="M224" s="159" t="str">
        <x:v>Supports</x:v>
      </x:c>
      <x:c r="N224" s="159" t="str">
        <x:v>Whole action</x:v>
      </x:c>
      <x:c r="O224" s="159" t="str">
        <x:v>No</x:v>
      </x:c>
      <x:c r="P224" s="159" t="str">
        <x:v>Water quality | Degraded and/or deforested areas | Areas with soils susceptible to erosion | Ecological flow for ecosystem uses | Nature reserve</x:v>
      </x:c>
      <x:c r="Q224" s="159" t="str">
        <x:v>In recognition of the importance of freshwater ecosystems and the services that they provide, environmental sustainability is recognized as a core principle of integrated water resources management, enshrined in the first of the Dublin principles that recognizes that 'effective management of water resources demands a holistic approach, linking social and economic development with protection of natural ecosystems.' This increasing recognition has led to the significant development of tools and approaches that seek to ensure the maintenance, protection and restoration of ecosystems and ecosystem services in on-going water resources management efforts.</x:v>
      </x:c>
      <x:c r="R224" s="159" t="str"/>
      <x:c r="S224" s="160" t="str">
        <x:v>High</x:v>
      </x:c>
    </x:row>
    <x:row r="225" ht="90" customHeight="1">
      <x:c r="A225" s="165" t="str">
        <x:v>ipcc_0086</x:v>
      </x:c>
      <x:c r="B225" s="159" t="str">
        <x:v>Implement ecosystem‑based adaptation measures</x:v>
      </x:c>
      <x:c r="C225" s="159" t="str">
        <x:v>Water resources</x:v>
      </x:c>
      <x:c r="D225" s="159" t="str">
        <x:v>Vulnerability</x:v>
      </x:c>
      <x:c r="E225" s="153" t="str"/>
      <x:c r="F225" s="153" t="str"/>
      <x:c r="G225" s="159" t="str">
        <x:v>Water and Climate Change Adaptation in Transboundary Basins: Lessons Learned and Good Practices</x:v>
      </x:c>
      <x:c r="H225" s="159" t="str">
        <x:v>https://unece.org/info/publications/pub/21743</x:v>
      </x:c>
      <x:c r="I225" s="168" t="n">
        <x:v>37</x:v>
      </x:c>
      <x:c r="J225" s="159" t="str"/>
      <x:c r="K225" s="159" t="str">
        <x:v>Verified — ordered</x:v>
      </x:c>
      <x:c r="L225" s="159" t="str">
        <x:v>Ordered token coverage on the cited PDF page is 100.0%.</x:v>
      </x:c>
      <x:c r="M225" s="159" t="str">
        <x:v>Supports</x:v>
      </x:c>
      <x:c r="N225" s="159" t="str">
        <x:v>Part of action</x:v>
      </x:c>
      <x:c r="O225" s="159" t="str">
        <x:v>No</x:v>
      </x:c>
      <x:c r="P225" s="159" t="str">
        <x:v>Water quality | Degraded and/or deforested areas | Areas with soils susceptible to erosion | Ecological flow for ecosystem uses | Nature reserve</x:v>
      </x:c>
      <x:c r="Q225" s="159" t="str">
        <x:v>The ecologic restoration project consisted in the transformation of rice fields into different habitats typical in wetlands. So far, the benefits of the project have been an improvement in water quality: the water ecosystems established in Tancat de la Pipa, both artificial wetlands with surface flow and lagoons, have shown a great capacity to reduce suspended solids, total phosphorous, total nitrogen and phytoplankton in water.</x:v>
      </x:c>
      <x:c r="R225" s="159" t="str"/>
      <x:c r="S225" s="160" t="str">
        <x:v>High</x:v>
      </x:c>
    </x:row>
    <x:row r="226" ht="90" customHeight="1">
      <x:c r="A226" s="165" t="str">
        <x:v>ipcc_0086</x:v>
      </x:c>
      <x:c r="B226" s="159" t="str">
        <x:v>Implement ecosystem‑based adaptation measures</x:v>
      </x:c>
      <x:c r="C226" s="159" t="str">
        <x:v>Water resources</x:v>
      </x:c>
      <x:c r="D226" s="159" t="str">
        <x:v>Vulnerability</x:v>
      </x:c>
      <x:c r="E226" s="153" t="str"/>
      <x:c r="F226" s="153" t="str"/>
      <x:c r="G226" s="159" t="str">
        <x:v>Climate Change 2022: Impacts, Adaptation and Vulnerability — Chapter 4: Water</x:v>
      </x:c>
      <x:c r="H226" s="159" t="str">
        <x:v>https://www.ipcc.ch/report/ar6/wg2/downloads/report/IPCC_AR6_WGII_Chapter04.pdf</x:v>
      </x:c>
      <x:c r="I226" s="168" t="n">
        <x:v>82</x:v>
      </x:c>
      <x:c r="J226" s="159" t="str">
        <x:v>632</x:v>
      </x:c>
      <x:c r="K226" s="159" t="str">
        <x:v>Verified — ordered</x:v>
      </x:c>
      <x:c r="L226" s="159" t="str">
        <x:v>Ordered token coverage on the cited PDF page is 100.0%.</x:v>
      </x:c>
      <x:c r="M226" s="159" t="str">
        <x:v>Supports</x:v>
      </x:c>
      <x:c r="N226" s="159" t="str">
        <x:v>Whole action</x:v>
      </x:c>
      <x:c r="O226" s="159" t="str">
        <x:v>No</x:v>
      </x:c>
      <x:c r="P226" s="159" t="str">
        <x:v>Water quality | Degraded and/or deforested areas | Areas with soils susceptible to erosion | Ecological flow for ecosystem uses | Nature reserve</x:v>
      </x:c>
      <x:c r="Q226" s="159" t="str">
        <x:v>NbS have been used for stormwater management by combining water purification and retention functions. NbS have also been used to mitigate impacts from high-impact extreme precipitation events by integrating large-scale NbS investment plans into urban planning in cities like New York and Copenhagen, highlighting the importance of blended finance and investment (including insurance) to mainstream NbS investments. In summary, there is growing evidence on NbS effectiveness as an adaptation measure and its critical role for transformative adaptation to address climate change water-related hazards and water security (medium evidence, high agreement).</x:v>
      </x:c>
      <x:c r="R226" s="159" t="str"/>
      <x:c r="S226" s="160" t="str">
        <x:v>High</x:v>
      </x:c>
    </x:row>
    <x:row r="227" ht="90" customHeight="1">
      <x:c r="A227" s="165" t="str">
        <x:v>ipcc_0078</x:v>
      </x:c>
      <x:c r="B227" s="159" t="str">
        <x:v>Implement green roofs and walls</x:v>
      </x:c>
      <x:c r="C227" s="159" t="str">
        <x:v>Water resources</x:v>
      </x:c>
      <x:c r="D227" s="159" t="str">
        <x:v>Vulnerability</x:v>
      </x:c>
      <x:c r="E227" s="153" t="str"/>
      <x:c r="F227" s="153" t="str"/>
      <x:c r="G227" s="159" t="str">
        <x:v>Climate Change 2022: Impacts, Adaptation and Vulnerability — Chapter 4: Water</x:v>
      </x:c>
      <x:c r="H227" s="159" t="str">
        <x:v>https://www.ipcc.ch/report/ar6/wg2/downloads/report/IPCC_AR6_WGII_Chapter04.pdf</x:v>
      </x:c>
      <x:c r="I227" s="168" t="n">
        <x:v>82</x:v>
      </x:c>
      <x:c r="J227" s="159" t="str">
        <x:v>632</x:v>
      </x:c>
      <x:c r="K227" s="159" t="str">
        <x:v>Verified — ordered</x:v>
      </x:c>
      <x:c r="L227" s="159" t="str">
        <x:v>Ordered token coverage on the cited PDF page is 100.0%.</x:v>
      </x:c>
      <x:c r="M227" s="159" t="str">
        <x:v>Supports</x:v>
      </x:c>
      <x:c r="N227" s="159" t="str">
        <x:v>Whole action</x:v>
      </x:c>
      <x:c r="O227" s="159" t="str">
        <x:v>No</x:v>
      </x:c>
      <x:c r="P227" s="159" t="str">
        <x:v>Water quality | Ecological flow for ecosystem uses | Nature reserve</x:v>
      </x:c>
      <x:c r="Q227" s="159" t="str">
        <x:v>NbS have been used for stormwater management by combining water purification and retention functions. NbS have also been used to mitigate impacts from high-impact extreme precipitation events by integrating large-scale NbS investment plans into urban planning in cities like New York and Copenhagen, highlighting the importance of blended finance and investment (including insurance) to mainstream NbS investments. In summary, there is growing evidence on NbS effectiveness as an adaptation measure and its critical role for transformative adaptation to address climate change water-related hazards and water security (medium evidence, high agreement).</x:v>
      </x:c>
      <x:c r="R227" s="159" t="str"/>
      <x:c r="S227" s="160" t="str">
        <x:v>Medium</x:v>
      </x:c>
    </x:row>
    <x:row r="228" ht="90" customHeight="1">
      <x:c r="A228" s="165" t="str">
        <x:v>icare_0186</x:v>
      </x:c>
      <x:c r="B228" s="159" t="str">
        <x:v>Implement integrated coastal zone management</x:v>
      </x:c>
      <x:c r="C228" s="159" t="str">
        <x:v>Water resources</x:v>
      </x:c>
      <x:c r="D228" s="159" t="str">
        <x:v>Vulnerability</x:v>
      </x:c>
      <x:c r="E228" s="153" t="str"/>
      <x:c r="F228" s="153" t="str"/>
      <x:c r="G228" s="159" t="str">
        <x:v>Flowing Forward: Freshwater Ecosystem Adaptation to Climate Change in Water Resources Management and Biodiversity Conservation</x:v>
      </x:c>
      <x:c r="H228" s="159" t="str">
        <x:v>https://awsassets.panda.org/downloads/flowing_forward_freshwater_ecosystem_adaptation_to_climate_change.pdf</x:v>
      </x:c>
      <x:c r="I228" s="168" t="n">
        <x:v>19</x:v>
      </x:c>
      <x:c r="J228" s="159" t="str">
        <x:v>13</x:v>
      </x:c>
      <x:c r="K228" s="159" t="str">
        <x:v>Verified — exact</x:v>
      </x:c>
      <x:c r="L228" s="159" t="str">
        <x:v>Normalized quote occurs on the cited PDF page.</x:v>
      </x:c>
      <x:c r="M228" s="159" t="str">
        <x:v>Supports</x:v>
      </x:c>
      <x:c r="N228" s="159" t="str">
        <x:v>Whole action</x:v>
      </x:c>
      <x:c r="O228" s="159" t="str">
        <x:v>No</x:v>
      </x:c>
      <x:c r="P228" s="159" t="str">
        <x:v>Water quality | Degraded and/or deforested areas | Areas with soils susceptible to erosion | Ecological flow for ecosystem uses | Nature reserve</x:v>
      </x:c>
      <x:c r="Q228" s="159" t="str">
        <x:v>In recognition of the importance of freshwater ecosystems and the services that they provide, environmental sustainability is recognized as a core principle of integrated water resources management, enshrined in the first of the Dublin principles that recognizes that 'effective management of water resources demands a holistic approach, linking social and economic development with protection of natural ecosystems.' This increasing recognition has led to the significant development of tools and approaches that seek to ensure the maintenance, protection and restoration of ecosystems and ecosystem services in on-going water resources management efforts.</x:v>
      </x:c>
      <x:c r="R228" s="159" t="str"/>
      <x:c r="S228" s="160" t="str">
        <x:v>High</x:v>
      </x:c>
    </x:row>
    <x:row r="229" ht="90" customHeight="1">
      <x:c r="A229" s="165" t="str">
        <x:v>icare_0186</x:v>
      </x:c>
      <x:c r="B229" s="159" t="str">
        <x:v>Implement integrated coastal zone management</x:v>
      </x:c>
      <x:c r="C229" s="159" t="str">
        <x:v>Water resources</x:v>
      </x:c>
      <x:c r="D229" s="159" t="str">
        <x:v>Vulnerability</x:v>
      </x:c>
      <x:c r="E229" s="153" t="str"/>
      <x:c r="F229" s="153" t="str"/>
      <x:c r="G229" s="159" t="str">
        <x:v>Water and Climate Change Adaptation in Transboundary Basins: Lessons Learned and Good Practices</x:v>
      </x:c>
      <x:c r="H229" s="159" t="str">
        <x:v>https://unece.org/info/publications/pub/21743</x:v>
      </x:c>
      <x:c r="I229" s="168" t="n">
        <x:v>37</x:v>
      </x:c>
      <x:c r="J229" s="159" t="str"/>
      <x:c r="K229" s="159" t="str">
        <x:v>Verified — ordered</x:v>
      </x:c>
      <x:c r="L229" s="159" t="str">
        <x:v>Ordered token coverage on the cited PDF page is 100.0%.</x:v>
      </x:c>
      <x:c r="M229" s="159" t="str">
        <x:v>Supports</x:v>
      </x:c>
      <x:c r="N229" s="159" t="str">
        <x:v>Part of action</x:v>
      </x:c>
      <x:c r="O229" s="159" t="str">
        <x:v>No</x:v>
      </x:c>
      <x:c r="P229" s="159" t="str">
        <x:v>Water quality | Degraded and/or deforested areas | Areas with soils susceptible to erosion | Ecological flow for ecosystem uses | Nature reserve</x:v>
      </x:c>
      <x:c r="Q229" s="159" t="str">
        <x:v>The ecologic restoration project consisted in the transformation of rice fields into different habitats typical in wetlands. So far, the benefits of the project have been an improvement in water quality: the water ecosystems established in Tancat de la Pipa, both artificial wetlands with surface flow and lagoons, have shown a great capacity to reduce suspended solids, total phosphorous, total nitrogen and phytoplankton in water.</x:v>
      </x:c>
      <x:c r="R229" s="159" t="str"/>
      <x:c r="S229" s="160" t="str">
        <x:v>High</x:v>
      </x:c>
    </x:row>
    <x:row r="230" ht="90" customHeight="1">
      <x:c r="A230" s="165" t="str">
        <x:v>icare_0186</x:v>
      </x:c>
      <x:c r="B230" s="159" t="str">
        <x:v>Implement integrated coastal zone management</x:v>
      </x:c>
      <x:c r="C230" s="159" t="str">
        <x:v>Water resources</x:v>
      </x:c>
      <x:c r="D230" s="159" t="str">
        <x:v>Vulnerability</x:v>
      </x:c>
      <x:c r="E230" s="153" t="str"/>
      <x:c r="F230" s="153" t="str"/>
      <x:c r="G230" s="159" t="str">
        <x:v>Climate Change 2022: Impacts, Adaptation and Vulnerability — Chapter 4: Water</x:v>
      </x:c>
      <x:c r="H230" s="159" t="str">
        <x:v>https://www.ipcc.ch/report/ar6/wg2/downloads/report/IPCC_AR6_WGII_Chapter04.pdf</x:v>
      </x:c>
      <x:c r="I230" s="168" t="n">
        <x:v>82</x:v>
      </x:c>
      <x:c r="J230" s="159" t="str">
        <x:v>632</x:v>
      </x:c>
      <x:c r="K230" s="159" t="str">
        <x:v>Verified — ordered</x:v>
      </x:c>
      <x:c r="L230" s="159" t="str">
        <x:v>Ordered token coverage on the cited PDF page is 100.0%.</x:v>
      </x:c>
      <x:c r="M230" s="159" t="str">
        <x:v>Supports</x:v>
      </x:c>
      <x:c r="N230" s="159" t="str">
        <x:v>Whole action</x:v>
      </x:c>
      <x:c r="O230" s="159" t="str">
        <x:v>No</x:v>
      </x:c>
      <x:c r="P230" s="159" t="str">
        <x:v>Water quality | Degraded and/or deforested areas | Areas with soils susceptible to erosion | Ecological flow for ecosystem uses | Nature reserve</x:v>
      </x:c>
      <x:c r="Q230" s="159" t="str">
        <x:v>NbS have been used for stormwater management by combining water purification and retention functions. NbS have also been used to mitigate impacts from high-impact extreme precipitation events by integrating large-scale NbS investment plans into urban planning in cities like New York and Copenhagen, highlighting the importance of blended finance and investment (including insurance) to mainstream NbS investments. In summary, there is growing evidence on NbS effectiveness as an adaptation measure and its critical role for transformative adaptation to address climate change water-related hazards and water security (medium evidence, high agreement).</x:v>
      </x:c>
      <x:c r="R230" s="159" t="str"/>
      <x:c r="S230" s="160" t="str">
        <x:v>High</x:v>
      </x:c>
    </x:row>
    <x:row r="231" ht="90" customHeight="1">
      <x:c r="A231" s="165" t="str">
        <x:v>icare_0183</x:v>
      </x:c>
      <x:c r="B231" s="159" t="str">
        <x:v>Implement Multi-hazard Early Warning Systems (MH-EWS)</x:v>
      </x:c>
      <x:c r="C231" s="159" t="str">
        <x:v>Water resources</x:v>
      </x:c>
      <x:c r="D231" s="159" t="str">
        <x:v>Vulnerability</x:v>
      </x:c>
      <x:c r="E231" s="153" t="str"/>
      <x:c r="F231" s="153" t="str"/>
      <x:c r="G231" s="159" t="str">
        <x:v>Water Security and Climate Change: Insights from Country Climate and Development Reports</x:v>
      </x:c>
      <x:c r="H231" s="159" t="str">
        <x:v>https://documents1.worldbank.org/curated/en/099124511122431814/pdf/IDU1fa8a4c3a1fd8c14810194851fb785b73d02d.pdf</x:v>
      </x:c>
      <x:c r="I231" s="168" t="n">
        <x:v>14</x:v>
      </x:c>
      <x:c r="J231" s="159" t="str"/>
      <x:c r="K231" s="159" t="str">
        <x:v>Verified — ordered</x:v>
      </x:c>
      <x:c r="L231" s="159" t="str">
        <x:v>Ordered token coverage on the cited PDF page is 100.0%.</x:v>
      </x:c>
      <x:c r="M231" s="159" t="str">
        <x:v>Supports</x:v>
      </x:c>
      <x:c r="N231" s="159" t="str">
        <x:v>Whole action</x:v>
      </x:c>
      <x:c r="O231" s="159" t="str">
        <x:v>No</x:v>
      </x:c>
      <x:c r="P231" s="159" t="str">
        <x:v>Drought-related prevention actions | Resilient cities program</x:v>
      </x:c>
      <x:c r="Q231" s="159" t="str">
        <x:v>Smart agriculture, drip irrigation, agricultural research, reservoir management, and water availability forecast systems. Emergency response and alerts, digital infrastructure and apps. Surface water and underwater unmanned vehicles that monitor changes in climate and marine ecosystems.</x:v>
      </x:c>
      <x:c r="R231" s="159" t="str"/>
      <x:c r="S231" s="160" t="str">
        <x:v>Medium</x:v>
      </x:c>
    </x:row>
    <x:row r="232" ht="90" customHeight="1">
      <x:c r="A232" s="165" t="str">
        <x:v>ipcc_0100</x:v>
      </x:c>
      <x:c r="B232" s="159" t="str">
        <x:v>Improve Efficient water use/demand</x:v>
      </x:c>
      <x:c r="C232" s="159" t="str">
        <x:v>Water resources</x:v>
      </x:c>
      <x:c r="D232" s="159" t="str">
        <x:v>Vulnerability</x:v>
      </x:c>
      <x:c r="E232" s="153" t="str"/>
      <x:c r="F232" s="153" t="str"/>
      <x:c r="G232" s="159" t="str">
        <x:v>Water Security and Climate Change: Insights from Country Climate and Development Reports</x:v>
      </x:c>
      <x:c r="H232" s="159" t="str">
        <x:v>https://documents1.worldbank.org/curated/en/099124511122431814/pdf/IDU1fa8a4c3a1fd8c14810194851fb785b73d02d.pdf</x:v>
      </x:c>
      <x:c r="I232" s="168" t="n">
        <x:v>3</x:v>
      </x:c>
      <x:c r="J232" s="159" t="str"/>
      <x:c r="K232" s="159" t="str">
        <x:v>Verified — exact</x:v>
      </x:c>
      <x:c r="L232" s="159" t="str">
        <x:v>Normalized quote occurs on the cited PDF page.</x:v>
      </x:c>
      <x:c r="M232" s="159" t="str">
        <x:v>Supports</x:v>
      </x:c>
      <x:c r="N232" s="159" t="str">
        <x:v>Whole action</x:v>
      </x:c>
      <x:c r="O232" s="159" t="str">
        <x:v>No</x:v>
      </x:c>
      <x:c r="P232" s="159" t="str">
        <x:v>Inefficiency in water distribution | Average per capita water consumption | Water balance for agriculture | Water balance for industry | Alternatives to water supply | Underground storage potential</x:v>
      </x:c>
      <x:c r="Q232" s="159" t="str">
        <x:v>Demand-side management often proves to be more cost-effective in addressing water supply shortages than investing in supply-side solutions. Effective water demand management involves adjusting water tariffs to reflect the true value of water in water allocation and use, increasing consumer awareness, and strengthening regulations and technologies to improve water use efficiency.</x:v>
      </x:c>
      <x:c r="R232" s="159" t="str"/>
      <x:c r="S232" s="160" t="str">
        <x:v>Medium</x:v>
      </x:c>
    </x:row>
    <x:row r="233" ht="90" customHeight="1">
      <x:c r="A233" s="165" t="str">
        <x:v>icare_0164</x:v>
      </x:c>
      <x:c r="B233" s="159" t="str">
        <x:v>Improve Hydrological Monitoring System with Telemetry Stations</x:v>
      </x:c>
      <x:c r="C233" s="159" t="str">
        <x:v>Water resources</x:v>
      </x:c>
      <x:c r="D233" s="159" t="str">
        <x:v>Vulnerability</x:v>
      </x:c>
      <x:c r="E233" s="153" t="str"/>
      <x:c r="F233" s="153" t="str"/>
      <x:c r="G233" s="159" t="str">
        <x:v>Water Security and Climate Change: Insights from Country Climate and Development Reports</x:v>
      </x:c>
      <x:c r="H233" s="159" t="str">
        <x:v>https://documents1.worldbank.org/curated/en/099124511122431814/pdf/IDU1fa8a4c3a1fd8c14810194851fb785b73d02d.pdf</x:v>
      </x:c>
      <x:c r="I233" s="168" t="n">
        <x:v>14</x:v>
      </x:c>
      <x:c r="J233" s="159" t="str"/>
      <x:c r="K233" s="159" t="str">
        <x:v>Verified — ordered</x:v>
      </x:c>
      <x:c r="L233" s="159" t="str">
        <x:v>Ordered token coverage on the cited PDF page is 100.0%.</x:v>
      </x:c>
      <x:c r="M233" s="159" t="str">
        <x:v>Supports</x:v>
      </x:c>
      <x:c r="N233" s="159" t="str">
        <x:v>Whole action</x:v>
      </x:c>
      <x:c r="O233" s="159" t="str">
        <x:v>No</x:v>
      </x:c>
      <x:c r="P233" s="159" t="str">
        <x:v>Drought-related prevention actions</x:v>
      </x:c>
      <x:c r="Q233" s="159" t="str">
        <x:v>Smart agriculture, drip irrigation, agricultural research, reservoir management, and water availability forecast systems. Emergency response and alerts, digital infrastructure and apps. Surface water and underwater unmanned vehicles that monitor changes in climate and marine ecosystems.</x:v>
      </x:c>
      <x:c r="R233" s="159" t="str"/>
      <x:c r="S233" s="160" t="str">
        <x:v>Medium</x:v>
      </x:c>
    </x:row>
    <x:row r="234" ht="90" customHeight="1">
      <x:c r="A234" s="165" t="str">
        <x:v>ipcc_0087</x:v>
      </x:c>
      <x:c r="B234" s="159" t="str">
        <x:v>Improve Infrastructure retrofitting</x:v>
      </x:c>
      <x:c r="C234" s="159" t="str">
        <x:v>Water resources</x:v>
      </x:c>
      <x:c r="D234" s="159" t="str">
        <x:v>Vulnerability</x:v>
      </x:c>
      <x:c r="E234" s="153" t="str"/>
      <x:c r="F234" s="153" t="str"/>
      <x:c r="G234" s="159" t="str">
        <x:v>Water Security and Climate Change: Insights from Country Climate and Development Reports</x:v>
      </x:c>
      <x:c r="H234" s="159" t="str">
        <x:v>https://documents1.worldbank.org/curated/en/099124511122431814/pdf/IDU1fa8a4c3a1fd8c14810194851fb785b73d02d.pdf</x:v>
      </x:c>
      <x:c r="I234" s="168" t="n">
        <x:v>13</x:v>
      </x:c>
      <x:c r="J234" s="159" t="str"/>
      <x:c r="K234" s="159" t="str">
        <x:v>Verified — ordered</x:v>
      </x:c>
      <x:c r="L234" s="159" t="str">
        <x:v>Ordered token coverage on the cited PDF page is 100.0%.</x:v>
      </x:c>
      <x:c r="M234" s="159" t="str">
        <x:v>Supports</x:v>
      </x:c>
      <x:c r="N234" s="159" t="str">
        <x:v>Part of action</x:v>
      </x:c>
      <x:c r="O234" s="159" t="str">
        <x:v>No</x:v>
      </x:c>
      <x:c r="P234" s="159" t="str">
        <x:v>Inefficiency in water production | Inefficiency in water distribution</x:v>
      </x:c>
      <x:c r="Q234" s="159" t="str">
        <x:v>Closing the water supply gap requires infrastructure investment but also policy, institutional, and regulatory reforms to improve irrigation and water supply and sanitation services and to increase their financial sustainability. Such measures include strengthening joint regional institutions for water operations, planning, and climate adaptation, and strengthening work to achieve universal provision of water, sanitation, and hygiene.</x:v>
      </x:c>
      <x:c r="R234" s="159" t="str"/>
      <x:c r="S234" s="160" t="str">
        <x:v>Low</x:v>
      </x:c>
    </x:row>
    <x:row r="235" ht="90" customHeight="1">
      <x:c r="A235" s="165" t="str">
        <x:v>icare_0171</x:v>
      </x:c>
      <x:c r="B235" s="159" t="str">
        <x:v>Improve the hydrometeorological forecasting, monitoring, and alert system for climate risks</x:v>
      </x:c>
      <x:c r="C235" s="159" t="str">
        <x:v>Water resources</x:v>
      </x:c>
      <x:c r="D235" s="159" t="str">
        <x:v>Vulnerability</x:v>
      </x:c>
      <x:c r="E235" s="153" t="str"/>
      <x:c r="F235" s="153" t="str"/>
      <x:c r="G235" s="159" t="str">
        <x:v>Water Security and Climate Change: Insights from Country Climate and Development Reports</x:v>
      </x:c>
      <x:c r="H235" s="159" t="str">
        <x:v>https://documents1.worldbank.org/curated/en/099124511122431814/pdf/IDU1fa8a4c3a1fd8c14810194851fb785b73d02d.pdf</x:v>
      </x:c>
      <x:c r="I235" s="168" t="n">
        <x:v>14</x:v>
      </x:c>
      <x:c r="J235" s="159" t="str"/>
      <x:c r="K235" s="159" t="str">
        <x:v>Verified — ordered</x:v>
      </x:c>
      <x:c r="L235" s="159" t="str">
        <x:v>Ordered token coverage on the cited PDF page is 100.0%.</x:v>
      </x:c>
      <x:c r="M235" s="159" t="str">
        <x:v>Supports</x:v>
      </x:c>
      <x:c r="N235" s="159" t="str">
        <x:v>Whole action</x:v>
      </x:c>
      <x:c r="O235" s="159" t="str">
        <x:v>No</x:v>
      </x:c>
      <x:c r="P235" s="159" t="str">
        <x:v>Drought-related prevention actions | Resilient cities program</x:v>
      </x:c>
      <x:c r="Q235" s="159" t="str">
        <x:v>Smart agriculture, drip irrigation, agricultural research, reservoir management, and water availability forecast systems. Emergency response and alerts, digital infrastructure and apps. Surface water and underwater unmanned vehicles that monitor changes in climate and marine ecosystems.</x:v>
      </x:c>
      <x:c r="R235" s="159" t="str"/>
      <x:c r="S235" s="160" t="str">
        <x:v>Medium</x:v>
      </x:c>
    </x:row>
    <x:row r="236" ht="90" customHeight="1">
      <x:c r="A236" s="165" t="str">
        <x:v>ipcc_0101</x:v>
      </x:c>
      <x:c r="B236" s="159" t="str">
        <x:v>Improve urban water management</x:v>
      </x:c>
      <x:c r="C236" s="159" t="str">
        <x:v>Water resources</x:v>
      </x:c>
      <x:c r="D236" s="159" t="str">
        <x:v>Vulnerability</x:v>
      </x:c>
      <x:c r="E236" s="153" t="str"/>
      <x:c r="F236" s="153" t="str"/>
      <x:c r="G236" s="159" t="str">
        <x:v>Water Security and Climate Change: Insights from Country Climate and Development Reports</x:v>
      </x:c>
      <x:c r="H236" s="159" t="str">
        <x:v>https://documents1.worldbank.org/curated/en/099124511122431814/pdf/IDU1fa8a4c3a1fd8c14810194851fb785b73d02d.pdf</x:v>
      </x:c>
      <x:c r="I236" s="168" t="n">
        <x:v>13</x:v>
      </x:c>
      <x:c r="J236" s="159" t="str"/>
      <x:c r="K236" s="159" t="str">
        <x:v>Verified — ordered</x:v>
      </x:c>
      <x:c r="L236" s="159" t="str">
        <x:v>Ordered token coverage on the cited PDF page is 100.0%.</x:v>
      </x:c>
      <x:c r="M236" s="159" t="str">
        <x:v>Supports</x:v>
      </x:c>
      <x:c r="N236" s="159" t="str">
        <x:v>Part of action</x:v>
      </x:c>
      <x:c r="O236" s="159" t="str">
        <x:v>No</x:v>
      </x:c>
      <x:c r="P236" s="159" t="str">
        <x:v>Inefficiency in water production | Inefficiency in water distribution | Average per capita water consumption | Diseases due to inadequate sanitation | Water quality | Municipal basic sanitation plan | Alternatives to water supply | Artificial reserve | Underground storage potential</x:v>
      </x:c>
      <x:c r="Q236" s="159" t="str">
        <x:v>Closing the water supply gap requires infrastructure investment but also policy, institutional, and regulatory reforms to improve irrigation and water supply and sanitation services and to increase their financial sustainability. Such measures include strengthening joint regional institutions for water operations, planning, and climate adaptation, and strengthening work to achieve universal provision of water, sanitation, and hygiene.</x:v>
      </x:c>
      <x:c r="R236" s="159" t="str"/>
      <x:c r="S236" s="160" t="str">
        <x:v>Medium</x:v>
      </x:c>
    </x:row>
    <x:row r="237" ht="90" customHeight="1">
      <x:c r="A237" s="165" t="str">
        <x:v>ipcc_0101</x:v>
      </x:c>
      <x:c r="B237" s="159" t="str">
        <x:v>Improve urban water management</x:v>
      </x:c>
      <x:c r="C237" s="159" t="str">
        <x:v>Water resources</x:v>
      </x:c>
      <x:c r="D237" s="159" t="str">
        <x:v>Vulnerability</x:v>
      </x:c>
      <x:c r="E237" s="153" t="str"/>
      <x:c r="F237" s="153" t="str"/>
      <x:c r="G237" s="159" t="str">
        <x:v>Plano Nacional de Segurança Hídrica</x:v>
      </x:c>
      <x:c r="H237" s="159" t="str">
        <x:v>https://arquivos.ana.gov.br/pnsh/pnsh.pdf</x:v>
      </x:c>
      <x:c r="I237" s="168" t="n">
        <x:v>29</x:v>
      </x:c>
      <x:c r="J237" s="159" t="str">
        <x:v>27</x:v>
      </x:c>
      <x:c r="K237" s="159" t="str">
        <x:v>Verified — exact</x:v>
      </x:c>
      <x:c r="L237" s="159" t="str">
        <x:v>Normalized quote occurs on the cited PDF page.</x:v>
      </x:c>
      <x:c r="M237" s="159" t="str">
        <x:v>Supports</x:v>
      </x:c>
      <x:c r="N237" s="159" t="str">
        <x:v>Part of action</x:v>
      </x:c>
      <x:c r="O237" s="159" t="str">
        <x:v>No</x:v>
      </x:c>
      <x:c r="P237" s="159" t="str">
        <x:v>Diseases due to inadequate sanitation | Water quality | Municipal basic sanitation plan | Artificial reserve</x:v>
      </x:c>
      <x:c r="Q237" s="159" t="str">
        <x:v>A tendência atual na prevenção e mitigação dos riscos de inundações graduais é a de implementar uma combinação de medidas de proteção estrutural e medidas não estruturais, com o intuito de conciliar as funções de armazenamento e escoamento das águas no sistema de drenagem com o espaço disponível e as necessidades relacionadas à ocupação humana sustentável.</x:v>
      </x:c>
      <x:c r="R237" s="159" t="str"/>
      <x:c r="S237" s="160" t="str">
        <x:v>Medium</x:v>
      </x:c>
    </x:row>
    <x:row r="238" ht="90" customHeight="1">
      <x:c r="A238" s="165" t="str">
        <x:v>ipcc_0101</x:v>
      </x:c>
      <x:c r="B238" s="159" t="str">
        <x:v>Improve urban water management</x:v>
      </x:c>
      <x:c r="C238" s="159" t="str">
        <x:v>Water resources</x:v>
      </x:c>
      <x:c r="D238" s="159" t="str">
        <x:v>Vulnerability</x:v>
      </x:c>
      <x:c r="E238" s="153" t="str"/>
      <x:c r="F238" s="153" t="str"/>
      <x:c r="G238" s="159" t="str">
        <x:v>Climate Change 2022: Impacts, Adaptation and Vulnerability — Chapter 4: Water</x:v>
      </x:c>
      <x:c r="H238" s="159" t="str">
        <x:v>https://www.ipcc.ch/report/ar6/wg2/downloads/report/IPCC_AR6_WGII_Chapter04.pdf</x:v>
      </x:c>
      <x:c r="I238" s="168" t="n">
        <x:v>82</x:v>
      </x:c>
      <x:c r="J238" s="159" t="str">
        <x:v>632</x:v>
      </x:c>
      <x:c r="K238" s="159" t="str">
        <x:v>Verified — ordered</x:v>
      </x:c>
      <x:c r="L238" s="159" t="str">
        <x:v>Ordered token coverage on the cited PDF page is 100.0%.</x:v>
      </x:c>
      <x:c r="M238" s="159" t="str">
        <x:v>Supports</x:v>
      </x:c>
      <x:c r="N238" s="159" t="str">
        <x:v>Whole action</x:v>
      </x:c>
      <x:c r="O238" s="159" t="str">
        <x:v>No</x:v>
      </x:c>
      <x:c r="P238" s="159" t="str">
        <x:v>Water quality | Municipal basic sanitation plan | Artificial reserve</x:v>
      </x:c>
      <x:c r="Q238" s="159" t="str">
        <x:v>NbS have been used for stormwater management by combining water purification and retention functions. NbS have also been used to mitigate impacts from high-impact extreme precipitation events by integrating large-scale NbS investment plans into urban planning in cities like New York and Copenhagen, highlighting the importance of blended finance and investment (including insurance) to mainstream NbS investments. In summary, there is growing evidence on NbS effectiveness as an adaptation measure and its critical role for transformative adaptation to address climate change water-related hazards and water security (medium evidence, high agreement).</x:v>
      </x:c>
      <x:c r="R238" s="159" t="str"/>
      <x:c r="S238" s="160" t="str">
        <x:v>Medium</x:v>
      </x:c>
    </x:row>
    <x:row r="239" ht="90" customHeight="1">
      <x:c r="A239" s="165" t="str">
        <x:v>c40_0056</x:v>
      </x:c>
      <x:c r="B239" s="159" t="str">
        <x:v>Improve Watershed Protection and Management</x:v>
      </x:c>
      <x:c r="C239" s="159" t="str">
        <x:v>Water resources</x:v>
      </x:c>
      <x:c r="D239" s="159" t="str">
        <x:v>Vulnerability</x:v>
      </x:c>
      <x:c r="E239" s="153" t="str"/>
      <x:c r="F239" s="153" t="str"/>
      <x:c r="G239" s="159" t="str">
        <x:v>Flowing Forward: Freshwater Ecosystem Adaptation to Climate Change in Water Resources Management and Biodiversity Conservation</x:v>
      </x:c>
      <x:c r="H239" s="159" t="str">
        <x:v>https://awsassets.panda.org/downloads/flowing_forward_freshwater_ecosystem_adaptation_to_climate_change.pdf</x:v>
      </x:c>
      <x:c r="I239" s="168" t="n">
        <x:v>19</x:v>
      </x:c>
      <x:c r="J239" s="159" t="str">
        <x:v>13</x:v>
      </x:c>
      <x:c r="K239" s="159" t="str">
        <x:v>Verified — exact</x:v>
      </x:c>
      <x:c r="L239" s="159" t="str">
        <x:v>Normalized quote occurs on the cited PDF page.</x:v>
      </x:c>
      <x:c r="M239" s="159" t="str">
        <x:v>Supports</x:v>
      </x:c>
      <x:c r="N239" s="159" t="str">
        <x:v>Whole action</x:v>
      </x:c>
      <x:c r="O239" s="159" t="str">
        <x:v>No</x:v>
      </x:c>
      <x:c r="P239" s="159" t="str">
        <x:v>Water quality | Degraded and/or deforested areas | Areas with soils susceptible to erosion | Ecological flow for ecosystem uses | Nature reserve</x:v>
      </x:c>
      <x:c r="Q239" s="159" t="str">
        <x:v>In recognition of the importance of freshwater ecosystems and the services that they provide, environmental sustainability is recognized as a core principle of integrated water resources management, enshrined in the first of the Dublin principles that recognizes that 'effective management of water resources demands a holistic approach, linking social and economic development with protection of natural ecosystems.' This increasing recognition has led to the significant development of tools and approaches that seek to ensure the maintenance, protection and restoration of ecosystems and ecosystem services in on-going water resources management efforts.</x:v>
      </x:c>
      <x:c r="R239" s="159" t="str"/>
      <x:c r="S239" s="160" t="str">
        <x:v>High</x:v>
      </x:c>
    </x:row>
    <x:row r="240" ht="90" customHeight="1">
      <x:c r="A240" s="165" t="str">
        <x:v>c40_0056</x:v>
      </x:c>
      <x:c r="B240" s="159" t="str">
        <x:v>Improve Watershed Protection and Management</x:v>
      </x:c>
      <x:c r="C240" s="159" t="str">
        <x:v>Water resources</x:v>
      </x:c>
      <x:c r="D240" s="159" t="str">
        <x:v>Vulnerability</x:v>
      </x:c>
      <x:c r="E240" s="153" t="str"/>
      <x:c r="F240" s="153" t="str"/>
      <x:c r="G240" s="159" t="str">
        <x:v>Water and Climate Change Adaptation in Transboundary Basins: Lessons Learned and Good Practices</x:v>
      </x:c>
      <x:c r="H240" s="159" t="str">
        <x:v>https://unece.org/info/publications/pub/21743</x:v>
      </x:c>
      <x:c r="I240" s="168" t="n">
        <x:v>37</x:v>
      </x:c>
      <x:c r="J240" s="159" t="str">
        <x:v>15</x:v>
      </x:c>
      <x:c r="K240" s="159" t="str">
        <x:v>Verified — exact</x:v>
      </x:c>
      <x:c r="L240" s="159" t="str">
        <x:v>Normalized quote occurs on the cited PDF page.</x:v>
      </x:c>
      <x:c r="M240" s="159" t="str">
        <x:v>Supports</x:v>
      </x:c>
      <x:c r="N240" s="159" t="str">
        <x:v>Part of action</x:v>
      </x:c>
      <x:c r="O240" s="159" t="str">
        <x:v>No</x:v>
      </x:c>
      <x:c r="P240" s="159" t="str">
        <x:v>Water quality | Degraded and/or deforested areas | Nature reserve</x:v>
      </x:c>
      <x:c r="Q240" s="159" t="str">
        <x:v>The ecologic restoration project consisted in the transformation of rice fields into different habitats typical in wetlands. The Júcar River Basin Authority (Confederación Hidrográfica del Júcar) is the owner of the land and main implementer of the restoration works, together with the Regional Ministry for Infrastructures, Land and Environment. So far, the benefits of the project have been: An improvement in water quality. The water ecosystems established in Tancat de la Pipa, both artificial wetlands with surface flow (Green Filters) and lagoons, have shown a great capacity to reduce suspended solids, total phosphorous, total nitrogen and phytoplankton in water.</x:v>
      </x:c>
      <x:c r="R240" s="159" t="str"/>
      <x:c r="S240" s="160" t="str">
        <x:v>High</x:v>
      </x:c>
    </x:row>
    <x:row r="241" ht="90" customHeight="1">
      <x:c r="A241" s="165" t="str">
        <x:v>c40_0056</x:v>
      </x:c>
      <x:c r="B241" s="159" t="str">
        <x:v>Improve Watershed Protection and Management</x:v>
      </x:c>
      <x:c r="C241" s="159" t="str">
        <x:v>Water resources</x:v>
      </x:c>
      <x:c r="D241" s="159" t="str">
        <x:v>Vulnerability</x:v>
      </x:c>
      <x:c r="E241" s="153" t="str"/>
      <x:c r="F241" s="153" t="str"/>
      <x:c r="G241" s="159" t="str">
        <x:v>Water and Climate Change Adaptation in Transboundary Basins: Lessons Learned and Good Practices</x:v>
      </x:c>
      <x:c r="H241" s="159" t="str">
        <x:v>https://unece.org/info/publications/pub/21743</x:v>
      </x:c>
      <x:c r="I241" s="168" t="n">
        <x:v>37</x:v>
      </x:c>
      <x:c r="J241" s="159" t="str"/>
      <x:c r="K241" s="159" t="str">
        <x:v>Verified — ordered</x:v>
      </x:c>
      <x:c r="L241" s="159" t="str">
        <x:v>Ordered token coverage on the cited PDF page is 100.0%.</x:v>
      </x:c>
      <x:c r="M241" s="159" t="str">
        <x:v>Supports</x:v>
      </x:c>
      <x:c r="N241" s="159" t="str">
        <x:v>Part of action</x:v>
      </x:c>
      <x:c r="O241" s="159" t="str">
        <x:v>No</x:v>
      </x:c>
      <x:c r="P241" s="159" t="str">
        <x:v>Water quality | Degraded and/or deforested areas | Areas with soils susceptible to erosion | Ecological flow for ecosystem uses | Nature reserve</x:v>
      </x:c>
      <x:c r="Q241" s="159" t="str">
        <x:v>The ecologic restoration project consisted in the transformation of rice fields into different habitats typical in wetlands. So far, the benefits of the project have been an improvement in water quality: the water ecosystems established in Tancat de la Pipa, both artificial wetlands with surface flow and lagoons, have shown a great capacity to reduce suspended solids, total phosphorous, total nitrogen and phytoplankton in water.</x:v>
      </x:c>
      <x:c r="R241" s="159" t="str"/>
      <x:c r="S241" s="160" t="str">
        <x:v>High</x:v>
      </x:c>
    </x:row>
    <x:row r="242" ht="90" customHeight="1">
      <x:c r="A242" s="165" t="str">
        <x:v>c40_0056</x:v>
      </x:c>
      <x:c r="B242" s="159" t="str">
        <x:v>Improve Watershed Protection and Management</x:v>
      </x:c>
      <x:c r="C242" s="159" t="str">
        <x:v>Water resources</x:v>
      </x:c>
      <x:c r="D242" s="159" t="str">
        <x:v>Vulnerability</x:v>
      </x:c>
      <x:c r="E242" s="153" t="str"/>
      <x:c r="F242" s="153" t="str"/>
      <x:c r="G242" s="159" t="str">
        <x:v>Climate Change 2022: Impacts, Adaptation and Vulnerability — Chapter 4: Water</x:v>
      </x:c>
      <x:c r="H242" s="159" t="str">
        <x:v>https://www.ipcc.ch/report/ar6/wg2/downloads/report/IPCC_AR6_WGII_Chapter04.pdf</x:v>
      </x:c>
      <x:c r="I242" s="168" t="n">
        <x:v>82</x:v>
      </x:c>
      <x:c r="J242" s="159" t="str">
        <x:v>632</x:v>
      </x:c>
      <x:c r="K242" s="159" t="str">
        <x:v>Verified — ordered</x:v>
      </x:c>
      <x:c r="L242" s="159" t="str">
        <x:v>Ordered token coverage on the cited PDF page is 100.0%.</x:v>
      </x:c>
      <x:c r="M242" s="159" t="str">
        <x:v>Supports</x:v>
      </x:c>
      <x:c r="N242" s="159" t="str">
        <x:v>Whole action</x:v>
      </x:c>
      <x:c r="O242" s="159" t="str">
        <x:v>No</x:v>
      </x:c>
      <x:c r="P242" s="159" t="str">
        <x:v>Water quality | Degraded and/or deforested areas | Areas with soils susceptible to erosion | Ecological flow for ecosystem uses | Nature reserve</x:v>
      </x:c>
      <x:c r="Q242" s="159" t="str">
        <x:v>NbS have been used for stormwater management by combining water purification and retention functions. NbS have also been used to mitigate impacts from high-impact extreme precipitation events by integrating large-scale NbS investment plans into urban planning in cities like New York and Copenhagen, highlighting the importance of blended finance and investment (including insurance) to mainstream NbS investments. In summary, there is growing evidence on NbS effectiveness as an adaptation measure and its critical role for transformative adaptation to address climate change water-related hazards and water security (medium evidence, high agreement).</x:v>
      </x:c>
      <x:c r="R242" s="159" t="str"/>
      <x:c r="S242" s="160" t="str">
        <x:v>High</x:v>
      </x:c>
    </x:row>
    <x:row r="243" ht="90" customHeight="1">
      <x:c r="A243" s="165" t="str">
        <x:v>c40_0056</x:v>
      </x:c>
      <x:c r="B243" s="159" t="str">
        <x:v>Improve Watershed Protection and Management</x:v>
      </x:c>
      <x:c r="C243" s="159" t="str">
        <x:v>Water resources</x:v>
      </x:c>
      <x:c r="D243" s="159" t="str">
        <x:v>Vulnerability</x:v>
      </x:c>
      <x:c r="E243" s="153" t="str"/>
      <x:c r="F243" s="153" t="str"/>
      <x:c r="G243" s="159" t="str">
        <x:v>Programa Produtor de Água: Resultados e Perspectivas</x:v>
      </x:c>
      <x:c r="H243" s="159" t="str">
        <x:v>https://www.gov.br/ana/pt-br/acesso-a-informacao/acoes-e-programas/programa-produtor-de-agua/manuais-e-capacitacao/Programa_produtor_agua_digitalparaLANCAMENTO.pdf</x:v>
      </x:c>
      <x:c r="I243" s="168" t="n">
        <x:v>88</x:v>
      </x:c>
      <x:c r="J243" s="159" t="str">
        <x:v>88</x:v>
      </x:c>
      <x:c r="K243" s="159" t="str">
        <x:v>Verified — exact</x:v>
      </x:c>
      <x:c r="L243" s="159" t="str">
        <x:v>Normalized quote occurs on the cited PDF page.</x:v>
      </x:c>
      <x:c r="M243" s="159" t="str">
        <x:v>Supports</x:v>
      </x:c>
      <x:c r="N243" s="159" t="str">
        <x:v>Part of action</x:v>
      </x:c>
      <x:c r="O243" s="159" t="str">
        <x:v>No</x:v>
      </x:c>
      <x:c r="P243" s="159" t="str">
        <x:v>Degraded and/or deforested areas | Areas with soils susceptible to erosion</x:v>
      </x:c>
      <x:c r="Q243" s="159" t="str">
        <x:v>Em 2022, o projeto recebeu apoio financeiro da ANA e foram executadas obras de conservação, como construção de cacimbas, curvas de nível e cercamento de nascentes. Estas ações já eram realizadas pelo Serviço Autônomo de Água e Esgoto (SAAE) neste local, porém, em uma escala menor. Com o apoio da equipe técnica o projeto qualificou-se tecnicamente, o que permitiu, por exemplo, construir cacimbas em locais estratégicos e com tamanhos específicos, estudados previamente. As ações citadas foram motivadas por problemas hídricos vividos na região, como no ocorrido no ano de 2013, uma seca histórica na cidade, que alertou sobre a necessidade de implantar ações de conservação nesta bacia. Hoje, a bacia gera cerca de 96 litros por segundo, sendo a maior e principal fonte de captação de água do SAAE. E desde então, nos períodos de seca a produção de água diminui, mas não ao ponto de faltar água na cidade como em 2013.</x:v>
      </x:c>
      <x:c r="R243" s="159" t="str">
        <x:v>cerca de 96 litros por segundo</x:v>
      </x:c>
      <x:c r="S243" s="160" t="str">
        <x:v>High</x:v>
      </x:c>
    </x:row>
    <x:row r="244" ht="90" customHeight="1">
      <x:c r="A244" s="165" t="str">
        <x:v>ipcc_0098</x:v>
      </x:c>
      <x:c r="B244" s="159" t="str">
        <x:v>Increase resilience by improving access to food, improving livelihoods and promoting dietary shifts and food waste reduction</x:v>
      </x:c>
      <x:c r="C244" s="159" t="str">
        <x:v>Water resources</x:v>
      </x:c>
      <x:c r="D244" s="159" t="str">
        <x:v>Vulnerability</x:v>
      </x:c>
      <x:c r="E244" s="153" t="str"/>
      <x:c r="F244" s="153" t="str"/>
      <x:c r="G244" s="159" t="str">
        <x:v>Climate Change 2022: Impacts, Adaptation and Vulnerability — Chapter 4: Water</x:v>
      </x:c>
      <x:c r="H244" s="159" t="str">
        <x:v>https://www.ipcc.ch/report/ar6/wg2/downloads/report/IPCC_AR6_WGII_Chapter04.pdf</x:v>
      </x:c>
      <x:c r="I244" s="168" t="n">
        <x:v>74</x:v>
      </x:c>
      <x:c r="J244" s="159" t="str">
        <x:v>624</x:v>
      </x:c>
      <x:c r="K244" s="159" t="str">
        <x:v>Verified — ordered</x:v>
      </x:c>
      <x:c r="L244" s="159" t="str">
        <x:v>Ordered token coverage on the cited PDF page is 98.0%.</x:v>
      </x:c>
      <x:c r="M244" s="159" t="str">
        <x:v>Supports</x:v>
      </x:c>
      <x:c r="N244" s="159" t="str">
        <x:v>Whole action</x:v>
      </x:c>
      <x:c r="O244" s="159" t="str">
        <x:v>No</x:v>
      </x:c>
      <x:c r="P244" s="159" t="str">
        <x:v>Average per capita water consumption | Water balance for agriculture | Agricultural participation in GDP | Income not affected by water prices | Income greater than two minimum wages</x:v>
      </x:c>
      <x:c r="Q244" s="159" t="str">
        <x:v>Migration and livelihood diversification is often an adaptation response to water-related hazards and involves securing income sources away from agriculture, including off-farm employment and temporary or permanent migration, and these are particularly important in Asia and Africa. Income and remittances are sometimes re-invested, for instance, for crop diversification.</x:v>
      </x:c>
      <x:c r="R244" s="159" t="str"/>
      <x:c r="S244" s="160" t="str">
        <x:v>Medium</x:v>
      </x:c>
    </x:row>
    <x:row r="245" ht="90" customHeight="1">
      <x:c r="A245" s="165" t="str">
        <x:v>ipcc_0099</x:v>
      </x:c>
      <x:c r="B245" s="159" t="str">
        <x:v>Increase Water Capture and Storage</x:v>
      </x:c>
      <x:c r="C245" s="159" t="str">
        <x:v>Water resources</x:v>
      </x:c>
      <x:c r="D245" s="159" t="str">
        <x:v>Vulnerability</x:v>
      </x:c>
      <x:c r="E245" s="153" t="str"/>
      <x:c r="F245" s="153" t="str"/>
      <x:c r="G245" s="159" t="str">
        <x:v>Guidance on Water and Adaptation to Climate Change</x:v>
      </x:c>
      <x:c r="H245" s="159" t="str">
        <x:v>https://digitallibrary.un.org/record/670358/files/Guidance_water_climate.pdf</x:v>
      </x:c>
      <x:c r="I245" s="168" t="n">
        <x:v>35</x:v>
      </x:c>
      <x:c r="J245" s="159" t="str">
        <x:v>21</x:v>
      </x:c>
      <x:c r="K245" s="159" t="str">
        <x:v>Verified — exact</x:v>
      </x:c>
      <x:c r="L245" s="159" t="str">
        <x:v>Normalized quote occurs on the cited PDF page.</x:v>
      </x:c>
      <x:c r="M245" s="159" t="str">
        <x:v>Contradicts</x:v>
      </x:c>
      <x:c r="N245" s="159" t="str">
        <x:v>Part of action</x:v>
      </x:c>
      <x:c r="O245" s="159" t="str">
        <x:v>Yes</x:v>
      </x:c>
      <x:c r="P245" s="159" t="str">
        <x:v>Diseases due to inadequate sanitation | Artificial reserve</x:v>
      </x:c>
      <x:c r="Q245" s="159" t="str">
        <x:v>Inappropriately designed adaptation can also damage other policy areas, such as energy, health, food security and nature conservation. For instance, the increased use of reservoirs may under some conditions create breeding grounds for vector-borne diseases;</x:v>
      </x:c>
      <x:c r="R245" s="159" t="str"/>
      <x:c r="S245" s="160" t="str">
        <x:v>Low</x:v>
      </x:c>
    </x:row>
    <x:row r="246" ht="90" customHeight="1">
      <x:c r="A246" s="165" t="str">
        <x:v>ipcc_0099</x:v>
      </x:c>
      <x:c r="B246" s="159" t="str">
        <x:v>Increase Water Capture and Storage</x:v>
      </x:c>
      <x:c r="C246" s="159" t="str">
        <x:v>Water resources</x:v>
      </x:c>
      <x:c r="D246" s="159" t="str">
        <x:v>Vulnerability</x:v>
      </x:c>
      <x:c r="E246" s="153" t="str"/>
      <x:c r="F246" s="153" t="str"/>
      <x:c r="G246" s="159" t="str">
        <x:v>Plano Nacional de Segurança Hídrica</x:v>
      </x:c>
      <x:c r="H246" s="159" t="str">
        <x:v>https://arquivos.ana.gov.br/pnsh/pnsh.pdf</x:v>
      </x:c>
      <x:c r="I246" s="168" t="n">
        <x:v>37</x:v>
      </x:c>
      <x:c r="J246" s="159" t="str">
        <x:v>35</x:v>
      </x:c>
      <x:c r="K246" s="159" t="str">
        <x:v>Verified — exact</x:v>
      </x:c>
      <x:c r="L246" s="159" t="str">
        <x:v>Normalized quote occurs on the cited PDF page.</x:v>
      </x:c>
      <x:c r="M246" s="159" t="str">
        <x:v>Supports</x:v>
      </x:c>
      <x:c r="N246" s="159" t="str">
        <x:v>Part of action</x:v>
      </x:c>
      <x:c r="O246" s="159" t="str">
        <x:v>No</x:v>
      </x:c>
      <x:c r="P246" s="159" t="str">
        <x:v>Artificial reserve</x:v>
      </x:c>
      <x:c r="Q246" s="159" t="str">
        <x:v>Cabe ressaltar também a importância relativa dos reservatórios, que aportam às suas áreas de influência uma resiliência maior aos eventos extremos de secas, elevando a segurança hídrica dessas regiões.</x:v>
      </x:c>
      <x:c r="R246" s="159" t="str"/>
      <x:c r="S246" s="160" t="str">
        <x:v>Low</x:v>
      </x:c>
    </x:row>
    <x:row r="247" ht="90" customHeight="1">
      <x:c r="A247" s="165" t="str">
        <x:v>ipcc_0099</x:v>
      </x:c>
      <x:c r="B247" s="159" t="str">
        <x:v>Increase Water Capture and Storage</x:v>
      </x:c>
      <x:c r="C247" s="159" t="str">
        <x:v>Water resources</x:v>
      </x:c>
      <x:c r="D247" s="159" t="str">
        <x:v>Vulnerability</x:v>
      </x:c>
      <x:c r="E247" s="153" t="str"/>
      <x:c r="F247" s="153" t="str"/>
      <x:c r="G247" s="159" t="str">
        <x:v>Climate Change 2022: Impacts, Adaptation and Vulnerability — Chapter 4: Water</x:v>
      </x:c>
      <x:c r="H247" s="159" t="str">
        <x:v>https://www.ipcc.ch/report/ar6/wg2/downloads/report/IPCC_AR6_WGII_Chapter04.pdf</x:v>
      </x:c>
      <x:c r="I247" s="168" t="n">
        <x:v>93</x:v>
      </x:c>
      <x:c r="J247" s="159" t="str">
        <x:v>643</x:v>
      </x:c>
      <x:c r="K247" s="159" t="str">
        <x:v>Verified — ordered</x:v>
      </x:c>
      <x:c r="L247" s="159" t="str">
        <x:v>Ordered token coverage on the cited PDF page is 100.0%.</x:v>
      </x:c>
      <x:c r="M247" s="159" t="str">
        <x:v>Supports</x:v>
      </x:c>
      <x:c r="N247" s="159" t="str">
        <x:v>Part of action</x:v>
      </x:c>
      <x:c r="O247" s="159" t="str">
        <x:v>No</x:v>
      </x:c>
      <x:c r="P247" s="159" t="str">
        <x:v>Underground storage potential</x:v>
      </x:c>
      <x:c r="Q247" s="159" t="str">
        <x:v>Sand dams increase groundwater storage in riverbanks by up to 40%, which is maintained throughout the year.</x:v>
      </x:c>
      <x:c r="R247" s="159" t="str">
        <x:v>up to 40% increase in groundwater storage in riverbanks, maintained throughout the year</x:v>
      </x:c>
      <x:c r="S247" s="160" t="str">
        <x:v>Low</x:v>
      </x:c>
    </x:row>
    <x:row r="248" ht="90" customHeight="1">
      <x:c r="A248" s="165" t="str">
        <x:v>ipcc_0104</x:v>
      </x:c>
      <x:c r="B248" s="159" t="str">
        <x:v>Plan and support permanent climate‑related migration</x:v>
      </x:c>
      <x:c r="C248" s="159" t="str">
        <x:v>Water resources</x:v>
      </x:c>
      <x:c r="D248" s="159" t="str">
        <x:v>Exposure</x:v>
      </x:c>
      <x:c r="E248" s="153" t="str"/>
      <x:c r="F248" s="153" t="str"/>
      <x:c r="G248" s="159" t="str">
        <x:v>Guidance on Water and Adaptation to Climate Change</x:v>
      </x:c>
      <x:c r="H248" s="159" t="str">
        <x:v>https://digitallibrary.un.org/record/670358/files/Guidance_water_climate.pdf</x:v>
      </x:c>
      <x:c r="I248" s="168" t="n">
        <x:v>32</x:v>
      </x:c>
      <x:c r="J248" s="159" t="str">
        <x:v>18</x:v>
      </x:c>
      <x:c r="K248" s="159" t="str">
        <x:v>Verified — ordered</x:v>
      </x:c>
      <x:c r="L248" s="159" t="str">
        <x:v>Ordered token coverage on the cited PDF page is 98.0%.</x:v>
      </x:c>
      <x:c r="M248" s="159" t="str">
        <x:v>Contradicts</x:v>
      </x:c>
      <x:c r="N248" s="159" t="str">
        <x:v>Part of action</x:v>
      </x:c>
      <x:c r="O248" s="159" t="str">
        <x:v>Yes</x:v>
      </x:c>
      <x:c r="P248" s="159" t="str">
        <x:v>Population density | Urban users exposed | Exposed rural users</x:v>
      </x:c>
      <x:c r="Q248" s="159" t="str">
        <x:v>Demographic changes, including population growth and migration are certainly one of the main causes of increased water use. In addition, these changes are mainly concentrated in coastal areas which are already under high water stress and where climate change is expected to have the highest impact, including through salinization of groundwater.</x:v>
      </x:c>
      <x:c r="R248" s="159" t="str"/>
      <x:c r="S248" s="160" t="str">
        <x:v>Medium</x:v>
      </x:c>
    </x:row>
    <x:row r="249" ht="90" customHeight="1">
      <x:c r="A249" s="165" t="str">
        <x:v>ipcc_0104</x:v>
      </x:c>
      <x:c r="B249" s="159" t="str">
        <x:v>Plan and support permanent climate‑related migration</x:v>
      </x:c>
      <x:c r="C249" s="159" t="str">
        <x:v>Water resources</x:v>
      </x:c>
      <x:c r="D249" s="159" t="str">
        <x:v>Exposure</x:v>
      </x:c>
      <x:c r="E249" s="153" t="str"/>
      <x:c r="F249" s="153" t="str"/>
      <x:c r="G249" s="159" t="str">
        <x:v>Climate Change 2022: Impacts, Adaptation and Vulnerability — Chapter 4: Water</x:v>
      </x:c>
      <x:c r="H249" s="159" t="str">
        <x:v>https://www.ipcc.ch/report/ar6/wg2/downloads/report/IPCC_AR6_WGII_Chapter04.pdf</x:v>
      </x:c>
      <x:c r="I249" s="168" t="n">
        <x:v>75</x:v>
      </x:c>
      <x:c r="J249" s="159" t="str">
        <x:v>625</x:v>
      </x:c>
      <x:c r="K249" s="159" t="str">
        <x:v>Verified — ordered</x:v>
      </x:c>
      <x:c r="L249" s="159" t="str">
        <x:v>Ordered token coverage on the cited PDF page is 100.0%.</x:v>
      </x:c>
      <x:c r="M249" s="159" t="str">
        <x:v>Qualifies</x:v>
      </x:c>
      <x:c r="N249" s="159" t="str">
        <x:v>Whole action</x:v>
      </x:c>
      <x:c r="O249" s="159" t="str">
        <x:v>Yes</x:v>
      </x:c>
      <x:c r="P249" s="159" t="str">
        <x:v>Population density | Urban users exposed | Exposed rural users</x:v>
      </x:c>
      <x:c r="Q249" s="159" t="str">
        <x:v>While there is extensive documentation on the benefits of migration, the quality of studies is such that links between migration and subsequent benefits are not clear, making our conclusion of benefits from this measure as having medium confidence. On the other hand, there is more rigorous evidence on the maladaptive nature of migration as an adaptation measure (Figure FAQ4.4.1).</x:v>
      </x:c>
      <x:c r="R249" s="159" t="str"/>
      <x:c r="S249" s="160" t="str">
        <x:v>Medium</x:v>
      </x:c>
    </x:row>
    <x:row r="250" ht="90" customHeight="1">
      <x:c r="A250" s="165" t="str">
        <x:v>ipcc_0104</x:v>
      </x:c>
      <x:c r="B250" s="159" t="str">
        <x:v>Plan and support permanent climate‑related migration</x:v>
      </x:c>
      <x:c r="C250" s="159" t="str">
        <x:v>Water resources</x:v>
      </x:c>
      <x:c r="D250" s="159" t="str">
        <x:v>Exposure</x:v>
      </x:c>
      <x:c r="E250" s="153" t="str"/>
      <x:c r="F250" s="153" t="str"/>
      <x:c r="G250" s="159" t="str">
        <x:v>Climate Change 2022: Impacts, Adaptation and Vulnerability — Chapter 4: Water</x:v>
      </x:c>
      <x:c r="H250" s="159" t="str">
        <x:v>https://www.ipcc.ch/report/ar6/wg2/downloads/report/IPCC_AR6_WGII_Chapter04.pdf</x:v>
      </x:c>
      <x:c r="I250" s="168" t="n">
        <x:v>81</x:v>
      </x:c>
      <x:c r="J250" s="159" t="str">
        <x:v>631</x:v>
      </x:c>
      <x:c r="K250" s="159" t="str">
        <x:v>Verified — ordered</x:v>
      </x:c>
      <x:c r="L250" s="159" t="str">
        <x:v>Ordered token coverage on the cited PDF page is 100.0%.</x:v>
      </x:c>
      <x:c r="M250" s="159" t="str">
        <x:v>Supports</x:v>
      </x:c>
      <x:c r="N250" s="159" t="str">
        <x:v>Whole action</x:v>
      </x:c>
      <x:c r="O250" s="159" t="str">
        <x:v>No</x:v>
      </x:c>
      <x:c r="P250" s="159" t="str">
        <x:v>Population density | Urban users exposed | Exposed rural users</x:v>
      </x:c>
      <x:c r="Q250" s="159" t="str">
        <x:v>Some adaptation options, such as water conservation, storage and infrastructure, voluntary migration, planned relocation due to flood risk/sea level rise, and international water treaties, can reduce vulnerability</x:v>
      </x:c>
      <x:c r="R250" s="159" t="str"/>
      <x:c r="S250" s="160" t="str">
        <x:v>Medium</x:v>
      </x:c>
    </x:row>
    <x:row r="251" ht="90" customHeight="1">
      <x:c r="A251" s="165" t="str">
        <x:v>ipcc_0104</x:v>
      </x:c>
      <x:c r="B251" s="159" t="str">
        <x:v>Plan and support permanent climate‑related migration</x:v>
      </x:c>
      <x:c r="C251" s="159" t="str">
        <x:v>Water resources</x:v>
      </x:c>
      <x:c r="D251" s="159" t="str">
        <x:v>Exposure</x:v>
      </x:c>
      <x:c r="E251" s="153" t="str"/>
      <x:c r="F251" s="153" t="str"/>
      <x:c r="G251" s="159" t="str">
        <x:v>Climate Change 2022: Impacts, Adaptation and Vulnerability — Chapter 4: Water</x:v>
      </x:c>
      <x:c r="H251" s="159" t="str">
        <x:v>https://www.ipcc.ch/report/ar6/wg2/downloads/report/IPCC_AR6_WGII_Chapter04.pdf</x:v>
      </x:c>
      <x:c r="I251" s="168" t="n">
        <x:v>81</x:v>
      </x:c>
      <x:c r="J251" s="159" t="str">
        <x:v>631</x:v>
      </x:c>
      <x:c r="K251" s="159" t="str">
        <x:v>Verified — ordered</x:v>
      </x:c>
      <x:c r="L251" s="159" t="str">
        <x:v>Ordered token coverage on the cited PDF page is 100.0%.</x:v>
      </x:c>
      <x:c r="M251" s="159" t="str">
        <x:v>Supports</x:v>
      </x:c>
      <x:c r="N251" s="159" t="str">
        <x:v>Whole action</x:v>
      </x:c>
      <x:c r="O251" s="159" t="str">
        <x:v>No</x:v>
      </x:c>
      <x:c r="P251" s="159" t="str">
        <x:v>Population density | Urban users exposed | Exposed rural users</x:v>
      </x:c>
      <x:c r="Q251" s="159" t="str">
        <x:v>Some adaptation options, such as water conservation, storage and infrastructure, voluntary migration, planned relocation due to flood risk/sea level rise, and international water treaties, can reduce vulnerability.</x:v>
      </x:c>
      <x:c r="R251" s="159" t="str"/>
      <x:c r="S251" s="160" t="str">
        <x:v>Medium</x:v>
      </x:c>
    </x:row>
    <x:row r="252" ht="90" customHeight="1">
      <x:c r="A252" s="165" t="str">
        <x:v>ipcc_0104</x:v>
      </x:c>
      <x:c r="B252" s="159" t="str">
        <x:v>Plan and support permanent climate‑related migration</x:v>
      </x:c>
      <x:c r="C252" s="159" t="str">
        <x:v>Water resources</x:v>
      </x:c>
      <x:c r="D252" s="159" t="str">
        <x:v>Exposure</x:v>
      </x:c>
      <x:c r="E252" s="153" t="str"/>
      <x:c r="F252" s="153" t="str"/>
      <x:c r="G252" s="159" t="str">
        <x:v>Water and Climate Change Adaptation in Transboundary Basins: Lessons Learned and Good Practices</x:v>
      </x:c>
      <x:c r="H252" s="159" t="str">
        <x:v>https://unece.org/info/publications/pub/21743</x:v>
      </x:c>
      <x:c r="I252" s="168" t="n">
        <x:v>94</x:v>
      </x:c>
      <x:c r="J252" s="159" t="str">
        <x:v>72</x:v>
      </x:c>
      <x:c r="K252" s="159" t="str">
        <x:v>Verified — ordered</x:v>
      </x:c>
      <x:c r="L252" s="159" t="str">
        <x:v>Ordered token coverage on the cited PDF page is 100.0%.</x:v>
      </x:c>
      <x:c r="M252" s="159" t="str">
        <x:v>Supports</x:v>
      </x:c>
      <x:c r="N252" s="159" t="str">
        <x:v>Whole action</x:v>
      </x:c>
      <x:c r="O252" s="159" t="str">
        <x:v>No</x:v>
      </x:c>
      <x:c r="P252" s="159" t="str">
        <x:v>Population density | Urban users exposed | Exposed rural users</x:v>
      </x:c>
      <x:c r="Q252" s="159" t="str">
        <x:v>Migration of people away from high-risk areas</x:v>
      </x:c>
      <x:c r="R252" s="159" t="str"/>
      <x:c r="S252" s="160" t="str">
        <x:v>Medium</x:v>
      </x:c>
    </x:row>
    <x:row r="253" ht="90" customHeight="1">
      <x:c r="A253" s="165" t="str">
        <x:v>ipcc_0083</x:v>
      </x:c>
      <x:c r="B253" s="159" t="str">
        <x:v>Plan strategic coastal retreat for vulnerable communities</x:v>
      </x:c>
      <x:c r="C253" s="159" t="str">
        <x:v>Water resources</x:v>
      </x:c>
      <x:c r="D253" s="159" t="str">
        <x:v>Exposure</x:v>
      </x:c>
      <x:c r="E253" s="153" t="str"/>
      <x:c r="F253" s="153" t="str"/>
      <x:c r="G253" s="159" t="str">
        <x:v>Climate Change 2022: Impacts, Adaptation and Vulnerability — Chapter 4: Water</x:v>
      </x:c>
      <x:c r="H253" s="159" t="str">
        <x:v>https://www.ipcc.ch/report/ar6/wg2/downloads/report/IPCC_AR6_WGII_Chapter04.pdf</x:v>
      </x:c>
      <x:c r="I253" s="168" t="n">
        <x:v>81</x:v>
      </x:c>
      <x:c r="J253" s="159" t="str">
        <x:v>631</x:v>
      </x:c>
      <x:c r="K253" s="159" t="str">
        <x:v>Verified — ordered</x:v>
      </x:c>
      <x:c r="L253" s="159" t="str">
        <x:v>Ordered token coverage on the cited PDF page is 100.0%.</x:v>
      </x:c>
      <x:c r="M253" s="159" t="str">
        <x:v>Supports</x:v>
      </x:c>
      <x:c r="N253" s="159" t="str">
        <x:v>Whole action</x:v>
      </x:c>
      <x:c r="O253" s="159" t="str">
        <x:v>No</x:v>
      </x:c>
      <x:c r="P253" s="159" t="str">
        <x:v>Population density | Urban users exposed | Exposed rural users</x:v>
      </x:c>
      <x:c r="Q253" s="159" t="str">
        <x:v>Some adaptation options, such as water conservation, storage and infrastructure, voluntary migration, planned relocation due to flood risk/sea level rise, and international water treaties, can reduce vulnerability.</x:v>
      </x:c>
      <x:c r="R253" s="159" t="str"/>
      <x:c r="S253" s="160" t="str">
        <x:v>Medium</x:v>
      </x:c>
    </x:row>
    <x:row r="254" ht="90" customHeight="1">
      <x:c r="A254" s="165" t="str">
        <x:v>icare_0173</x:v>
      </x:c>
      <x:c r="B254" s="159" t="str">
        <x:v>Preventive maintenance of drainage systems</x:v>
      </x:c>
      <x:c r="C254" s="159" t="str">
        <x:v>Water resources</x:v>
      </x:c>
      <x:c r="D254" s="159" t="str">
        <x:v>Vulnerability</x:v>
      </x:c>
      <x:c r="E254" s="153" t="str"/>
      <x:c r="F254" s="153" t="str"/>
      <x:c r="G254" s="159" t="str">
        <x:v>Plano Nacional de Segurança Hídrica</x:v>
      </x:c>
      <x:c r="H254" s="159" t="str">
        <x:v>https://arquivos.ana.gov.br/pnsh/pnsh.pdf</x:v>
      </x:c>
      <x:c r="I254" s="168" t="n">
        <x:v>29</x:v>
      </x:c>
      <x:c r="J254" s="159" t="str">
        <x:v>27</x:v>
      </x:c>
      <x:c r="K254" s="159" t="str">
        <x:v>Verified — exact</x:v>
      </x:c>
      <x:c r="L254" s="159" t="str">
        <x:v>Normalized quote occurs on the cited PDF page.</x:v>
      </x:c>
      <x:c r="M254" s="159" t="str">
        <x:v>Supports</x:v>
      </x:c>
      <x:c r="N254" s="159" t="str">
        <x:v>Part of action</x:v>
      </x:c>
      <x:c r="O254" s="159" t="str">
        <x:v>No</x:v>
      </x:c>
      <x:c r="P254" s="159" t="str">
        <x:v>Diseases due to inadequate sanitation | Water quality | Municipal basic sanitation plan</x:v>
      </x:c>
      <x:c r="Q254" s="159" t="str">
        <x:v>A tendência atual na prevenção e mitigação dos riscos de inundações graduais é a de implementar uma combinação de medidas de proteção estrutural e medidas não estruturais, com o intuito de conciliar as funções de armazenamento e escoamento das águas no sistema de drenagem com o espaço disponível e as necessidades relacionadas à ocupação humana sustentável.</x:v>
      </x:c>
      <x:c r="R254" s="159" t="str"/>
      <x:c r="S254" s="160" t="str">
        <x:v>Low</x:v>
      </x:c>
    </x:row>
    <x:row r="255" ht="90" customHeight="1">
      <x:c r="A255" s="165" t="str">
        <x:v>c40_0053</x:v>
      </x:c>
      <x:c r="B255" s="159" t="str">
        <x:v>Promote water-saving technologies and practices</x:v>
      </x:c>
      <x:c r="C255" s="159" t="str">
        <x:v>Water resources</x:v>
      </x:c>
      <x:c r="D255" s="159" t="str">
        <x:v>Vulnerability</x:v>
      </x:c>
      <x:c r="E255" s="153" t="str"/>
      <x:c r="F255" s="153" t="str"/>
      <x:c r="G255" s="159" t="str">
        <x:v>Water Security and Climate Change: Insights from Country Climate and Development Reports</x:v>
      </x:c>
      <x:c r="H255" s="159" t="str">
        <x:v>https://documents1.worldbank.org/curated/en/099124511122431814/pdf/IDU1fa8a4c3a1fd8c14810194851fb785b73d02d.pdf</x:v>
      </x:c>
      <x:c r="I255" s="168" t="n">
        <x:v>3</x:v>
      </x:c>
      <x:c r="J255" s="159" t="str"/>
      <x:c r="K255" s="159" t="str">
        <x:v>Verified — exact</x:v>
      </x:c>
      <x:c r="L255" s="159" t="str">
        <x:v>Normalized quote occurs on the cited PDF page.</x:v>
      </x:c>
      <x:c r="M255" s="159" t="str">
        <x:v>Qualifies</x:v>
      </x:c>
      <x:c r="N255" s="159" t="str">
        <x:v>Whole action</x:v>
      </x:c>
      <x:c r="O255" s="159" t="str">
        <x:v>No</x:v>
      </x:c>
      <x:c r="P255" s="159" t="str">
        <x:v>Inefficiency in water distribution | Average per capita water consumption | Water balance for agriculture | Water balance for industry</x:v>
      </x:c>
      <x:c r="Q255" s="159" t="str">
        <x:v>Demand-side management often proves to be more cost-effective in addressing water supply shortages than investing in supply-side solutions. Effective water demand management involves adjusting water tariffs to reflect the true value of water in water allocation and use, increasing consumer awareness, and strengthening regulations and technologies to improve water use efficiency. Increasing efficiency requires countries to overcome political-economy barriers while repurposing wasteful water subsidies. Countries experiencing water stress are more likely to recommend water tariff reforms in their CCDRs.</x:v>
      </x:c>
      <x:c r="R255" s="159" t="str"/>
      <x:c r="S255" s="160" t="str">
        <x:v>Medium</x:v>
      </x:c>
    </x:row>
    <x:row r="256" ht="90" customHeight="1">
      <x:c r="A256" s="165" t="str">
        <x:v>c40_0053</x:v>
      </x:c>
      <x:c r="B256" s="159" t="str">
        <x:v>Promote water-saving technologies and practices</x:v>
      </x:c>
      <x:c r="C256" s="159" t="str">
        <x:v>Water resources</x:v>
      </x:c>
      <x:c r="D256" s="159" t="str">
        <x:v>Vulnerability</x:v>
      </x:c>
      <x:c r="E256" s="153" t="str"/>
      <x:c r="F256" s="153" t="str"/>
      <x:c r="G256" s="159" t="str">
        <x:v>Climate Change 2022: Impacts, Adaptation and Vulnerability — Chapter 4: Water</x:v>
      </x:c>
      <x:c r="H256" s="159" t="str">
        <x:v>https://www.ipcc.ch/report/ar6/wg2/downloads/report/IPCC_AR6_WGII_Chapter04.pdf</x:v>
      </x:c>
      <x:c r="I256" s="168" t="n">
        <x:v>76</x:v>
      </x:c>
      <x:c r="J256" s="159" t="str">
        <x:v>626</x:v>
      </x:c>
      <x:c r="K256" s="159" t="str">
        <x:v>Verified — exact</x:v>
      </x:c>
      <x:c r="L256" s="159" t="str">
        <x:v>Normalized quote occurs on the cited PDF page.</x:v>
      </x:c>
      <x:c r="M256" s="159" t="str">
        <x:v>Supports</x:v>
      </x:c>
      <x:c r="N256" s="159" t="str">
        <x:v>Part of action</x:v>
      </x:c>
      <x:c r="O256" s="159" t="str">
        <x:v>No</x:v>
      </x:c>
      <x:c r="P256" s="159" t="str">
        <x:v>Average per capita water consumption | Water balance for agriculture</x:v>
      </x:c>
      <x:c r="Q256" s="159" t="str">
        <x:v>Different irrigation techniques are associated with significant differences in irrigation water productivity (Deligios et al., 2019), and replacing inefficient systems can reduce average non-beneficial water consumption by up to 76% while maintaining stable crop yields (Jägermeyr et al., 2015). Several adjustments can improve water use efficiency, including extending irrigation intervals, shortening the time of watering crops or reducing the size of the plot being irrigated (Caretta and Börjeson, 2015; da Cunha et al., 2015; Dumenu and Obeng, 2016).</x:v>
      </x:c>
      <x:c r="R256" s="159" t="str">
        <x:v>up to 76% reduction in average non-beneficial water consumption while maintaining stable crop yields</x:v>
      </x:c>
      <x:c r="S256" s="160" t="str">
        <x:v>Medium</x:v>
      </x:c>
    </x:row>
    <x:row r="257" ht="90" customHeight="1">
      <x:c r="A257" s="165" t="str">
        <x:v>c40_0053</x:v>
      </x:c>
      <x:c r="B257" s="159" t="str">
        <x:v>Promote water-saving technologies and practices</x:v>
      </x:c>
      <x:c r="C257" s="159" t="str">
        <x:v>Water resources</x:v>
      </x:c>
      <x:c r="D257" s="159" t="str">
        <x:v>Vulnerability</x:v>
      </x:c>
      <x:c r="E257" s="153" t="str"/>
      <x:c r="F257" s="153" t="str"/>
      <x:c r="G257" s="159" t="str">
        <x:v>Guidance on Water and Adaptation to Climate Change</x:v>
      </x:c>
      <x:c r="H257" s="159" t="str">
        <x:v>https://digitallibrary.un.org/record/670358/files/Guidance_water_climate.pdf</x:v>
      </x:c>
      <x:c r="I257" s="168" t="n">
        <x:v>98</x:v>
      </x:c>
      <x:c r="J257" s="159" t="str">
        <x:v>84</x:v>
      </x:c>
      <x:c r="K257" s="159" t="str">
        <x:v>Verified — ordered</x:v>
      </x:c>
      <x:c r="L257" s="159" t="str">
        <x:v>Ordered token coverage on the cited PDF page is 100.0%.</x:v>
      </x:c>
      <x:c r="M257" s="159" t="str">
        <x:v>Supports</x:v>
      </x:c>
      <x:c r="N257" s="159" t="str">
        <x:v>Part of action</x:v>
      </x:c>
      <x:c r="O257" s="159" t="str">
        <x:v>No</x:v>
      </x:c>
      <x:c r="P257" s="159" t="str">
        <x:v>Average per capita water consumption</x:v>
      </x:c>
      <x:c r="Q257" s="159" t="str">
        <x:v>For example, encouraging the efficient use of water, and particularly hot water, in households is a win-win option, reducing demand on water resources and also mitigating climate change by reducing carbon emissions from water heating;</x:v>
      </x:c>
      <x:c r="R257" s="159" t="str"/>
      <x:c r="S257" s="160" t="str">
        <x:v>Medium</x:v>
      </x:c>
    </x:row>
    <x:row r="258" ht="90" customHeight="1">
      <x:c r="A258" s="165" t="str">
        <x:v>icare_0178</x:v>
      </x:c>
      <x:c r="B258" s="159" t="str">
        <x:v>Redirect urban development through climate‑risk spatial planning</x:v>
      </x:c>
      <x:c r="C258" s="159" t="str">
        <x:v>Water resources</x:v>
      </x:c>
      <x:c r="D258" s="159" t="str">
        <x:v>Vulnerability</x:v>
      </x:c>
      <x:c r="E258" s="153" t="str"/>
      <x:c r="F258" s="153" t="str"/>
      <x:c r="G258" s="159" t="str">
        <x:v>Climate Change 2022: Impacts, Adaptation and Vulnerability — Chapter 4: Water</x:v>
      </x:c>
      <x:c r="H258" s="159" t="str">
        <x:v>https://www.ipcc.ch/report/ar6/wg2/downloads/report/IPCC_AR6_WGII_Chapter04.pdf</x:v>
      </x:c>
      <x:c r="I258" s="168" t="n">
        <x:v>7</x:v>
      </x:c>
      <x:c r="J258" s="159" t="str">
        <x:v>557</x:v>
      </x:c>
      <x:c r="K258" s="159" t="str">
        <x:v>Verified — ordered</x:v>
      </x:c>
      <x:c r="L258" s="159" t="str">
        <x:v>Ordered token coverage on the cited PDF page is 100.0%.</x:v>
      </x:c>
      <x:c r="M258" s="159" t="str">
        <x:v>Supports</x:v>
      </x:c>
      <x:c r="N258" s="159" t="str">
        <x:v>Part of action</x:v>
      </x:c>
      <x:c r="O258" s="159" t="str">
        <x:v>No</x:v>
      </x:c>
      <x:c r="P258" s="159" t="str">
        <x:v>Investments in adaptation policies | Resilient cities program</x:v>
      </x:c>
      <x:c r="Q258" s="159" t="str">
        <x:v>Water adaptation policies enabled through ethical co-production between holders of Indigenous knowledge, local knowledge and technical knowledge, through cooperation and coordinated actions among multiple actors, including women and all marginalised groups, at various levels of governance is needed for effective transitions towards climate resilient development (medium confidence).</x:v>
      </x:c>
      <x:c r="R258" s="159" t="str"/>
      <x:c r="S258" s="160" t="str">
        <x:v>Low</x:v>
      </x:c>
    </x:row>
    <x:row r="259" ht="90" customHeight="1">
      <x:c r="A259" s="165" t="str">
        <x:v>ipcc_0085</x:v>
      </x:c>
      <x:c r="B259" s="159" t="str">
        <x:v>Reduce pressures on ecosystems to build resilience</x:v>
      </x:c>
      <x:c r="C259" s="159" t="str">
        <x:v>Water resources</x:v>
      </x:c>
      <x:c r="D259" s="159" t="str">
        <x:v>Vulnerability</x:v>
      </x:c>
      <x:c r="E259" s="153" t="str"/>
      <x:c r="F259" s="153" t="str"/>
      <x:c r="G259" s="159" t="str">
        <x:v>Flowing Forward: Freshwater Ecosystem Adaptation to Climate Change in Water Resources Management and Biodiversity Conservation</x:v>
      </x:c>
      <x:c r="H259" s="159" t="str">
        <x:v>https://awsassets.panda.org/downloads/flowing_forward_freshwater_ecosystem_adaptation_to_climate_change.pdf</x:v>
      </x:c>
      <x:c r="I259" s="168" t="n">
        <x:v>19</x:v>
      </x:c>
      <x:c r="J259" s="159" t="str">
        <x:v>13</x:v>
      </x:c>
      <x:c r="K259" s="159" t="str">
        <x:v>Verified — exact</x:v>
      </x:c>
      <x:c r="L259" s="159" t="str">
        <x:v>Normalized quote occurs on the cited PDF page.</x:v>
      </x:c>
      <x:c r="M259" s="159" t="str">
        <x:v>Supports</x:v>
      </x:c>
      <x:c r="N259" s="159" t="str">
        <x:v>Whole action</x:v>
      </x:c>
      <x:c r="O259" s="159" t="str">
        <x:v>No</x:v>
      </x:c>
      <x:c r="P259" s="159" t="str">
        <x:v>Water quality | Degraded and/or deforested areas | Areas with soils susceptible to erosion | Ecological flow for ecosystem uses | Nature reserve</x:v>
      </x:c>
      <x:c r="Q259" s="159" t="str">
        <x:v>In recognition of the importance of freshwater ecosystems and the services that they provide, environmental sustainability is recognized as a core principle of integrated water resources management, enshrined in the first of the Dublin principles that recognizes that 'effective management of water resources demands a holistic approach, linking social and economic development with protection of natural ecosystems.' This increasing recognition has led to the significant development of tools and approaches that seek to ensure the maintenance, protection and restoration of ecosystems and ecosystem services in on-going water resources management efforts.</x:v>
      </x:c>
      <x:c r="R259" s="159" t="str"/>
      <x:c r="S259" s="160" t="str">
        <x:v>High</x:v>
      </x:c>
    </x:row>
    <x:row r="260" ht="90" customHeight="1">
      <x:c r="A260" s="165" t="str">
        <x:v>ipcc_0085</x:v>
      </x:c>
      <x:c r="B260" s="159" t="str">
        <x:v>Reduce pressures on ecosystems to build resilience</x:v>
      </x:c>
      <x:c r="C260" s="159" t="str">
        <x:v>Water resources</x:v>
      </x:c>
      <x:c r="D260" s="159" t="str">
        <x:v>Vulnerability</x:v>
      </x:c>
      <x:c r="E260" s="153" t="str"/>
      <x:c r="F260" s="153" t="str"/>
      <x:c r="G260" s="159" t="str">
        <x:v>Water and Climate Change Adaptation in Transboundary Basins: Lessons Learned and Good Practices</x:v>
      </x:c>
      <x:c r="H260" s="159" t="str">
        <x:v>https://unece.org/info/publications/pub/21743</x:v>
      </x:c>
      <x:c r="I260" s="168" t="n">
        <x:v>37</x:v>
      </x:c>
      <x:c r="J260" s="159" t="str"/>
      <x:c r="K260" s="159" t="str">
        <x:v>Verified — ordered</x:v>
      </x:c>
      <x:c r="L260" s="159" t="str">
        <x:v>Ordered token coverage on the cited PDF page is 100.0%.</x:v>
      </x:c>
      <x:c r="M260" s="159" t="str">
        <x:v>Supports</x:v>
      </x:c>
      <x:c r="N260" s="159" t="str">
        <x:v>Part of action</x:v>
      </x:c>
      <x:c r="O260" s="159" t="str">
        <x:v>No</x:v>
      </x:c>
      <x:c r="P260" s="159" t="str">
        <x:v>Water quality | Degraded and/or deforested areas | Areas with soils susceptible to erosion | Ecological flow for ecosystem uses | Nature reserve</x:v>
      </x:c>
      <x:c r="Q260" s="159" t="str">
        <x:v>The ecologic restoration project consisted in the transformation of rice fields into different habitats typical in wetlands. So far, the benefits of the project have been an improvement in water quality: the water ecosystems established in Tancat de la Pipa, both artificial wetlands with surface flow and lagoons, have shown a great capacity to reduce suspended solids, total phosphorous, total nitrogen and phytoplankton in water.</x:v>
      </x:c>
      <x:c r="R260" s="159" t="str"/>
      <x:c r="S260" s="160" t="str">
        <x:v>High</x:v>
      </x:c>
    </x:row>
    <x:row r="261" ht="90" customHeight="1">
      <x:c r="A261" s="165" t="str">
        <x:v>ipcc_0085</x:v>
      </x:c>
      <x:c r="B261" s="159" t="str">
        <x:v>Reduce pressures on ecosystems to build resilience</x:v>
      </x:c>
      <x:c r="C261" s="159" t="str">
        <x:v>Water resources</x:v>
      </x:c>
      <x:c r="D261" s="159" t="str">
        <x:v>Vulnerability</x:v>
      </x:c>
      <x:c r="E261" s="153" t="str"/>
      <x:c r="F261" s="153" t="str"/>
      <x:c r="G261" s="159" t="str">
        <x:v>Climate Change 2022: Impacts, Adaptation and Vulnerability — Chapter 4: Water</x:v>
      </x:c>
      <x:c r="H261" s="159" t="str">
        <x:v>https://www.ipcc.ch/report/ar6/wg2/downloads/report/IPCC_AR6_WGII_Chapter04.pdf</x:v>
      </x:c>
      <x:c r="I261" s="168" t="n">
        <x:v>82</x:v>
      </x:c>
      <x:c r="J261" s="159" t="str">
        <x:v>632</x:v>
      </x:c>
      <x:c r="K261" s="159" t="str">
        <x:v>Verified — ordered</x:v>
      </x:c>
      <x:c r="L261" s="159" t="str">
        <x:v>Ordered token coverage on the cited PDF page is 100.0%.</x:v>
      </x:c>
      <x:c r="M261" s="159" t="str">
        <x:v>Supports</x:v>
      </x:c>
      <x:c r="N261" s="159" t="str">
        <x:v>Whole action</x:v>
      </x:c>
      <x:c r="O261" s="159" t="str">
        <x:v>No</x:v>
      </x:c>
      <x:c r="P261" s="159" t="str">
        <x:v>Water quality | Degraded and/or deforested areas | Areas with soils susceptible to erosion | Ecological flow for ecosystem uses | Nature reserve</x:v>
      </x:c>
      <x:c r="Q261" s="159" t="str">
        <x:v>NbS have been used for stormwater management by combining water purification and retention functions. NbS have also been used to mitigate impacts from high-impact extreme precipitation events by integrating large-scale NbS investment plans into urban planning in cities like New York and Copenhagen, highlighting the importance of blended finance and investment (including insurance) to mainstream NbS investments. In summary, there is growing evidence on NbS effectiveness as an adaptation measure and its critical role for transformative adaptation to address climate change water-related hazards and water security (medium evidence, high agreement).</x:v>
      </x:c>
      <x:c r="R261" s="159" t="str"/>
      <x:c r="S261" s="160" t="str">
        <x:v>High</x:v>
      </x:c>
    </x:row>
    <x:row r="262" ht="90" customHeight="1">
      <x:c r="A262" s="165" t="str">
        <x:v>c40_0062</x:v>
      </x:c>
      <x:c r="B262" s="159" t="str">
        <x:v>Reform water tariffs to support efficiency and equity</x:v>
      </x:c>
      <x:c r="C262" s="159" t="str">
        <x:v>Water resources</x:v>
      </x:c>
      <x:c r="D262" s="159" t="str">
        <x:v>Vulnerability</x:v>
      </x:c>
      <x:c r="E262" s="153" t="str"/>
      <x:c r="F262" s="153" t="str"/>
      <x:c r="G262" s="159" t="str">
        <x:v>Water Security and Climate Change: Insights from Country Climate and Development Reports</x:v>
      </x:c>
      <x:c r="H262" s="159" t="str">
        <x:v>https://documents1.worldbank.org/curated/en/099124511122431814/pdf/IDU1fa8a4c3a1fd8c14810194851fb785b73d02d.pdf</x:v>
      </x:c>
      <x:c r="I262" s="168" t="n">
        <x:v>3</x:v>
      </x:c>
      <x:c r="J262" s="159" t="str"/>
      <x:c r="K262" s="159" t="str">
        <x:v>Verified — exact</x:v>
      </x:c>
      <x:c r="L262" s="159" t="str">
        <x:v>Normalized quote occurs on the cited PDF page.</x:v>
      </x:c>
      <x:c r="M262" s="159" t="str">
        <x:v>Supports</x:v>
      </x:c>
      <x:c r="N262" s="159" t="str">
        <x:v>Whole action</x:v>
      </x:c>
      <x:c r="O262" s="159" t="str">
        <x:v>No</x:v>
      </x:c>
      <x:c r="P262" s="159" t="str">
        <x:v>Average per capita water consumption | Income not affected by water prices</x:v>
      </x:c>
      <x:c r="Q262" s="159" t="str">
        <x:v>Demand-side management often proves to be more cost-effective in addressing water supply shortages than investing in supply-side solutions. Effective water demand management involves adjusting water tariffs to reflect the true value of water in water allocation and use, increasing consumer awareness, and strengthening regulations and technologies to improve water use efficiency.</x:v>
      </x:c>
      <x:c r="R262" s="159" t="str"/>
      <x:c r="S262" s="160" t="str">
        <x:v>Medium</x:v>
      </x:c>
    </x:row>
    <x:row r="263" ht="90" customHeight="1">
      <x:c r="A263" s="165" t="str">
        <x:v>icare_0181</x:v>
      </x:c>
      <x:c r="B263" s="159" t="str">
        <x:v>Restore in Vulnerable Areas</x:v>
      </x:c>
      <x:c r="C263" s="159" t="str">
        <x:v>Water resources</x:v>
      </x:c>
      <x:c r="D263" s="159" t="str">
        <x:v>Vulnerability</x:v>
      </x:c>
      <x:c r="E263" s="153" t="str"/>
      <x:c r="F263" s="153" t="str"/>
      <x:c r="G263" s="159" t="str">
        <x:v>Plano Nacional de Segurança Hídrica</x:v>
      </x:c>
      <x:c r="H263" s="159" t="str">
        <x:v>https://arquivos.ana.gov.br/pnsh/pnsh.pdf</x:v>
      </x:c>
      <x:c r="I263" s="168" t="n">
        <x:v>29</x:v>
      </x:c>
      <x:c r="J263" s="159" t="str">
        <x:v>27</x:v>
      </x:c>
      <x:c r="K263" s="159" t="str">
        <x:v>Verified — exact</x:v>
      </x:c>
      <x:c r="L263" s="159" t="str">
        <x:v>Normalized quote occurs on the cited PDF page.</x:v>
      </x:c>
      <x:c r="M263" s="159" t="str">
        <x:v>Supports</x:v>
      </x:c>
      <x:c r="N263" s="159" t="str">
        <x:v>Part of action</x:v>
      </x:c>
      <x:c r="O263" s="159" t="str">
        <x:v>No</x:v>
      </x:c>
      <x:c r="P263" s="159" t="str">
        <x:v>Diseases due to inadequate sanitation | Water quality | Municipal basic sanitation plan</x:v>
      </x:c>
      <x:c r="Q263" s="159" t="str">
        <x:v>A tendência atual na prevenção e mitigação dos riscos de inundações graduais é a de implementar uma combinação de medidas de proteção estrutural e medidas não estruturais, com o intuito de conciliar as funções de armazenamento e escoamento das águas no sistema de drenagem com o espaço disponível e as necessidades relacionadas à ocupação humana sustentável.</x:v>
      </x:c>
      <x:c r="R263" s="159" t="str"/>
      <x:c r="S263" s="160" t="str">
        <x:v>Medium</x:v>
      </x:c>
    </x:row>
    <x:row r="264" ht="90" customHeight="1">
      <x:c r="A264" s="165" t="str">
        <x:v>icare_0181</x:v>
      </x:c>
      <x:c r="B264" s="159" t="str">
        <x:v>Restore in Vulnerable Areas</x:v>
      </x:c>
      <x:c r="C264" s="159" t="str">
        <x:v>Water resources</x:v>
      </x:c>
      <x:c r="D264" s="159" t="str">
        <x:v>Vulnerability</x:v>
      </x:c>
      <x:c r="E264" s="153" t="str"/>
      <x:c r="F264" s="153" t="str"/>
      <x:c r="G264" s="159" t="str">
        <x:v>Water and Climate Change Adaptation in Transboundary Basins: Lessons Learned and Good Practices</x:v>
      </x:c>
      <x:c r="H264" s="159" t="str">
        <x:v>https://unece.org/info/publications/pub/21743</x:v>
      </x:c>
      <x:c r="I264" s="168" t="n">
        <x:v>37</x:v>
      </x:c>
      <x:c r="J264" s="159" t="str"/>
      <x:c r="K264" s="159" t="str">
        <x:v>Verified — ordered</x:v>
      </x:c>
      <x:c r="L264" s="159" t="str">
        <x:v>Ordered token coverage on the cited PDF page is 100.0%.</x:v>
      </x:c>
      <x:c r="M264" s="159" t="str">
        <x:v>Supports</x:v>
      </x:c>
      <x:c r="N264" s="159" t="str">
        <x:v>Part of action</x:v>
      </x:c>
      <x:c r="O264" s="159" t="str">
        <x:v>No</x:v>
      </x:c>
      <x:c r="P264" s="159" t="str">
        <x:v>Water quality | Degraded and/or deforested areas</x:v>
      </x:c>
      <x:c r="Q264" s="159" t="str">
        <x:v>The ecologic restoration project consisted in the transformation of rice fields into different habitats typical in wetlands. So far, the benefits of the project have been an improvement in water quality: the water ecosystems established in Tancat de la Pipa, both artificial wetlands with surface flow and lagoons, have shown a great capacity to reduce suspended solids, total phosphorous, total nitrogen and phytoplankton in water.</x:v>
      </x:c>
      <x:c r="R264" s="159" t="str"/>
      <x:c r="S264" s="160" t="str">
        <x:v>Medium</x:v>
      </x:c>
    </x:row>
    <x:row r="265" ht="90" customHeight="1">
      <x:c r="A265" s="165" t="str">
        <x:v>icare_0181</x:v>
      </x:c>
      <x:c r="B265" s="159" t="str">
        <x:v>Restore in Vulnerable Areas</x:v>
      </x:c>
      <x:c r="C265" s="159" t="str">
        <x:v>Water resources</x:v>
      </x:c>
      <x:c r="D265" s="159" t="str">
        <x:v>Exposure</x:v>
      </x:c>
      <x:c r="E265" s="153" t="str"/>
      <x:c r="F265" s="153" t="str"/>
      <x:c r="G265" s="159" t="str">
        <x:v>Climate Change 2022: Impacts, Adaptation and Vulnerability — Chapter 4: Water</x:v>
      </x:c>
      <x:c r="H265" s="159" t="str">
        <x:v>https://www.ipcc.ch/report/ar6/wg2/downloads/report/IPCC_AR6_WGII_Chapter04.pdf</x:v>
      </x:c>
      <x:c r="I265" s="168" t="n">
        <x:v>81</x:v>
      </x:c>
      <x:c r="J265" s="159" t="str">
        <x:v>631</x:v>
      </x:c>
      <x:c r="K265" s="159" t="str">
        <x:v>Verified — ordered</x:v>
      </x:c>
      <x:c r="L265" s="159" t="str">
        <x:v>Ordered token coverage on the cited PDF page is 100.0%.</x:v>
      </x:c>
      <x:c r="M265" s="159" t="str">
        <x:v>Supports</x:v>
      </x:c>
      <x:c r="N265" s="159" t="str">
        <x:v>Whole action</x:v>
      </x:c>
      <x:c r="O265" s="159" t="str">
        <x:v>No</x:v>
      </x:c>
      <x:c r="P265" s="159" t="str">
        <x:v>Population density | Urban users exposed | Exposed rural users</x:v>
      </x:c>
      <x:c r="Q265" s="159" t="str">
        <x:v>Some adaptation options, such as water conservation, storage and infrastructure, voluntary migration, planned relocation due to flood risk/sea level rise, and international water treaties, can reduce vulnerability.</x:v>
      </x:c>
      <x:c r="R265" s="159" t="str"/>
      <x:c r="S265" s="160" t="str">
        <x:v>Medium</x:v>
      </x:c>
    </x:row>
    <x:row r="266" ht="90" customHeight="1">
      <x:c r="A266" s="165" t="str">
        <x:v>icare_0181</x:v>
      </x:c>
      <x:c r="B266" s="159" t="str">
        <x:v>Restore in Vulnerable Areas</x:v>
      </x:c>
      <x:c r="C266" s="159" t="str">
        <x:v>Water resources</x:v>
      </x:c>
      <x:c r="D266" s="159" t="str">
        <x:v>Vulnerability</x:v>
      </x:c>
      <x:c r="E266" s="153" t="str"/>
      <x:c r="F266" s="153" t="str"/>
      <x:c r="G266" s="159" t="str">
        <x:v>Climate Change 2022: Impacts, Adaptation and Vulnerability — Chapter 4: Water</x:v>
      </x:c>
      <x:c r="H266" s="159" t="str">
        <x:v>https://www.ipcc.ch/report/ar6/wg2/downloads/report/IPCC_AR6_WGII_Chapter04.pdf</x:v>
      </x:c>
      <x:c r="I266" s="168" t="n">
        <x:v>82</x:v>
      </x:c>
      <x:c r="J266" s="159" t="str">
        <x:v>632</x:v>
      </x:c>
      <x:c r="K266" s="159" t="str">
        <x:v>Verified — ordered</x:v>
      </x:c>
      <x:c r="L266" s="159" t="str">
        <x:v>Ordered token coverage on the cited PDF page is 100.0%.</x:v>
      </x:c>
      <x:c r="M266" s="159" t="str">
        <x:v>Supports</x:v>
      </x:c>
      <x:c r="N266" s="159" t="str">
        <x:v>Whole action</x:v>
      </x:c>
      <x:c r="O266" s="159" t="str">
        <x:v>No</x:v>
      </x:c>
      <x:c r="P266" s="159" t="str">
        <x:v>Water quality | Degraded and/or deforested areas | Municipal basic sanitation plan</x:v>
      </x:c>
      <x:c r="Q266" s="159" t="str">
        <x:v>NbS have been used for stormwater management by combining water purification and retention functions. NbS have also been used to mitigate impacts from high-impact extreme precipitation events by integrating large-scale NbS investment plans into urban planning in cities like New York and Copenhagen, highlighting the importance of blended finance and investment (including insurance) to mainstream NbS investments. In summary, there is growing evidence on NbS effectiveness as an adaptation measure and its critical role for transformative adaptation to address climate change water-related hazards and water security (medium evidence, high agreement).</x:v>
      </x:c>
      <x:c r="R266" s="159" t="str"/>
      <x:c r="S266" s="160" t="str">
        <x:v>Medium</x:v>
      </x:c>
    </x:row>
    <x:row r="267" ht="90" customHeight="1">
      <x:c r="A267" s="165" t="str">
        <x:v>ipcc_0084</x:v>
      </x:c>
      <x:c r="B267" s="159" t="str">
        <x:v>Restore/create natural areas</x:v>
      </x:c>
      <x:c r="C267" s="159" t="str">
        <x:v>Water resources</x:v>
      </x:c>
      <x:c r="D267" s="159" t="str">
        <x:v>Vulnerability</x:v>
      </x:c>
      <x:c r="E267" s="153" t="str"/>
      <x:c r="F267" s="153" t="str"/>
      <x:c r="G267" s="159" t="str">
        <x:v>Flowing Forward: Freshwater Ecosystem Adaptation to Climate Change in Water Resources Management and Biodiversity Conservation</x:v>
      </x:c>
      <x:c r="H267" s="159" t="str">
        <x:v>https://awsassets.panda.org/downloads/flowing_forward_freshwater_ecosystem_adaptation_to_climate_change.pdf</x:v>
      </x:c>
      <x:c r="I267" s="168" t="n">
        <x:v>19</x:v>
      </x:c>
      <x:c r="J267" s="159" t="str">
        <x:v>13</x:v>
      </x:c>
      <x:c r="K267" s="159" t="str">
        <x:v>Verified — exact</x:v>
      </x:c>
      <x:c r="L267" s="159" t="str">
        <x:v>Normalized quote occurs on the cited PDF page.</x:v>
      </x:c>
      <x:c r="M267" s="159" t="str">
        <x:v>Supports</x:v>
      </x:c>
      <x:c r="N267" s="159" t="str">
        <x:v>Whole action</x:v>
      </x:c>
      <x:c r="O267" s="159" t="str">
        <x:v>No</x:v>
      </x:c>
      <x:c r="P267" s="159" t="str">
        <x:v>Water quality | Degraded and/or deforested areas | Areas with soils susceptible to erosion | Ecological flow for ecosystem uses | Nature reserve</x:v>
      </x:c>
      <x:c r="Q267" s="159" t="str">
        <x:v>In recognition of the importance of freshwater ecosystems and the services that they provide, environmental sustainability is recognized as a core principle of integrated water resources management, enshrined in the first of the Dublin principles that recognizes that 'effective management of water resources demands a holistic approach, linking social and economic development with protection of natural ecosystems.' This increasing recognition has led to the significant development of tools and approaches that seek to ensure the maintenance, protection and restoration of ecosystems and ecosystem services in on-going water resources management efforts.</x:v>
      </x:c>
      <x:c r="R267" s="159" t="str"/>
      <x:c r="S267" s="160" t="str">
        <x:v>High</x:v>
      </x:c>
    </x:row>
    <x:row r="268" ht="90" customHeight="1">
      <x:c r="A268" s="165" t="str">
        <x:v>ipcc_0084</x:v>
      </x:c>
      <x:c r="B268" s="159" t="str">
        <x:v>Restore/create natural areas</x:v>
      </x:c>
      <x:c r="C268" s="159" t="str">
        <x:v>Water resources</x:v>
      </x:c>
      <x:c r="D268" s="159" t="str">
        <x:v>Vulnerability</x:v>
      </x:c>
      <x:c r="E268" s="153" t="str"/>
      <x:c r="F268" s="153" t="str"/>
      <x:c r="G268" s="159" t="str">
        <x:v>Water and Climate Change Adaptation in Transboundary Basins: Lessons Learned and Good Practices</x:v>
      </x:c>
      <x:c r="H268" s="159" t="str">
        <x:v>https://unece.org/info/publications/pub/21743</x:v>
      </x:c>
      <x:c r="I268" s="168" t="n">
        <x:v>37</x:v>
      </x:c>
      <x:c r="J268" s="159" t="str"/>
      <x:c r="K268" s="159" t="str">
        <x:v>Verified — ordered</x:v>
      </x:c>
      <x:c r="L268" s="159" t="str">
        <x:v>Ordered token coverage on the cited PDF page is 100.0%.</x:v>
      </x:c>
      <x:c r="M268" s="159" t="str">
        <x:v>Supports</x:v>
      </x:c>
      <x:c r="N268" s="159" t="str">
        <x:v>Part of action</x:v>
      </x:c>
      <x:c r="O268" s="159" t="str">
        <x:v>No</x:v>
      </x:c>
      <x:c r="P268" s="159" t="str">
        <x:v>Water quality | Degraded and/or deforested areas | Areas with soils susceptible to erosion | Ecological flow for ecosystem uses | Nature reserve</x:v>
      </x:c>
      <x:c r="Q268" s="159" t="str">
        <x:v>The ecologic restoration project consisted in the transformation of rice fields into different habitats typical in wetlands. So far, the benefits of the project have been an improvement in water quality: the water ecosystems established in Tancat de la Pipa, both artificial wetlands with surface flow and lagoons, have shown a great capacity to reduce suspended solids, total phosphorous, total nitrogen and phytoplankton in water.</x:v>
      </x:c>
      <x:c r="R268" s="159" t="str"/>
      <x:c r="S268" s="160" t="str">
        <x:v>High</x:v>
      </x:c>
    </x:row>
    <x:row r="269" ht="90" customHeight="1">
      <x:c r="A269" s="165" t="str">
        <x:v>ipcc_0084</x:v>
      </x:c>
      <x:c r="B269" s="159" t="str">
        <x:v>Restore/create natural areas</x:v>
      </x:c>
      <x:c r="C269" s="159" t="str">
        <x:v>Water resources</x:v>
      </x:c>
      <x:c r="D269" s="159" t="str">
        <x:v>Vulnerability</x:v>
      </x:c>
      <x:c r="E269" s="153" t="str"/>
      <x:c r="F269" s="153" t="str"/>
      <x:c r="G269" s="159" t="str">
        <x:v>Climate Change 2022: Impacts, Adaptation and Vulnerability — Chapter 4: Water</x:v>
      </x:c>
      <x:c r="H269" s="159" t="str">
        <x:v>https://www.ipcc.ch/report/ar6/wg2/downloads/report/IPCC_AR6_WGII_Chapter04.pdf</x:v>
      </x:c>
      <x:c r="I269" s="168" t="n">
        <x:v>82</x:v>
      </x:c>
      <x:c r="J269" s="159" t="str">
        <x:v>632</x:v>
      </x:c>
      <x:c r="K269" s="159" t="str">
        <x:v>Verified — ordered</x:v>
      </x:c>
      <x:c r="L269" s="159" t="str">
        <x:v>Ordered token coverage on the cited PDF page is 100.0%.</x:v>
      </x:c>
      <x:c r="M269" s="159" t="str">
        <x:v>Supports</x:v>
      </x:c>
      <x:c r="N269" s="159" t="str">
        <x:v>Whole action</x:v>
      </x:c>
      <x:c r="O269" s="159" t="str">
        <x:v>No</x:v>
      </x:c>
      <x:c r="P269" s="159" t="str">
        <x:v>Water quality | Degraded and/or deforested areas | Areas with soils susceptible to erosion | Ecological flow for ecosystem uses | Nature reserve</x:v>
      </x:c>
      <x:c r="Q269" s="159" t="str">
        <x:v>NbS have been used for stormwater management by combining water purification and retention functions. NbS have also been used to mitigate impacts from high-impact extreme precipitation events by integrating large-scale NbS investment plans into urban planning in cities like New York and Copenhagen, highlighting the importance of blended finance and investment (including insurance) to mainstream NbS investments. In summary, there is growing evidence on NbS effectiveness as an adaptation measure and its critical role for transformative adaptation to address climate change water-related hazards and water security (medium evidence, high agreement).</x:v>
      </x:c>
      <x:c r="R269" s="159" t="str"/>
      <x:c r="S269" s="160" t="str">
        <x:v>High</x:v>
      </x:c>
    </x:row>
    <x:row r="270" ht="90" customHeight="1">
      <x:c r="A270" s="165" t="str">
        <x:v>ipcc_0089</x:v>
      </x:c>
      <x:c r="B270" s="159" t="str">
        <x:v>Spatially redirect development</x:v>
      </x:c>
      <x:c r="C270" s="159" t="str">
        <x:v>Water resources</x:v>
      </x:c>
      <x:c r="D270" s="159" t="str">
        <x:v>Vulnerability</x:v>
      </x:c>
      <x:c r="E270" s="153" t="str"/>
      <x:c r="F270" s="153" t="str"/>
      <x:c r="G270" s="159" t="str">
        <x:v>Climate Change 2022: Impacts, Adaptation and Vulnerability — Chapter 4: Water</x:v>
      </x:c>
      <x:c r="H270" s="159" t="str">
        <x:v>https://www.ipcc.ch/report/ar6/wg2/downloads/report/IPCC_AR6_WGII_Chapter04.pdf</x:v>
      </x:c>
      <x:c r="I270" s="168" t="n">
        <x:v>7</x:v>
      </x:c>
      <x:c r="J270" s="159" t="str">
        <x:v>557</x:v>
      </x:c>
      <x:c r="K270" s="159" t="str">
        <x:v>Verified — ordered</x:v>
      </x:c>
      <x:c r="L270" s="159" t="str">
        <x:v>Ordered token coverage on the cited PDF page is 100.0%.</x:v>
      </x:c>
      <x:c r="M270" s="159" t="str">
        <x:v>Supports</x:v>
      </x:c>
      <x:c r="N270" s="159" t="str">
        <x:v>Part of action</x:v>
      </x:c>
      <x:c r="O270" s="159" t="str">
        <x:v>No</x:v>
      </x:c>
      <x:c r="P270" s="159" t="str">
        <x:v>Investments in adaptation policies | Resilient cities program</x:v>
      </x:c>
      <x:c r="Q270" s="159" t="str">
        <x:v>Water adaptation policies enabled through ethical co-production between holders of Indigenous knowledge, local knowledge and technical knowledge, through cooperation and coordinated actions among multiple actors, including women and all marginalised groups, at various levels of governance is needed for effective transitions towards climate resilient development (medium confidence).</x:v>
      </x:c>
      <x:c r="R270" s="159" t="str"/>
      <x:c r="S270" s="160" t="str">
        <x:v>Low</x:v>
      </x:c>
    </x:row>
    <x:row r="271" ht="90" customHeight="1">
      <x:c r="A271" s="165" t="str">
        <x:v>ipcc_0096</x:v>
      </x:c>
      <x:c r="B271" s="159" t="str">
        <x:v>Strengthen climate resilience in farming and fisheries</x:v>
      </x:c>
      <x:c r="C271" s="159" t="str">
        <x:v>Water resources</x:v>
      </x:c>
      <x:c r="D271" s="159" t="str">
        <x:v>Vulnerability</x:v>
      </x:c>
      <x:c r="E271" s="153" t="str"/>
      <x:c r="F271" s="153" t="str"/>
      <x:c r="G271" s="159" t="str">
        <x:v>Water Security and Climate Change: Insights from Country Climate and Development Reports</x:v>
      </x:c>
      <x:c r="H271" s="159" t="str">
        <x:v>https://documents1.worldbank.org/curated/en/099124511122431814/pdf/IDU1fa8a4c3a1fd8c14810194851fb785b73d02d.pdf</x:v>
      </x:c>
      <x:c r="I271" s="168" t="n">
        <x:v>14</x:v>
      </x:c>
      <x:c r="J271" s="159" t="str"/>
      <x:c r="K271" s="159" t="str">
        <x:v>Verified — ordered</x:v>
      </x:c>
      <x:c r="L271" s="159" t="str">
        <x:v>Ordered token coverage on the cited PDF page is 100.0%.</x:v>
      </x:c>
      <x:c r="M271" s="159" t="str">
        <x:v>Supports</x:v>
      </x:c>
      <x:c r="N271" s="159" t="str">
        <x:v>Whole action</x:v>
      </x:c>
      <x:c r="O271" s="159" t="str">
        <x:v>No</x:v>
      </x:c>
      <x:c r="P271" s="159" t="str">
        <x:v>Drought-related prevention actions</x:v>
      </x:c>
      <x:c r="Q271" s="159" t="str">
        <x:v>Smart agriculture, drip irrigation, agricultural research, reservoir management, and water availability forecast systems. Emergency response and alerts, digital infrastructure and apps. Surface water and underwater unmanned vehicles that monitor changes in climate and marine ecosystems.</x:v>
      </x:c>
      <x:c r="R271" s="159" t="str"/>
      <x:c r="S271" s="160" t="str">
        <x:v>Medium</x:v>
      </x:c>
    </x:row>
    <x:row r="272" ht="90" customHeight="1">
      <x:c r="A272" s="165" t="str">
        <x:v>ipcc_0103</x:v>
      </x:c>
      <x:c r="B272" s="159" t="str">
        <x:v>Strengthen cooperative climate governance</x:v>
      </x:c>
      <x:c r="C272" s="159" t="str">
        <x:v>Water resources</x:v>
      </x:c>
      <x:c r="D272" s="159" t="str">
        <x:v>Vulnerability</x:v>
      </x:c>
      <x:c r="E272" s="153" t="str"/>
      <x:c r="F272" s="153" t="str"/>
      <x:c r="G272" s="159" t="str">
        <x:v>Climate Change 2022: Impacts, Adaptation and Vulnerability — Chapter 4: Water</x:v>
      </x:c>
      <x:c r="H272" s="159" t="str">
        <x:v>https://www.ipcc.ch/report/ar6/wg2/downloads/report/IPCC_AR6_WGII_Chapter04.pdf</x:v>
      </x:c>
      <x:c r="I272" s="168" t="n">
        <x:v>7</x:v>
      </x:c>
      <x:c r="J272" s="159" t="str">
        <x:v>557</x:v>
      </x:c>
      <x:c r="K272" s="159" t="str">
        <x:v>Verified — ordered</x:v>
      </x:c>
      <x:c r="L272" s="159" t="str">
        <x:v>Ordered token coverage on the cited PDF page is 100.0%.</x:v>
      </x:c>
      <x:c r="M272" s="159" t="str">
        <x:v>Supports</x:v>
      </x:c>
      <x:c r="N272" s="159" t="str">
        <x:v>Part of action</x:v>
      </x:c>
      <x:c r="O272" s="159" t="str">
        <x:v>No</x:v>
      </x:c>
      <x:c r="P272" s="159" t="str">
        <x:v>Level of activity in basin committees | Drought-related prevention actions | Investments in water resources | Investments in adaptation policies | Resilient cities program</x:v>
      </x:c>
      <x:c r="Q272" s="159" t="str">
        <x:v>Water adaptation policies enabled through ethical co-production between holders of Indigenous knowledge, local knowledge and technical knowledge, through cooperation and coordinated actions among multiple actors, including women and all marginalised groups, at various levels of governance is needed for effective transitions towards climate resilient development (medium confidence).</x:v>
      </x:c>
      <x:c r="R272" s="159" t="str"/>
      <x:c r="S272" s="160" t="str">
        <x:v>Low</x:v>
      </x:c>
    </x:row>
    <x:row r="273" ht="90" customHeight="1">
      <x:c r="A273" s="165" t="str">
        <x:v>icare_0162</x:v>
      </x:c>
      <x:c r="B273" s="159" t="str">
        <x:v>Strengthen programs for control and conservation of protected areas</x:v>
      </x:c>
      <x:c r="C273" s="159" t="str">
        <x:v>Water resources</x:v>
      </x:c>
      <x:c r="D273" s="159" t="str">
        <x:v>Vulnerability</x:v>
      </x:c>
      <x:c r="E273" s="153" t="str"/>
      <x:c r="F273" s="153" t="str"/>
      <x:c r="G273" s="159" t="str">
        <x:v>Flowing Forward: Freshwater Ecosystem Adaptation to Climate Change in Water Resources Management and Biodiversity Conservation</x:v>
      </x:c>
      <x:c r="H273" s="159" t="str">
        <x:v>https://awsassets.panda.org/downloads/flowing_forward_freshwater_ecosystem_adaptation_to_climate_change.pdf</x:v>
      </x:c>
      <x:c r="I273" s="168" t="n">
        <x:v>19</x:v>
      </x:c>
      <x:c r="J273" s="159" t="str">
        <x:v>13</x:v>
      </x:c>
      <x:c r="K273" s="159" t="str">
        <x:v>Verified — exact</x:v>
      </x:c>
      <x:c r="L273" s="159" t="str">
        <x:v>Normalized quote occurs on the cited PDF page.</x:v>
      </x:c>
      <x:c r="M273" s="159" t="str">
        <x:v>Supports</x:v>
      </x:c>
      <x:c r="N273" s="159" t="str">
        <x:v>Whole action</x:v>
      </x:c>
      <x:c r="O273" s="159" t="str">
        <x:v>No</x:v>
      </x:c>
      <x:c r="P273" s="159" t="str">
        <x:v>Degraded and/or deforested areas | Ecological flow for ecosystem uses | Nature reserve</x:v>
      </x:c>
      <x:c r="Q273" s="159" t="str">
        <x:v>In recognition of the importance of freshwater ecosystems and the services that they provide, environmental sustainability is recognized as a core principle of integrated water resources management, enshrined in the first of the Dublin principles that recognizes that 'effective management of water resources demands a holistic approach, linking social and economic development with protection of natural ecosystems.' This increasing recognition has led to the significant development of tools and approaches that seek to ensure the maintenance, protection and restoration of ecosystems and ecosystem services in on-going water resources management efforts.</x:v>
      </x:c>
      <x:c r="R273" s="159" t="str"/>
      <x:c r="S273" s="160" t="str">
        <x:v>Medium</x:v>
      </x:c>
    </x:row>
    <x:row r="274" ht="90" customHeight="1">
      <x:c r="A274" s="165" t="str">
        <x:v>ipcc_0091</x:v>
      </x:c>
      <x:c r="B274" s="159" t="str">
        <x:v>Support livelihood diversification for climate resilience</x:v>
      </x:c>
      <x:c r="C274" s="159" t="str">
        <x:v>Water resources</x:v>
      </x:c>
      <x:c r="D274" s="159" t="str">
        <x:v>Vulnerability</x:v>
      </x:c>
      <x:c r="E274" s="153" t="str"/>
      <x:c r="F274" s="153" t="str"/>
      <x:c r="G274" s="159" t="str">
        <x:v>Climate Change 2022: Impacts, Adaptation and Vulnerability — Chapter 4: Water</x:v>
      </x:c>
      <x:c r="H274" s="159" t="str">
        <x:v>https://www.ipcc.ch/report/ar6/wg2/downloads/report/IPCC_AR6_WGII_Chapter04.pdf</x:v>
      </x:c>
      <x:c r="I274" s="168" t="n">
        <x:v>74</x:v>
      </x:c>
      <x:c r="J274" s="159" t="str">
        <x:v>624</x:v>
      </x:c>
      <x:c r="K274" s="159" t="str">
        <x:v>Verified — ordered</x:v>
      </x:c>
      <x:c r="L274" s="159" t="str">
        <x:v>Ordered token coverage on the cited PDF page is 98.0%.</x:v>
      </x:c>
      <x:c r="M274" s="159" t="str">
        <x:v>Supports</x:v>
      </x:c>
      <x:c r="N274" s="159" t="str">
        <x:v>Whole action</x:v>
      </x:c>
      <x:c r="O274" s="159" t="str">
        <x:v>No</x:v>
      </x:c>
      <x:c r="P274" s="159" t="str">
        <x:v>Agricultural participation in GDP | Industrial participation in GDP | Income not affected by water prices | Income greater than two minimum wages</x:v>
      </x:c>
      <x:c r="Q274" s="159" t="str">
        <x:v>Migration and livelihood diversification is often an adaptation response to water-related hazards and involves securing income sources away from agriculture, including off-farm employment and temporary or permanent migration, and these are particularly important in Asia and Africa. Income and remittances are sometimes re-invested, for instance, for crop diversification.</x:v>
      </x:c>
      <x:c r="R274" s="159" t="str"/>
      <x:c r="S274" s="160" t="str">
        <x:v>Medium</x:v>
      </x:c>
    </x:row>
    <x:row r="275" ht="90" customHeight="1">
      <x:c r="A275" s="165" t="str">
        <x:v>ipcc_0088</x:v>
      </x:c>
      <x:c r="B275" s="159" t="str">
        <x:v>Update and enforce climate‑resilient building codes</x:v>
      </x:c>
      <x:c r="C275" s="159" t="str">
        <x:v>Water resources</x:v>
      </x:c>
      <x:c r="D275" s="159" t="str">
        <x:v>Vulnerability</x:v>
      </x:c>
      <x:c r="E275" s="153" t="str"/>
      <x:c r="F275" s="153" t="str"/>
      <x:c r="G275" s="159" t="str">
        <x:v>Climate Change 2022: Impacts, Adaptation and Vulnerability — Chapter 4: Water</x:v>
      </x:c>
      <x:c r="H275" s="159" t="str">
        <x:v>https://www.ipcc.ch/report/ar6/wg2/downloads/report/IPCC_AR6_WGII_Chapter04.pdf</x:v>
      </x:c>
      <x:c r="I275" s="168" t="n">
        <x:v>7</x:v>
      </x:c>
      <x:c r="J275" s="159" t="str">
        <x:v>557</x:v>
      </x:c>
      <x:c r="K275" s="159" t="str">
        <x:v>Verified — ordered</x:v>
      </x:c>
      <x:c r="L275" s="159" t="str">
        <x:v>Ordered token coverage on the cited PDF page is 100.0%.</x:v>
      </x:c>
      <x:c r="M275" s="159" t="str">
        <x:v>Supports</x:v>
      </x:c>
      <x:c r="N275" s="159" t="str">
        <x:v>Part of action</x:v>
      </x:c>
      <x:c r="O275" s="159" t="str">
        <x:v>No</x:v>
      </x:c>
      <x:c r="P275" s="159" t="str">
        <x:v>Dam and mining safety | Municipal basic sanitation plan | Investments in adaptation policies | Resilient cities program</x:v>
      </x:c>
      <x:c r="Q275" s="159" t="str">
        <x:v>Water adaptation policies enabled through ethical co-production between holders of Indigenous knowledge, local knowledge and technical knowledge, through cooperation and coordinated actions among multiple actors, including women and all marginalised groups, at various levels of governance is needed for effective transitions towards climate resilient development (medium confidence).</x:v>
      </x:c>
      <x:c r="R275" s="159" t="str"/>
      <x:c r="S275" s="160" t="str">
        <x:v>Low</x:v>
      </x:c>
    </x:row>
    <x:row r="276" ht="90" customHeight="1">
      <x:c r="A276" s="165" t="str">
        <x:v>icare_0184</x:v>
      </x:c>
      <x:c r="B276" s="159" t="str">
        <x:v>Upgrade Slope stabilization and drainage</x:v>
      </x:c>
      <x:c r="C276" s="159" t="str">
        <x:v>Water resources</x:v>
      </x:c>
      <x:c r="D276" s="159" t="str">
        <x:v>Vulnerability</x:v>
      </x:c>
      <x:c r="E276" s="153" t="str"/>
      <x:c r="F276" s="153" t="str"/>
      <x:c r="G276" s="159" t="str">
        <x:v>Plano Nacional de Segurança Hídrica</x:v>
      </x:c>
      <x:c r="H276" s="159" t="str">
        <x:v>https://arquivos.ana.gov.br/pnsh/pnsh.pdf</x:v>
      </x:c>
      <x:c r="I276" s="168" t="n">
        <x:v>29</x:v>
      </x:c>
      <x:c r="J276" s="159" t="str">
        <x:v>27</x:v>
      </x:c>
      <x:c r="K276" s="159" t="str">
        <x:v>Verified — exact</x:v>
      </x:c>
      <x:c r="L276" s="159" t="str">
        <x:v>Normalized quote occurs on the cited PDF page.</x:v>
      </x:c>
      <x:c r="M276" s="159" t="str">
        <x:v>Supports</x:v>
      </x:c>
      <x:c r="N276" s="159" t="str">
        <x:v>Part of action</x:v>
      </x:c>
      <x:c r="O276" s="159" t="str">
        <x:v>No</x:v>
      </x:c>
      <x:c r="P276" s="159" t="str">
        <x:v>Water quality | Municipal basic sanitation plan</x:v>
      </x:c>
      <x:c r="Q276" s="159" t="str">
        <x:v>A tendência atual na prevenção e mitigação dos riscos de inundações graduais é a de implementar uma combinação de medidas de proteção estrutural e medidas não estruturais, com o intuito de conciliar as funções de armazenamento e escoamento das águas no sistema de drenagem com o espaço disponível e as necessidades relacionadas à ocupação humana sustentável.</x:v>
      </x:c>
      <x:c r="R276" s="159" t="str"/>
      <x:c r="S276" s="160" t="str">
        <x:v>Medium</x:v>
      </x:c>
    </x:row>
    <x:row r="277" ht="90" customHeight="1">
      <x:c r="A277" s="166" t="str">
        <x:v>icare_0184</x:v>
      </x:c>
      <x:c r="B277" s="162" t="str">
        <x:v>Upgrade Slope stabilization and drainage</x:v>
      </x:c>
      <x:c r="C277" s="162" t="str">
        <x:v>Water resources</x:v>
      </x:c>
      <x:c r="D277" s="162" t="str">
        <x:v>Vulnerability</x:v>
      </x:c>
      <x:c r="E277" s="154" t="str"/>
      <x:c r="F277" s="154" t="str"/>
      <x:c r="G277" s="162" t="str">
        <x:v>Climate Change 2022: Impacts, Adaptation and Vulnerability — Chapter 4: Water</x:v>
      </x:c>
      <x:c r="H277" s="162" t="str">
        <x:v>https://www.ipcc.ch/report/ar6/wg2/downloads/report/IPCC_AR6_WGII_Chapter04.pdf</x:v>
      </x:c>
      <x:c r="I277" s="169" t="n">
        <x:v>82</x:v>
      </x:c>
      <x:c r="J277" s="162" t="str">
        <x:v>632</x:v>
      </x:c>
      <x:c r="K277" s="162" t="str">
        <x:v>Verified — ordered</x:v>
      </x:c>
      <x:c r="L277" s="162" t="str">
        <x:v>Ordered token coverage on the cited PDF page is 100.0%.</x:v>
      </x:c>
      <x:c r="M277" s="162" t="str">
        <x:v>Supports</x:v>
      </x:c>
      <x:c r="N277" s="162" t="str">
        <x:v>Whole action</x:v>
      </x:c>
      <x:c r="O277" s="162" t="str">
        <x:v>No</x:v>
      </x:c>
      <x:c r="P277" s="162" t="str">
        <x:v>Water quality | Areas with soils susceptible to erosion | Municipal basic sanitation plan</x:v>
      </x:c>
      <x:c r="Q277" s="162" t="str">
        <x:v>NbS have been used for stormwater management by combining water purification and retention functions. NbS have also been used to mitigate impacts from high-impact extreme precipitation events by integrating large-scale NbS investment plans into urban planning in cities like New York and Copenhagen, highlighting the importance of blended finance and investment (including insurance) to mainstream NbS investments. In summary, there is growing evidence on NbS effectiveness as an adaptation measure and its critical role for transformative adaptation to address climate change water-related hazards and water security (medium evidence, high agreement).</x:v>
      </x:c>
      <x:c r="R277" s="162" t="str"/>
      <x:c r="S277" s="163" t="str">
        <x:v>Medium</x:v>
      </x:c>
    </x:row>
  </x:sheetData>
  <x:mergeCells>
    <x:mergeCell ref="A1:S1"/>
    <x:mergeCell ref="A2:S2"/>
  </x:mergeCells>
  <x:conditionalFormatting sqref="E5:E277">
    <x:cfRule type="containsText" dxfId="10" priority="1" operator="containsText" text="Accept"/>
    <x:cfRule type="containsText" dxfId="11" priority="2" operator="containsText" text="Needs change"/>
    <x:cfRule type="containsText" dxfId="12" priority="3" operator="containsText" text="Discuss"/>
  </x:conditionalFormatting>
  <x:conditionalFormatting sqref="K5:K277">
    <x:cfRule type="containsText" dxfId="13" priority="4" operator="containsText" text="Verified"/>
    <x:cfRule type="containsText" dxfId="14" priority="5" operator="containsText" text="Check layout"/>
  </x:conditionalFormatting>
  <x:conditionalFormatting sqref="M5:M277">
    <x:cfRule type="containsText" dxfId="15" priority="6" operator="containsText" text="Contradicts"/>
    <x:cfRule type="containsText" dxfId="16" priority="7" operator="containsText" text="Qualifies"/>
    <x:cfRule type="containsText" dxfId="17" priority="8" operator="containsText" text="Supports"/>
  </x:conditionalFormatting>
  <x:dataValidations count="1">
    <x:dataValidation type="list" sqref="E5:E277">
      <x:formula1>"Accept,Needs change,Discuss"</x:formula1>
    </x:dataValidation>
  </x:dataValidations>
  <x:pageMargins left="0.7" right="0.7" top="0.75" bottom="0.75" header="0.3" footer="0.3"/>
  <x:tableParts count="1">
    <x:tablePart xmlns:r="http://schemas.openxmlformats.org/officeDocument/2006/relationships" r:id="Rc7a6f98333c3471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56" hidden="0" customWidth="1"/>
    <x:col min="3" max="3" width="38" hidden="0" customWidth="1"/>
    <x:col min="4" max="4" width="14" hidden="0" customWidth="1"/>
    <x:col min="5" max="5" width="10" hidden="0" customWidth="1"/>
    <x:col min="6" max="6" width="16" hidden="0" customWidth="1"/>
    <x:col min="7" max="7" width="55" hidden="0" customWidth="1"/>
    <x:col min="8" max="8" width="14" hidden="0" customWidth="1"/>
    <x:col min="9" max="9" width="19" hidden="0" customWidth="1"/>
    <x:col min="10" max="10" width="18" hidden="0" customWidth="1"/>
    <x:col min="11" max="11" width="40" hidden="0" customWidth="1"/>
  </x:cols>
  <x:sheetData>
    <x:row r="1" ht="32" customHeight="1">
      <x:c r="A1" s="3" t="str">
        <x:v>Source review</x:v>
      </x:c>
      <x:c r="B1" s="3"/>
      <x:c r="C1" s="3"/>
      <x:c r="D1" s="3"/>
      <x:c r="E1" s="3"/>
      <x:c r="F1" s="3"/>
      <x:c r="G1" s="3"/>
      <x:c r="H1" s="3"/>
      <x:c r="I1" s="3"/>
      <x:c r="J1" s="3"/>
      <x:c r="K1" s="3"/>
    </x:row>
    <x:row r="2" ht="32" customHeight="1">
      <x:c r="A2" s="7" t="str">
        <x:v>Retrieved, non-rejected sources screened for the proposed assessments. Confirm identity and suitability before accepting the results.</x:v>
      </x:c>
      <x:c r="B2" s="7"/>
      <x:c r="C2" s="7"/>
      <x:c r="D2" s="7"/>
      <x:c r="E2" s="7"/>
      <x:c r="F2" s="7"/>
      <x:c r="G2" s="7"/>
      <x:c r="H2" s="7"/>
      <x:c r="I2" s="7"/>
      <x:c r="J2" s="7"/>
      <x:c r="K2" s="7"/>
    </x:row>
    <x:row r="4" ht="36" customHeight="1">
      <x:c r="A4" s="128" t="str">
        <x:v>Sector</x:v>
      </x:c>
      <x:c r="B4" s="129" t="str">
        <x:v>Source title</x:v>
      </x:c>
      <x:c r="C4" s="129" t="str">
        <x:v>Publisher</x:v>
      </x:c>
      <x:c r="D4" s="129" t="str">
        <x:v>Publication year</x:v>
      </x:c>
      <x:c r="E4" s="129" t="str">
        <x:v>Tier</x:v>
      </x:c>
      <x:c r="F4" s="129" t="str">
        <x:v>Scope</x:v>
      </x:c>
      <x:c r="G4" s="129" t="str">
        <x:v>Source URL</x:v>
      </x:c>
      <x:c r="H4" s="129" t="str">
        <x:v>Access</x:v>
      </x:c>
      <x:c r="I4" s="129" t="str">
        <x:v>Current review flag</x:v>
      </x:c>
      <x:c r="J4" s="129" t="str">
        <x:v>ICare decision</x:v>
      </x:c>
      <x:c r="K4" s="130" t="str">
        <x:v>ICare feedback</x:v>
      </x:c>
    </x:row>
    <x:row r="5" ht="66" customHeight="1">
      <x:c r="A5" s="155" t="str">
        <x:v>Biodiversity</x:v>
      </x:c>
      <x:c r="B5" s="156" t="str">
        <x:v>Climate Change and Biodiversity in Brazil: What We Know, What We Don’t, and Paris Agreement’s Risk Reduction Potential</x:v>
      </x:c>
      <x:c r="C5" s="156" t="str">
        <x:v>Universidade Federal do Rio de Janeiro (UFRJ) / International Institute for Sustainability (IIS)</x:v>
      </x:c>
      <x:c r="D5" s="176" t="n">
        <x:v>2025</x:v>
      </x:c>
      <x:c r="E5" s="156" t="str">
        <x:v>C</x:v>
      </x:c>
      <x:c r="F5" s="156" t="str">
        <x:v>Brazil</x:v>
      </x:c>
      <x:c r="G5" s="156" t="str">
        <x:v>https://www.iis-rio.org/wp-content/uploads/2025/04/Malecha-et-al.-2025-PECON_estudo.pdf</x:v>
      </x:c>
      <x:c r="H5" s="156" t="str">
        <x:v>Retrieved</x:v>
      </x:c>
      <x:c r="I5" s="156" t="str">
        <x:v>Needs review</x:v>
      </x:c>
      <x:c r="J5" s="152" t="str"/>
      <x:c r="K5" s="173" t="str"/>
    </x:row>
    <x:row r="6" ht="66" customHeight="1">
      <x:c r="A6" s="158" t="str">
        <x:v>Biodiversity</x:v>
      </x:c>
      <x:c r="B6" s="159" t="str">
        <x:v>Plano Nacional de Adaptação à Mudança do Clima</x:v>
      </x:c>
      <x:c r="C6" s="159" t="str">
        <x:v>Governo Federal do Brasil</x:v>
      </x:c>
      <x:c r="D6" s="177" t="n">
        <x:v>2016</x:v>
      </x:c>
      <x:c r="E6" s="159" t="str">
        <x:v>A</x:v>
      </x:c>
      <x:c r="F6" s="159" t="str">
        <x:v>Brazil</x:v>
      </x:c>
      <x:c r="G6" s="159" t="str">
        <x:v>https://unfccc.int/sites/default/files/resource/NAP_Brazil_2016_PR.pdf</x:v>
      </x:c>
      <x:c r="H6" s="159" t="str">
        <x:v>Retrieved</x:v>
      </x:c>
      <x:c r="I6" s="159" t="str">
        <x:v>Needs review</x:v>
      </x:c>
      <x:c r="J6" s="153" t="str"/>
      <x:c r="K6" s="174" t="str"/>
    </x:row>
    <x:row r="7" ht="66" customHeight="1">
      <x:c r="A7" s="158" t="str">
        <x:v>Energy security</x:v>
      </x:c>
      <x:c r="B7" s="159" t="str">
        <x:v>Brazil 2025 Energy Policy Review</x:v>
      </x:c>
      <x:c r="C7" s="159" t="str">
        <x:v>International Energy Agency (IEA) / Government of Brazil</x:v>
      </x:c>
      <x:c r="D7" s="177" t="n">
        <x:v>2025</x:v>
      </x:c>
      <x:c r="E7" s="159" t="str">
        <x:v>B</x:v>
      </x:c>
      <x:c r="F7" s="159" t="str">
        <x:v>Brazil</x:v>
      </x:c>
      <x:c r="G7" s="159" t="str">
        <x:v>https://iea.blob.core.windows.net/assets/6ea1af14-d51f-47f5-8fe7-76bfd55b0ea0/Brazil2025-EnergyPolicyReview.pdf</x:v>
      </x:c>
      <x:c r="H7" s="159" t="str">
        <x:v>Retrieved</x:v>
      </x:c>
      <x:c r="I7" s="159" t="str">
        <x:v>Needs review</x:v>
      </x:c>
      <x:c r="J7" s="153" t="str"/>
      <x:c r="K7" s="174" t="str"/>
    </x:row>
    <x:row r="8" ht="66" customHeight="1">
      <x:c r="A8" s="158" t="str">
        <x:v>Energy security</x:v>
      </x:c>
      <x:c r="B8" s="159" t="str">
        <x:v>Brazil Country Climate and Development Report</x:v>
      </x:c>
      <x:c r="C8" s="159" t="str">
        <x:v>World Bank Group</x:v>
      </x:c>
      <x:c r="D8" s="177" t="n">
        <x:v>2023</x:v>
      </x:c>
      <x:c r="E8" s="159" t="str">
        <x:v>B</x:v>
      </x:c>
      <x:c r="F8" s="159" t="str">
        <x:v>Brazil</x:v>
      </x:c>
      <x:c r="G8" s="159" t="str">
        <x:v>https://openknowledge.worldbank.org/server/api/core/bitstreams/8c0713d7-5768-4f2c-9be5-e5aa1a3855b5/content</x:v>
      </x:c>
      <x:c r="H8" s="159" t="str">
        <x:v>Retrieved</x:v>
      </x:c>
      <x:c r="I8" s="159" t="str">
        <x:v>Needs review</x:v>
      </x:c>
      <x:c r="J8" s="153" t="str"/>
      <x:c r="K8" s="174" t="str"/>
    </x:row>
    <x:row r="9" ht="66" customHeight="1">
      <x:c r="A9" s="158" t="str">
        <x:v>Energy security</x:v>
      </x:c>
      <x:c r="B9" s="159" t="str">
        <x:v>Climate Resilience for Energy Security</x:v>
      </x:c>
      <x:c r="C9" s="159" t="str">
        <x:v>International Energy Agency (IEA)</x:v>
      </x:c>
      <x:c r="D9" s="177" t="n">
        <x:v>2022</x:v>
      </x:c>
      <x:c r="E9" s="159" t="str">
        <x:v>B</x:v>
      </x:c>
      <x:c r="F9" s="159" t="str">
        <x:v>International</x:v>
      </x:c>
      <x:c r="G9" s="159" t="str">
        <x:v>https://iea.blob.core.windows.net/assets/10229b31-fd82-4371-b92c-a554f95369ea/ClimateResilienceforEnergySecurity.pdf</x:v>
      </x:c>
      <x:c r="H9" s="159" t="str">
        <x:v>Retrieved</x:v>
      </x:c>
      <x:c r="I9" s="159" t="str">
        <x:v>Needs review</x:v>
      </x:c>
      <x:c r="J9" s="153" t="str"/>
      <x:c r="K9" s="174" t="str"/>
    </x:row>
    <x:row r="10" ht="66" customHeight="1">
      <x:c r="A10" s="158" t="str">
        <x:v>Energy security</x:v>
      </x:c>
      <x:c r="B10" s="159" t="str">
        <x:v>Climate Resilience: Part of Electricity Security 2021</x:v>
      </x:c>
      <x:c r="C10" s="159" t="str">
        <x:v>International Energy Agency (IEA)</x:v>
      </x:c>
      <x:c r="D10" s="177" t="n">
        <x:v>2021</x:v>
      </x:c>
      <x:c r="E10" s="159" t="str">
        <x:v>B</x:v>
      </x:c>
      <x:c r="F10" s="159" t="str">
        <x:v>International</x:v>
      </x:c>
      <x:c r="G10" s="159" t="str">
        <x:v>https://iea.blob.core.windows.net/assets/62c056f7-deed-4e3a-9a1f-a3ca8cc83813/Climate_Resilience.pdf</x:v>
      </x:c>
      <x:c r="H10" s="159" t="str">
        <x:v>Retrieved</x:v>
      </x:c>
      <x:c r="I10" s="159" t="str">
        <x:v>Needs review</x:v>
      </x:c>
      <x:c r="J10" s="153" t="str"/>
      <x:c r="K10" s="174" t="str"/>
    </x:row>
    <x:row r="11" ht="66" customHeight="1">
      <x:c r="A11" s="158" t="str">
        <x:v>Energy security</x:v>
      </x:c>
      <x:c r="B11" s="159" t="str">
        <x:v>Electricity Transmission and Climate Change: Roadmap for Climate Resilience in the Brazilian Power System</x:v>
      </x:c>
      <x:c r="C11" s="159" t="str">
        <x:v>Empresa de Pesquisa Energética (EPE)</x:v>
      </x:c>
      <x:c r="D11" s="177" t="n">
        <x:v>2025</x:v>
      </x:c>
      <x:c r="E11" s="159" t="str">
        <x:v>C</x:v>
      </x:c>
      <x:c r="F11" s="159" t="str">
        <x:v>Brazil</x:v>
      </x:c>
      <x:c r="G11" s="159" t="str">
        <x:v>https://www.epe.gov.br/sites-pt/publicacoes-dados-abertos/publicacoes/PublicacoesArquivos/publicacao-852/topico-736/Electricity%20transmission%20and%20climate%20change.pdf</x:v>
      </x:c>
      <x:c r="H11" s="159" t="str">
        <x:v>Retrieved</x:v>
      </x:c>
      <x:c r="I11" s="159" t="str">
        <x:v>Needs review</x:v>
      </x:c>
      <x:c r="J11" s="153" t="str"/>
      <x:c r="K11" s="174" t="str"/>
    </x:row>
    <x:row r="12" ht="66" customHeight="1">
      <x:c r="A12" s="158" t="str">
        <x:v>Energy security</x:v>
      </x:c>
      <x:c r="B12" s="159" t="str">
        <x:v>Enhancing Resilience: Climate-proofing Power Infrastructure</x:v>
      </x:c>
      <x:c r="C12" s="159" t="str">
        <x:v>International Renewable Energy Agency (IRENA)</x:v>
      </x:c>
      <x:c r="D12" s="177" t="n">
        <x:v>2025</x:v>
      </x:c>
      <x:c r="E12" s="159" t="str">
        <x:v>C</x:v>
      </x:c>
      <x:c r="F12" s="159" t="str">
        <x:v>International</x:v>
      </x:c>
      <x:c r="G12" s="159" t="str">
        <x:v>https://www.irena.org/-/media/Files/IRENA/Agency/Publication/2025/Dec/IRENA_TEC_Enhancing_resilience_power_infrastructure_2025.pdf</x:v>
      </x:c>
      <x:c r="H12" s="159" t="str">
        <x:v>Retrieved</x:v>
      </x:c>
      <x:c r="I12" s="159" t="str">
        <x:v>Needs review</x:v>
      </x:c>
      <x:c r="J12" s="153" t="str"/>
      <x:c r="K12" s="174" t="str"/>
    </x:row>
    <x:row r="13" ht="66" customHeight="1">
      <x:c r="A13" s="158" t="str">
        <x:v>Energy security</x:v>
      </x:c>
      <x:c r="B13" s="159" t="str">
        <x:v>Plano Nacional de Adaptação à Mudança do Clima: Volume II, Estratégias Setoriais e Temáticas</x:v>
      </x:c>
      <x:c r="C13" s="159" t="str">
        <x:v>Ministério do Meio Ambiente</x:v>
      </x:c>
      <x:c r="D13" s="177" t="n">
        <x:v>2016</x:v>
      </x:c>
      <x:c r="E13" s="159" t="str">
        <x:v>A</x:v>
      </x:c>
      <x:c r="F13" s="159" t="str">
        <x:v>Brazil</x:v>
      </x:c>
      <x:c r="G13" s="159" t="str">
        <x:v>https://www.comitebaixotiete.org/wp-content/uploads/2024/07/Plano-Nacional-de-adaptacao-a-mudanca-do-clima.pdf</x:v>
      </x:c>
      <x:c r="H13" s="159" t="str">
        <x:v>Retrieved</x:v>
      </x:c>
      <x:c r="I13" s="159" t="str">
        <x:v>Needs review</x:v>
      </x:c>
      <x:c r="J13" s="153" t="str"/>
      <x:c r="K13" s="174" t="str"/>
    </x:row>
    <x:row r="14" ht="66" customHeight="1">
      <x:c r="A14" s="158" t="str">
        <x:v>Energy security</x:v>
      </x:c>
      <x:c r="B14" s="159" t="str">
        <x:v>Stronger Power: Improving Power Sector Resilience to Natural Hazards</x:v>
      </x:c>
      <x:c r="C14" s="159" t="str">
        <x:v>World Bank</x:v>
      </x:c>
      <x:c r="D14" s="177" t="n">
        <x:v>2019</x:v>
      </x:c>
      <x:c r="E14" s="159" t="str">
        <x:v>B</x:v>
      </x:c>
      <x:c r="F14" s="159" t="str">
        <x:v>International</x:v>
      </x:c>
      <x:c r="G14" s="159" t="str">
        <x:v>https://documents1.worldbank.org/curated/en/200771560790885170/pdf/Stronger-Power-Improving-Power-Sector-Resilience-to-Natural-Hazards.pdf</x:v>
      </x:c>
      <x:c r="H14" s="159" t="str">
        <x:v>Retrieved</x:v>
      </x:c>
      <x:c r="I14" s="159" t="str">
        <x:v>Needs review</x:v>
      </x:c>
      <x:c r="J14" s="153" t="str"/>
      <x:c r="K14" s="174" t="str"/>
    </x:row>
    <x:row r="15" ht="66" customHeight="1">
      <x:c r="A15" s="158" t="str">
        <x:v>Food security</x:v>
      </x:c>
      <x:c r="B15" s="159" t="str">
        <x:v>Brazil National Pathways to Sustainable Food Systems</x:v>
      </x:c>
      <x:c r="C15" s="159" t="str">
        <x:v>Government of Brazil / UN Food Systems Summit</x:v>
      </x:c>
      <x:c r="D15" s="177" t="n">
        <x:v>2023</x:v>
      </x:c>
      <x:c r="E15" s="159" t="str">
        <x:v>C</x:v>
      </x:c>
      <x:c r="F15" s="159" t="str">
        <x:v>Brazil</x:v>
      </x:c>
      <x:c r="G15" s="159" t="str">
        <x:v>https://www.unfoodsystemshub.org/docs/unfoodsystemslibraries/national-pathways/brazil/2023-07-21-caminhos-nacionais-ii-eng.pdf</x:v>
      </x:c>
      <x:c r="H15" s="159" t="str">
        <x:v>Retrieved</x:v>
      </x:c>
      <x:c r="I15" s="159" t="str">
        <x:v>Needs review</x:v>
      </x:c>
      <x:c r="J15" s="153" t="str"/>
      <x:c r="K15" s="174" t="str"/>
    </x:row>
    <x:row r="16" ht="66" customHeight="1">
      <x:c r="A16" s="158" t="str">
        <x:v>Food security</x:v>
      </x:c>
      <x:c r="B16" s="159" t="str">
        <x:v>Climate-smart Agriculture for Food Security</x:v>
      </x:c>
      <x:c r="C16" s="159" t="str">
        <x:v>FAO</x:v>
      </x:c>
      <x:c r="D16" s="177" t="n">
        <x:v>2014</x:v>
      </x:c>
      <x:c r="E16" s="159" t="str">
        <x:v>C</x:v>
      </x:c>
      <x:c r="F16" s="159" t="str">
        <x:v>International</x:v>
      </x:c>
      <x:c r="G16" s="159" t="str">
        <x:v>https://openknowledge.fao.org/server/api/core/bitstreams/83ce8fff-f030-436e-aee3-b8d85ca4e492/content</x:v>
      </x:c>
      <x:c r="H16" s="159" t="str">
        <x:v>Retrieved</x:v>
      </x:c>
      <x:c r="I16" s="159" t="str">
        <x:v>Needs review</x:v>
      </x:c>
      <x:c r="J16" s="153" t="str"/>
      <x:c r="K16" s="174" t="str"/>
    </x:row>
    <x:row r="17" ht="66" customHeight="1">
      <x:c r="A17" s="158" t="str">
        <x:v>Food security</x:v>
      </x:c>
      <x:c r="B17" s="159" t="str">
        <x:v>Estratégia de Adaptação à Mudança do Clima para a Agropecuária Brasileira</x:v>
      </x:c>
      <x:c r="C17" s="159" t="str">
        <x:v>Ministério da Agricultura e Pecuária (MAPA)</x:v>
      </x:c>
      <x:c r="D17" s="177" t="n">
        <x:v>2023</x:v>
      </x:c>
      <x:c r="E17" s="159" t="str">
        <x:v>A</x:v>
      </x:c>
      <x:c r="F17" s="159" t="str">
        <x:v>Brazil</x:v>
      </x:c>
      <x:c r="G17" s="159" t="str">
        <x:v>https://repositorio-dspace.agricultura.gov.br/bitstream/1/2120/4/PORTUGU%C3%8AS_NAP-Brazil-adaptation-report-pt-July03.pdf</x:v>
      </x:c>
      <x:c r="H17" s="159" t="str">
        <x:v>Retrieved</x:v>
      </x:c>
      <x:c r="I17" s="159" t="str">
        <x:v>Needs review</x:v>
      </x:c>
      <x:c r="J17" s="153" t="str"/>
      <x:c r="K17" s="174" t="str"/>
    </x:row>
    <x:row r="18" ht="66" customHeight="1">
      <x:c r="A18" s="158" t="str">
        <x:v>Food security</x:v>
      </x:c>
      <x:c r="B18" s="159" t="str">
        <x:v>Pathways to sustainability in Brazilian agriculture: technological drivers, governance, and policy linkages</x:v>
      </x:c>
      <x:c r="C18" s="159" t="str">
        <x:v>Current Opinion in Environmental Sustainability (Elsevier)</x:v>
      </x:c>
      <x:c r="D18" s="177" t="n">
        <x:v>2025</x:v>
      </x:c>
      <x:c r="E18" s="159" t="str">
        <x:v>C</x:v>
      </x:c>
      <x:c r="F18" s="159" t="str">
        <x:v>Brazil</x:v>
      </x:c>
      <x:c r="G18" s="159" t="str">
        <x:v>https://www.alice.cnptia.embrapa.br/alice/bitstream/doc/1179658/1/Pathways-of-sustainability.pdf</x:v>
      </x:c>
      <x:c r="H18" s="159" t="str">
        <x:v>Retrieved</x:v>
      </x:c>
      <x:c r="I18" s="159" t="str">
        <x:v>Needs review</x:v>
      </x:c>
      <x:c r="J18" s="153" t="str"/>
      <x:c r="K18" s="174" t="str"/>
    </x:row>
    <x:row r="19" ht="66" customHeight="1">
      <x:c r="A19" s="158" t="str">
        <x:v>Geohydrological disasters</x:v>
      </x:c>
      <x:c r="B19" s="159" t="str">
        <x:v>Coping with Losses: Options for Disaster Risk Financing in Brazil</x:v>
      </x:c>
      <x:c r="C19" s="159" t="str">
        <x:v>World Bank</x:v>
      </x:c>
      <x:c r="D19" s="177" t="n">
        <x:v>2014</x:v>
      </x:c>
      <x:c r="E19" s="159" t="str">
        <x:v>B</x:v>
      </x:c>
      <x:c r="F19" s="159" t="str">
        <x:v>Brazil</x:v>
      </x:c>
      <x:c r="G19" s="159" t="str">
        <x:v>https://documents1.worldbank.org/curated/en/138651519418943510/pdf/111953-PUBLIC-OptionsforDisasterRiskFinancinginBrazil-FINAL-Low.pdf</x:v>
      </x:c>
      <x:c r="H19" s="159" t="str">
        <x:v>Retrieved</x:v>
      </x:c>
      <x:c r="I19" s="159" t="str">
        <x:v>Needs review</x:v>
      </x:c>
      <x:c r="J19" s="153" t="str"/>
      <x:c r="K19" s="174" t="str"/>
    </x:row>
    <x:row r="20" ht="66" customHeight="1">
      <x:c r="A20" s="158" t="str">
        <x:v>Geohydrological disasters</x:v>
      </x:c>
      <x:c r="B20" s="159" t="str">
        <x:v>Lifelines: The Resilient Infrastructure Opportunity</x:v>
      </x:c>
      <x:c r="C20" s="159" t="str">
        <x:v>World Bank</x:v>
      </x:c>
      <x:c r="D20" s="177" t="n">
        <x:v>2019</x:v>
      </x:c>
      <x:c r="E20" s="159" t="str">
        <x:v>B</x:v>
      </x:c>
      <x:c r="F20" s="159" t="str">
        <x:v>International</x:v>
      </x:c>
      <x:c r="G20" s="159" t="str">
        <x:v>https://documents1.worldbank.org/curated/en/111181560974989791/pdf/Lifelines-The-Resilient-Infrastructure-Opportunity.pdf</x:v>
      </x:c>
      <x:c r="H20" s="159" t="str">
        <x:v>Retrieved</x:v>
      </x:c>
      <x:c r="I20" s="159" t="str">
        <x:v>Needs review</x:v>
      </x:c>
      <x:c r="J20" s="153" t="str"/>
      <x:c r="K20" s="174" t="str"/>
    </x:row>
    <x:row r="21" ht="66" customHeight="1">
      <x:c r="A21" s="158" t="str">
        <x:v>Geohydrological disasters</x:v>
      </x:c>
      <x:c r="B21" s="159" t="str">
        <x:v>Making Cities Resilient 2030 (MCR2030): Initial Proposal</x:v>
      </x:c>
      <x:c r="C21" s="159" t="str">
        <x:v>United Nations Office for Disaster Risk Reduction (UNDRR)</x:v>
      </x:c>
      <x:c r="D21" s="177" t="n">
        <x:v>2021</x:v>
      </x:c>
      <x:c r="E21" s="159" t="str">
        <x:v>B</x:v>
      </x:c>
      <x:c r="F21" s="159" t="str">
        <x:v>International</x:v>
      </x:c>
      <x:c r="G21" s="159" t="str">
        <x:v>https://mcr2030.undrr.org/sites/default/files/2021-04/MCR2030%20in%20English%20ver.2%20%2820210302%29.pdf?startDownload=true</x:v>
      </x:c>
      <x:c r="H21" s="159" t="str">
        <x:v>Retrieved</x:v>
      </x:c>
      <x:c r="I21" s="159" t="str">
        <x:v>Needs review</x:v>
      </x:c>
      <x:c r="J21" s="153" t="str"/>
      <x:c r="K21" s="174" t="str"/>
    </x:row>
    <x:row r="22" ht="66" customHeight="1">
      <x:c r="A22" s="158" t="str">
        <x:v>Geohydrological disasters</x:v>
      </x:c>
      <x:c r="B22" s="159" t="str">
        <x:v>Making Cities Resilient Report 2019: A Snapshot of How Local Governments Progress in Reducing Disaster Risks in Alignment with the Sendai Framework for Disaster Risk Reduction</x:v>
      </x:c>
      <x:c r="C22" s="159" t="str">
        <x:v>United Nations Office for Disaster Risk Reduction (UNDRR)</x:v>
      </x:c>
      <x:c r="D22" s="177" t="n">
        <x:v>2019</x:v>
      </x:c>
      <x:c r="E22" s="159" t="str">
        <x:v>B</x:v>
      </x:c>
      <x:c r="F22" s="159" t="str">
        <x:v>International</x:v>
      </x:c>
      <x:c r="G22" s="159" t="str">
        <x:v>https://www.unisdr.org/campaign/resilientcities/assets/toolkit/documents/UNDRR_Making%20Cities%20Resilient%20Report%202019_April2019.pdf</x:v>
      </x:c>
      <x:c r="H22" s="159" t="str">
        <x:v>Retrieved</x:v>
      </x:c>
      <x:c r="I22" s="159" t="str">
        <x:v>Needs review</x:v>
      </x:c>
      <x:c r="J22" s="153" t="str"/>
      <x:c r="K22" s="174" t="str"/>
    </x:row>
    <x:row r="23" ht="66" customHeight="1">
      <x:c r="A23" s="158" t="str">
        <x:v>Geohydrological disasters</x:v>
      </x:c>
      <x:c r="B23" s="159" t="str">
        <x:v>Manual para Apresentação de Propostas para Sistemas de Drenagem Urbana Sustentável e de Manejo de Águas Pluviais</x:v>
      </x:c>
      <x:c r="C23" s="159" t="str">
        <x:v>Ministério do Desenvolvimento Regional / Secretaria Nacional de Saneamento</x:v>
      </x:c>
      <x:c r="D23" s="177" t="n">
        <x:v>2020</x:v>
      </x:c>
      <x:c r="E23" s="159" t="str">
        <x:v>C</x:v>
      </x:c>
      <x:c r="F23" s="159" t="str">
        <x:v>Brazil</x:v>
      </x:c>
      <x:c r="G23" s="159" t="str">
        <x:v>https://www.gov.br/mdr/pt-br/assuntos/emendasparlamentares/acao_10SG_drenagem_urbana.pdf</x:v>
      </x:c>
      <x:c r="H23" s="159" t="str">
        <x:v>Retrieved</x:v>
      </x:c>
      <x:c r="I23" s="159" t="str">
        <x:v>Needs review</x:v>
      </x:c>
      <x:c r="J23" s="153" t="str"/>
      <x:c r="K23" s="174" t="str"/>
    </x:row>
    <x:row r="24" ht="66" customHeight="1">
      <x:c r="A24" s="158" t="str">
        <x:v>Geohydrological disasters</x:v>
      </x:c>
      <x:c r="B24" s="159" t="str">
        <x:v>Scaling Up Flood Risk Management in Brazil to Build Community-Level Resilience: Identifying Disaster Risk and Building Capacity to Inform Urban Resilience Strategies at Both the National and Local Levels</x:v>
      </x:c>
      <x:c r="C24" s="159" t="str">
        <x:v>World Bank</x:v>
      </x:c>
      <x:c r="D24" s="177" t="n">
        <x:v>2021</x:v>
      </x:c>
      <x:c r="E24" s="159" t="str">
        <x:v>B</x:v>
      </x:c>
      <x:c r="F24" s="159" t="str">
        <x:v>Brazil</x:v>
      </x:c>
      <x:c r="G24" s="159" t="str">
        <x:v>https://thedocs.worldbank.org/en/doc/7d99a71998e1aae72110dffda1b27be1-0360012021/original/RIR-Brazil-20210407-Final-sy-bmj-1.pdf</x:v>
      </x:c>
      <x:c r="H24" s="159" t="str">
        <x:v>Retrieved</x:v>
      </x:c>
      <x:c r="I24" s="159" t="str">
        <x:v>Needs review</x:v>
      </x:c>
      <x:c r="J24" s="153" t="str"/>
      <x:c r="K24" s="174" t="str"/>
    </x:row>
    <x:row r="25" ht="66" customHeight="1">
      <x:c r="A25" s="158" t="str">
        <x:v>Biodiversity</x:v>
      </x:c>
      <x:c r="B25" s="159" t="str">
        <x:v>Climate Change 2022: Impacts, Adaptation and Vulnerability</x:v>
      </x:c>
      <x:c r="C25" s="159" t="str">
        <x:v>IPCC</x:v>
      </x:c>
      <x:c r="D25" s="177" t="n">
        <x:v>2022</x:v>
      </x:c>
      <x:c r="E25" s="159" t="str">
        <x:v>A</x:v>
      </x:c>
      <x:c r="F25" s="159" t="str">
        <x:v>International</x:v>
      </x:c>
      <x:c r="G25" s="159" t="str">
        <x:v>https://www.ipcc.ch/report/ar6/wg2/downloads/report/IPCC_AR6_WGII_FullReport.pdf</x:v>
      </x:c>
      <x:c r="H25" s="159" t="str">
        <x:v>Retrieved</x:v>
      </x:c>
      <x:c r="I25" s="159" t="str">
        <x:v>Proposed</x:v>
      </x:c>
      <x:c r="J25" s="153" t="str"/>
      <x:c r="K25" s="174" t="str"/>
    </x:row>
    <x:row r="26" ht="66" customHeight="1">
      <x:c r="A26" s="158" t="str">
        <x:v>Biodiversity</x:v>
      </x:c>
      <x:c r="B26" s="159" t="str">
        <x:v>Climate Change 2022: Impacts, Adaptation and Vulnerability - Chapter 2: Terrestrial and Freshwater Ecosystems and their Services</x:v>
      </x:c>
      <x:c r="C26" s="159" t="str">
        <x:v>IPCC</x:v>
      </x:c>
      <x:c r="D26" s="177" t="n">
        <x:v>2022</x:v>
      </x:c>
      <x:c r="E26" s="159" t="str">
        <x:v>A</x:v>
      </x:c>
      <x:c r="F26" s="159" t="str">
        <x:v>International</x:v>
      </x:c>
      <x:c r="G26" s="159" t="str">
        <x:v>https://www.ipcc.ch/report/ar6/wg2/downloads/report/IPCC_AR6_WGII_Chapter02.pdf</x:v>
      </x:c>
      <x:c r="H26" s="159" t="str">
        <x:v>Retrieved</x:v>
      </x:c>
      <x:c r="I26" s="159" t="str">
        <x:v>Proposed</x:v>
      </x:c>
      <x:c r="J26" s="153" t="str"/>
      <x:c r="K26" s="174" t="str"/>
    </x:row>
    <x:row r="27" ht="66" customHeight="1">
      <x:c r="A27" s="158" t="str">
        <x:v>Biodiversity</x:v>
      </x:c>
      <x:c r="B27" s="159" t="str">
        <x:v>Documento teórico-metodológico do Setor Estratégico Biodiversidade — AdaptaBrasil MCTI, versão 1.0</x:v>
      </x:c>
      <x:c r="C27" s="159" t="str">
        <x:v>Instituto Nacional de Pesquisas Espaciais (INPE) / AdaptaBrasil MCTI</x:v>
      </x:c>
      <x:c r="D27" s="177" t="n">
        <x:v>2024</x:v>
      </x:c>
      <x:c r="E27" s="159" t="str">
        <x:v>A</x:v>
      </x:c>
      <x:c r="F27" s="159" t="str">
        <x:v>Brazil</x:v>
      </x:c>
      <x:c r="G27" s="159" t="str">
        <x:v>https://www.dropbox.com/scl/fi/3sqdjrwh1wezi1u60tchk/Teorico_metodologico_Biodiversidade_Integridade_13_12_2024.pdf?rlkey=xzm9bgxavcdfhyw3ebi4fi3fq&amp;dl=1</x:v>
      </x:c>
      <x:c r="H27" s="159" t="str">
        <x:v>Retrieved</x:v>
      </x:c>
      <x:c r="I27" s="159" t="str">
        <x:v>Proposed</x:v>
      </x:c>
      <x:c r="J27" s="153" t="str"/>
      <x:c r="K27" s="174" t="str"/>
    </x:row>
    <x:row r="28" ht="66" customHeight="1">
      <x:c r="A28" s="158" t="str">
        <x:v>Biodiversity</x:v>
      </x:c>
      <x:c r="B28" s="159" t="str">
        <x:v>Ecosystem-based Adaptation Stakeholder Dialogue Report</x:v>
      </x:c>
      <x:c r="C28" s="159" t="str">
        <x:v>United Nations Environment Programme (UNEP)</x:v>
      </x:c>
      <x:c r="D28" s="177" t="n">
        <x:v>2023</x:v>
      </x:c>
      <x:c r="E28" s="159" t="str">
        <x:v>B</x:v>
      </x:c>
      <x:c r="F28" s="159" t="str">
        <x:v>International</x:v>
      </x:c>
      <x:c r="G28" s="159" t="str">
        <x:v>https://wedocs.unep.org/handle/20.500.11822/42198</x:v>
      </x:c>
      <x:c r="H28" s="159" t="str">
        <x:v>Retrieved</x:v>
      </x:c>
      <x:c r="I28" s="159" t="str">
        <x:v>Proposed</x:v>
      </x:c>
      <x:c r="J28" s="153" t="str"/>
      <x:c r="K28" s="174" t="str"/>
    </x:row>
    <x:row r="29" ht="66" customHeight="1">
      <x:c r="A29" s="158" t="str">
        <x:v>Biodiversity</x:v>
      </x:c>
      <x:c r="B29" s="159" t="str">
        <x:v>Harnessing Nature to Build Climate Resilience: Scaling Up the Use of Ecosystem-based Adaptation</x:v>
      </x:c>
      <x:c r="C29" s="159" t="str">
        <x:v>United Nations Environment Programme (UNEP)</x:v>
      </x:c>
      <x:c r="D29" s="177" t="n">
        <x:v>2022</x:v>
      </x:c>
      <x:c r="E29" s="159" t="str">
        <x:v>B</x:v>
      </x:c>
      <x:c r="F29" s="159" t="str">
        <x:v>International</x:v>
      </x:c>
      <x:c r="G29" s="159" t="str">
        <x:v>https://globalebafund.org/wp-content/uploads/2022/07/Harnessing-nature-for-climate-resilience-Full-Report-V7-Web.pdf</x:v>
      </x:c>
      <x:c r="H29" s="159" t="str">
        <x:v>Retrieved</x:v>
      </x:c>
      <x:c r="I29" s="159" t="str">
        <x:v>Proposed</x:v>
      </x:c>
      <x:c r="J29" s="153" t="str"/>
      <x:c r="K29" s="174" t="str"/>
    </x:row>
    <x:row r="30" ht="66" customHeight="1">
      <x:c r="A30" s="158" t="str">
        <x:v>Energy security</x:v>
      </x:c>
      <x:c r="B30" s="159" t="str">
        <x:v>Climate Change 2022: Impacts, Adaptation and Vulnerability</x:v>
      </x:c>
      <x:c r="C30" s="159" t="str">
        <x:v>IPCC</x:v>
      </x:c>
      <x:c r="D30" s="177" t="n">
        <x:v>2022</x:v>
      </x:c>
      <x:c r="E30" s="159" t="str">
        <x:v>A</x:v>
      </x:c>
      <x:c r="F30" s="159" t="str">
        <x:v>International</x:v>
      </x:c>
      <x:c r="G30" s="159" t="str">
        <x:v>https://www.ipcc.ch/report/ar6/wg2/downloads/report/IPCC_AR6_WGII_FullReport.pdf</x:v>
      </x:c>
      <x:c r="H30" s="159" t="str">
        <x:v>Retrieved</x:v>
      </x:c>
      <x:c r="I30" s="159" t="str">
        <x:v>Proposed</x:v>
      </x:c>
      <x:c r="J30" s="153" t="str"/>
      <x:c r="K30" s="174" t="str"/>
    </x:row>
    <x:row r="31" ht="66" customHeight="1">
      <x:c r="A31" s="158" t="str">
        <x:v>Energy security</x:v>
      </x:c>
      <x:c r="B31" s="159" t="str">
        <x:v>Documento teórico-metodológico do Setor Estratégico Segurança Energética — AdaptaBrasil MCTI, versão 2.0</x:v>
      </x:c>
      <x:c r="C31" s="159" t="str">
        <x:v>Instituto Nacional de Pesquisas Espaciais (INPE) / AdaptaBrasil MCTI</x:v>
      </x:c>
      <x:c r="D31" s="177" t="n">
        <x:v>2023</x:v>
      </x:c>
      <x:c r="E31" s="159" t="str">
        <x:v>A</x:v>
      </x:c>
      <x:c r="F31" s="159" t="str">
        <x:v>Brazil</x:v>
      </x:c>
      <x:c r="G31" s="159" t="str">
        <x:v>https://www.dropbox.com/scl/fi/ok4raqpty3d8znavifvth/Te-rico-metodol-gico_Seguran-a_Energ-tica_19_07_2023.pdf?rlkey=jy2af1bhtfaaw14c5cwt01nho&amp;dl=1</x:v>
      </x:c>
      <x:c r="H31" s="159" t="str">
        <x:v>Retrieved</x:v>
      </x:c>
      <x:c r="I31" s="159" t="str">
        <x:v>Proposed</x:v>
      </x:c>
      <x:c r="J31" s="153" t="str"/>
      <x:c r="K31" s="174" t="str"/>
    </x:row>
    <x:row r="32" ht="66" customHeight="1">
      <x:c r="A32" s="158" t="str">
        <x:v>Food security</x:v>
      </x:c>
      <x:c r="B32" s="159" t="str">
        <x:v>Ciência para o clima e soluções da agricultura brasileira: estratégias, tecnologias e indicadores de adaptação à mudança climática e de controle de emissões de gases de efeito-estufa na agricultura tropical.</x:v>
      </x:c>
      <x:c r="C32" s="159" t="str">
        <x:v>Empresa Brasileira de Pesquisa Agropecuária (Embrapa)</x:v>
      </x:c>
      <x:c r="D32" s="177" t="n">
        <x:v>2025</x:v>
      </x:c>
      <x:c r="E32" s="159" t="str">
        <x:v>C</x:v>
      </x:c>
      <x:c r="F32" s="159" t="str">
        <x:v>Brazil</x:v>
      </x:c>
      <x:c r="G32" s="159" t="str">
        <x:v>https://www.alice.cnptia.embrapa.br/alice/bitstream/doc/1181212/1/Ciencia-para-o-clima.pdf</x:v>
      </x:c>
      <x:c r="H32" s="159" t="str">
        <x:v>Retrieved</x:v>
      </x:c>
      <x:c r="I32" s="159" t="str">
        <x:v>Proposed</x:v>
      </x:c>
      <x:c r="J32" s="153" t="str"/>
      <x:c r="K32" s="174" t="str"/>
    </x:row>
    <x:row r="33" ht="66" customHeight="1">
      <x:c r="A33" s="158" t="str">
        <x:v>Food security</x:v>
      </x:c>
      <x:c r="B33" s="159" t="str">
        <x:v>Climate Change 2022: Impacts, Adaptation and Vulnerability (AR6 WGII), Chapter 5: Food, Fibre and Other Ecosystem Products</x:v>
      </x:c>
      <x:c r="C33" s="159" t="str">
        <x:v>IPCC</x:v>
      </x:c>
      <x:c r="D33" s="177" t="n">
        <x:v>2022</x:v>
      </x:c>
      <x:c r="E33" s="159" t="str">
        <x:v>A</x:v>
      </x:c>
      <x:c r="F33" s="159" t="str">
        <x:v>International</x:v>
      </x:c>
      <x:c r="G33" s="159" t="str">
        <x:v>https://www.ipcc.ch/report/ar6/wg2/downloads/report/IPCC_AR6_WGII_Chapter05.pdf</x:v>
      </x:c>
      <x:c r="H33" s="159" t="str">
        <x:v>Retrieved</x:v>
      </x:c>
      <x:c r="I33" s="159" t="str">
        <x:v>Proposed</x:v>
      </x:c>
      <x:c r="J33" s="153" t="str"/>
      <x:c r="K33" s="174" t="str"/>
    </x:row>
    <x:row r="34" ht="66" customHeight="1">
      <x:c r="A34" s="158" t="str">
        <x:v>Food security</x:v>
      </x:c>
      <x:c r="B34" s="159" t="str">
        <x:v>Climate change, agriculture and food security: a strategy for change</x:v>
      </x:c>
      <x:c r="C34" s="159" t="str">
        <x:v>Alliance of the CGIAR Centers</x:v>
      </x:c>
      <x:c r="D34" s="177" t="n">
        <x:v>2009</x:v>
      </x:c>
      <x:c r="E34" s="159" t="str">
        <x:v>C</x:v>
      </x:c>
      <x:c r="F34" s="159" t="str">
        <x:v>International</x:v>
      </x:c>
      <x:c r="G34" s="159" t="str">
        <x:v>https://documents.worldbank.org/curated/en/330581468162838292/pdf/521170WP0CCAFS10Box345553B01PUBLIC1.pdf</x:v>
      </x:c>
      <x:c r="H34" s="159" t="str">
        <x:v>Retrieved</x:v>
      </x:c>
      <x:c r="I34" s="159" t="str">
        <x:v>Proposed</x:v>
      </x:c>
      <x:c r="J34" s="153" t="str"/>
      <x:c r="K34" s="174" t="str"/>
    </x:row>
    <x:row r="35" ht="66" customHeight="1">
      <x:c r="A35" s="158" t="str">
        <x:v>Food security</x:v>
      </x:c>
      <x:c r="B35" s="159" t="str">
        <x:v>Documento teórico-metodológico do Setor Estratégico Segurança Alimentar — AdaptaBrasil MCTI</x:v>
      </x:c>
      <x:c r="C35" s="159" t="str">
        <x:v>Instituto Nacional de Pesquisas Espaciais (INPE) / AdaptaBrasil MCTI</x:v>
      </x:c>
      <x:c r="D35" s="177" t="n">
        <x:v>2025</x:v>
      </x:c>
      <x:c r="E35" s="159" t="str">
        <x:v>A</x:v>
      </x:c>
      <x:c r="F35" s="159" t="str">
        <x:v>Brazil</x:v>
      </x:c>
      <x:c r="G35" s="159" t="str">
        <x:v>https://www.dropbox.com/scl/fi/4v9zqz936z1v51vyht2gb/Teorico-metodologico_Seguran-a_Alimentar-15_08_25.pdf?rlkey=63mk4364r2juxlsc0d15pemdm&amp;dl=1</x:v>
      </x:c>
      <x:c r="H35" s="159" t="str">
        <x:v>Retrieved</x:v>
      </x:c>
      <x:c r="I35" s="159" t="str">
        <x:v>Proposed</x:v>
      </x:c>
      <x:c r="J35" s="153" t="str"/>
      <x:c r="K35" s="174" t="str"/>
    </x:row>
    <x:row r="36" ht="66" customHeight="1">
      <x:c r="A36" s="158" t="str">
        <x:v>Food security</x:v>
      </x:c>
      <x:c r="B36" s="159" t="str">
        <x:v>Food and Nutrition Security in Brazil</x:v>
      </x:c>
      <x:c r="C36" s="159" t="str">
        <x:v>InterAmerican Network of Academies of Sciences (IANAS)</x:v>
      </x:c>
      <x:c r="D36" s="177" t="n">
        <x:v>2017</x:v>
      </x:c>
      <x:c r="E36" s="159" t="str">
        <x:v>C</x:v>
      </x:c>
      <x:c r="F36" s="159" t="str">
        <x:v>Brazil</x:v>
      </x:c>
      <x:c r="G36" s="159" t="str">
        <x:v>https://ianas.org/wp-content/uploads/2025/04/fchap03.pdf</x:v>
      </x:c>
      <x:c r="H36" s="159" t="str">
        <x:v>Retrieved</x:v>
      </x:c>
      <x:c r="I36" s="159" t="str">
        <x:v>Proposed</x:v>
      </x:c>
      <x:c r="J36" s="153" t="str"/>
      <x:c r="K36" s="174" t="str"/>
    </x:row>
    <x:row r="37" ht="66" customHeight="1">
      <x:c r="A37" s="158" t="str">
        <x:v>Food security</x:v>
      </x:c>
      <x:c r="B37" s="159" t="str">
        <x:v>Future of Food: Shaping a Climate-Smart Global Food System</x:v>
      </x:c>
      <x:c r="C37" s="159" t="str">
        <x:v>World Bank</x:v>
      </x:c>
      <x:c r="D37" s="177" t="n">
        <x:v>2015</x:v>
      </x:c>
      <x:c r="E37" s="159" t="str">
        <x:v>B</x:v>
      </x:c>
      <x:c r="F37" s="159" t="str">
        <x:v>International</x:v>
      </x:c>
      <x:c r="G37" s="159" t="str">
        <x:v>https://documents1.worldbank.org/curated/en/645981468189237140/pdf/100046-WP-PUBLIC-dislcose-7am-10-8-15-Box393216B.pdf</x:v>
      </x:c>
      <x:c r="H37" s="159" t="str">
        <x:v>Retrieved</x:v>
      </x:c>
      <x:c r="I37" s="159" t="str">
        <x:v>Proposed</x:v>
      </x:c>
      <x:c r="J37" s="153" t="str"/>
      <x:c r="K37" s="174" t="str"/>
    </x:row>
    <x:row r="38" ht="66" customHeight="1">
      <x:c r="A38" s="158" t="str">
        <x:v>Food security</x:v>
      </x:c>
      <x:c r="B38" s="159" t="str">
        <x:v>Rising to the Challenge: Success Stories and Strategies for Achieving Climate Adaptation and Resilience</x:v>
      </x:c>
      <x:c r="C38" s="159" t="str">
        <x:v>World Bank</x:v>
      </x:c>
      <x:c r="D38" s="177" t="n">
        <x:v>2024</x:v>
      </x:c>
      <x:c r="E38" s="159" t="str">
        <x:v>B</x:v>
      </x:c>
      <x:c r="F38" s="159" t="str">
        <x:v>International</x:v>
      </x:c>
      <x:c r="G38" s="159" t="str">
        <x:v>https://openknowledge.worldbank.org/server/api/core/bitstreams/13cc31f6-cb61-4b5f-91d9-12a14d9cb425/content</x:v>
      </x:c>
      <x:c r="H38" s="159" t="str">
        <x:v>Retrieved</x:v>
      </x:c>
      <x:c r="I38" s="159" t="str">
        <x:v>Proposed</x:v>
      </x:c>
      <x:c r="J38" s="153" t="str"/>
      <x:c r="K38" s="174" t="str"/>
    </x:row>
    <x:row r="39" ht="66" customHeight="1">
      <x:c r="A39" s="158" t="str">
        <x:v>Geohydrological disasters</x:v>
      </x:c>
      <x:c r="B39" s="159" t="str">
        <x:v>Climate Change 2022: Impacts, Adaptation and Vulnerability</x:v>
      </x:c>
      <x:c r="C39" s="159" t="str">
        <x:v>IPCC</x:v>
      </x:c>
      <x:c r="D39" s="177" t="n">
        <x:v>2022</x:v>
      </x:c>
      <x:c r="E39" s="159" t="str">
        <x:v>A</x:v>
      </x:c>
      <x:c r="F39" s="159" t="str">
        <x:v>International</x:v>
      </x:c>
      <x:c r="G39" s="159" t="str">
        <x:v>https://www.ipcc.ch/report/ar6/wg2/downloads/report/IPCC_AR6_WGII_FullReport.pdf</x:v>
      </x:c>
      <x:c r="H39" s="159" t="str">
        <x:v>Retrieved</x:v>
      </x:c>
      <x:c r="I39" s="159" t="str">
        <x:v>Proposed</x:v>
      </x:c>
      <x:c r="J39" s="153" t="str"/>
      <x:c r="K39" s="174" t="str"/>
    </x:row>
    <x:row r="40" ht="66" customHeight="1">
      <x:c r="A40" s="158" t="str">
        <x:v>Geohydrological disasters</x:v>
      </x:c>
      <x:c r="B40" s="159" t="str">
        <x:v>Documento teórico-metodológico do Setor Estratégico Desastres Geohidrológicos — AdaptaBrasil MCTI, versão 1.0.1</x:v>
      </x:c>
      <x:c r="C40" s="159" t="str">
        <x:v>Instituto Nacional de Pesquisas Espaciais (INPE) / AdaptaBrasil MCTI</x:v>
      </x:c>
      <x:c r="D40" s="177" t="n">
        <x:v>2023</x:v>
      </x:c>
      <x:c r="E40" s="159" t="str">
        <x:v>A</x:v>
      </x:c>
      <x:c r="F40" s="159" t="str">
        <x:v>Brazil</x:v>
      </x:c>
      <x:c r="G40" s="159" t="str">
        <x:v>https://www.dropbox.com/scl/fi/dqho8bli8ehcpe82fvvm6/Te-rico-metodol-gico_AdaptaBrasil_1-0-1-Desastres-Geohidrol-gicos.pdf?rlkey=zjqwjjkaj5lbh6wnpku9gc6y4&amp;dl=1</x:v>
      </x:c>
      <x:c r="H40" s="159" t="str">
        <x:v>Retrieved</x:v>
      </x:c>
      <x:c r="I40" s="159" t="str">
        <x:v>Proposed</x:v>
      </x:c>
      <x:c r="J40" s="153" t="str"/>
      <x:c r="K40" s="174" t="str"/>
    </x:row>
    <x:row r="41" ht="66" customHeight="1">
      <x:c r="A41" s="158" t="str">
        <x:v>Geohydrological disasters</x:v>
      </x:c>
      <x:c r="B41" s="159" t="str">
        <x:v>Early Warnings for All: Executive Action Plan 2023–2027</x:v>
      </x:c>
      <x:c r="C41" s="159" t="str">
        <x:v>World Meteorological Organization (WMO)</x:v>
      </x:c>
      <x:c r="D41" s="177" t="n">
        <x:v>2022</x:v>
      </x:c>
      <x:c r="E41" s="159" t="str">
        <x:v>B</x:v>
      </x:c>
      <x:c r="F41" s="159" t="str">
        <x:v>International</x:v>
      </x:c>
      <x:c r="G41" s="159" t="str">
        <x:v>https://www.undrr.org/sites/default/files/inline-files/EWS_Executive_Action_Plan_en_compressed%20%281%29.pdf?startDownload=true</x:v>
      </x:c>
      <x:c r="H41" s="159" t="str">
        <x:v>Retrieved</x:v>
      </x:c>
      <x:c r="I41" s="159" t="str">
        <x:v>Proposed</x:v>
      </x:c>
      <x:c r="J41" s="153" t="str"/>
      <x:c r="K41" s="174" t="str"/>
    </x:row>
    <x:row r="42" ht="66" customHeight="1">
      <x:c r="A42" s="158" t="str">
        <x:v>Geohydrological disasters</x:v>
      </x:c>
      <x:c r="B42" s="159" t="str">
        <x:v>GIRD+10: Caderno técnico de gestão integrada de riscos e desastres</x:v>
      </x:c>
      <x:c r="C42" s="159" t="str">
        <x:v>Ministério do Desenvolvimento Regional / Secretaria Nacional de Proteção e Defesa Civil</x:v>
      </x:c>
      <x:c r="D42" s="177" t="n">
        <x:v>2021</x:v>
      </x:c>
      <x:c r="E42" s="159" t="str">
        <x:v>C</x:v>
      </x:c>
      <x:c r="F42" s="159" t="str">
        <x:v>Brazil</x:v>
      </x:c>
      <x:c r="G42" s="159" t="str">
        <x:v>https://www.institutosiades.org.br/wp-content/uploads/Caderno_GIRD10.pdf</x:v>
      </x:c>
      <x:c r="H42" s="159" t="str">
        <x:v>Retrieved</x:v>
      </x:c>
      <x:c r="I42" s="159" t="str">
        <x:v>Proposed</x:v>
      </x:c>
      <x:c r="J42" s="153" t="str"/>
      <x:c r="K42" s="174" t="str"/>
    </x:row>
    <x:row r="43" ht="66" customHeight="1">
      <x:c r="A43" s="158" t="str">
        <x:v>Health</x:v>
      </x:c>
      <x:c r="B43" s="159" t="str">
        <x:v>Brazil Policy Brief 2023</x:v>
      </x:c>
      <x:c r="C43" s="159" t="str">
        <x:v>Lancet Countdown / Fundação Oswaldo Cruz (Fiocruz)</x:v>
      </x:c>
      <x:c r="D43" s="177" t="n">
        <x:v>2023</x:v>
      </x:c>
      <x:c r="E43" s="159" t="str">
        <x:v>C</x:v>
      </x:c>
      <x:c r="F43" s="159" t="str">
        <x:v>International</x:v>
      </x:c>
      <x:c r="G43" s="159" t="str">
        <x:v>https://lancetcountdown.org/wp-content/uploads/2024/06/2023-Lancet-Countdown-Policy-Brief_Brazil_EN.pdf</x:v>
      </x:c>
      <x:c r="H43" s="159" t="str">
        <x:v>Retrieved</x:v>
      </x:c>
      <x:c r="I43" s="159" t="str">
        <x:v>Proposed</x:v>
      </x:c>
      <x:c r="J43" s="153" t="str"/>
      <x:c r="K43" s="174" t="str"/>
    </x:row>
    <x:row r="44" ht="66" customHeight="1">
      <x:c r="A44" s="158" t="str">
        <x:v>Health</x:v>
      </x:c>
      <x:c r="B44" s="159" t="str">
        <x:v>Climate Change 2022: Impacts, Adaptation and Vulnerability</x:v>
      </x:c>
      <x:c r="C44" s="159" t="str">
        <x:v>IPCC</x:v>
      </x:c>
      <x:c r="D44" s="177" t="n">
        <x:v>2022</x:v>
      </x:c>
      <x:c r="E44" s="159" t="str">
        <x:v>A</x:v>
      </x:c>
      <x:c r="F44" s="159" t="str">
        <x:v>International</x:v>
      </x:c>
      <x:c r="G44" s="159" t="str">
        <x:v>https://www.ipcc.ch/report/ar6/wg2/downloads/report/IPCC_AR6_WGII_FullReport.pdf</x:v>
      </x:c>
      <x:c r="H44" s="159" t="str">
        <x:v>Retrieved</x:v>
      </x:c>
      <x:c r="I44" s="159" t="str">
        <x:v>Proposed</x:v>
      </x:c>
      <x:c r="J44" s="153" t="str"/>
      <x:c r="K44" s="174" t="str"/>
    </x:row>
    <x:row r="45" ht="66" customHeight="1">
      <x:c r="A45" s="158" t="str">
        <x:v>Health</x:v>
      </x:c>
      <x:c r="B45" s="159" t="str">
        <x:v>Climate change and health: vulnerability and adaptation assessment</x:v>
      </x:c>
      <x:c r="C45" s="159" t="str">
        <x:v>World Health Organization (WHO) / Pan American Health Organization / Health Canada</x:v>
      </x:c>
      <x:c r="D45" s="177" t="n">
        <x:v>2021</x:v>
      </x:c>
      <x:c r="E45" s="159" t="str">
        <x:v>B</x:v>
      </x:c>
      <x:c r="F45" s="159" t="str">
        <x:v>International</x:v>
      </x:c>
      <x:c r="G45" s="159" t="str">
        <x:v>https://iris.who.int/server/api/core/bitstreams/6edda8d7-451e-4edc-b096-c84d76e1355b/content?download=1</x:v>
      </x:c>
      <x:c r="H45" s="159" t="str">
        <x:v>Retrieved</x:v>
      </x:c>
      <x:c r="I45" s="159" t="str">
        <x:v>Proposed</x:v>
      </x:c>
      <x:c r="J45" s="153" t="str"/>
      <x:c r="K45" s="174" t="str"/>
    </x:row>
    <x:row r="46" ht="66" customHeight="1">
      <x:c r="A46" s="158" t="str">
        <x:v>Health</x:v>
      </x:c>
      <x:c r="B46" s="159" t="str">
        <x:v>Documento teórico-metodológico do Setor Estratégico Saúde — Malária, LV, LTA e Arboviroses</x:v>
      </x:c>
      <x:c r="C46" s="159" t="str">
        <x:v>Instituto Nacional de Pesquisas Espaciais (INPE) / AdaptaBrasil MCTI</x:v>
      </x:c>
      <x:c r="D46" s="177" t="n">
        <x:v>2024</x:v>
      </x:c>
      <x:c r="E46" s="159" t="str">
        <x:v>A</x:v>
      </x:c>
      <x:c r="F46" s="159" t="str">
        <x:v>Brazil</x:v>
      </x:c>
      <x:c r="G46" s="159" t="str">
        <x:v>https://www.dropbox.com/scl/fi/rnyse7u9khoo004gdmgfj/Teorico-metodologico_Malaria_LV_LTA_Arboviroses_25_10_2024.pdf?rlkey=csmgsezm6y0mpornvvo6m37fy&amp;dl=1</x:v>
      </x:c>
      <x:c r="H46" s="159" t="str">
        <x:v>Retrieved</x:v>
      </x:c>
      <x:c r="I46" s="159" t="str">
        <x:v>Proposed</x:v>
      </x:c>
      <x:c r="J46" s="153" t="str"/>
      <x:c r="K46" s="174" t="str"/>
    </x:row>
    <x:row r="47" ht="66" customHeight="1">
      <x:c r="A47" s="158" t="str">
        <x:v>Health</x:v>
      </x:c>
      <x:c r="B47" s="159" t="str">
        <x:v>Guidance for Climate Resilient and Environmentally Sustainable Health Care Facilities</x:v>
      </x:c>
      <x:c r="C47" s="159" t="str">
        <x:v>World Health Organization (WHO)</x:v>
      </x:c>
      <x:c r="D47" s="177" t="n">
        <x:v>2020</x:v>
      </x:c>
      <x:c r="E47" s="159" t="str">
        <x:v>B</x:v>
      </x:c>
      <x:c r="F47" s="159" t="str">
        <x:v>International</x:v>
      </x:c>
      <x:c r="G47" s="159" t="str">
        <x:v>https://iris.who.int/server/api/core/bitstreams/f914ca26-bee6-4c17-bf53-36e613f2abbb/content?download=1</x:v>
      </x:c>
      <x:c r="H47" s="159" t="str">
        <x:v>Retrieved</x:v>
      </x:c>
      <x:c r="I47" s="159" t="str">
        <x:v>Proposed</x:v>
      </x:c>
      <x:c r="J47" s="153" t="str"/>
      <x:c r="K47" s="174" t="str"/>
    </x:row>
    <x:row r="48" ht="66" customHeight="1">
      <x:c r="A48" s="158" t="str">
        <x:v>Health</x:v>
      </x:c>
      <x:c r="B48" s="159" t="str">
        <x:v>Operational Framework for Building Climate Resilient Health Systems</x:v>
      </x:c>
      <x:c r="C48" s="159" t="str">
        <x:v>World Health Organization (WHO)</x:v>
      </x:c>
      <x:c r="D48" s="177" t="n">
        <x:v>2015</x:v>
      </x:c>
      <x:c r="E48" s="159" t="str">
        <x:v>B</x:v>
      </x:c>
      <x:c r="F48" s="159" t="str">
        <x:v>International</x:v>
      </x:c>
      <x:c r="G48" s="159" t="str">
        <x:v>https://iris.who.int/server/api/core/bitstreams/63c28858-bafe-4ba0-881a-af0517b7e1bf/content?download=1</x:v>
      </x:c>
      <x:c r="H48" s="159" t="str">
        <x:v>Retrieved</x:v>
      </x:c>
      <x:c r="I48" s="159" t="str">
        <x:v>Proposed</x:v>
      </x:c>
      <x:c r="J48" s="153" t="str"/>
      <x:c r="K48" s="174" t="str"/>
    </x:row>
    <x:row r="49" ht="66" customHeight="1">
      <x:c r="A49" s="158" t="str">
        <x:v>Water resources</x:v>
      </x:c>
      <x:c r="B49" s="159" t="str">
        <x:v>Climate Change 2022: Impacts, Adaptation and Vulnerability — Chapter 4: Water</x:v>
      </x:c>
      <x:c r="C49" s="159" t="str">
        <x:v>Intergovernmental Panel on Climate Change (IPCC)</x:v>
      </x:c>
      <x:c r="D49" s="177" t="n">
        <x:v>2022</x:v>
      </x:c>
      <x:c r="E49" s="159" t="str">
        <x:v>A</x:v>
      </x:c>
      <x:c r="F49" s="159" t="str">
        <x:v>International</x:v>
      </x:c>
      <x:c r="G49" s="159" t="str">
        <x:v>https://www.ipcc.ch/report/ar6/wg2/downloads/report/IPCC_AR6_WGII_Chapter04.pdf</x:v>
      </x:c>
      <x:c r="H49" s="159" t="str">
        <x:v>Retrieved</x:v>
      </x:c>
      <x:c r="I49" s="159" t="str">
        <x:v>Accepted</x:v>
      </x:c>
      <x:c r="J49" s="153" t="str"/>
      <x:c r="K49" s="174" t="str"/>
    </x:row>
    <x:row r="50" ht="66" customHeight="1">
      <x:c r="A50" s="158" t="str">
        <x:v>Water resources</x:v>
      </x:c>
      <x:c r="B50" s="159" t="str">
        <x:v>Flowing Forward: Freshwater Ecosystem Adaptation to Climate Change in Water Resources Management and Biodiversity Conservation</x:v>
      </x:c>
      <x:c r="C50" s="159" t="str">
        <x:v>World Bank / World Wildlife Fund (WWF)</x:v>
      </x:c>
      <x:c r="D50" s="177" t="n">
        <x:v>2010</x:v>
      </x:c>
      <x:c r="E50" s="159" t="str">
        <x:v>B</x:v>
      </x:c>
      <x:c r="F50" s="159" t="str">
        <x:v>International</x:v>
      </x:c>
      <x:c r="G50" s="159" t="str">
        <x:v>https://awsassets.panda.org/downloads/flowing_forward_freshwater_ecosystem_adaptation_to_climate_change.pdf</x:v>
      </x:c>
      <x:c r="H50" s="159" t="str">
        <x:v>Retrieved</x:v>
      </x:c>
      <x:c r="I50" s="159" t="str">
        <x:v>Accepted</x:v>
      </x:c>
      <x:c r="J50" s="153" t="str"/>
      <x:c r="K50" s="174" t="str"/>
    </x:row>
    <x:row r="51" ht="66" customHeight="1">
      <x:c r="A51" s="158" t="str">
        <x:v>Water resources</x:v>
      </x:c>
      <x:c r="B51" s="159" t="str">
        <x:v>Guidance on Water and Adaptation to Climate Change</x:v>
      </x:c>
      <x:c r="C51" s="159" t="str">
        <x:v>United Nations Economic Commission for Europe (UNECE)</x:v>
      </x:c>
      <x:c r="D51" s="177" t="n">
        <x:v>2009</x:v>
      </x:c>
      <x:c r="E51" s="159" t="str">
        <x:v>B</x:v>
      </x:c>
      <x:c r="F51" s="159" t="str">
        <x:v>International</x:v>
      </x:c>
      <x:c r="G51" s="159" t="str">
        <x:v>https://digitallibrary.un.org/record/670358/files/Guidance_water_climate.pdf</x:v>
      </x:c>
      <x:c r="H51" s="159" t="str">
        <x:v>Retrieved</x:v>
      </x:c>
      <x:c r="I51" s="159" t="str">
        <x:v>Accepted</x:v>
      </x:c>
      <x:c r="J51" s="153" t="str"/>
      <x:c r="K51" s="174" t="str"/>
    </x:row>
    <x:row r="52" ht="66" customHeight="1">
      <x:c r="A52" s="158" t="str">
        <x:v>Water resources</x:v>
      </x:c>
      <x:c r="B52" s="159" t="str">
        <x:v>Plano Nacional de Segurança Hídrica</x:v>
      </x:c>
      <x:c r="C52" s="159" t="str">
        <x:v>Agência Nacional de Águas (ANA) / Ministério do Desenvolvimento Regional</x:v>
      </x:c>
      <x:c r="D52" s="177" t="n">
        <x:v>2019</x:v>
      </x:c>
      <x:c r="E52" s="159" t="str">
        <x:v>A</x:v>
      </x:c>
      <x:c r="F52" s="159" t="str">
        <x:v>Brazil</x:v>
      </x:c>
      <x:c r="G52" s="159" t="str">
        <x:v>https://arquivos.ana.gov.br/pnsh/pnsh.pdf</x:v>
      </x:c>
      <x:c r="H52" s="159" t="str">
        <x:v>Retrieved</x:v>
      </x:c>
      <x:c r="I52" s="159" t="str">
        <x:v>Accepted</x:v>
      </x:c>
      <x:c r="J52" s="153" t="str"/>
      <x:c r="K52" s="174" t="str"/>
    </x:row>
    <x:row r="53" ht="66" customHeight="1">
      <x:c r="A53" s="158" t="str">
        <x:v>Water resources</x:v>
      </x:c>
      <x:c r="B53" s="159" t="str">
        <x:v>Programa Produtor de Água: Resultados e Perspectivas</x:v>
      </x:c>
      <x:c r="C53" s="159" t="str">
        <x:v>Agência Nacional de Águas e Saneamento Básico (ANA)</x:v>
      </x:c>
      <x:c r="D53" s="177" t="n">
        <x:v>2026</x:v>
      </x:c>
      <x:c r="E53" s="159" t="str">
        <x:v>C</x:v>
      </x:c>
      <x:c r="F53" s="159" t="str">
        <x:v>Brazil</x:v>
      </x:c>
      <x:c r="G53" s="159" t="str">
        <x:v>https://www.gov.br/ana/pt-br/acesso-a-informacao/acoes-e-programas/programa-produtor-de-agua/manuais-e-capacitacao/Programa_produtor_agua_digitalparaLANCAMENTO.pdf</x:v>
      </x:c>
      <x:c r="H53" s="159" t="str">
        <x:v>Retrieved</x:v>
      </x:c>
      <x:c r="I53" s="159" t="str">
        <x:v>Accepted</x:v>
      </x:c>
      <x:c r="J53" s="153" t="str"/>
      <x:c r="K53" s="174" t="str"/>
    </x:row>
    <x:row r="54" ht="66" customHeight="1">
      <x:c r="A54" s="158" t="str">
        <x:v>Water resources</x:v>
      </x:c>
      <x:c r="B54" s="159" t="str">
        <x:v>Teórico-metodológico para avaliação do risco de impacto das mudanças climáticas em Setores Estratégicos — Recursos Hídricos</x:v>
      </x:c>
      <x:c r="C54" s="159" t="str">
        <x:v>Instituto Nacional de Pesquisas Espaciais (INPE)</x:v>
      </x:c>
      <x:c r="D54" s="177" t="n">
        <x:v>2025</x:v>
      </x:c>
      <x:c r="E54" s="159" t="str">
        <x:v>A</x:v>
      </x:c>
      <x:c r="F54" s="159" t="str">
        <x:v>Brazil</x:v>
      </x:c>
      <x:c r="G54" s="159" t="str">
        <x:v>https://www.dropbox.com/scl/fi/iln5nsaomw5iaxnrarjam/Te-rico-metodol-gico_Recursos_Hidricos_2.0_19_08_2025.pdf?rlkey=c92kudj42qafe1xxyojskd1ui&amp;dl=1</x:v>
      </x:c>
      <x:c r="H54" s="159" t="str">
        <x:v>Retrieved</x:v>
      </x:c>
      <x:c r="I54" s="159" t="str">
        <x:v>Accepted</x:v>
      </x:c>
      <x:c r="J54" s="153" t="str"/>
      <x:c r="K54" s="174" t="str"/>
    </x:row>
    <x:row r="55" ht="66" customHeight="1">
      <x:c r="A55" s="158" t="str">
        <x:v>Water resources</x:v>
      </x:c>
      <x:c r="B55" s="159" t="str">
        <x:v>Water and Climate Change Adaptation in Transboundary Basins: Lessons Learned and Good Practices</x:v>
      </x:c>
      <x:c r="C55" s="159" t="str">
        <x:v>UNECE / International Network of Basin Organizations</x:v>
      </x:c>
      <x:c r="D55" s="177" t="n">
        <x:v>2015</x:v>
      </x:c>
      <x:c r="E55" s="159" t="str">
        <x:v>B</x:v>
      </x:c>
      <x:c r="F55" s="159" t="str">
        <x:v>International</x:v>
      </x:c>
      <x:c r="G55" s="159" t="str">
        <x:v>https://unece.org/info/publications/pub/21743</x:v>
      </x:c>
      <x:c r="H55" s="159" t="str">
        <x:v>Retrieved</x:v>
      </x:c>
      <x:c r="I55" s="159" t="str">
        <x:v>Accepted</x:v>
      </x:c>
      <x:c r="J55" s="153" t="str"/>
      <x:c r="K55" s="174" t="str"/>
    </x:row>
    <x:row r="56" ht="66" customHeight="1">
      <x:c r="A56" s="161" t="str">
        <x:v>Water resources</x:v>
      </x:c>
      <x:c r="B56" s="162" t="str">
        <x:v>Water Security and Climate Change: Insights from Country Climate and Development Reports</x:v>
      </x:c>
      <x:c r="C56" s="162" t="str">
        <x:v>World Bank</x:v>
      </x:c>
      <x:c r="D56" s="178" t="n">
        <x:v>2024</x:v>
      </x:c>
      <x:c r="E56" s="162" t="str">
        <x:v>B</x:v>
      </x:c>
      <x:c r="F56" s="162" t="str">
        <x:v>International</x:v>
      </x:c>
      <x:c r="G56" s="162" t="str">
        <x:v>https://documents1.worldbank.org/curated/en/099124511122431814/pdf/IDU1fa8a4c3a1fd8c14810194851fb785b73d02d.pdf</x:v>
      </x:c>
      <x:c r="H56" s="162" t="str">
        <x:v>Retrieved</x:v>
      </x:c>
      <x:c r="I56" s="162" t="str">
        <x:v>Accepted</x:v>
      </x:c>
      <x:c r="J56" s="154" t="str"/>
      <x:c r="K56" s="175" t="str"/>
    </x:row>
  </x:sheetData>
  <x:mergeCells>
    <x:mergeCell ref="A1:K1"/>
    <x:mergeCell ref="A2:K2"/>
  </x:mergeCells>
  <x:conditionalFormatting sqref="J5:J56">
    <x:cfRule type="containsText" dxfId="18" priority="1" operator="containsText" text="Accept"/>
    <x:cfRule type="containsText" dxfId="19" priority="2" operator="containsText" text="Needs change"/>
    <x:cfRule type="containsText" dxfId="20" priority="3" operator="containsText" text="Discuss"/>
  </x:conditionalFormatting>
  <x:conditionalFormatting sqref="I5:I56">
    <x:cfRule type="containsText" dxfId="21" priority="4" operator="containsText" text="Needs review"/>
    <x:cfRule type="containsText" dxfId="22" priority="5" operator="containsText" text="Accepted"/>
  </x:conditionalFormatting>
  <x:dataValidations count="1">
    <x:dataValidation type="list" sqref="J5:J56">
      <x:formula1>"Accept,Needs change,Discuss"</x:formula1>
    </x:dataValidation>
  </x:dataValidations>
  <x:pageMargins left="0.7" right="0.7" top="0.75" bottom="0.75" header="0.3" footer="0.3"/>
  <x:tableParts count="1">
    <x:tablePart xmlns:r="http://schemas.openxmlformats.org/officeDocument/2006/relationships" r:id="R62ab254e9bde49ee"/>
  </x:tableParts>
</x:worksheet>
</file>