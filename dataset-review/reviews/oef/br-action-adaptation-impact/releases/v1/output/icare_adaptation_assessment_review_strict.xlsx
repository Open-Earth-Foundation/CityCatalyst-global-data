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39074faf7d04064" /></Relationships>
</file>

<file path=xl/workbook.xml><?xml version="1.0" encoding="utf-8"?>
<x:workbook xmlns:x="http://schemas.openxmlformats.org/spreadsheetml/2006/main">
  <x:sheets>
    <x:sheet xmlns:r="http://schemas.openxmlformats.org/officeDocument/2006/relationships" name="Start Here" sheetId="1" r:id="R01571d1ef1d04c96"/>
    <x:sheet xmlns:r="http://schemas.openxmlformats.org/officeDocument/2006/relationships" name="Assessment Review" sheetId="2" r:id="R016f6ca631fe43ea"/>
    <x:sheet xmlns:r="http://schemas.openxmlformats.org/officeDocument/2006/relationships" name="Evidence Review" sheetId="3" r:id="R9b084ff38ab2440a"/>
    <x:sheet xmlns:r="http://schemas.openxmlformats.org/officeDocument/2006/relationships" name="Source Review" sheetId="4" r:id="R2aef82502cf54c70"/>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sz val="10"/>
      <x:color rgb="FF17364A"/>
      <x:name val="Carlito"/>
    </x:font>
    <x:font>
      <x:b/>
      <x:sz val="9"/>
      <x:color rgb="FFFFFFFF"/>
      <x:name val="Carlito"/>
    </x:font>
    <x:font>
      <x:sz val="9"/>
      <x:color rgb="FF17364A"/>
      <x:name val="Carlito"/>
    </x:font>
    <x:font>
      <x:b/>
      <x:sz val="10"/>
      <x:color rgb="FFFFFFFF"/>
      <x:name val="Carlito"/>
    </x:font>
    <x:font>
      <x:b/>
      <x:sz val="18"/>
      <x:color rgb="FF17364A"/>
      <x:name val="Carlito"/>
    </x:font>
    <x:font>
      <x:b/>
      <x:sz val="11"/>
      <x:color rgb="FF147D73"/>
      <x:name val="Carlito"/>
    </x:font>
    <x:font>
      <x:b/>
      <x:sz val="11"/>
      <x:color rgb="FF17364A"/>
      <x:name val="Carlito"/>
    </x:font>
  </x:fonts>
  <x:fills count="7">
    <x:fill>
      <x:patternFill patternType="none"/>
    </x:fill>
    <x:fill>
      <x:patternFill patternType="gray125"/>
    </x:fill>
    <x:fill>
      <x:patternFill patternType="solid">
        <x:fgColor rgb="FF123F56"/>
      </x:patternFill>
    </x:fill>
    <x:fill>
      <x:patternFill patternType="solid">
        <x:fgColor rgb="FFE7F1F7"/>
      </x:patternFill>
    </x:fill>
    <x:fill>
      <x:patternFill patternType="solid">
        <x:fgColor rgb="FF147D73"/>
      </x:patternFill>
    </x:fill>
    <x:fill>
      <x:patternFill patternType="solid">
        <x:fgColor rgb="FFFFF2CC"/>
      </x:patternFill>
    </x:fill>
    <x:fill>
      <x:patternFill patternType="solid">
        <x:fgColor rgb="FFDDF2E5"/>
      </x:patternFill>
    </x:fill>
  </x:fills>
  <x:borders count="7">
    <x:border/>
    <x:border>
      <x:left style="thin">
        <x:color rgb="FFB8D6E2"/>
      </x:left>
      <x:top style="thin">
        <x:color rgb="FFB8D6E2"/>
      </x:top>
    </x:border>
    <x:border>
      <x:right style="thin">
        <x:color rgb="FFB8D6E2"/>
      </x:right>
      <x:top style="thin">
        <x:color rgb="FFB8D6E2"/>
      </x:top>
    </x:border>
    <x:border>
      <x:left style="thin">
        <x:color rgb="FFB8D6E2"/>
      </x:left>
      <x:bottom style="thin">
        <x:color rgb="FFB8D6E2"/>
      </x:bottom>
    </x:border>
    <x:border>
      <x:right style="thin">
        <x:color rgb="FFB8D6E2"/>
      </x:right>
      <x:bottom style="thin">
        <x:color rgb="FFB8D6E2"/>
      </x:bottom>
    </x:border>
    <x:border>
      <x:left style="thin">
        <x:color rgb="FFB8D6E2"/>
      </x:left>
      <x:right style="thin">
        <x:color rgb="FFB8D6E2"/>
      </x:right>
      <x:top style="thin">
        <x:color rgb="FFB8D6E2"/>
      </x:top>
    </x:border>
    <x:border>
      <x:left style="thin">
        <x:color rgb="FFB8D6E2"/>
      </x:left>
      <x:right style="thin">
        <x:color rgb="FFB8D6E2"/>
      </x:right>
      <x:bottom style="thin">
        <x:color rgb="FFB8D6E2"/>
      </x:bottom>
    </x:border>
  </x:borders>
  <x:cellStyleXfs count="1">
    <x:xf numFmtId="0" fontId="0" fillId="0" borderId="0"/>
  </x:cellStyleXfs>
  <x:cellXfs count="4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5" fillId="4" borderId="0" xfId="0" applyNumberFormat="1" applyFont="1" applyFill="1" applyBorder="1"/>
    <x:xf numFmtId="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6" fillId="6" borderId="1" xfId="0" applyNumberFormat="1" applyFont="1" applyFill="1" applyBorder="1"/>
    <x:xf numFmtId="0" fontId="6" fillId="6" borderId="2" xfId="0" applyNumberFormat="1" applyFont="1" applyFill="1" applyBorder="1"/>
    <x:xf numFmtId="0" fontId="6" fillId="6" borderId="3" xfId="0" applyNumberFormat="1" applyFont="1" applyFill="1" applyBorder="1"/>
    <x:xf numFmtId="0" fontId="6" fillId="6" borderId="4" xfId="0" applyNumberFormat="1" applyFont="1" applyFill="1" applyBorder="1"/>
    <x:xf numFmtId="0" fontId="6" fillId="6" borderId="1" xfId="0" applyNumberFormat="1" applyFont="1" applyFill="1" applyBorder="1" applyAlignment="1">
      <x:alignment horizontal="center"/>
    </x:xf>
    <x:xf numFmtId="0" fontId="6" fillId="6" borderId="2" xfId="0" applyNumberFormat="1" applyFont="1" applyFill="1" applyBorder="1" applyAlignment="1">
      <x:alignment horizontal="center"/>
    </x:xf>
    <x:xf numFmtId="0" fontId="6" fillId="6" borderId="3" xfId="0" applyNumberFormat="1" applyFont="1" applyFill="1" applyBorder="1" applyAlignment="1">
      <x:alignment horizontal="center"/>
    </x:xf>
    <x:xf numFmtId="0" fontId="6" fillId="6" borderId="4" xfId="0" applyNumberFormat="1" applyFont="1" applyFill="1" applyBorder="1" applyAlignment="1">
      <x:alignment horizontal="center"/>
    </x:xf>
    <x:xf numFmtId="0" fontId="6" fillId="6" borderId="1" xfId="0" applyNumberFormat="1" applyFont="1" applyFill="1" applyBorder="1" applyAlignment="1">
      <x:alignment horizontal="center" vertical="center"/>
    </x:xf>
    <x:xf numFmtId="0" fontId="6" fillId="6" borderId="2" xfId="0" applyNumberFormat="1" applyFont="1" applyFill="1" applyBorder="1" applyAlignment="1">
      <x:alignment horizontal="center" vertical="center"/>
    </x:xf>
    <x:xf numFmtId="0" fontId="6" fillId="6" borderId="3" xfId="0" applyNumberFormat="1" applyFont="1" applyFill="1" applyBorder="1" applyAlignment="1">
      <x:alignment horizontal="center" vertical="center"/>
    </x:xf>
    <x:xf numFmtId="0" fontId="6" fillId="6" borderId="4" xfId="0" applyNumberFormat="1" applyFont="1" applyFill="1" applyBorder="1" applyAlignment="1">
      <x:alignment horizontal="center" vertical="center"/>
    </x:xf>
    <x:xf numFmtId="0" fontId="6" fillId="6" borderId="5" xfId="0" applyNumberFormat="1" applyFont="1" applyFill="1" applyBorder="1"/>
    <x:xf numFmtId="0" fontId="6" fillId="6" borderId="6" xfId="0" applyNumberFormat="1" applyFont="1" applyFill="1" applyBorder="1"/>
    <x:xf numFmtId="0" fontId="6" fillId="6" borderId="5" xfId="0" applyNumberFormat="1" applyFont="1" applyFill="1" applyBorder="1" applyAlignment="1">
      <x:alignment horizontal="center"/>
    </x:xf>
    <x:xf numFmtId="0" fontId="6" fillId="6" borderId="6" xfId="0" applyNumberFormat="1" applyFont="1" applyFill="1" applyBorder="1" applyAlignment="1">
      <x:alignment horizontal="center"/>
    </x:xf>
    <x:xf numFmtId="0" fontId="6" fillId="6" borderId="5" xfId="0" applyNumberFormat="1" applyFont="1" applyFill="1" applyBorder="1" applyAlignment="1">
      <x:alignment horizontal="center" vertical="center"/>
    </x:xf>
    <x:xf numFmtId="0" fontId="6" fillId="6" borderId="6" xfId="0" applyNumberFormat="1" applyFont="1" applyFill="1" applyBorder="1" applyAlignment="1">
      <x:alignment horizontal="center" vertical="center"/>
    </x:xf>
    <x:xf numFmtId="0" fontId="0" fillId="5"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0" xfId="0" applyNumberFormat="1" applyFont="1" applyFill="1" applyBorder="1" applyAlignment="1">
      <x:alignment horizontal="center" vertical="center"/>
    </x:xf>
    <x:xf numFmtId="0" fontId="8" fillId="3" borderId="0" xfId="0" applyNumberFormat="1" applyFont="1" applyFill="1" applyBorder="1"/>
    <x:xf numFmtId="0" fontId="8" fillId="3" borderId="0" xfId="0" applyNumberFormat="1" applyFont="1" applyFill="1" applyBorder="1" applyAlignment="1">
      <x:alignment vertical="center"/>
    </x:xf>
  </x:cellXfs>
  <x:cellStyles count="1">
    <x:cellStyle name="Normal" xfId="0"/>
  </x:cellStyles>
  <x:dxfs count="10">
    <x:dxf>
      <x:fill>
        <x:patternFill patternType="solid">
          <x:bgColor rgb="FFDDF2E5"/>
        </x:patternFill>
      </x:fill>
    </x:dxf>
    <x:dxf>
      <x:fill>
        <x:patternFill patternType="solid">
          <x:bgColor rgb="FFDDF2E5"/>
        </x:patternFill>
      </x:fill>
    </x:dxf>
    <x:dxf>
      <x:fill>
        <x:patternFill patternType="solid">
          <x:bgColor rgb="FFE7F1F7"/>
        </x:patternFill>
      </x:fill>
    </x:dxf>
    <x:dxf>
      <x:fill>
        <x:patternFill patternType="solid">
          <x:bgColor rgb="FFE7F1F7"/>
        </x:patternFill>
      </x:fill>
    </x:dxf>
    <x:dxf>
      <x:fill>
        <x:patternFill patternType="solid">
          <x:bgColor rgb="FFFFF2CC"/>
        </x:patternFill>
      </x:fill>
    </x:dxf>
    <x:dxf>
      <x:fill>
        <x:patternFill patternType="solid">
          <x:bgColor rgb="FFFFF2CC"/>
        </x:patternFill>
      </x:fill>
    </x:dxf>
    <x:dxf>
      <x:fill>
        <x:patternFill patternType="solid">
          <x:bgColor rgb="FFEDF1F4"/>
        </x:patternFill>
      </x:fill>
    </x:dxf>
    <x:dxf>
      <x:fill>
        <x:patternFill patternType="solid">
          <x:bgColor rgb="FFEDF1F4"/>
        </x:patternFill>
      </x:fill>
    </x:dxf>
    <x:dxf>
      <x:fill>
        <x:patternFill patternType="solid">
          <x:bgColor rgb="FFFCE4B2"/>
        </x:patternFill>
      </x:fill>
    </x:dxf>
    <x:dxf>
      <x:fill>
        <x:patternFill patternType="solid">
          <x:bgColor rgb="FFFCE4B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7281120f1b4b1c" /><Relationship Type="http://schemas.openxmlformats.org/officeDocument/2006/relationships/theme" Target="/xl/theme/theme1.xml" Id="Rb2bf368eb9d248b6" /><Relationship Type="http://schemas.openxmlformats.org/officeDocument/2006/relationships/sharedStrings" Target="/xl/sharedStrings.xml" Id="R07f88fcc3deb4858" /><Relationship Type="http://schemas.openxmlformats.org/officeDocument/2006/relationships/worksheet" Target="/xl/worksheets/sheet1.xml" Id="R01571d1ef1d04c96" /><Relationship Type="http://schemas.openxmlformats.org/officeDocument/2006/relationships/worksheet" Target="/xl/worksheets/sheet2.xml" Id="R016f6ca631fe43ea" /><Relationship Type="http://schemas.openxmlformats.org/officeDocument/2006/relationships/worksheet" Target="/xl/worksheets/sheet3.xml" Id="R9b084ff38ab2440a" /><Relationship Type="http://schemas.openxmlformats.org/officeDocument/2006/relationships/worksheet" Target="/xl/worksheets/sheet4.xml" Id="R2aef82502cf54c70" /></Relationships>
</file>

<file path=xl/tables/table1.xml><?xml version="1.0" encoding="utf-8"?>
<x:table xmlns:x="http://schemas.openxmlformats.org/spreadsheetml/2006/main" id="1" name="AssessmentReviewTable" displayName="AssessmentReviewTable" ref="A4:T339" headerRowCount="1" totalsRowCount="0" totalsRowShown="0">
  <x:autoFilter ref="A4:T339"/>
  <x:tableColumns count="20">
    <x:tableColumn id="1" name="Action ID"/>
    <x:tableColumn id="2" name="Action"/>
    <x:tableColumn id="3" name="Sector"/>
    <x:tableColumn id="4" name="Risk"/>
    <x:tableColumn id="5" name="Component"/>
    <x:tableColumn id="6" name="ICare decision"/>
    <x:tableColumn id="7" name="ICare feedback"/>
    <x:tableColumn id="8" name="Eligibility"/>
    <x:tableColumn id="9" name="Effectiveness"/>
    <x:tableColumn id="10" name="Evidence coverage"/>
    <x:tableColumn id="11" name="Maladaptation signal"/>
    <x:tableColumn id="12" name="Time horizon"/>
    <x:tableColumn id="13" name="Evidence quotes"/>
    <x:tableColumn id="14" name="Screened sources"/>
    <x:tableColumn id="15" name="Review flag"/>
    <x:tableColumn id="16" name="Direct indicators"/>
    <x:tableColumn id="17" name="Indirect indicators"/>
    <x:tableColumn id="18" name="Eligibility rationale"/>
    <x:tableColumn id="19" name="Effectiveness rationale"/>
    <x:tableColumn id="20" name="Action definition"/>
  </x:tableColumns>
  <x:tableStyleInfo name="TableStyleMedium2" showFirstColumn="0" showLastColumn="0" showRowStripes="1" showColumnStripes="0"/>
</x:table>
</file>

<file path=xl/tables/table2.xml><?xml version="1.0" encoding="utf-8"?>
<x:table xmlns:x="http://schemas.openxmlformats.org/spreadsheetml/2006/main" id="2" name="EvidenceReviewTable" displayName="EvidenceReviewTable" ref="A4:T144" headerRowCount="1" totalsRowCount="0" totalsRowShown="0">
  <x:autoFilter ref="A4:T144"/>
  <x:tableColumns count="20">
    <x:tableColumn id="1" name="Action ID"/>
    <x:tableColumn id="2" name="Action"/>
    <x:tableColumn id="3" name="Sector"/>
    <x:tableColumn id="4" name="Risk"/>
    <x:tableColumn id="5" name="Component"/>
    <x:tableColumn id="6" name="ICare decision"/>
    <x:tableColumn id="7" name="ICare feedback"/>
    <x:tableColumn id="8" name="Evidence source"/>
    <x:tableColumn id="9" name="Source URL"/>
    <x:tableColumn id="10" name="PDF page"/>
    <x:tableColumn id="11" name="Printed page"/>
    <x:tableColumn id="12" name="Grounding"/>
    <x:tableColumn id="13" name="Grounding note"/>
    <x:tableColumn id="14" name="Direction"/>
    <x:tableColumn id="15" name="Coverage scope"/>
    <x:tableColumn id="16" name="Maladaptation signal"/>
    <x:tableColumn id="17" name="Indicators addressed"/>
    <x:tableColumn id="18" name="Evidence quote"/>
    <x:tableColumn id="19" name="Outcome signal"/>
    <x:tableColumn id="20" name="Proposed effectiveness"/>
  </x:tableColumns>
  <x:tableStyleInfo name="TableStyleMedium2" showFirstColumn="0" showLastColumn="0" showRowStripes="1" showColumnStripes="0"/>
</x:table>
</file>

<file path=xl/tables/table3.xml><?xml version="1.0" encoding="utf-8"?>
<x:table xmlns:x="http://schemas.openxmlformats.org/spreadsheetml/2006/main" id="3" name="SourceReviewTable" displayName="SourceReviewTable" ref="A4:L74" headerRowCount="1" totalsRowCount="0" totalsRowShown="0">
  <x:autoFilter ref="A4:L74"/>
  <x:tableColumns count="12">
    <x:tableColumn id="1" name="Sector(s)"/>
    <x:tableColumn id="2" name="Source title"/>
    <x:tableColumn id="3" name="Publisher"/>
    <x:tableColumn id="4" name="Publication year"/>
    <x:tableColumn id="5" name="Tier"/>
    <x:tableColumn id="6" name="Scope"/>
    <x:tableColumn id="7" name="Source URL"/>
    <x:tableColumn id="8" name="PDF pages"/>
    <x:tableColumn id="9" name="Access"/>
    <x:tableColumn id="10" name="Current review flag"/>
    <x:tableColumn id="11" name="ICare decision"/>
    <x:tableColumn id="12" name="ICare feedbac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9c361b4c89a46bb" /></Relationships>
</file>

<file path=xl/worksheets/_rels/sheet3.xml.rels>&#65279;<?xml version="1.0" encoding="utf-8"?><Relationships xmlns="http://schemas.openxmlformats.org/package/2006/relationships"><Relationship Type="http://schemas.openxmlformats.org/officeDocument/2006/relationships/table" Target="/xl/tables/table2.xml" Id="R6a723139f55646ff" /></Relationships>
</file>

<file path=xl/worksheets/_rels/sheet4.xml.rels>&#65279;<?xml version="1.0" encoding="utf-8"?><Relationships xmlns="http://schemas.openxmlformats.org/package/2006/relationships"><Relationship Type="http://schemas.openxmlformats.org/officeDocument/2006/relationships/table" Target="/xl/tables/table3.xml" Id="R900a94d5ee1d46d1"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24"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s>
  <x:sheetData>
    <x:row r="1" ht="30" customHeight="1">
      <x:c r="A1" s="3" t="str">
        <x:v>ICare review — strict adaptation action-to-risk assessment</x:v>
      </x:c>
      <x:c r="B1" s="3"/>
      <x:c r="C1" s="3"/>
      <x:c r="D1" s="3"/>
      <x:c r="E1" s="3"/>
      <x:c r="F1" s="3"/>
      <x:c r="G1" s="3"/>
      <x:c r="H1" s="3"/>
      <x:c r="I1" s="3"/>
      <x:c r="J1" s="3"/>
    </x:row>
    <x:row r="2" ht="40" customHeight="1">
      <x:c r="A2" s="7" t="str">
        <x:v>Review the proposed direct and indirect indicator mappings, component-level effectiveness, evidence quotes and source documents. Evidence is retained only for the exact action + sector + risk + component context. Action IDs are retained; generated technical IDs are omitted.</x:v>
      </x:c>
      <x:c r="B2" s="7"/>
      <x:c r="C2" s="7"/>
      <x:c r="D2" s="7"/>
      <x:c r="E2" s="7"/>
      <x:c r="F2" s="7"/>
      <x:c r="G2" s="7"/>
      <x:c r="H2" s="7"/>
      <x:c r="I2" s="7"/>
      <x:c r="J2" s="7"/>
    </x:row>
    <x:row r="4">
      <x:c r="A4" s="18" t="str">
        <x:v>Assessment groups</x:v>
      </x:c>
      <x:c r="B4" s="18"/>
      <x:c r="D4" s="18" t="str">
        <x:v>Direct assessments</x:v>
      </x:c>
      <x:c r="E4" s="18"/>
      <x:c r="G4" s="18" t="str">
        <x:v>Indirect-only assessments</x:v>
      </x:c>
      <x:c r="H4" s="18"/>
      <x:c r="J4" s="18" t="str">
        <x:v>Evidence quotes</x:v>
      </x:c>
    </x:row>
    <x:row r="5">
      <x:c r="A5" s="29" t="n">
        <x:f>COUNTA('Assessment Review'!$A$5:$A$339)</x:f>
        <x:v>335</x:v>
      </x:c>
      <x:c r="B5" s="30"/>
      <x:c r="D5" s="29" t="n">
        <x:f>COUNTIF('Assessment Review'!$H$5:$H$339,"Direct")</x:f>
        <x:v>232</x:v>
      </x:c>
      <x:c r="E5" s="30"/>
      <x:c r="G5" s="29" t="n">
        <x:f>COUNTIF('Assessment Review'!$H$5:$H$339,"Indirect")</x:f>
        <x:v>103</x:v>
      </x:c>
      <x:c r="H5" s="30"/>
      <x:c r="J5" s="37" t="n">
        <x:f>COUNTA('Evidence Review'!$A$5:$A$144)</x:f>
        <x:v>140</x:v>
      </x:c>
    </x:row>
    <x:row r="6">
      <x:c r="A6" s="31"/>
      <x:c r="B6" s="32"/>
      <x:c r="D6" s="31"/>
      <x:c r="E6" s="32"/>
      <x:c r="G6" s="31"/>
      <x:c r="H6" s="32"/>
      <x:c r="J6" s="38"/>
    </x:row>
    <x:row r="8">
      <x:c r="A8" s="18" t="str">
        <x:v>High effectiveness</x:v>
      </x:c>
      <x:c r="B8" s="18"/>
      <x:c r="D8" s="18" t="str">
        <x:v>Medium effectiveness</x:v>
      </x:c>
      <x:c r="E8" s="18"/>
      <x:c r="G8" s="18" t="str">
        <x:v>Low effectiveness</x:v>
      </x:c>
      <x:c r="H8" s="18"/>
      <x:c r="J8" s="18" t="str">
        <x:v>No demonstrated</x:v>
      </x:c>
    </x:row>
    <x:row r="9">
      <x:c r="A9" s="29" t="n">
        <x:f>COUNTIF('Assessment Review'!$I$5:$I$339,"High effectiveness")</x:f>
        <x:v>0</x:v>
      </x:c>
      <x:c r="B9" s="30"/>
      <x:c r="D9" s="29" t="n">
        <x:f>COUNTIF('Assessment Review'!$I$5:$I$339,"Medium effectiveness")</x:f>
        <x:v>37</x:v>
      </x:c>
      <x:c r="E9" s="30"/>
      <x:c r="G9" s="29" t="n">
        <x:f>COUNTIF('Assessment Review'!$I$5:$I$339,"Low effectiveness")</x:f>
        <x:v>2</x:v>
      </x:c>
      <x:c r="H9" s="30"/>
      <x:c r="J9" s="37" t="n">
        <x:f>COUNTIF('Assessment Review'!$I$5:$I$339,"No demonstrated effectiveness")</x:f>
        <x:v>193</x:v>
      </x:c>
    </x:row>
    <x:row r="10">
      <x:c r="A10" s="31"/>
      <x:c r="B10" s="32"/>
      <x:c r="D10" s="31"/>
      <x:c r="E10" s="32"/>
      <x:c r="G10" s="31"/>
      <x:c r="H10" s="32"/>
      <x:c r="J10" s="38"/>
    </x:row>
    <x:row r="12">
      <x:c r="A12" s="3" t="str">
        <x:v>Reviewer details</x:v>
      </x:c>
      <x:c r="B12" s="3"/>
      <x:c r="C12" s="3"/>
      <x:c r="D12" s="3"/>
      <x:c r="E12" s="3"/>
      <x:c r="F12" s="3"/>
      <x:c r="G12" s="3"/>
      <x:c r="H12" s="3"/>
      <x:c r="I12" s="3"/>
      <x:c r="J12" s="3"/>
    </x:row>
    <x:row r="13">
      <x:c r="A13" t="str">
        <x:v>Reviewer name</x:v>
      </x:c>
      <x:c r="B13" s="39"/>
      <x:c r="C13" s="39"/>
      <x:c r="D13" s="39"/>
      <x:c r="E13" s="39"/>
      <x:c r="F13" s="39"/>
      <x:c r="G13" s="39"/>
      <x:c r="H13" t="str">
        <x:v>Review date</x:v>
      </x:c>
      <x:c r="I13" s="39"/>
      <x:c r="J13" s="39"/>
    </x:row>
    <x:row r="15">
      <x:c r="A15" s="3" t="str">
        <x:v>How to review</x:v>
      </x:c>
      <x:c r="B15" s="3"/>
      <x:c r="C15" s="3"/>
      <x:c r="D15" s="3"/>
      <x:c r="E15" s="3"/>
      <x:c r="F15" s="3"/>
      <x:c r="G15" s="3"/>
      <x:c r="H15" s="3"/>
      <x:c r="I15" s="3"/>
      <x:c r="J15" s="3"/>
    </x:row>
    <x:row r="16" ht="38" customHeight="1">
      <x:c r="A16" s="42" t="n">
        <x:v>1</x:v>
      </x:c>
      <x:c r="B16" s="14" t="str">
        <x:v>Start with Source Review</x:v>
      </x:c>
      <x:c r="C16" s="14"/>
      <x:c r="D16" s="14" t="str">
        <x:v>Confirm each source title, publisher, year, tier and PDF link is suitable.</x:v>
      </x:c>
      <x:c r="E16" s="14"/>
      <x:c r="F16" s="14"/>
      <x:c r="G16" s="14"/>
      <x:c r="H16" s="14"/>
      <x:c r="I16" s="14"/>
      <x:c r="J16" s="14"/>
    </x:row>
    <x:row r="17" ht="38" customHeight="1">
      <x:c r="A17" s="42" t="n">
        <x:v>2</x:v>
      </x:c>
      <x:c r="B17" s="14" t="str">
        <x:v>Review Direct and Indirect decisions</x:v>
      </x:c>
      <x:c r="C17" s="14"/>
      <x:c r="D17" s="14" t="str">
        <x:v>In Assessment Review, confirm whether the action directly changes each named indicator. Direct is eligible; Indirect remains visible but is not eligible.</x:v>
      </x:c>
      <x:c r="E17" s="14"/>
      <x:c r="F17" s="14"/>
      <x:c r="G17" s="14"/>
      <x:c r="H17" s="14"/>
      <x:c r="I17" s="14"/>
      <x:c r="J17" s="14"/>
    </x:row>
    <x:row r="18" ht="38" customHeight="1">
      <x:c r="A18" s="42" t="n">
        <x:v>3</x:v>
      </x:c>
      <x:c r="B18" s="14" t="str">
        <x:v>Review component effectiveness</x:v>
      </x:c>
      <x:c r="C18" s="14"/>
      <x:c r="D18" s="14" t="str">
        <x:v>For Direct assessments, check the proposed effectiveness, outcome strength and whether evidence covers the whole action or only part of it.</x:v>
      </x:c>
      <x:c r="E18" s="14"/>
      <x:c r="F18" s="14"/>
      <x:c r="G18" s="14"/>
      <x:c r="H18" s="14"/>
      <x:c r="I18" s="14"/>
      <x:c r="J18" s="14"/>
    </x:row>
    <x:row r="19" ht="38" customHeight="1">
      <x:c r="A19" s="42" t="n">
        <x:v>4</x:v>
      </x:c>
      <x:c r="B19" s="14" t="str">
        <x:v>Review every evidence quote</x:v>
      </x:c>
      <x:c r="C19" s="14"/>
      <x:c r="D19" s="14" t="str">
        <x:v>Check that the quote supports the exact action, sector, risk, component and named indicators—not only the action in general.</x:v>
      </x:c>
      <x:c r="E19" s="14"/>
      <x:c r="F19" s="14"/>
      <x:c r="G19" s="14"/>
      <x:c r="H19" s="14"/>
      <x:c r="I19" s="14"/>
      <x:c r="J19" s="14"/>
    </x:row>
    <x:row r="20" ht="38" customHeight="1">
      <x:c r="A20" s="42" t="n">
        <x:v>5</x:v>
      </x:c>
      <x:c r="B20" s="14" t="str">
        <x:v>Record feedback</x:v>
      </x:c>
      <x:c r="C20" s="14"/>
      <x:c r="D20" s="14" t="str">
        <x:v>Use the yellow ICare decision and feedback columns. Choose Accept, Needs change or Discuss.</x:v>
      </x:c>
      <x:c r="E20" s="14"/>
      <x:c r="F20" s="14"/>
      <x:c r="G20" s="14"/>
      <x:c r="H20" s="14"/>
      <x:c r="I20" s="14"/>
      <x:c r="J20" s="14"/>
    </x:row>
    <x:row r="22">
      <x:c r="A22" s="3" t="str">
        <x:v>Interpretation notes</x:v>
      </x:c>
      <x:c r="B22" s="3"/>
      <x:c r="C22" s="3"/>
      <x:c r="D22" s="3"/>
      <x:c r="E22" s="3"/>
      <x:c r="F22" s="3"/>
      <x:c r="G22" s="3"/>
      <x:c r="H22" s="3"/>
      <x:c r="I22" s="3"/>
      <x:c r="J22" s="3"/>
    </x:row>
    <x:row r="23" ht="34" customHeight="1">
      <x:c r="A23" s="44" t="str">
        <x:v>Direct</x:v>
      </x:c>
      <x:c r="B23" s="44"/>
      <x:c r="C23" s="14" t="str">
        <x:v>The action's primary mechanism changes the exact indicator without another intervention. This is the only eligible relationship.</x:v>
      </x:c>
      <x:c r="D23" s="14"/>
      <x:c r="E23" s="14"/>
      <x:c r="F23" s="14"/>
      <x:c r="G23" s="14"/>
      <x:c r="H23" s="14"/>
      <x:c r="I23" s="14"/>
      <x:c r="J23" s="14"/>
    </x:row>
    <x:row r="24" ht="34" customHeight="1">
      <x:c r="A24" s="44" t="str">
        <x:v>Indirect</x:v>
      </x:c>
      <x:c r="B24" s="44"/>
      <x:c r="C24" s="14" t="str">
        <x:v>The indicator may change through a secondary effect, co-benefit or another intervention. It remains visible for review but is not eligible.</x:v>
      </x:c>
      <x:c r="D24" s="14"/>
      <x:c r="E24" s="14"/>
      <x:c r="F24" s="14"/>
      <x:c r="G24" s="14"/>
      <x:c r="H24" s="14"/>
      <x:c r="I24" s="14"/>
      <x:c r="J24" s="14"/>
    </x:row>
    <x:row r="25" ht="34" customHeight="1">
      <x:c r="A25" s="44" t="str">
        <x:v>High effectiveness</x:v>
      </x:c>
      <x:c r="B25" s="44"/>
      <x:c r="C25" s="14" t="str">
        <x:v>Direct evidence demonstrates a strong or quantified outcome without a material qualifier.</x:v>
      </x:c>
      <x:c r="D25" s="14"/>
      <x:c r="E25" s="14"/>
      <x:c r="F25" s="14"/>
      <x:c r="G25" s="14"/>
      <x:c r="H25" s="14"/>
      <x:c r="I25" s="14"/>
      <x:c r="J25" s="14"/>
    </x:row>
    <x:row r="26" ht="34" customHeight="1">
      <x:c r="A26" s="44" t="str">
        <x:v>Medium effectiveness</x:v>
      </x:c>
      <x:c r="B26" s="44"/>
      <x:c r="C26" s="14" t="str">
        <x:v>Direct evidence demonstrates a moderate, conditional, context-dependent, mixed or partial-action outcome.</x:v>
      </x:c>
      <x:c r="D26" s="14"/>
      <x:c r="E26" s="14"/>
      <x:c r="F26" s="14"/>
      <x:c r="G26" s="14"/>
      <x:c r="H26" s="14"/>
      <x:c r="I26" s="14"/>
      <x:c r="J26" s="14"/>
    </x:row>
    <x:row r="27" ht="34" customHeight="1">
      <x:c r="A27" s="44" t="str">
        <x:v>Low effectiveness</x:v>
      </x:c>
      <x:c r="B27" s="44"/>
      <x:c r="C27" s="14" t="str">
        <x:v>Direct evidence explicitly reports a limited positive outcome. Uncertainty alone is not Low effectiveness.</x:v>
      </x:c>
      <x:c r="D27" s="14"/>
      <x:c r="E27" s="14"/>
      <x:c r="F27" s="14"/>
      <x:c r="G27" s="14"/>
      <x:c r="H27" s="14"/>
      <x:c r="I27" s="14"/>
      <x:c r="J27" s="14"/>
    </x:row>
    <x:row r="28" ht="34" customHeight="1">
      <x:c r="A28" s="44" t="str">
        <x:v>No demonstrated</x:v>
      </x:c>
      <x:c r="B28" s="44"/>
      <x:c r="C28" s="14" t="str">
        <x:v>No retained evidence demonstrates an effectiveness level. This does not prove the action is ineffective.</x:v>
      </x:c>
      <x:c r="D28" s="14"/>
      <x:c r="E28" s="14"/>
      <x:c r="F28" s="14"/>
      <x:c r="G28" s="14"/>
      <x:c r="H28" s="14"/>
      <x:c r="I28" s="14"/>
      <x:c r="J28" s="14"/>
    </x:row>
    <x:row r="29" ht="34" customHeight="1">
      <x:c r="A29" s="44" t="str">
        <x:v>Grounding</x:v>
      </x:c>
      <x:c r="B29" s="44"/>
      <x:c r="C29" s="14" t="str">
        <x:v>Verified exact and Verified ordered quotes were checked against extracted PDF text. Check layout quotes need visual confirmation.</x:v>
      </x:c>
      <x:c r="D29" s="14"/>
      <x:c r="E29" s="14"/>
      <x:c r="F29" s="14"/>
      <x:c r="G29" s="14"/>
      <x:c r="H29" s="14"/>
      <x:c r="I29" s="14"/>
      <x:c r="J29" s="14"/>
    </x:row>
    <x:row r="30" ht="34" customHeight="1">
      <x:c r="A30" s="44" t="str">
        <x:v>Brazilian plans</x:v>
      </x:c>
      <x:c r="B30" s="44"/>
      <x:c r="C30" s="14" t="str">
        <x:v>The six 2025 plans were screened as context. Policy targets and intended effects were not treated as demonstrated outcomes.</x:v>
      </x:c>
      <x:c r="D30" s="14"/>
      <x:c r="E30" s="14"/>
      <x:c r="F30" s="14"/>
      <x:c r="G30" s="14"/>
      <x:c r="H30" s="14"/>
      <x:c r="I30" s="14"/>
      <x:c r="J30" s="14"/>
    </x:row>
    <x:row r="31" ht="34" customHeight="1">
      <x:c r="A31" s="44" t="str">
        <x:v>Identifiers</x:v>
      </x:c>
      <x:c r="B31" s="44"/>
      <x:c r="C31" s="14" t="str">
        <x:v>Use Action ID + Sector + Risk + Component when giving feedback. Generated evidence, source and mapping IDs are omitted.</x:v>
      </x:c>
      <x:c r="D31" s="14"/>
      <x:c r="E31" s="14"/>
      <x:c r="F31" s="14"/>
      <x:c r="G31" s="14"/>
      <x:c r="H31" s="14"/>
      <x:c r="I31" s="14"/>
      <x:c r="J31" s="14"/>
    </x:row>
  </x:sheetData>
  <x:mergeCells>
    <x:mergeCell ref="A1:J1"/>
    <x:mergeCell ref="A2:J2"/>
    <x:mergeCell ref="A4:B4"/>
    <x:mergeCell ref="D4:E4"/>
    <x:mergeCell ref="G4:H4"/>
    <x:mergeCell ref="A8:B8"/>
    <x:mergeCell ref="D8:E8"/>
    <x:mergeCell ref="G8:H8"/>
    <x:mergeCell ref="A5:B6"/>
    <x:mergeCell ref="D5:E6"/>
    <x:mergeCell ref="G5:H6"/>
    <x:mergeCell ref="J5:J6"/>
    <x:mergeCell ref="A9:B10"/>
    <x:mergeCell ref="D9:E10"/>
    <x:mergeCell ref="G9:H10"/>
    <x:mergeCell ref="J9:J10"/>
    <x:mergeCell ref="A12:J12"/>
    <x:mergeCell ref="B13:G13"/>
    <x:mergeCell ref="I13:J13"/>
    <x:mergeCell ref="A15:J15"/>
    <x:mergeCell ref="B16:C16"/>
    <x:mergeCell ref="D16:J16"/>
    <x:mergeCell ref="B17:C17"/>
    <x:mergeCell ref="D17:J17"/>
    <x:mergeCell ref="B18:C18"/>
    <x:mergeCell ref="D18:J18"/>
    <x:mergeCell ref="B19:C19"/>
    <x:mergeCell ref="D19:J19"/>
    <x:mergeCell ref="B20:C20"/>
    <x:mergeCell ref="D20:J20"/>
    <x:mergeCell ref="A22:J22"/>
    <x:mergeCell ref="A23:B23"/>
    <x:mergeCell ref="C23:J23"/>
    <x:mergeCell ref="A24:B24"/>
    <x:mergeCell ref="C24:J24"/>
    <x:mergeCell ref="A25:B25"/>
    <x:mergeCell ref="C25:J25"/>
    <x:mergeCell ref="A26:B26"/>
    <x:mergeCell ref="C26:J26"/>
    <x:mergeCell ref="A27:B27"/>
    <x:mergeCell ref="C27:J27"/>
    <x:mergeCell ref="A28:B28"/>
    <x:mergeCell ref="C28:J28"/>
    <x:mergeCell ref="A29:B29"/>
    <x:mergeCell ref="C29:J29"/>
    <x:mergeCell ref="A30:B30"/>
    <x:mergeCell ref="C30:J30"/>
    <x:mergeCell ref="A31:B31"/>
    <x:mergeCell ref="C31:J3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22" hidden="0" customWidth="1"/>
    <x:col min="4" max="4" width="26" hidden="0" customWidth="1"/>
    <x:col min="5" max="5" width="17" hidden="0" customWidth="1"/>
    <x:col min="6" max="6" width="17" hidden="0" customWidth="1"/>
    <x:col min="7" max="7" width="30" hidden="0" customWidth="1"/>
    <x:col min="8" max="8" width="13" hidden="0" customWidth="1"/>
    <x:col min="9" max="9" width="25" hidden="0" customWidth="1"/>
    <x:col min="10" max="10" width="18" hidden="0" customWidth="1"/>
    <x:col min="11" max="11" width="16" hidden="0" customWidth="1"/>
    <x:col min="12" max="12" width="14" hidden="0" customWidth="1"/>
    <x:col min="13" max="13" width="12" hidden="0" customWidth="1"/>
    <x:col min="14" max="14" width="13" hidden="0" customWidth="1"/>
    <x:col min="15" max="15" width="24" hidden="0" customWidth="1"/>
    <x:col min="16" max="16" width="38" hidden="0" customWidth="1"/>
    <x:col min="17" max="17" width="38" hidden="0" customWidth="1"/>
    <x:col min="18" max="18" width="58" hidden="0" customWidth="1"/>
    <x:col min="19" max="19" width="48" hidden="0" customWidth="1"/>
    <x:col min="20" max="20" width="58" hidden="0" customWidth="1"/>
  </x:cols>
  <x:sheetData>
    <x:row r="1" ht="28" customHeight="1">
      <x:c r="A1" s="3" t="str">
        <x:v>Assessment review</x:v>
      </x:c>
      <x:c r="B1" s="3"/>
      <x:c r="C1" s="3"/>
      <x:c r="D1" s="3"/>
      <x:c r="E1" s="3"/>
      <x:c r="F1" s="3"/>
      <x:c r="G1" s="3"/>
      <x:c r="H1" s="3"/>
      <x:c r="I1" s="3"/>
      <x:c r="J1" s="3"/>
      <x:c r="K1" s="3"/>
      <x:c r="L1" s="3"/>
      <x:c r="M1" s="3"/>
      <x:c r="N1" s="3"/>
      <x:c r="O1" s="3"/>
      <x:c r="P1" s="3"/>
      <x:c r="Q1" s="3"/>
      <x:c r="R1" s="3"/>
      <x:c r="S1" s="3"/>
      <x:c r="T1" s="3"/>
    </x:row>
    <x:row r="2" ht="36" customHeight="1">
      <x:c r="A2" s="7" t="str">
        <x:v>One row per action × sector × risk × component candidate group. Direct is eligible; Indirect remains visible so the stricter decision can be reviewed.</x:v>
      </x:c>
      <x:c r="B2" s="7"/>
      <x:c r="C2" s="7"/>
      <x:c r="D2" s="7"/>
      <x:c r="E2" s="7"/>
      <x:c r="F2" s="7"/>
      <x:c r="G2" s="7"/>
      <x:c r="H2" s="7"/>
      <x:c r="I2" s="7"/>
      <x:c r="J2" s="7"/>
      <x:c r="K2" s="7"/>
      <x:c r="L2" s="7"/>
      <x:c r="M2" s="7"/>
      <x:c r="N2" s="7"/>
      <x:c r="O2" s="7"/>
      <x:c r="P2" s="7"/>
      <x:c r="Q2" s="7"/>
      <x:c r="R2" s="7"/>
      <x:c r="S2" s="7"/>
      <x:c r="T2" s="7"/>
    </x:row>
    <x:row r="4" ht="34" customHeight="1">
      <x:c r="A4" s="11" t="str">
        <x:v>Action ID</x:v>
      </x:c>
      <x:c r="B4" s="11" t="str">
        <x:v>Action</x:v>
      </x:c>
      <x:c r="C4" s="11" t="str">
        <x:v>Sector</x:v>
      </x:c>
      <x:c r="D4" s="11" t="str">
        <x:v>Risk</x:v>
      </x:c>
      <x:c r="E4" s="11" t="str">
        <x:v>Component</x:v>
      </x:c>
      <x:c r="F4" s="11" t="str">
        <x:v>ICare decision</x:v>
      </x:c>
      <x:c r="G4" s="11" t="str">
        <x:v>ICare feedback</x:v>
      </x:c>
      <x:c r="H4" s="11" t="str">
        <x:v>Eligibility</x:v>
      </x:c>
      <x:c r="I4" s="11" t="str">
        <x:v>Effectiveness</x:v>
      </x:c>
      <x:c r="J4" s="11" t="str">
        <x:v>Evidence coverage</x:v>
      </x:c>
      <x:c r="K4" s="11" t="str">
        <x:v>Maladaptation signal</x:v>
      </x:c>
      <x:c r="L4" s="11" t="str">
        <x:v>Time horizon</x:v>
      </x:c>
      <x:c r="M4" s="11" t="str">
        <x:v>Evidence quotes</x:v>
      </x:c>
      <x:c r="N4" s="11" t="str">
        <x:v>Screened sources</x:v>
      </x:c>
      <x:c r="O4" s="11" t="str">
        <x:v>Review flag</x:v>
      </x:c>
      <x:c r="P4" s="11" t="str">
        <x:v>Direct indicators</x:v>
      </x:c>
      <x:c r="Q4" s="11" t="str">
        <x:v>Indirect indicators</x:v>
      </x:c>
      <x:c r="R4" s="11" t="str">
        <x:v>Eligibility rationale</x:v>
      </x:c>
      <x:c r="S4" s="11" t="str">
        <x:v>Effectiveness rationale</x:v>
      </x:c>
      <x:c r="T4" s="11" t="str">
        <x:v>Action definition</x:v>
      </x:c>
    </x:row>
    <x:row r="5" ht="52" customHeight="1">
      <x:c r="A5" s="14" t="str">
        <x:v>icare_0165</x:v>
      </x:c>
      <x:c r="B5" s="14" t="str">
        <x:v>Develop an Environmental Education Plan</x:v>
      </x:c>
      <x:c r="C5" s="14" t="str">
        <x:v>Biodiversity</x:v>
      </x:c>
      <x:c r="D5" s="14" t="str">
        <x:v>Biome integrity</x:v>
      </x:c>
      <x:c r="E5" s="14" t="str">
        <x:v>Vulnerability</x:v>
      </x:c>
      <x:c r="F5" s="15" t="str"/>
      <x:c r="G5" s="15" t="str"/>
      <x:c r="H5" s="14" t="str">
        <x:v>Indirect</x:v>
      </x:c>
      <x:c r="I5" s="14" t="str">
        <x:v>Not assessed</x:v>
      </x:c>
      <x:c r="J5" s="14" t="str">
        <x:v>Not assessed</x:v>
      </x:c>
      <x:c r="K5" s="14" t="str">
        <x:v>No</x:v>
      </x:c>
      <x:c r="L5" s="14" t="str">
        <x:v>&lt;5 years</x:v>
      </x:c>
      <x:c r="M5" s="14" t="n">
        <x:v>0</x:v>
      </x:c>
      <x:c r="N5" s="14" t="n">
        <x:v>0</x:v>
      </x:c>
      <x:c r="O5" s="14" t="str">
        <x:v>Review directness</x:v>
      </x:c>
      <x:c r="P5" s="14" t="str"/>
      <x:c r="Q5" s="14" t="str">
        <x:v>Vegetation loss | Technical guidance</x:v>
      </x:c>
      <x:c r="R5" s="14" t="str">
        <x:v>Indirect — Indirect: the action can influence Vegetation loss, but the stated mechanism does not directly change this indicator without an additional causal step.
Indirect — Indirect: the action can influence Technical guidance, but the stated mechanism does not directly change this indicator without an additional causal step.</x:v>
      </x:c>
      <x:c r="S5" s="14" t="str">
        <x:v>Effectiveness is not assessed because this relationship is not Direct.</x:v>
      </x:c>
      <x:c r="T5" s="14" t="str">
        <x: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x:v>
      </x:c>
    </x:row>
    <x:row r="6" ht="52" customHeight="1">
      <x:c r="A6" s="14" t="str">
        <x:v>icare_0182</x:v>
      </x:c>
      <x:c r="B6" s="14" t="str">
        <x:v>Develop an Urban Afforestation Plan</x:v>
      </x:c>
      <x:c r="C6" s="14" t="str">
        <x:v>Biodiversity</x:v>
      </x:c>
      <x:c r="D6" s="14" t="str">
        <x:v>Biome integrity</x:v>
      </x:c>
      <x:c r="E6" s="14" t="str">
        <x:v>Exposure</x:v>
      </x:c>
      <x:c r="F6" s="15" t="str"/>
      <x:c r="G6" s="15" t="str"/>
      <x:c r="H6" s="14" t="str">
        <x:v>Direct</x:v>
      </x:c>
      <x:c r="I6" s="14" t="str">
        <x:v>No demonstrated effectiveness</x:v>
      </x:c>
      <x:c r="J6" s="14" t="str">
        <x:v>Multiple sources</x:v>
      </x:c>
      <x:c r="K6" s="14" t="str">
        <x:v>No</x:v>
      </x:c>
      <x:c r="L6" s="14" t="str">
        <x:v>5-10 years</x:v>
      </x:c>
      <x:c r="M6" s="14" t="n">
        <x:v>2</x:v>
      </x:c>
      <x:c r="N6" s="14" t="n">
        <x:v>10</x:v>
      </x:c>
      <x:c r="O6" s="14" t="str">
        <x:v>Review directness | Evidence gap</x:v>
      </x:c>
      <x:c r="P6" s="14" t="str">
        <x:v>Natural coverage | Area for conservation</x:v>
      </x:c>
      <x:c r="Q6" s="14" t="str"/>
      <x:c r="R6" s="14" t="str">
        <x:v>Direct — Direct: the action definition explicitly implements a mechanism that changes Natural coverage, without requiring another intervention.
Direct — Direct: the action definition explicitly implements a mechanism that changes Area for conservation, without requiring another intervention.</x:v>
      </x:c>
      <x:c r="S6" s="14" t="str">
        <x:v>Relevant evidence supports the direction of effect but does not demonstrate its effectiveness level.</x:v>
      </x:c>
      <x:c r="T6" s="14" t="str">
        <x:v>This action focuses on expanding green areas in the city through urban afforestation. This includes planting trees in sidewalks, squares, public buildings, and schools, as well as creating ecological parks to revitalize watercourses and/or restore forests.</x:v>
      </x:c>
    </x:row>
    <x:row r="7" ht="52" customHeight="1">
      <x:c r="A7" s="14" t="str">
        <x:v>icare_0182</x:v>
      </x:c>
      <x:c r="B7" s="14" t="str">
        <x:v>Develop an Urban Afforestation Plan</x:v>
      </x:c>
      <x:c r="C7" s="14" t="str">
        <x:v>Biodiversity</x:v>
      </x:c>
      <x:c r="D7" s="14" t="str">
        <x:v>Biome integrity</x:v>
      </x:c>
      <x:c r="E7" s="14" t="str">
        <x:v>Vulnerability</x:v>
      </x:c>
      <x:c r="F7" s="15" t="str"/>
      <x:c r="G7" s="15" t="str"/>
      <x:c r="H7" s="14" t="str">
        <x:v>Direct</x:v>
      </x:c>
      <x:c r="I7" s="14" t="str">
        <x:v>No demonstrated effectiveness</x:v>
      </x:c>
      <x:c r="J7" s="14" t="str">
        <x:v>Single source</x:v>
      </x:c>
      <x:c r="K7" s="14" t="str">
        <x:v>No</x:v>
      </x:c>
      <x:c r="L7" s="14" t="str">
        <x:v>5-10 years</x:v>
      </x:c>
      <x:c r="M7" s="14" t="n">
        <x:v>1</x:v>
      </x:c>
      <x:c r="N7" s="14" t="n">
        <x:v>10</x:v>
      </x:c>
      <x:c r="O7" s="14" t="str">
        <x:v>Review directness | Evidence gap</x:v>
      </x:c>
      <x:c r="P7" s="14" t="str">
        <x:v>Vegetation loss</x:v>
      </x:c>
      <x:c r="Q7" s="14" t="str">
        <x:v>Environmental liabilities</x:v>
      </x:c>
      <x:c r="R7" s="14" t="str">
        <x:v>Indirect — Indirect: the action can influence Environmental liabilities, but the stated mechanism does not directly change this indicator without an additional causal step.
Direct — Direct: the action definition explicitly implements a mechanism that changes Vegetation loss, without requiring another intervention.</x:v>
      </x:c>
      <x:c r="S7" s="14" t="str">
        <x:v>Relevant evidence supports the direction of effect but does not demonstrate its effectiveness level.</x:v>
      </x:c>
      <x:c r="T7" s="14" t="str">
        <x:v>This action focuses on expanding green areas in the city through urban afforestation. This includes planting trees in sidewalks, squares, public buildings, and schools, as well as creating ecological parks to revitalize watercourses and/or restore forests.</x:v>
      </x:c>
    </x:row>
    <x:row r="8" ht="52" customHeight="1">
      <x:c r="A8" s="14" t="str">
        <x:v>icare_0163</x:v>
      </x:c>
      <x:c r="B8" s="14" t="str">
        <x:v>Establish a first‑response firefighting brigade</x:v>
      </x:c>
      <x:c r="C8" s="14" t="str">
        <x:v>Biodiversity</x:v>
      </x:c>
      <x:c r="D8" s="14" t="str">
        <x:v>Biome integrity</x:v>
      </x:c>
      <x:c r="E8" s="14" t="str">
        <x:v>Vulnerability</x:v>
      </x:c>
      <x:c r="F8" s="15" t="str"/>
      <x:c r="G8" s="15" t="str"/>
      <x:c r="H8" s="14" t="str">
        <x:v>Direct</x:v>
      </x:c>
      <x:c r="I8" s="14" t="str">
        <x:v>No demonstrated effectiveness</x:v>
      </x:c>
      <x:c r="J8" s="14" t="str">
        <x:v>None</x:v>
      </x:c>
      <x:c r="K8" s="14" t="str">
        <x:v>No</x:v>
      </x:c>
      <x:c r="L8" s="14" t="str">
        <x:v>&lt;5 years</x:v>
      </x:c>
      <x:c r="M8" s="14" t="n">
        <x:v>0</x:v>
      </x:c>
      <x:c r="N8" s="14" t="n">
        <x:v>10</x:v>
      </x:c>
      <x:c r="O8" s="14" t="str">
        <x:v>Review directness | Evidence gap</x:v>
      </x:c>
      <x:c r="P8" s="14" t="str">
        <x:v>Fire | Vegetation loss</x:v>
      </x:c>
      <x:c r="Q8" s="14" t="str"/>
      <x:c r="R8" s="14" t="str">
        <x:v>Direct — Direct: the action definition explicitly implements a mechanism that changes Fire, without requiring another intervention.
Direct — Direct: the action definition explicitly implements a mechanism that changes Vegetation loss, without requiring another intervention.</x:v>
      </x:c>
      <x:c r="S8" s="14" t="str">
        <x:v>No relevant positive evidence was found in the screened source pages.</x:v>
      </x:c>
      <x:c r="T8" s="14" t="str">
        <x:v>Creation of a First Response Brigade in rural communities to provide them with training and equipment for fire prevention and firefighting.</x:v>
      </x:c>
    </x:row>
    <x:row r="9" ht="52" customHeight="1">
      <x:c r="A9" s="14" t="str">
        <x:v>icare_0160</x:v>
      </x:c>
      <x:c r="B9" s="14" t="str">
        <x:v>Establish mechanisms for intersectoral coordination and public participation in climate policy</x:v>
      </x:c>
      <x:c r="C9" s="14" t="str">
        <x:v>Biodiversity</x:v>
      </x:c>
      <x:c r="D9" s="14" t="str">
        <x:v>Biome integrity</x:v>
      </x:c>
      <x:c r="E9" s="14" t="str">
        <x:v>Vulnerability</x:v>
      </x:c>
      <x:c r="F9" s="15" t="str"/>
      <x:c r="G9" s="15" t="str"/>
      <x:c r="H9" s="14" t="str">
        <x:v>Indirect</x:v>
      </x:c>
      <x:c r="I9" s="14" t="str">
        <x:v>Not assessed</x:v>
      </x:c>
      <x:c r="J9" s="14" t="str">
        <x:v>Not assessed</x:v>
      </x:c>
      <x:c r="K9" s="14" t="str">
        <x:v>No</x:v>
      </x:c>
      <x:c r="L9" s="14" t="str">
        <x:v>&lt;5 years</x:v>
      </x:c>
      <x:c r="M9" s="14" t="n">
        <x:v>0</x:v>
      </x:c>
      <x:c r="N9" s="14" t="n">
        <x:v>0</x:v>
      </x:c>
      <x:c r="O9" s="14" t="str">
        <x:v>Review directness</x:v>
      </x:c>
      <x:c r="P9" s="14" t="str"/>
      <x:c r="Q9" s="14" t="str">
        <x:v>Steering committee and management plan</x:v>
      </x:c>
      <x:c r="R9" s="14" t="str">
        <x:v>Indirect — Indirect: the action can influence Steering committee and management plan, but the stated mechanism does not directly change this indicator without an additional causal step.</x:v>
      </x:c>
      <x:c r="S9" s="14" t="str">
        <x:v>Effectiveness is not assessed because this relationship is not Direct.</x:v>
      </x:c>
      <x:c r="T9" s="14" t="str">
        <x:v>Establish more mechanisms that enable better intersectoral coordination and public participation in climate policy, including the creation of working groups with neighboring municipalities to discuss a common climate agenda.</x:v>
      </x:c>
    </x:row>
    <x:row r="10" ht="52" customHeight="1">
      <x:c r="A10" s="14" t="str">
        <x:v>icare_0180</x:v>
      </x:c>
      <x:c r="B10" s="14" t="str">
        <x:v>Expand urban green-blue networks and corridors</x:v>
      </x:c>
      <x:c r="C10" s="14" t="str">
        <x:v>Biodiversity</x:v>
      </x:c>
      <x:c r="D10" s="14" t="str">
        <x:v>Biome integrity</x:v>
      </x:c>
      <x:c r="E10" s="14" t="str">
        <x:v>Exposure</x:v>
      </x:c>
      <x:c r="F10" s="15" t="str"/>
      <x:c r="G10" s="15" t="str"/>
      <x:c r="H10" s="14" t="str">
        <x:v>Direct</x:v>
      </x:c>
      <x:c r="I10" s="14" t="str">
        <x:v>No demonstrated effectiveness</x:v>
      </x:c>
      <x:c r="J10" s="14" t="str">
        <x:v>Multiple sources</x:v>
      </x:c>
      <x:c r="K10" s="14" t="str">
        <x:v>No</x:v>
      </x:c>
      <x:c r="L10" s="14" t="str">
        <x:v>&lt;5 years</x:v>
      </x:c>
      <x:c r="M10" s="14" t="n">
        <x:v>2</x:v>
      </x:c>
      <x:c r="N10" s="14" t="n">
        <x:v>10</x:v>
      </x:c>
      <x:c r="O10" s="14" t="str">
        <x:v>Review directness | Evidence gap</x:v>
      </x:c>
      <x:c r="P10" s="14" t="str">
        <x:v>Natural coverage</x:v>
      </x:c>
      <x:c r="Q10" s="14" t="str">
        <x:v>Area for conservation</x:v>
      </x:c>
      <x:c r="R10" s="14" t="str">
        <x:v>Direct — Direct: the action definition explicitly implements a mechanism that changes Natural coverage, without requiring another intervention.
Indirect — Indirect: the action can influence Area for conservation, but the stated mechanism does not directly change this indicator without an additional causal step.</x:v>
      </x:c>
      <x:c r="S10" s="14" t="str">
        <x:v>Relevant evidence supports the direction of effect but does not demonstrate its effectiveness level.</x:v>
      </x:c>
      <x:c r="T10" s="14"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11" ht="52" customHeight="1">
      <x:c r="A11" s="14" t="str">
        <x:v>icare_0180</x:v>
      </x:c>
      <x:c r="B11" s="14" t="str">
        <x:v>Expand urban green-blue networks and corridors</x:v>
      </x:c>
      <x:c r="C11" s="14" t="str">
        <x:v>Biodiversity</x:v>
      </x:c>
      <x:c r="D11" s="14" t="str">
        <x:v>Biome integrity</x:v>
      </x:c>
      <x:c r="E11" s="14" t="str">
        <x:v>Vulnerability</x:v>
      </x:c>
      <x:c r="F11" s="15" t="str"/>
      <x:c r="G11" s="15" t="str"/>
      <x:c r="H11" s="14" t="str">
        <x:v>Direct</x:v>
      </x:c>
      <x:c r="I11" s="14" t="str">
        <x:v>No demonstrated effectiveness</x:v>
      </x:c>
      <x:c r="J11" s="14" t="str">
        <x:v>None</x:v>
      </x:c>
      <x:c r="K11" s="14" t="str">
        <x:v>No</x:v>
      </x:c>
      <x:c r="L11" s="14" t="str">
        <x:v>&lt;5 years</x:v>
      </x:c>
      <x:c r="M11" s="14" t="n">
        <x:v>0</x:v>
      </x:c>
      <x:c r="N11" s="14" t="n">
        <x:v>10</x:v>
      </x:c>
      <x:c r="O11" s="14" t="str">
        <x:v>Review directness | Evidence gap</x:v>
      </x:c>
      <x:c r="P11" s="14" t="str">
        <x:v>Vegetation loss</x:v>
      </x:c>
      <x:c r="Q11" s="14" t="str">
        <x:v>Environmental liabilities | Steering committee and management plan</x:v>
      </x:c>
      <x:c r="R11" s="14" t="str">
        <x:v>Indirect — Indirect: the action can influence Environmental liabilities, but the stated mechanism does not directly change this indicator without an additional causal step.
Direct — Direct: the action definition explicitly implements a mechanism that changes Vegetation loss, without requiring another intervention.
Indirect — Indirect: the action can influence Steering committee and management plan, but the stated mechanism does not directly change this indicator without an additional causal step.</x:v>
      </x:c>
      <x:c r="S11" s="14" t="str">
        <x:v>No relevant positive evidence was found in the screened source pages.</x:v>
      </x:c>
      <x:c r="T11" s="14"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12" ht="52" customHeight="1">
      <x:c r="A12" s="14" t="str">
        <x:v>ipcc_0086</x:v>
      </x:c>
      <x:c r="B12" s="14" t="str">
        <x:v>Implement ecosystem‑based adaptation measures</x:v>
      </x:c>
      <x:c r="C12" s="14" t="str">
        <x:v>Biodiversity</x:v>
      </x:c>
      <x:c r="D12" s="14" t="str">
        <x:v>Biome integrity</x:v>
      </x:c>
      <x:c r="E12" s="14" t="str">
        <x:v>Exposure</x:v>
      </x:c>
      <x:c r="F12" s="15" t="str"/>
      <x:c r="G12" s="15" t="str"/>
      <x:c r="H12" s="14" t="str">
        <x:v>Direct</x:v>
      </x:c>
      <x:c r="I12" s="14" t="str">
        <x:v>No demonstrated effectiveness</x:v>
      </x:c>
      <x:c r="J12" s="14" t="str">
        <x:v>Multiple sources</x:v>
      </x:c>
      <x:c r="K12" s="14" t="str">
        <x:v>No</x:v>
      </x:c>
      <x:c r="L12" s="14" t="str">
        <x:v>5-10 years</x:v>
      </x:c>
      <x:c r="M12" s="14" t="n">
        <x:v>2</x:v>
      </x:c>
      <x:c r="N12" s="14" t="n">
        <x:v>10</x:v>
      </x:c>
      <x:c r="O12" s="14" t="str">
        <x:v>Review directness | Evidence gap</x:v>
      </x:c>
      <x:c r="P12" s="14" t="str">
        <x:v>Natural coverage | Area for conservation</x:v>
      </x:c>
      <x:c r="Q12" s="14" t="str">
        <x:v>Protected area</x:v>
      </x:c>
      <x:c r="R12" s="14" t="str">
        <x:v>Direct — Direct: the action definition explicitly implements a mechanism that changes Natural coverage, without requiring another intervention.
Indirect — Indirect: the action can influence Protected area, but the stated mechanism does not directly change this indicator without an additional causal step.
Direct — Direct: the action definition explicitly implements a mechanism that changes Area for conservation, without requiring another intervention.</x:v>
      </x:c>
      <x:c r="S12" s="14" t="str">
        <x:v>Relevant evidence supports the direction of effect but does not demonstrate its effectiveness level.</x:v>
      </x:c>
      <x:c r="T12" s="14"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13" ht="52" customHeight="1">
      <x:c r="A13" s="14" t="str">
        <x:v>ipcc_0086</x:v>
      </x:c>
      <x:c r="B13" s="14" t="str">
        <x:v>Implement ecosystem‑based adaptation measures</x:v>
      </x:c>
      <x:c r="C13" s="14" t="str">
        <x:v>Biodiversity</x:v>
      </x:c>
      <x:c r="D13" s="14" t="str">
        <x:v>Biome integrity</x:v>
      </x:c>
      <x:c r="E13" s="14" t="str">
        <x:v>Vulnerability</x:v>
      </x:c>
      <x:c r="F13" s="15" t="str"/>
      <x:c r="G13" s="15" t="str"/>
      <x:c r="H13" s="14" t="str">
        <x:v>Direct</x:v>
      </x:c>
      <x:c r="I13" s="14" t="str">
        <x:v>No demonstrated effectiveness</x:v>
      </x:c>
      <x:c r="J13" s="14" t="str">
        <x:v>Multiple sources</x:v>
      </x:c>
      <x:c r="K13" s="14" t="str">
        <x:v>No</x:v>
      </x:c>
      <x:c r="L13" s="14" t="str">
        <x:v>5-10 years</x:v>
      </x:c>
      <x:c r="M13" s="14" t="n">
        <x:v>2</x:v>
      </x:c>
      <x:c r="N13" s="14" t="n">
        <x:v>10</x:v>
      </x:c>
      <x:c r="O13" s="14" t="str">
        <x:v>Review directness | Evidence gap</x:v>
      </x:c>
      <x:c r="P13" s="14" t="str">
        <x:v>No sustainable agricultural practice | Vegetation loss</x:v>
      </x:c>
      <x:c r="Q13" s="14" t="str">
        <x:v>Environmental liabilities | Degraded pasture | Technical guidance | Steering committee and management plan</x:v>
      </x:c>
      <x:c r="R13" s="14" t="str">
        <x:v>Direct — Direct: the action definition explicitly implements a mechanism that changes No sustainable agricultural practice, without requiring another intervention.
Indirect — Indirect: the action can influence Environmental liabilities, but the stated mechanism does not directly change this indicator without an additional causal step.
Direct — Direct: the action definition explicitly implements a mechanism that changes Vegetation loss, without requiring another intervention.
Indirect — Indirect: the action can influence Degraded pasture, but the stated mechanism does not directly change this indicator without an additional causal step.
Indirect — Indirect: the action can influence Technical guidance, but the stated mechanism does not directly change this indicator without an additional causal step.
Indirect — Indirect: the action can influence Steering committee and management plan, but the stated mechanism does not directly change this indicator without an additional causal step.</x:v>
      </x:c>
      <x:c r="S13" s="14" t="str">
        <x:v>Relevant evidence supports the direction of effect but does not demonstrate its effectiveness level.</x:v>
      </x:c>
      <x:c r="T13" s="14"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14" ht="52" customHeight="1">
      <x:c r="A14" s="14" t="str">
        <x:v>ipcc_0078</x:v>
      </x:c>
      <x:c r="B14" s="14" t="str">
        <x:v>Implement green roofs and walls</x:v>
      </x:c>
      <x:c r="C14" s="14" t="str">
        <x:v>Biodiversity</x:v>
      </x:c>
      <x:c r="D14" s="14" t="str">
        <x:v>Biome integrity</x:v>
      </x:c>
      <x:c r="E14" s="14" t="str">
        <x:v>Exposure</x:v>
      </x:c>
      <x:c r="F14" s="15" t="str"/>
      <x:c r="G14" s="15" t="str"/>
      <x:c r="H14" s="14" t="str">
        <x:v>Indirect</x:v>
      </x:c>
      <x:c r="I14" s="14" t="str">
        <x:v>Not assessed</x:v>
      </x:c>
      <x:c r="J14" s="14" t="str">
        <x:v>Not assessed</x:v>
      </x:c>
      <x:c r="K14" s="14" t="str">
        <x:v>No</x:v>
      </x:c>
      <x:c r="L14" s="14" t="str">
        <x:v>5-10 years</x:v>
      </x:c>
      <x:c r="M14" s="14" t="n">
        <x:v>0</x:v>
      </x:c>
      <x:c r="N14" s="14" t="n">
        <x:v>0</x:v>
      </x:c>
      <x:c r="O14" s="14" t="str">
        <x:v>Review directness</x:v>
      </x:c>
      <x:c r="P14" s="14" t="str"/>
      <x:c r="Q14" s="14" t="str">
        <x:v>Natural coverage</x:v>
      </x:c>
      <x:c r="R14" s="14" t="str">
        <x:v>Indirect — Indirect: the action can influence Natural coverage, but the stated mechanism does not directly change this indicator without an additional causal step.</x:v>
      </x:c>
      <x:c r="S14" s="14" t="str">
        <x:v>Effectiveness is not assessed because this relationship is not Direct.</x:v>
      </x:c>
      <x:c r="T14" s="14" t="str">
        <x:v>The implementation of green roofs and green walls mitigates urban heat island effects, improves thermal comfort, reduces energy demand in buildings, manages stormwater, and enhances urban livability and biodiversity.</x:v>
      </x:c>
    </x:row>
    <x:row r="15" ht="52" customHeight="1">
      <x:c r="A15" s="14" t="str">
        <x:v>ipcc_0078</x:v>
      </x:c>
      <x:c r="B15" s="14" t="str">
        <x:v>Implement green roofs and walls</x:v>
      </x:c>
      <x:c r="C15" s="14" t="str">
        <x:v>Biodiversity</x:v>
      </x:c>
      <x:c r="D15" s="14" t="str">
        <x:v>Biome integrity</x:v>
      </x:c>
      <x:c r="E15" s="14" t="str">
        <x:v>Vulnerability</x:v>
      </x:c>
      <x:c r="F15" s="15" t="str"/>
      <x:c r="G15" s="15" t="str"/>
      <x:c r="H15" s="14" t="str">
        <x:v>Indirect</x:v>
      </x:c>
      <x:c r="I15" s="14" t="str">
        <x:v>Not assessed</x:v>
      </x:c>
      <x:c r="J15" s="14" t="str">
        <x:v>Not assessed</x:v>
      </x:c>
      <x:c r="K15" s="14" t="str">
        <x:v>No</x:v>
      </x:c>
      <x:c r="L15" s="14" t="str">
        <x:v>5-10 years</x:v>
      </x:c>
      <x:c r="M15" s="14" t="n">
        <x:v>0</x:v>
      </x:c>
      <x:c r="N15" s="14" t="n">
        <x:v>0</x:v>
      </x:c>
      <x:c r="O15" s="14" t="str">
        <x:v>Review directness</x:v>
      </x:c>
      <x:c r="P15" s="14" t="str"/>
      <x:c r="Q15" s="14" t="str">
        <x:v>Vegetation loss</x:v>
      </x:c>
      <x:c r="R15" s="14" t="str">
        <x:v>Indirect — Indirect: the action can influence Vegetation loss, but the stated mechanism does not directly change this indicator without an additional causal step.</x:v>
      </x:c>
      <x:c r="S15" s="14" t="str">
        <x:v>Effectiveness is not assessed because this relationship is not Direct.</x:v>
      </x:c>
      <x:c r="T15" s="14" t="str">
        <x:v>The implementation of green roofs and green walls mitigates urban heat island effects, improves thermal comfort, reduces energy demand in buildings, manages stormwater, and enhances urban livability and biodiversity.</x:v>
      </x:c>
    </x:row>
    <x:row r="16" ht="52" customHeight="1">
      <x:c r="A16" s="14" t="str">
        <x:v>icare_0186</x:v>
      </x:c>
      <x:c r="B16" s="14" t="str">
        <x:v>Implement integrated coastal zone management</x:v>
      </x:c>
      <x:c r="C16" s="14" t="str">
        <x:v>Biodiversity</x:v>
      </x:c>
      <x:c r="D16" s="14" t="str">
        <x:v>Biome integrity</x:v>
      </x:c>
      <x:c r="E16" s="14" t="str">
        <x:v>Exposure</x:v>
      </x:c>
      <x:c r="F16" s="15" t="str"/>
      <x:c r="G16" s="15" t="str"/>
      <x:c r="H16" s="14" t="str">
        <x:v>Indirect</x:v>
      </x:c>
      <x:c r="I16" s="14" t="str">
        <x:v>Not assessed</x:v>
      </x:c>
      <x:c r="J16" s="14" t="str">
        <x:v>Not assessed</x:v>
      </x:c>
      <x:c r="K16" s="14" t="str">
        <x:v>No</x:v>
      </x:c>
      <x:c r="L16" s="14" t="str">
        <x:v>5-10 years</x:v>
      </x:c>
      <x:c r="M16" s="14" t="n">
        <x:v>0</x:v>
      </x:c>
      <x:c r="N16" s="14" t="n">
        <x:v>0</x:v>
      </x:c>
      <x:c r="O16" s="14" t="str">
        <x:v>Review directness</x:v>
      </x:c>
      <x:c r="P16" s="14" t="str"/>
      <x:c r="Q16" s="14" t="str">
        <x:v>Natural coverage | Protected area | Area for conservation</x:v>
      </x:c>
      <x:c r="R16" s="14" t="str">
        <x:v>Indirect — Indirect: the action can influence Natural coverage, but the stated mechanism does not directly change this indicator without an additional causal step.
Indirect — Indirect: the action can influence Protected area, but the stated mechanism does not directly change this indicator without an additional causal step.
Indirect — Indirect: the action can influence Area for conservation, but the stated mechanism does not directly change this indicator without an additional causal step.</x:v>
      </x:c>
      <x:c r="S16" s="14" t="str">
        <x:v>Effectiveness is not assessed because this relationship is not Direct.</x:v>
      </x:c>
      <x:c r="T16" s="14"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17" ht="52" customHeight="1">
      <x:c r="A17" s="14" t="str">
        <x:v>icare_0186</x:v>
      </x:c>
      <x:c r="B17" s="14" t="str">
        <x:v>Implement integrated coastal zone management</x:v>
      </x:c>
      <x:c r="C17" s="14" t="str">
        <x:v>Biodiversity</x:v>
      </x:c>
      <x:c r="D17" s="14" t="str">
        <x:v>Biome integrity</x:v>
      </x:c>
      <x:c r="E17" s="14" t="str">
        <x:v>Vulnerability</x:v>
      </x:c>
      <x:c r="F17" s="15" t="str"/>
      <x:c r="G17" s="15" t="str"/>
      <x:c r="H17" s="14" t="str">
        <x:v>Direct</x:v>
      </x:c>
      <x:c r="I17" s="14" t="str">
        <x:v>No demonstrated effectiveness</x:v>
      </x:c>
      <x:c r="J17" s="14" t="str">
        <x:v>None</x:v>
      </x:c>
      <x:c r="K17" s="14" t="str">
        <x:v>No</x:v>
      </x:c>
      <x:c r="L17" s="14" t="str">
        <x:v>5-10 years</x:v>
      </x:c>
      <x:c r="M17" s="14" t="n">
        <x:v>0</x:v>
      </x:c>
      <x:c r="N17" s="14" t="n">
        <x:v>10</x:v>
      </x:c>
      <x:c r="O17" s="14" t="str">
        <x:v>Review directness | Evidence gap</x:v>
      </x:c>
      <x:c r="P17" s="14" t="str">
        <x:v>Steering committee and management plan</x:v>
      </x:c>
      <x:c r="Q17" s="14" t="str">
        <x:v>Environmental liabilities | Vegetation loss</x:v>
      </x:c>
      <x:c r="R17" s="14" t="str">
        <x:v>Indirect — Indirect: the action can influence Environmental liabilities, but the stated mechanism does not directly change this indicator without an additional causal step.
Indirect — Indirect: the action can influence Vegetation loss, but the stated mechanism does not directly change this indicator without an additional causal step.
Direct — Direct: the action definition explicitly implements a mechanism that changes Steering committee and management plan, without requiring another intervention.</x:v>
      </x:c>
      <x:c r="S17" s="14" t="str">
        <x:v>No relevant positive evidence was found in the screened source pages.</x:v>
      </x:c>
      <x:c r="T17" s="14"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18" ht="52" customHeight="1">
      <x:c r="A18" s="14" t="str">
        <x:v>ipcc_0100</x:v>
      </x:c>
      <x:c r="B18" s="14" t="str">
        <x:v>Improve Efficient water use/demand</x:v>
      </x:c>
      <x:c r="C18" s="14" t="str">
        <x:v>Biodiversity</x:v>
      </x:c>
      <x:c r="D18" s="14" t="str">
        <x:v>Biome integrity</x:v>
      </x:c>
      <x:c r="E18" s="14" t="str">
        <x:v>Vulnerability</x:v>
      </x:c>
      <x:c r="F18" s="15" t="str"/>
      <x:c r="G18" s="15" t="str"/>
      <x:c r="H18" s="14" t="str">
        <x:v>Direct</x:v>
      </x:c>
      <x:c r="I18" s="14" t="str">
        <x:v>No demonstrated effectiveness</x:v>
      </x:c>
      <x:c r="J18" s="14" t="str">
        <x:v>None</x:v>
      </x:c>
      <x:c r="K18" s="14" t="str">
        <x:v>No</x:v>
      </x:c>
      <x:c r="L18" s="14" t="str">
        <x:v>5-10 years</x:v>
      </x:c>
      <x:c r="M18" s="14" t="n">
        <x:v>0</x:v>
      </x:c>
      <x:c r="N18" s="14" t="n">
        <x:v>10</x:v>
      </x:c>
      <x:c r="O18" s="14" t="str">
        <x:v>Review directness | Evidence gap</x:v>
      </x:c>
      <x:c r="P18" s="14" t="str">
        <x:v>No sustainable agricultural practice</x:v>
      </x:c>
      <x:c r="Q18" s="14" t="str">
        <x:v>Agricultural establishment | Technical guidance</x:v>
      </x:c>
      <x:c r="R18" s="14" t="str">
        <x:v>Direct — Direct: the action definition explicitly implements a mechanism that changes No sustainable agricultural practice, without requiring another intervention.
Indirect — Indirect: the action can influence Agricultural establishment, but the stated mechanism does not directly change this indicator without an additional causal step.
Indirect — Indirect: the action can influence Technical guidance, but the stated mechanism does not directly change this indicator without an additional causal step.</x:v>
      </x:c>
      <x:c r="S18" s="14" t="str">
        <x:v>No relevant positive evidence was found in the screened source pages.</x:v>
      </x:c>
      <x:c r="T18" s="14"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19" ht="52" customHeight="1">
      <x:c r="A19" s="14" t="str">
        <x:v>icare_0156</x:v>
      </x:c>
      <x:c r="B19" s="14" t="str">
        <x:v>Improve Implementation of urban gardens</x:v>
      </x:c>
      <x:c r="C19" s="14" t="str">
        <x:v>Biodiversity</x:v>
      </x:c>
      <x:c r="D19" s="14" t="str">
        <x:v>Biome integrity</x:v>
      </x:c>
      <x:c r="E19" s="14" t="str">
        <x:v>Vulnerability</x:v>
      </x:c>
      <x:c r="F19" s="15" t="str"/>
      <x:c r="G19" s="15" t="str"/>
      <x:c r="H19" s="14" t="str">
        <x:v>Direct</x:v>
      </x:c>
      <x:c r="I19" s="14" t="str">
        <x:v>No demonstrated effectiveness</x:v>
      </x:c>
      <x:c r="J19" s="14" t="str">
        <x:v>None</x:v>
      </x:c>
      <x:c r="K19" s="14" t="str">
        <x:v>No</x:v>
      </x:c>
      <x:c r="L19" s="14" t="str">
        <x:v>&lt;5 years</x:v>
      </x:c>
      <x:c r="M19" s="14" t="n">
        <x:v>0</x:v>
      </x:c>
      <x:c r="N19" s="14" t="n">
        <x:v>10</x:v>
      </x:c>
      <x:c r="O19" s="14" t="str">
        <x:v>Review directness | Evidence gap</x:v>
      </x:c>
      <x:c r="P19" s="14" t="str">
        <x:v>No sustainable agricultural practice | Agricultural establishment</x:v>
      </x:c>
      <x:c r="Q19" s="14" t="str">
        <x:v>No family farming | Technical guidance</x:v>
      </x:c>
      <x:c r="R19" s="14" t="str">
        <x:v>Indirect — Indirect: the action can influence No family farming, but the stated mechanism does not directly change this indicator without an additional causal step.
Direct — Direct: the action definition explicitly implements a mechanism that changes No sustainable agricultural practice, without requiring another intervention.
Direct — Direct: the action definition explicitly implements a mechanism that changes Agricultural establishment, without requiring another intervention.
Indirect — Indirect: the action can influence Technical guidance, but the stated mechanism does not directly change this indicator without an additional causal step.</x:v>
      </x:c>
      <x:c r="S19" s="14" t="str">
        <x:v>No relevant positive evidence was found in the screened source pages.</x:v>
      </x:c>
      <x:c r="T19" s="14" t="str">
        <x:v>Identify and assess the feasibility of suitable areas for the installation of urban gardens and ensure that the sites chosen meet the expectations of the community.</x:v>
      </x:c>
    </x:row>
    <x:row r="20" ht="52" customHeight="1">
      <x:c r="A20" s="14" t="str">
        <x:v>c40_0056</x:v>
      </x:c>
      <x:c r="B20" s="14" t="str">
        <x:v>Improve Watershed Protection and Management</x:v>
      </x:c>
      <x:c r="C20" s="14" t="str">
        <x:v>Biodiversity</x:v>
      </x:c>
      <x:c r="D20" s="14" t="str">
        <x:v>Biome integrity</x:v>
      </x:c>
      <x:c r="E20" s="14" t="str">
        <x:v>Exposure</x:v>
      </x:c>
      <x:c r="F20" s="15" t="str"/>
      <x:c r="G20" s="15" t="str"/>
      <x:c r="H20" s="14" t="str">
        <x:v>Direct</x:v>
      </x:c>
      <x:c r="I20" s="14" t="str">
        <x:v>No demonstrated effectiveness</x:v>
      </x:c>
      <x:c r="J20" s="14" t="str">
        <x:v>Multiple sources</x:v>
      </x:c>
      <x:c r="K20" s="14" t="str">
        <x:v>No</x:v>
      </x:c>
      <x:c r="L20" s="14" t="str">
        <x:v>&lt;5 years</x:v>
      </x:c>
      <x:c r="M20" s="14" t="n">
        <x:v>2</x:v>
      </x:c>
      <x:c r="N20" s="14" t="n">
        <x:v>10</x:v>
      </x:c>
      <x:c r="O20" s="14" t="str">
        <x:v>Review directness | Evidence gap</x:v>
      </x:c>
      <x:c r="P20" s="14" t="str">
        <x:v>Natural coverage | Area for conservation</x:v>
      </x:c>
      <x:c r="Q20" s="14" t="str"/>
      <x:c r="R20" s="14" t="str">
        <x:v>Direct — Direct: the action definition explicitly implements a mechanism that changes Natural coverage, without requiring another intervention.
Direct — Direct: the action definition explicitly implements a mechanism that changes Area for conservation, without requiring another intervention.</x:v>
      </x:c>
      <x:c r="S20" s="14" t="str">
        <x:v>Relevant evidence supports the direction of effect but does not demonstrate its effectiveness level.</x:v>
      </x:c>
      <x:c r="T20" s="14"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21" ht="52" customHeight="1">
      <x:c r="A21" s="14" t="str">
        <x:v>c40_0056</x:v>
      </x:c>
      <x:c r="B21" s="14" t="str">
        <x:v>Improve Watershed Protection and Management</x:v>
      </x:c>
      <x:c r="C21" s="14" t="str">
        <x:v>Biodiversity</x:v>
      </x:c>
      <x:c r="D21" s="14" t="str">
        <x:v>Biome integrity</x:v>
      </x:c>
      <x:c r="E21" s="14" t="str">
        <x:v>Vulnerability</x:v>
      </x:c>
      <x:c r="F21" s="15" t="str"/>
      <x:c r="G21" s="15" t="str"/>
      <x:c r="H21" s="14" t="str">
        <x:v>Direct</x:v>
      </x:c>
      <x:c r="I21" s="14" t="str">
        <x:v>No demonstrated effectiveness</x:v>
      </x:c>
      <x:c r="J21" s="14" t="str">
        <x:v>Multiple sources</x:v>
      </x:c>
      <x:c r="K21" s="14" t="str">
        <x:v>No</x:v>
      </x:c>
      <x:c r="L21" s="14" t="str">
        <x:v>&lt;5 years</x:v>
      </x:c>
      <x:c r="M21" s="14" t="n">
        <x:v>2</x:v>
      </x:c>
      <x:c r="N21" s="14" t="n">
        <x:v>10</x:v>
      </x:c>
      <x:c r="O21" s="14" t="str">
        <x:v>Review directness | Evidence gap</x:v>
      </x:c>
      <x:c r="P21" s="14" t="str">
        <x:v>Environmental liabilities | Vegetation loss</x:v>
      </x:c>
      <x:c r="Q21" s="14" t="str">
        <x:v>Steering committee and management plan</x:v>
      </x:c>
      <x:c r="R21" s="14" t="str">
        <x:v>Direct — Direct: the action definition explicitly implements a mechanism that changes Environmental liabilities, without requiring another intervention.
Direct — Direct: the action definition explicitly implements a mechanism that changes Vegetation loss, without requiring another intervention.
Indirect — Indirect: the action can influence Steering committee and management plan, but the stated mechanism does not directly change this indicator without an additional causal step.</x:v>
      </x:c>
      <x:c r="S21" s="14" t="str">
        <x:v>Relevant evidence supports the direction of effect but does not demonstrate its effectiveness level.</x:v>
      </x:c>
      <x:c r="T21" s="14"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22" ht="52" customHeight="1">
      <x:c r="A22" s="14" t="str">
        <x:v>ipcc_0098</x:v>
      </x:c>
      <x:c r="B22" s="14" t="str">
        <x:v>Increase resilience by improving access to food, improving livelihoods and promoting dietary shifts and food waste reduction</x:v>
      </x:c>
      <x:c r="C22" s="14" t="str">
        <x:v>Biodiversity</x:v>
      </x:c>
      <x:c r="D22" s="14" t="str">
        <x:v>Biome integrity</x:v>
      </x:c>
      <x:c r="E22" s="14" t="str">
        <x:v>Vulnerability</x:v>
      </x:c>
      <x:c r="F22" s="15" t="str"/>
      <x:c r="G22" s="15" t="str"/>
      <x:c r="H22" s="14" t="str">
        <x:v>Direct</x:v>
      </x:c>
      <x:c r="I22" s="14" t="str">
        <x:v>No demonstrated effectiveness</x:v>
      </x:c>
      <x:c r="J22" s="14" t="str">
        <x:v>None</x:v>
      </x:c>
      <x:c r="K22" s="14" t="str">
        <x:v>No</x:v>
      </x:c>
      <x:c r="L22" s="14" t="str">
        <x:v>5-10 years</x:v>
      </x:c>
      <x:c r="M22" s="14" t="n">
        <x:v>0</x:v>
      </x:c>
      <x:c r="N22" s="14" t="n">
        <x:v>10</x:v>
      </x:c>
      <x:c r="O22" s="14" t="str">
        <x:v>Review directness | Evidence gap</x:v>
      </x:c>
      <x:c r="P22" s="14" t="str">
        <x:v>No sustainable agricultural practice</x:v>
      </x:c>
      <x:c r="Q22" s="14" t="str">
        <x:v>Pesticides | No family farming | Degraded pasture | Agricultural establishment | Technical guidance</x:v>
      </x:c>
      <x:c r="R22" s="14" t="str">
        <x:v>Indirect — Indirect: the action can influence Pesticides, but the stated mechanism does not directly change this indicator without an additional causal step.
Indirect — Indirect: the action can influence No family farming, but the stated mechanism does not directly change this indicator without an additional causal step.
Direct — Direct: the action definition explicitly implements a mechanism that changes No sustainable agricultural practice, without requiring another intervention.
Indirect — Indirect: the action can influence Degraded pasture, but the stated mechanism does not directly change this indicator without an additional causal step.
Indirect — Indirect: the action can influence Agricultural establishment, but the stated mechanism does not directly change this indicator without an additional causal step.
Indirect — Indirect: the action can influence Technical guidance, but the stated mechanism does not directly change this indicator without an additional causal step.</x:v>
      </x:c>
      <x:c r="S22" s="14" t="str">
        <x:v>No relevant positive evidence was found in the screened source pages.</x:v>
      </x:c>
      <x:c r="T22" s="14" t="str">
        <x: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x:v>
      </x:c>
    </x:row>
    <x:row r="23" ht="52" customHeight="1">
      <x:c r="A23" s="14" t="str">
        <x:v>ipcc_0099</x:v>
      </x:c>
      <x:c r="B23" s="14" t="str">
        <x:v>Increase Water Capture and Storage</x:v>
      </x:c>
      <x:c r="C23" s="14" t="str">
        <x:v>Biodiversity</x:v>
      </x:c>
      <x:c r="D23" s="14" t="str">
        <x:v>Biome integrity</x:v>
      </x:c>
      <x:c r="E23" s="14" t="str">
        <x:v>Vulnerability</x:v>
      </x:c>
      <x:c r="F23" s="15" t="str"/>
      <x:c r="G23" s="15" t="str"/>
      <x:c r="H23" s="14" t="str">
        <x:v>Direct</x:v>
      </x:c>
      <x:c r="I23" s="14" t="str">
        <x:v>No demonstrated effectiveness</x:v>
      </x:c>
      <x:c r="J23" s="14" t="str">
        <x:v>None</x:v>
      </x:c>
      <x:c r="K23" s="14" t="str">
        <x:v>No</x:v>
      </x:c>
      <x:c r="L23" s="14" t="str">
        <x:v>5-10 years</x:v>
      </x:c>
      <x:c r="M23" s="14" t="n">
        <x:v>0</x:v>
      </x:c>
      <x:c r="N23" s="14" t="n">
        <x:v>10</x:v>
      </x:c>
      <x:c r="O23" s="14" t="str">
        <x:v>Review directness | Evidence gap</x:v>
      </x:c>
      <x:c r="P23" s="14" t="str">
        <x:v>Hydroelectric</x:v>
      </x:c>
      <x:c r="Q23" s="14" t="str"/>
      <x:c r="R23" s="14" t="str">
        <x:v>Direct — Direct: the action definition explicitly implements a mechanism that changes Hydroelectric, without requiring another intervention.</x:v>
      </x:c>
      <x:c r="S23" s="14" t="str">
        <x:v>No relevant positive evidence was found in the screened source pages.</x:v>
      </x:c>
      <x:c r="T23" s="14"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24" ht="52" customHeight="1">
      <x:c r="A24" s="14" t="str">
        <x:v>ipcc_0085</x:v>
      </x:c>
      <x:c r="B24" s="14" t="str">
        <x:v>Reduce pressures on ecosystems to build resilience</x:v>
      </x:c>
      <x:c r="C24" s="14" t="str">
        <x:v>Biodiversity</x:v>
      </x:c>
      <x:c r="D24" s="14" t="str">
        <x:v>Biome integrity</x:v>
      </x:c>
      <x:c r="E24" s="14" t="str">
        <x:v>Exposure</x:v>
      </x:c>
      <x:c r="F24" s="15" t="str"/>
      <x:c r="G24" s="15" t="str"/>
      <x:c r="H24" s="14" t="str">
        <x:v>Direct</x:v>
      </x:c>
      <x:c r="I24" s="14" t="str">
        <x:v>No demonstrated effectiveness</x:v>
      </x:c>
      <x:c r="J24" s="14" t="str">
        <x:v>Multiple sources</x:v>
      </x:c>
      <x:c r="K24" s="14" t="str">
        <x:v>No</x:v>
      </x:c>
      <x:c r="L24" s="14" t="str">
        <x:v>5-10 years</x:v>
      </x:c>
      <x:c r="M24" s="14" t="n">
        <x:v>2</x:v>
      </x:c>
      <x:c r="N24" s="14" t="n">
        <x:v>10</x:v>
      </x:c>
      <x:c r="O24" s="14" t="str">
        <x:v>Review directness | Evidence gap</x:v>
      </x:c>
      <x:c r="P24" s="14" t="str">
        <x:v>Natural coverage | Area for conservation</x:v>
      </x:c>
      <x:c r="Q24" s="14" t="str">
        <x:v>Protected area</x:v>
      </x:c>
      <x:c r="R24" s="14" t="str">
        <x:v>Direct — Direct: the action definition explicitly implements a mechanism that changes Natural coverage, without requiring another intervention.
Indirect — Indirect: the action can influence Protected area, but the stated mechanism does not directly change this indicator without an additional causal step.
Direct — Direct: the action definition explicitly implements a mechanism that changes Area for conservation, without requiring another intervention.</x:v>
      </x:c>
      <x:c r="S24" s="14" t="str">
        <x:v>Relevant evidence supports the direction of effect but does not demonstrate its effectiveness level.</x:v>
      </x:c>
      <x:c r="T24" s="14"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25" ht="52" customHeight="1">
      <x:c r="A25" s="14" t="str">
        <x:v>ipcc_0085</x:v>
      </x:c>
      <x:c r="B25" s="14" t="str">
        <x:v>Reduce pressures on ecosystems to build resilience</x:v>
      </x:c>
      <x:c r="C25" s="14" t="str">
        <x:v>Biodiversity</x:v>
      </x:c>
      <x:c r="D25" s="14" t="str">
        <x:v>Biome integrity</x:v>
      </x:c>
      <x:c r="E25" s="14" t="str">
        <x:v>Vulnerability</x:v>
      </x:c>
      <x:c r="F25" s="15" t="str"/>
      <x:c r="G25" s="15" t="str"/>
      <x:c r="H25" s="14" t="str">
        <x:v>Direct</x:v>
      </x:c>
      <x:c r="I25" s="14" t="str">
        <x:v>No demonstrated effectiveness</x:v>
      </x:c>
      <x:c r="J25" s="14" t="str">
        <x:v>Multiple sources</x:v>
      </x:c>
      <x:c r="K25" s="14" t="str">
        <x:v>No</x:v>
      </x:c>
      <x:c r="L25" s="14" t="str">
        <x:v>5-10 years</x:v>
      </x:c>
      <x:c r="M25" s="14" t="n">
        <x:v>2</x:v>
      </x:c>
      <x:c r="N25" s="14" t="n">
        <x:v>10</x:v>
      </x:c>
      <x:c r="O25" s="14" t="str">
        <x:v>Review directness | Evidence gap</x:v>
      </x:c>
      <x:c r="P25" s="14" t="str">
        <x:v>Environmental liabilities | Vegetation loss</x:v>
      </x:c>
      <x:c r="Q25" s="14" t="str">
        <x:v>Steering committee and management plan</x:v>
      </x:c>
      <x:c r="R25" s="14" t="str">
        <x:v>Direct — Direct: the action definition explicitly implements a mechanism that changes Environmental liabilities, without requiring another intervention.
Direct — Direct: the action definition explicitly implements a mechanism that changes Vegetation loss, without requiring another intervention.
Indirect — Indirect: the action can influence Steering committee and management plan, but the stated mechanism does not directly change this indicator without an additional causal step.</x:v>
      </x:c>
      <x:c r="S25" s="14" t="str">
        <x:v>Relevant evidence supports the direction of effect but does not demonstrate its effectiveness level.</x:v>
      </x:c>
      <x:c r="T25" s="14"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26" ht="52" customHeight="1">
      <x:c r="A26" s="14" t="str">
        <x:v>ipcc_0084</x:v>
      </x:c>
      <x:c r="B26" s="14" t="str">
        <x:v>Restore/create natural areas</x:v>
      </x:c>
      <x:c r="C26" s="14" t="str">
        <x:v>Biodiversity</x:v>
      </x:c>
      <x:c r="D26" s="14" t="str">
        <x:v>Biome integrity</x:v>
      </x:c>
      <x:c r="E26" s="14" t="str">
        <x:v>Exposure</x:v>
      </x:c>
      <x:c r="F26" s="15" t="str"/>
      <x:c r="G26" s="15" t="str"/>
      <x:c r="H26" s="14" t="str">
        <x:v>Direct</x:v>
      </x:c>
      <x:c r="I26" s="14" t="str">
        <x:v>No demonstrated effectiveness</x:v>
      </x:c>
      <x:c r="J26" s="14" t="str">
        <x:v>Multiple sources</x:v>
      </x:c>
      <x:c r="K26" s="14" t="str">
        <x:v>No</x:v>
      </x:c>
      <x:c r="L26" s="14" t="str">
        <x:v>5-10 years</x:v>
      </x:c>
      <x:c r="M26" s="14" t="n">
        <x:v>3</x:v>
      </x:c>
      <x:c r="N26" s="14" t="n">
        <x:v>10</x:v>
      </x:c>
      <x:c r="O26" s="14" t="str">
        <x:v>Review directness | Evidence gap</x:v>
      </x:c>
      <x:c r="P26" s="14" t="str">
        <x:v>Natural coverage | Protected area | Area for conservation</x:v>
      </x:c>
      <x:c r="Q26" s="14" t="str"/>
      <x:c r="R26" s="14" t="str">
        <x:v>Direct — Direct: the action definition explicitly implements a mechanism that changes Natural coverage, without requiring another intervention.
Direct — Direct: the action definition explicitly implements a mechanism that changes Protected area, without requiring another intervention.
Direct — Direct: the action definition explicitly implements a mechanism that changes Area for conservation, without requiring another intervention.</x:v>
      </x:c>
      <x:c r="S26" s="14" t="str">
        <x:v>Relevant evidence supports the direction of effect but does not demonstrate its effectiveness level.</x:v>
      </x:c>
      <x:c r="T26" s="14"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27" ht="52" customHeight="1">
      <x:c r="A27" s="14" t="str">
        <x:v>ipcc_0084</x:v>
      </x:c>
      <x:c r="B27" s="14" t="str">
        <x:v>Restore/create natural areas</x:v>
      </x:c>
      <x:c r="C27" s="14" t="str">
        <x:v>Biodiversity</x:v>
      </x:c>
      <x:c r="D27" s="14" t="str">
        <x:v>Biome integrity</x:v>
      </x:c>
      <x:c r="E27" s="14" t="str">
        <x:v>Vulnerability</x:v>
      </x:c>
      <x:c r="F27" s="15" t="str"/>
      <x:c r="G27" s="15" t="str"/>
      <x:c r="H27" s="14" t="str">
        <x:v>Direct</x:v>
      </x:c>
      <x:c r="I27" s="14" t="str">
        <x:v>No demonstrated effectiveness</x:v>
      </x:c>
      <x:c r="J27" s="14" t="str">
        <x:v>Multiple sources</x:v>
      </x:c>
      <x:c r="K27" s="14" t="str">
        <x:v>No</x:v>
      </x:c>
      <x:c r="L27" s="14" t="str">
        <x:v>5-10 years</x:v>
      </x:c>
      <x:c r="M27" s="14" t="n">
        <x:v>3</x:v>
      </x:c>
      <x:c r="N27" s="14" t="n">
        <x:v>10</x:v>
      </x:c>
      <x:c r="O27" s="14" t="str">
        <x:v>Review directness | Evidence gap</x:v>
      </x:c>
      <x:c r="P27" s="14" t="str">
        <x:v>Environmental liabilities | Vegetation loss</x:v>
      </x:c>
      <x:c r="Q27" s="14" t="str">
        <x:v>Steering committee and management plan</x:v>
      </x:c>
      <x:c r="R27" s="14" t="str">
        <x:v>Direct — Direct: the action definition explicitly implements a mechanism that changes Environmental liabilities, without requiring another intervention.
Direct — Direct: the action definition explicitly implements a mechanism that changes Vegetation loss, without requiring another intervention.
Indirect — Indirect: the action can influence Steering committee and management plan, but the stated mechanism does not directly change this indicator without an additional causal step.</x:v>
      </x:c>
      <x:c r="S27" s="14" t="str">
        <x:v>Relevant evidence supports the direction of effect but does not demonstrate its effectiveness level.</x:v>
      </x:c>
      <x:c r="T27" s="14"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28" ht="52" customHeight="1">
      <x:c r="A28" s="14" t="str">
        <x:v>ipcc_0089</x:v>
      </x:c>
      <x:c r="B28" s="14" t="str">
        <x:v>Spatially redirect development</x:v>
      </x:c>
      <x:c r="C28" s="14" t="str">
        <x:v>Biodiversity</x:v>
      </x:c>
      <x:c r="D28" s="14" t="str">
        <x:v>Biome integrity</x:v>
      </x:c>
      <x:c r="E28" s="14" t="str">
        <x:v>Exposure</x:v>
      </x:c>
      <x:c r="F28" s="15" t="str"/>
      <x:c r="G28" s="15" t="str"/>
      <x:c r="H28" s="14" t="str">
        <x:v>Direct</x:v>
      </x:c>
      <x:c r="I28" s="14" t="str">
        <x:v>No demonstrated effectiveness</x:v>
      </x:c>
      <x:c r="J28" s="14" t="str">
        <x:v>Single source</x:v>
      </x:c>
      <x:c r="K28" s="14" t="str">
        <x:v>No</x:v>
      </x:c>
      <x:c r="L28" s="14" t="str">
        <x:v>5-10 years</x:v>
      </x:c>
      <x:c r="M28" s="14" t="n">
        <x:v>1</x:v>
      </x:c>
      <x:c r="N28" s="14" t="n">
        <x:v>10</x:v>
      </x:c>
      <x:c r="O28" s="14" t="str">
        <x:v>Review directness | Evidence gap</x:v>
      </x:c>
      <x:c r="P28" s="14" t="str">
        <x:v>Natural coverage | Area for conservation</x:v>
      </x:c>
      <x:c r="Q28" s="14" t="str">
        <x:v>Protected area</x:v>
      </x:c>
      <x:c r="R28" s="14" t="str">
        <x:v>Direct — Direct: the action definition explicitly implements a mechanism that changes Natural coverage, without requiring another intervention.
Indirect — Indirect: the action can influence Protected area, but the stated mechanism does not directly change this indicator without an additional causal step.
Direct — Direct: the action definition explicitly implements a mechanism that changes Area for conservation, without requiring another intervention.</x:v>
      </x:c>
      <x:c r="S28" s="14" t="str">
        <x:v>Relevant evidence supports the direction of effect but does not demonstrate its effectiveness level.</x:v>
      </x:c>
      <x:c r="T28" s="14"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29" ht="52" customHeight="1">
      <x:c r="A29" s="14" t="str">
        <x:v>ipcc_0089</x:v>
      </x:c>
      <x:c r="B29" s="14" t="str">
        <x:v>Spatially redirect development</x:v>
      </x:c>
      <x:c r="C29" s="14" t="str">
        <x:v>Biodiversity</x:v>
      </x:c>
      <x:c r="D29" s="14" t="str">
        <x:v>Biome integrity</x:v>
      </x:c>
      <x:c r="E29" s="14" t="str">
        <x:v>Vulnerability</x:v>
      </x:c>
      <x:c r="F29" s="15" t="str"/>
      <x:c r="G29" s="15" t="str"/>
      <x:c r="H29" s="14" t="str">
        <x:v>Direct</x:v>
      </x:c>
      <x:c r="I29" s="14" t="str">
        <x:v>No demonstrated effectiveness</x:v>
      </x:c>
      <x:c r="J29" s="14" t="str">
        <x:v>Single source</x:v>
      </x:c>
      <x:c r="K29" s="14" t="str">
        <x:v>No</x:v>
      </x:c>
      <x:c r="L29" s="14" t="str">
        <x:v>5-10 years</x:v>
      </x:c>
      <x:c r="M29" s="14" t="n">
        <x:v>1</x:v>
      </x:c>
      <x:c r="N29" s="14" t="n">
        <x:v>10</x:v>
      </x:c>
      <x:c r="O29" s="14" t="str">
        <x:v>Review directness | Evidence gap</x:v>
      </x:c>
      <x:c r="P29" s="14" t="str">
        <x:v>Environmental liabilities | Vegetation loss | Population | Agricultural establishment | Road network</x:v>
      </x:c>
      <x:c r="Q29" s="14" t="str">
        <x:v>Steering committee and management plan</x:v>
      </x:c>
      <x:c r="R29" s="14" t="str">
        <x:v>Direct — Direct: the action definition explicitly implements a mechanism that changes Environmental liabilities, without requiring another intervention.
Direct — Direct: the action definition explicitly implements a mechanism that changes Vegetation loss, without requiring another intervention.
Direct — Direct: the action definition explicitly implements a mechanism that changes Population, without requiring another intervention.
Direct — Direct: the action definition explicitly implements a mechanism that changes Agricultural establishment, without requiring another intervention.
Direct — Direct: the action definition explicitly implements a mechanism that changes Road network, without requiring another intervention.
Indirect — Indirect: the action can influence Steering committee and management plan, but the stated mechanism does not directly change this indicator without an additional causal step.</x:v>
      </x:c>
      <x:c r="S29" s="14" t="str">
        <x:v>Relevant evidence supports the direction of effect but does not demonstrate its effectiveness level.</x:v>
      </x:c>
      <x:c r="T29" s="14"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30" ht="52" customHeight="1">
      <x:c r="A30" s="14" t="str">
        <x:v>ipcc_0096</x:v>
      </x:c>
      <x:c r="B30" s="14" t="str">
        <x:v>Strengthen climate resilience in farming and fisheries</x:v>
      </x:c>
      <x:c r="C30" s="14" t="str">
        <x:v>Biodiversity</x:v>
      </x:c>
      <x:c r="D30" s="14" t="str">
        <x:v>Biome integrity</x:v>
      </x:c>
      <x:c r="E30" s="14" t="str">
        <x:v>Vulnerability</x:v>
      </x:c>
      <x:c r="F30" s="15" t="str"/>
      <x:c r="G30" s="15" t="str"/>
      <x:c r="H30" s="14" t="str">
        <x:v>Direct</x:v>
      </x:c>
      <x:c r="I30" s="14" t="str">
        <x:v>Medium effectiveness</x:v>
      </x:c>
      <x:c r="J30" s="14" t="str">
        <x:v>Single source</x:v>
      </x:c>
      <x:c r="K30" s="14" t="str">
        <x:v>No</x:v>
      </x:c>
      <x:c r="L30" s="14" t="str">
        <x:v>5-10 years</x:v>
      </x:c>
      <x:c r="M30" s="14" t="n">
        <x:v>1</x:v>
      </x:c>
      <x:c r="N30" s="14" t="n">
        <x:v>10</x:v>
      </x:c>
      <x:c r="O30" s="14" t="str">
        <x:v>Review directness</x:v>
      </x:c>
      <x:c r="P30" s="14" t="str">
        <x:v>No sustainable agricultural practice | Technical guidance</x:v>
      </x:c>
      <x:c r="Q30" s="14" t="str">
        <x:v>Pesticides | No family farming | Degraded pasture | Agricultural establishment</x:v>
      </x:c>
      <x:c r="R30" s="14" t="str">
        <x:v>Indirect — Indirect: the action can influence Pesticides, but the stated mechanism does not directly change this indicator without an additional causal step.
Indirect — Indirect: the action can influence No family farming, but the stated mechanism does not directly change this indicator without an additional causal step.
Direct — Direct: the action definition explicitly implements a mechanism that changes No sustainable agricultural practice, without requiring another intervention.
Indirect — Indirect: the action can influence Degraded pasture, but the stated mechanism does not directly change this indicator without an additional causal step.
Indirect — Indirect: the action can influence Agricultural establishment, but the stated mechanism does not directly change this indicator without an additional causal step.
Direct — Direct: the action definition explicitly implements a mechanism that changes Technical guidance, without requiring another intervention.</x:v>
      </x:c>
      <x:c r="S30" s="14" t="str">
        <x:v>Relevant evidence demonstrates a moderate, conditional, context-dependent or mixed positive outcome.</x:v>
      </x:c>
      <x:c r="T30" s="14" t="str">
        <x: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x:v>
      </x:c>
    </x:row>
    <x:row r="31" ht="52" customHeight="1">
      <x:c r="A31" s="14" t="str">
        <x:v>c40_0046</x:v>
      </x:c>
      <x:c r="B31" s="14" t="str">
        <x:v>Strengthen coastal protection infrastructure</x:v>
      </x:c>
      <x:c r="C31" s="14" t="str">
        <x:v>Biodiversity</x:v>
      </x:c>
      <x:c r="D31" s="14" t="str">
        <x:v>Biome integrity</x:v>
      </x:c>
      <x:c r="E31" s="14" t="str">
        <x:v>Vulnerability</x:v>
      </x:c>
      <x:c r="F31" s="15" t="str"/>
      <x:c r="G31" s="15" t="str"/>
      <x:c r="H31" s="14" t="str">
        <x:v>Indirect</x:v>
      </x:c>
      <x:c r="I31" s="14" t="str">
        <x:v>Not assessed</x:v>
      </x:c>
      <x:c r="J31" s="14" t="str">
        <x:v>Not assessed</x:v>
      </x:c>
      <x:c r="K31" s="14" t="str">
        <x:v>No</x:v>
      </x:c>
      <x:c r="L31" s="14" t="str">
        <x:v>5-10 years</x:v>
      </x:c>
      <x:c r="M31" s="14" t="n">
        <x:v>0</x:v>
      </x:c>
      <x:c r="N31" s="14" t="n">
        <x:v>0</x:v>
      </x:c>
      <x:c r="O31" s="14" t="str">
        <x:v>Review directness</x:v>
      </x:c>
      <x:c r="P31" s="14" t="str"/>
      <x:c r="Q31" s="14" t="str">
        <x:v>Environmental liabilities | Vegetation loss</x:v>
      </x:c>
      <x:c r="R31" s="14" t="str">
        <x:v>Indirect — Indirect: the action can influence Environmental liabilities, but the stated mechanism does not directly change this indicator without an additional causal step.
Indirect — Indirect: the action can influence Vegetation loss, but the stated mechanism does not directly change this indicator without an additional causal step.</x:v>
      </x:c>
      <x:c r="S31" s="14" t="str">
        <x:v>Effectiveness is not assessed because this relationship is not Direct.</x:v>
      </x:c>
      <x:c r="T31" s="14" t="str">
        <x: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x:v>
      </x:c>
    </x:row>
    <x:row r="32" ht="52" customHeight="1">
      <x:c r="A32" s="14" t="str">
        <x:v>ipcc_0103</x:v>
      </x:c>
      <x:c r="B32" s="14" t="str">
        <x:v>Strengthen cooperative climate governance</x:v>
      </x:c>
      <x:c r="C32" s="14" t="str">
        <x:v>Biodiversity</x:v>
      </x:c>
      <x:c r="D32" s="14" t="str">
        <x:v>Biome integrity</x:v>
      </x:c>
      <x:c r="E32" s="14" t="str">
        <x:v>Exposure</x:v>
      </x:c>
      <x:c r="F32" s="15" t="str"/>
      <x:c r="G32" s="15" t="str"/>
      <x:c r="H32" s="14" t="str">
        <x:v>Indirect</x:v>
      </x:c>
      <x:c r="I32" s="14" t="str">
        <x:v>Not assessed</x:v>
      </x:c>
      <x:c r="J32" s="14" t="str">
        <x:v>Not assessed</x:v>
      </x:c>
      <x:c r="K32" s="14" t="str">
        <x:v>No</x:v>
      </x:c>
      <x:c r="L32" s="14" t="str">
        <x:v>5-10 years</x:v>
      </x:c>
      <x:c r="M32" s="14" t="n">
        <x:v>0</x:v>
      </x:c>
      <x:c r="N32" s="14" t="n">
        <x:v>0</x:v>
      </x:c>
      <x:c r="O32" s="14" t="str">
        <x:v>Review directness</x:v>
      </x:c>
      <x:c r="P32" s="14" t="str"/>
      <x:c r="Q32" s="14" t="str">
        <x:v>Protected area | Area for conservation</x:v>
      </x:c>
      <x:c r="R32" s="14" t="str">
        <x:v>Indirect — Indirect: the action can influence Protected area, but the stated mechanism does not directly change this indicator without an additional causal step.
Indirect — Indirect: the action can influence Area for conservation, but the stated mechanism does not directly change this indicator without an additional causal step.</x:v>
      </x:c>
      <x:c r="S32" s="14" t="str">
        <x:v>Effectiveness is not assessed because this relationship is not Direct.</x:v>
      </x:c>
      <x:c r="T32" s="14"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33" ht="52" customHeight="1">
      <x:c r="A33" s="14" t="str">
        <x:v>ipcc_0103</x:v>
      </x:c>
      <x:c r="B33" s="14" t="str">
        <x:v>Strengthen cooperative climate governance</x:v>
      </x:c>
      <x:c r="C33" s="14" t="str">
        <x:v>Biodiversity</x:v>
      </x:c>
      <x:c r="D33" s="14" t="str">
        <x:v>Biome integrity</x:v>
      </x:c>
      <x:c r="E33" s="14" t="str">
        <x:v>Vulnerability</x:v>
      </x:c>
      <x:c r="F33" s="15" t="str"/>
      <x:c r="G33" s="15" t="str"/>
      <x:c r="H33" s="14" t="str">
        <x:v>Direct</x:v>
      </x:c>
      <x:c r="I33" s="14" t="str">
        <x:v>No demonstrated effectiveness</x:v>
      </x:c>
      <x:c r="J33" s="14" t="str">
        <x:v>None</x:v>
      </x:c>
      <x:c r="K33" s="14" t="str">
        <x:v>No</x:v>
      </x:c>
      <x:c r="L33" s="14" t="str">
        <x:v>5-10 years</x:v>
      </x:c>
      <x:c r="M33" s="14" t="n">
        <x:v>0</x:v>
      </x:c>
      <x:c r="N33" s="14" t="n">
        <x:v>10</x:v>
      </x:c>
      <x:c r="O33" s="14" t="str">
        <x:v>Review directness | Evidence gap</x:v>
      </x:c>
      <x:c r="P33" s="14" t="str">
        <x:v>Steering committee and management plan</x:v>
      </x:c>
      <x:c r="Q33" s="14" t="str">
        <x:v>Technical guidance</x:v>
      </x:c>
      <x:c r="R33" s="14" t="str">
        <x:v>Indirect — Indirect: the action can influence Technical guidance, but the stated mechanism does not directly change this indicator without an additional causal step.
Direct — Direct: the action definition explicitly implements a mechanism that changes Steering committee and management plan, without requiring another intervention.</x:v>
      </x:c>
      <x:c r="S33" s="14" t="str">
        <x:v>No relevant positive evidence was found in the screened source pages.</x:v>
      </x:c>
      <x:c r="T33" s="14"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34" ht="52" customHeight="1">
      <x:c r="A34" s="14" t="str">
        <x:v>icare_0162</x:v>
      </x:c>
      <x:c r="B34" s="14" t="str">
        <x:v>Strengthen programs for control and conservation of protected areas</x:v>
      </x:c>
      <x:c r="C34" s="14" t="str">
        <x:v>Biodiversity</x:v>
      </x:c>
      <x:c r="D34" s="14" t="str">
        <x:v>Biome integrity</x:v>
      </x:c>
      <x:c r="E34" s="14" t="str">
        <x:v>Exposure</x:v>
      </x:c>
      <x:c r="F34" s="15" t="str"/>
      <x:c r="G34" s="15" t="str"/>
      <x:c r="H34" s="14" t="str">
        <x:v>Direct</x:v>
      </x:c>
      <x:c r="I34" s="14" t="str">
        <x:v>No demonstrated effectiveness</x:v>
      </x:c>
      <x:c r="J34" s="14" t="str">
        <x:v>Multiple sources</x:v>
      </x:c>
      <x:c r="K34" s="14" t="str">
        <x:v>No</x:v>
      </x:c>
      <x:c r="L34" s="14" t="str">
        <x:v>5-10 years</x:v>
      </x:c>
      <x:c r="M34" s="14" t="n">
        <x:v>2</x:v>
      </x:c>
      <x:c r="N34" s="14" t="n">
        <x:v>10</x:v>
      </x:c>
      <x:c r="O34" s="14" t="str">
        <x:v>Review directness | Evidence gap</x:v>
      </x:c>
      <x:c r="P34" s="14" t="str">
        <x:v>Natural coverage | Protected area | Area for conservation</x:v>
      </x:c>
      <x:c r="Q34" s="14" t="str"/>
      <x:c r="R34" s="14" t="str">
        <x:v>Direct — Direct: the action definition explicitly implements a mechanism that changes Natural coverage, without requiring another intervention.
Direct — Direct: the action definition explicitly implements a mechanism that changes Protected area, without requiring another intervention.
Direct — Direct: the action definition explicitly implements a mechanism that changes Area for conservation, without requiring another intervention.</x:v>
      </x:c>
      <x:c r="S34" s="14" t="str">
        <x:v>Relevant evidence supports the direction of effect but does not demonstrate its effectiveness level.</x:v>
      </x:c>
      <x:c r="T34" s="14"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35" ht="52" customHeight="1">
      <x:c r="A35" s="14" t="str">
        <x:v>icare_0162</x:v>
      </x:c>
      <x:c r="B35" s="14" t="str">
        <x:v>Strengthen programs for control and conservation of protected areas</x:v>
      </x:c>
      <x:c r="C35" s="14" t="str">
        <x:v>Biodiversity</x:v>
      </x:c>
      <x:c r="D35" s="14" t="str">
        <x:v>Biome integrity</x:v>
      </x:c>
      <x:c r="E35" s="14" t="str">
        <x:v>Vulnerability</x:v>
      </x:c>
      <x:c r="F35" s="15" t="str"/>
      <x:c r="G35" s="15" t="str"/>
      <x:c r="H35" s="14" t="str">
        <x:v>Direct</x:v>
      </x:c>
      <x:c r="I35" s="14" t="str">
        <x:v>No demonstrated effectiveness</x:v>
      </x:c>
      <x:c r="J35" s="14" t="str">
        <x:v>Multiple sources</x:v>
      </x:c>
      <x:c r="K35" s="14" t="str">
        <x:v>No</x:v>
      </x:c>
      <x:c r="L35" s="14" t="str">
        <x:v>5-10 years</x:v>
      </x:c>
      <x:c r="M35" s="14" t="n">
        <x:v>2</x:v>
      </x:c>
      <x:c r="N35" s="14" t="n">
        <x:v>10</x:v>
      </x:c>
      <x:c r="O35" s="14" t="str">
        <x:v>Review directness | Evidence gap</x:v>
      </x:c>
      <x:c r="P35" s="14" t="str">
        <x:v>Environmental liabilities | Vegetation loss | Steering committee and management plan</x:v>
      </x:c>
      <x:c r="Q35" s="14" t="str"/>
      <x:c r="R35" s="14" t="str">
        <x:v>Direct — Direct: the action definition explicitly implements a mechanism that changes Environmental liabilities, without requiring another intervention.
Direct — Direct: the action definition explicitly implements a mechanism that changes Vegetation loss, without requiring another intervention.
Direct — Direct: the action definition explicitly implements a mechanism that changes Steering committee and management plan, without requiring another intervention.</x:v>
      </x:c>
      <x:c r="S35" s="14" t="str">
        <x:v>Relevant evidence supports the direction of effect but does not demonstrate its effectiveness level.</x:v>
      </x:c>
      <x:c r="T35" s="14"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36" ht="52" customHeight="1">
      <x:c r="A36" s="14" t="str">
        <x:v>icare_0170</x:v>
      </x:c>
      <x:c r="B36" s="14" t="str">
        <x:v>Build safe housing and implement urban rehabilitation projects for populations living in high-risk areas</x:v>
      </x:c>
      <x:c r="C36" s="14" t="str">
        <x:v>Energy Security</x:v>
      </x:c>
      <x:c r="D36" s="14" t="str">
        <x:v>Access</x:v>
      </x:c>
      <x:c r="E36" s="14" t="str">
        <x:v>Exposure</x:v>
      </x:c>
      <x:c r="F36" s="15" t="str"/>
      <x:c r="G36" s="15" t="str"/>
      <x:c r="H36" s="14" t="str">
        <x:v>Direct</x:v>
      </x:c>
      <x:c r="I36" s="14" t="str">
        <x:v>No demonstrated effectiveness</x:v>
      </x:c>
      <x:c r="J36" s="14" t="str">
        <x:v>None</x:v>
      </x:c>
      <x:c r="K36" s="14" t="str">
        <x:v>No</x:v>
      </x:c>
      <x:c r="L36" s="14" t="str">
        <x:v>&gt;10 years</x:v>
      </x:c>
      <x:c r="M36" s="14" t="n">
        <x:v>0</x:v>
      </x:c>
      <x:c r="N36" s="14" t="n">
        <x:v>14</x:v>
      </x:c>
      <x:c r="O36" s="14" t="str">
        <x:v>Review directness | Evidence gap</x:v>
      </x:c>
      <x:c r="P36" s="14" t="str">
        <x:v>Population density</x:v>
      </x:c>
      <x:c r="Q36" s="14" t="str"/>
      <x:c r="R36" s="14" t="str">
        <x:v>Direct — Direct: the action definition explicitly implements a mechanism that changes Population density, without requiring another intervention.</x:v>
      </x:c>
      <x:c r="S36" s="14" t="str">
        <x:v>No relevant positive evidence was found in the screened source pages.</x:v>
      </x:c>
      <x:c r="T36" s="14"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37" ht="52" customHeight="1">
      <x:c r="A37" s="14" t="str">
        <x:v>c40_0052</x:v>
      </x:c>
      <x:c r="B37" s="14" t="str">
        <x:v>Deploy cool pavements and cool roofs on heat‑exposed streets and buildings</x:v>
      </x:c>
      <x:c r="C37" s="14" t="str">
        <x:v>Energy Security</x:v>
      </x:c>
      <x:c r="D37" s="14" t="str">
        <x:v>Access</x:v>
      </x:c>
      <x:c r="E37" s="14" t="str">
        <x:v>Vulnerability</x:v>
      </x:c>
      <x:c r="F37" s="15" t="str"/>
      <x:c r="G37" s="15" t="str"/>
      <x:c r="H37" s="14" t="str">
        <x:v>Direct</x:v>
      </x:c>
      <x:c r="I37" s="14" t="str">
        <x:v>Medium effectiveness</x:v>
      </x:c>
      <x:c r="J37" s="14" t="str">
        <x:v>Multiple sources</x:v>
      </x:c>
      <x:c r="K37" s="14" t="str">
        <x:v>No</x:v>
      </x:c>
      <x:c r="L37" s="14" t="str">
        <x:v>5-10 years</x:v>
      </x:c>
      <x:c r="M37" s="14" t="n">
        <x:v>3</x:v>
      </x:c>
      <x:c r="N37" s="14" t="n">
        <x:v>14</x:v>
      </x:c>
      <x:c r="O37" s="14" t="str">
        <x:v>Review directness</x:v>
      </x:c>
      <x:c r="P37" s="14" t="str">
        <x:v>Residential electrical consumption | Electrical energy intensity</x:v>
      </x:c>
      <x:c r="Q37" s="14" t="str"/>
      <x:c r="R37" s="14" t="str">
        <x:v>Direct — Direct: the action definition explicitly implements a mechanism that changes Residential electrical consumption, without requiring another intervention.
Direct — Direct: the action definition explicitly implements a mechanism that changes Electrical energy intensity, without requiring another intervention.</x:v>
      </x:c>
      <x:c r="S37" s="14" t="str">
        <x:v>Relevant evidence demonstrates a moderate, conditional, context-dependent or mixed positive outcome.</x:v>
      </x:c>
      <x:c r="T37" s="14" t="str">
        <x: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x:v>
      </x:c>
    </x:row>
    <x:row r="38" ht="52" customHeight="1">
      <x:c r="A38" s="14" t="str">
        <x:v>icare_0176</x:v>
      </x:c>
      <x:c r="B38" s="14" t="str">
        <x:v>Develop a Climate Action Plan</x:v>
      </x:c>
      <x:c r="C38" s="14" t="str">
        <x:v>Energy Security</x:v>
      </x:c>
      <x:c r="D38" s="14" t="str">
        <x:v>Access</x:v>
      </x:c>
      <x:c r="E38" s="14" t="str">
        <x:v>Vulnerability</x:v>
      </x:c>
      <x:c r="F38" s="15" t="str"/>
      <x:c r="G38" s="15" t="str"/>
      <x:c r="H38" s="14" t="str">
        <x:v>Indirect</x:v>
      </x:c>
      <x:c r="I38" s="14" t="str">
        <x:v>Not assessed</x:v>
      </x:c>
      <x:c r="J38" s="14" t="str">
        <x:v>Not assessed</x:v>
      </x:c>
      <x:c r="K38" s="14" t="str">
        <x:v>No</x:v>
      </x:c>
      <x:c r="L38" s="14" t="str">
        <x:v>&lt;5 years</x:v>
      </x:c>
      <x:c r="M38" s="14" t="n">
        <x:v>0</x:v>
      </x:c>
      <x:c r="N38" s="14" t="n">
        <x:v>0</x:v>
      </x:c>
      <x:c r="O38" s="14" t="str">
        <x:v>Review directness</x:v>
      </x:c>
      <x:c r="P38" s="14" t="str"/>
      <x:c r="Q38" s="14" t="str">
        <x:v>Resilient cities</x:v>
      </x:c>
      <x:c r="R38" s="14" t="str">
        <x:v>Indirect — Indirect: the action can influence Resilient cities, but the stated mechanism does not directly change this indicator without an additional causal step.</x:v>
      </x:c>
      <x:c r="S38" s="14" t="str">
        <x:v>Effectiveness is not assessed because this relationship is not Direct.</x:v>
      </x:c>
      <x:c r="T38" s="14"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39" ht="52" customHeight="1">
      <x:c r="A39" s="14" t="str">
        <x:v>icare_0182</x:v>
      </x:c>
      <x:c r="B39" s="14" t="str">
        <x:v>Develop an Urban Afforestation Plan</x:v>
      </x:c>
      <x:c r="C39" s="14" t="str">
        <x:v>Energy Security</x:v>
      </x:c>
      <x:c r="D39" s="14" t="str">
        <x:v>Access</x:v>
      </x:c>
      <x:c r="E39" s="14" t="str">
        <x:v>Vulnerability</x:v>
      </x:c>
      <x:c r="F39" s="15" t="str"/>
      <x:c r="G39" s="15" t="str"/>
      <x:c r="H39" s="14" t="str">
        <x:v>Indirect</x:v>
      </x:c>
      <x:c r="I39" s="14" t="str">
        <x:v>Not assessed</x:v>
      </x:c>
      <x:c r="J39" s="14" t="str">
        <x:v>Not assessed</x:v>
      </x:c>
      <x:c r="K39" s="14" t="str">
        <x:v>No</x:v>
      </x:c>
      <x:c r="L39" s="14" t="str">
        <x:v>5-10 years</x:v>
      </x:c>
      <x:c r="M39" s="14" t="n">
        <x:v>0</x:v>
      </x:c>
      <x:c r="N39" s="14" t="n">
        <x:v>0</x:v>
      </x:c>
      <x:c r="O39" s="14" t="str">
        <x:v>Review directness</x:v>
      </x:c>
      <x:c r="P39" s="14" t="str"/>
      <x:c r="Q39" s="14" t="str">
        <x:v>Residential electrical consumption | Electrical energy intensity</x:v>
      </x:c>
      <x:c r="R39" s="14" t="str">
        <x:v>Indirect — Indirect: the action can influence Residential electrical consumption, but the stated mechanism does not directly change this indicator without an additional causal step.
Indirect — Indirect: the action can influence Electrical energy intensity, but the stated mechanism does not directly change this indicator without an additional causal step.</x:v>
      </x:c>
      <x:c r="S39" s="14" t="str">
        <x:v>Effectiveness is not assessed because this relationship is not Direct.</x:v>
      </x:c>
      <x:c r="T39" s="14" t="str">
        <x:v>This action focuses on expanding green areas in the city through urban afforestation. This includes planting trees in sidewalks, squares, public buildings, and schools, as well as creating ecological parks to revitalize watercourses and/or restore forests.</x:v>
      </x:c>
    </x:row>
    <x:row r="40" ht="52" customHeight="1">
      <x:c r="A40" s="14" t="str">
        <x:v>icare_0172</x:v>
      </x:c>
      <x:c r="B40" s="14" t="str">
        <x:v>Develop and implement the Municipal Risk Reduction Plan (PMRR) and identify population groups vulnerable to climate risks.</x:v>
      </x:c>
      <x:c r="C40" s="14" t="str">
        <x:v>Energy Security</x:v>
      </x:c>
      <x:c r="D40" s="14" t="str">
        <x:v>Access</x:v>
      </x:c>
      <x:c r="E40" s="14" t="str">
        <x:v>Vulnerability</x:v>
      </x:c>
      <x:c r="F40" s="15" t="str"/>
      <x:c r="G40" s="15" t="str"/>
      <x:c r="H40" s="14" t="str">
        <x:v>Indirect</x:v>
      </x:c>
      <x:c r="I40" s="14" t="str">
        <x:v>Not assessed</x:v>
      </x:c>
      <x:c r="J40" s="14" t="str">
        <x:v>Not assessed</x:v>
      </x:c>
      <x:c r="K40" s="14" t="str">
        <x:v>No</x:v>
      </x:c>
      <x:c r="L40" s="14" t="str">
        <x:v>&lt;5 years</x:v>
      </x:c>
      <x:c r="M40" s="14" t="n">
        <x:v>0</x:v>
      </x:c>
      <x:c r="N40" s="14" t="n">
        <x:v>0</x:v>
      </x:c>
      <x:c r="O40" s="14" t="str">
        <x:v>Review directness</x:v>
      </x:c>
      <x:c r="P40" s="14" t="str"/>
      <x:c r="Q40" s="14" t="str">
        <x:v>Resilient cities</x:v>
      </x:c>
      <x:c r="R40" s="14" t="str">
        <x:v>Indirect — Indirect: the action can influence Resilient cities, but the stated mechanism does not directly change this indicator without an additional causal step.</x:v>
      </x:c>
      <x:c r="S40" s="14" t="str">
        <x:v>Effectiveness is not assessed because this relationship is not Direct.</x:v>
      </x:c>
      <x:c r="T40" s="14" t="str">
        <x:v>This action aims to strengthen the development of the Municipal Risk Reduction Plan (PMRR) in the municipality, as it is a highly relevant tool for managing climate risks, especially river floods and landslides.</x:v>
      </x:c>
    </x:row>
    <x:row r="41" ht="52" customHeight="1">
      <x:c r="A41" s="14" t="str">
        <x:v>icare_0169</x:v>
      </x:c>
      <x:c r="B41" s="14" t="str">
        <x:v>Establish a Plan for Preparation and Emergency Response Measures in the event of extreme weather events</x:v>
      </x:c>
      <x:c r="C41" s="14" t="str">
        <x:v>Energy Security</x:v>
      </x:c>
      <x:c r="D41" s="14" t="str">
        <x:v>Access</x:v>
      </x:c>
      <x:c r="E41" s="14" t="str">
        <x:v>Vulnerability</x:v>
      </x:c>
      <x:c r="F41" s="15" t="str"/>
      <x:c r="G41" s="15" t="str"/>
      <x:c r="H41" s="14" t="str">
        <x:v>Indirect</x:v>
      </x:c>
      <x:c r="I41" s="14" t="str">
        <x:v>Not assessed</x:v>
      </x:c>
      <x:c r="J41" s="14" t="str">
        <x:v>Not assessed</x:v>
      </x:c>
      <x:c r="K41" s="14" t="str">
        <x:v>No</x:v>
      </x:c>
      <x:c r="L41" s="14" t="str">
        <x:v>5-10 years</x:v>
      </x:c>
      <x:c r="M41" s="14" t="n">
        <x:v>0</x:v>
      </x:c>
      <x:c r="N41" s="14" t="n">
        <x:v>0</x:v>
      </x:c>
      <x:c r="O41" s="14" t="str">
        <x:v>Review directness</x:v>
      </x:c>
      <x:c r="P41" s="14" t="str"/>
      <x:c r="Q41" s="14" t="str">
        <x:v>Resilient cities</x:v>
      </x:c>
      <x:c r="R41" s="14" t="str">
        <x:v>Indirect — Indirect: the action can influence Resilient cities, but the stated mechanism does not directly change this indicator without an additional causal step.</x:v>
      </x:c>
      <x:c r="S41" s="14" t="str">
        <x:v>Effectiveness is not assessed because this relationship is not Direct.</x:v>
      </x:c>
      <x:c r="T41" s="14" t="str">
        <x:v>This action focuses on preparing the municipality to respond to extreme events, aiming to provide a rapid response that minimizes the impacts on the population.</x:v>
      </x:c>
    </x:row>
    <x:row r="42" ht="52" customHeight="1">
      <x:c r="A42" s="14" t="str">
        <x:v>icare_0160</x:v>
      </x:c>
      <x:c r="B42" s="14" t="str">
        <x:v>Establish mechanisms for intersectoral coordination and public participation in climate policy</x:v>
      </x:c>
      <x:c r="C42" s="14" t="str">
        <x:v>Energy Security</x:v>
      </x:c>
      <x:c r="D42" s="14" t="str">
        <x:v>Access</x:v>
      </x:c>
      <x:c r="E42" s="14" t="str">
        <x:v>Vulnerability</x:v>
      </x:c>
      <x:c r="F42" s="15" t="str"/>
      <x:c r="G42" s="15" t="str"/>
      <x:c r="H42" s="14" t="str">
        <x:v>Indirect</x:v>
      </x:c>
      <x:c r="I42" s="14" t="str">
        <x:v>Not assessed</x:v>
      </x:c>
      <x:c r="J42" s="14" t="str">
        <x:v>Not assessed</x:v>
      </x:c>
      <x:c r="K42" s="14" t="str">
        <x:v>No</x:v>
      </x:c>
      <x:c r="L42" s="14" t="str">
        <x:v>&lt;5 years</x:v>
      </x:c>
      <x:c r="M42" s="14" t="n">
        <x:v>0</x:v>
      </x:c>
      <x:c r="N42" s="14" t="n">
        <x:v>0</x:v>
      </x:c>
      <x:c r="O42" s="14" t="str">
        <x:v>Review directness</x:v>
      </x:c>
      <x:c r="P42" s="14" t="str"/>
      <x:c r="Q42" s="14" t="str">
        <x:v>Resilient cities</x:v>
      </x:c>
      <x:c r="R42" s="14" t="str">
        <x:v>Indirect — Indirect: the action can influence Resilient cities, but the stated mechanism does not directly change this indicator without an additional causal step.</x:v>
      </x:c>
      <x:c r="S42" s="14" t="str">
        <x:v>Effectiveness is not assessed because this relationship is not Direct.</x:v>
      </x:c>
      <x:c r="T42" s="14" t="str">
        <x:v>Establish more mechanisms that enable better intersectoral coordination and public participation in climate policy, including the creation of working groups with neighboring municipalities to discuss a common climate agenda.</x:v>
      </x:c>
    </x:row>
    <x:row r="43" ht="52" customHeight="1">
      <x:c r="A43" s="14" t="str">
        <x:v>ipcc_0090</x:v>
      </x:c>
      <x:c r="B43" s="14" t="str">
        <x:v>Expand climate risk insurance coverage</x:v>
      </x:c>
      <x:c r="C43" s="14" t="str">
        <x:v>Energy Security</x:v>
      </x:c>
      <x:c r="D43" s="14" t="str">
        <x:v>Access</x:v>
      </x:c>
      <x:c r="E43" s="14" t="str">
        <x:v>Vulnerability</x:v>
      </x:c>
      <x:c r="F43" s="15" t="str"/>
      <x:c r="G43" s="15" t="str"/>
      <x:c r="H43" s="14" t="str">
        <x:v>Indirect</x:v>
      </x:c>
      <x:c r="I43" s="14" t="str">
        <x:v>Not assessed</x:v>
      </x:c>
      <x:c r="J43" s="14" t="str">
        <x:v>Not assessed</x:v>
      </x:c>
      <x:c r="K43" s="14" t="str">
        <x:v>No</x:v>
      </x:c>
      <x:c r="L43" s="14" t="str">
        <x:v>&lt;5 years</x:v>
      </x:c>
      <x:c r="M43" s="14" t="n">
        <x:v>0</x:v>
      </x:c>
      <x:c r="N43" s="14" t="n">
        <x:v>0</x:v>
      </x:c>
      <x:c r="O43" s="14" t="str">
        <x:v>Review directness</x:v>
      </x:c>
      <x:c r="P43" s="14" t="str"/>
      <x:c r="Q43" s="14" t="str">
        <x:v>Energy poverty | Municipal GDP per capita | Income greater than two minimum wages</x:v>
      </x:c>
      <x:c r="R43" s="14" t="str">
        <x:v>Indirect — Indirect: the action can influence Energy poverty, but the stated mechanism does not directly change this indicator without an additional causal step.
Indirect — Indirect: the action can influence Municipal GDP per capita, but the stated mechanism does not directly change this indicator without an additional causal step.
Indirect — Indirect: the action can influence Income greater than two minimum wages, but the stated mechanism does not directly change this indicator without an additional causal step.</x:v>
      </x:c>
      <x:c r="S43" s="14" t="str">
        <x:v>Effectiveness is not assessed because this relationship is not Direct.</x:v>
      </x:c>
      <x:c r="T43" s="14"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44" ht="52" customHeight="1">
      <x:c r="A44" s="14" t="str">
        <x:v>ipcc_0092</x:v>
      </x:c>
      <x:c r="B44" s="14" t="str">
        <x:v>Expand climate‑responsive social safety nets</x:v>
      </x:c>
      <x:c r="C44" s="14" t="str">
        <x:v>Energy Security</x:v>
      </x:c>
      <x:c r="D44" s="14" t="str">
        <x:v>Access</x:v>
      </x:c>
      <x:c r="E44" s="14" t="str">
        <x:v>Vulnerability</x:v>
      </x:c>
      <x:c r="F44" s="15" t="str"/>
      <x:c r="G44" s="15" t="str"/>
      <x:c r="H44" s="14" t="str">
        <x:v>Indirect</x:v>
      </x:c>
      <x:c r="I44" s="14" t="str">
        <x:v>Not assessed</x:v>
      </x:c>
      <x:c r="J44" s="14" t="str">
        <x:v>Not assessed</x:v>
      </x:c>
      <x:c r="K44" s="14" t="str">
        <x:v>No</x:v>
      </x:c>
      <x:c r="L44" s="14" t="str">
        <x:v>5-10 years</x:v>
      </x:c>
      <x:c r="M44" s="14" t="n">
        <x:v>0</x:v>
      </x:c>
      <x:c r="N44" s="14" t="n">
        <x:v>0</x:v>
      </x:c>
      <x:c r="O44" s="14" t="str">
        <x:v>Review directness</x:v>
      </x:c>
      <x:c r="P44" s="14" t="str"/>
      <x:c r="Q44" s="14" t="str">
        <x:v>Energy poverty | Income greater than two minimum wages</x:v>
      </x:c>
      <x:c r="R44" s="14" t="str">
        <x:v>Indirect — Indirect: the action can influence Energy poverty, but the stated mechanism does not directly change this indicator without an additional causal step.
Indirect — Indirect: the action can influence Income greater than two minimum wages, but the stated mechanism does not directly change this indicator without an additional causal step.</x:v>
      </x:c>
      <x:c r="S44" s="14" t="str">
        <x:v>Effectiveness is not assessed because this relationship is not Direct.</x:v>
      </x:c>
      <x:c r="T44" s="14" t="str">
        <x: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x:v>
      </x:c>
    </x:row>
    <x:row r="45" ht="52" customHeight="1">
      <x:c r="A45" s="14" t="str">
        <x:v>icare_0180</x:v>
      </x:c>
      <x:c r="B45" s="14" t="str">
        <x:v>Expand urban green-blue networks and corridors</x:v>
      </x:c>
      <x:c r="C45" s="14" t="str">
        <x:v>Energy Security</x:v>
      </x:c>
      <x:c r="D45" s="14" t="str">
        <x:v>Access</x:v>
      </x:c>
      <x:c r="E45" s="14" t="str">
        <x:v>Vulnerability</x:v>
      </x:c>
      <x:c r="F45" s="15" t="str"/>
      <x:c r="G45" s="15" t="str"/>
      <x:c r="H45" s="14" t="str">
        <x:v>Indirect</x:v>
      </x:c>
      <x:c r="I45" s="14" t="str">
        <x:v>Not assessed</x:v>
      </x:c>
      <x:c r="J45" s="14" t="str">
        <x:v>Not assessed</x:v>
      </x:c>
      <x:c r="K45" s="14" t="str">
        <x:v>No</x:v>
      </x:c>
      <x:c r="L45" s="14" t="str">
        <x:v>&lt;5 years</x:v>
      </x:c>
      <x:c r="M45" s="14" t="n">
        <x:v>0</x:v>
      </x:c>
      <x:c r="N45" s="14" t="n">
        <x:v>0</x:v>
      </x:c>
      <x:c r="O45" s="14" t="str">
        <x:v>Review directness</x:v>
      </x:c>
      <x:c r="P45" s="14" t="str"/>
      <x:c r="Q45" s="14" t="str">
        <x:v>Residential electrical consumption | Electrical energy intensity</x:v>
      </x:c>
      <x:c r="R45" s="14" t="str">
        <x:v>Indirect — Indirect: the action can influence Residential electrical consumption, but the stated mechanism does not directly change this indicator without an additional causal step.
Indirect — Indirect: the action can influence Electrical energy intensity, but the stated mechanism does not directly change this indicator without an additional causal step.</x:v>
      </x:c>
      <x:c r="S45" s="14" t="str">
        <x:v>Effectiveness is not assessed because this relationship is not Direct.</x:v>
      </x:c>
      <x:c r="T45" s="14"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46" ht="52" customHeight="1">
      <x:c r="A46" s="14" t="str">
        <x:v>ipcc_0102</x:v>
      </x:c>
      <x:c r="B46" s="14" t="str">
        <x:v>Facilitate seasonal and temporary mobility strategies</x:v>
      </x:c>
      <x:c r="C46" s="14" t="str">
        <x:v>Energy Security</x:v>
      </x:c>
      <x:c r="D46" s="14" t="str">
        <x:v>Access</x:v>
      </x:c>
      <x:c r="E46" s="14" t="str">
        <x:v>Exposure</x:v>
      </x:c>
      <x:c r="F46" s="15" t="str"/>
      <x:c r="G46" s="15" t="str"/>
      <x:c r="H46" s="14" t="str">
        <x:v>Indirect</x:v>
      </x:c>
      <x:c r="I46" s="14" t="str">
        <x:v>Not assessed</x:v>
      </x:c>
      <x:c r="J46" s="14" t="str">
        <x:v>Not assessed</x:v>
      </x:c>
      <x:c r="K46" s="14" t="str">
        <x:v>No</x:v>
      </x:c>
      <x:c r="L46" s="14" t="str">
        <x:v>5-10 years</x:v>
      </x:c>
      <x:c r="M46" s="14" t="n">
        <x:v>0</x:v>
      </x:c>
      <x:c r="N46" s="14" t="n">
        <x:v>0</x:v>
      </x:c>
      <x:c r="O46" s="14" t="str">
        <x:v>Review directness</x:v>
      </x:c>
      <x:c r="P46" s="14" t="str"/>
      <x:c r="Q46" s="14" t="str">
        <x:v>Population density</x:v>
      </x:c>
      <x:c r="R46" s="14" t="str">
        <x:v>Indirect — Indirect: the action can influence Population density, but the stated mechanism does not directly change this indicator without an additional causal step.</x:v>
      </x:c>
      <x:c r="S46" s="14" t="str">
        <x:v>Effectiveness is not assessed because this relationship is not Direct.</x:v>
      </x:c>
      <x:c r="T46" s="14"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47" ht="52" customHeight="1">
      <x:c r="A47" s="14" t="str">
        <x:v>ipcc_0086</x:v>
      </x:c>
      <x:c r="B47" s="14" t="str">
        <x:v>Implement ecosystem‑based adaptation measures</x:v>
      </x:c>
      <x:c r="C47" s="14" t="str">
        <x:v>Energy Security</x:v>
      </x:c>
      <x:c r="D47" s="14" t="str">
        <x:v>Access</x:v>
      </x:c>
      <x:c r="E47" s="14" t="str">
        <x:v>Vulnerability</x:v>
      </x:c>
      <x:c r="F47" s="15" t="str"/>
      <x:c r="G47" s="15" t="str"/>
      <x:c r="H47" s="14" t="str">
        <x:v>Indirect</x:v>
      </x:c>
      <x:c r="I47" s="14" t="str">
        <x:v>Not assessed</x:v>
      </x:c>
      <x:c r="J47" s="14" t="str">
        <x:v>Not assessed</x:v>
      </x:c>
      <x:c r="K47" s="14" t="str">
        <x:v>No</x:v>
      </x:c>
      <x:c r="L47" s="14" t="str">
        <x:v>5-10 years</x:v>
      </x:c>
      <x:c r="M47" s="14" t="n">
        <x:v>0</x:v>
      </x:c>
      <x:c r="N47" s="14" t="n">
        <x:v>0</x:v>
      </x:c>
      <x:c r="O47" s="14" t="str">
        <x:v>Review directness</x:v>
      </x:c>
      <x:c r="P47" s="14" t="str"/>
      <x:c r="Q47" s="14" t="str">
        <x:v>Residential electrical consumption | Electrical energy intensity</x:v>
      </x:c>
      <x:c r="R47" s="14" t="str">
        <x:v>Indirect — Indirect: the action can influence Residential electrical consumption, but the stated mechanism does not directly change this indicator without an additional causal step.
Indirect — Indirect: the action can influence Electrical energy intensity, but the stated mechanism does not directly change this indicator without an additional causal step.</x:v>
      </x:c>
      <x:c r="S47" s="14" t="str">
        <x:v>Effectiveness is not assessed because this relationship is not Direct.</x:v>
      </x:c>
      <x:c r="T47" s="14"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48" ht="52" customHeight="1">
      <x:c r="A48" s="14" t="str">
        <x:v>ipcc_0078</x:v>
      </x:c>
      <x:c r="B48" s="14" t="str">
        <x:v>Implement green roofs and walls</x:v>
      </x:c>
      <x:c r="C48" s="14" t="str">
        <x:v>Energy Security</x:v>
      </x:c>
      <x:c r="D48" s="14" t="str">
        <x:v>Access</x:v>
      </x:c>
      <x:c r="E48" s="14" t="str">
        <x:v>Vulnerability</x:v>
      </x:c>
      <x:c r="F48" s="15" t="str"/>
      <x:c r="G48" s="15" t="str"/>
      <x:c r="H48" s="14" t="str">
        <x:v>Direct</x:v>
      </x:c>
      <x:c r="I48" s="14" t="str">
        <x:v>Medium effectiveness</x:v>
      </x:c>
      <x:c r="J48" s="14" t="str">
        <x:v>Multiple sources</x:v>
      </x:c>
      <x:c r="K48" s="14" t="str">
        <x:v>No</x:v>
      </x:c>
      <x:c r="L48" s="14" t="str">
        <x:v>5-10 years</x:v>
      </x:c>
      <x:c r="M48" s="14" t="n">
        <x:v>2</x:v>
      </x:c>
      <x:c r="N48" s="14" t="n">
        <x:v>14</x:v>
      </x:c>
      <x:c r="O48" s="14" t="str">
        <x:v>Review directness</x:v>
      </x:c>
      <x:c r="P48" s="14" t="str">
        <x:v>Residential electrical consumption | Electrical energy intensity</x:v>
      </x:c>
      <x:c r="Q48" s="14" t="str"/>
      <x:c r="R48" s="14" t="str">
        <x:v>Direct — Direct: the action definition explicitly implements a mechanism that changes Residential electrical consumption, without requiring another intervention.
Direct — Direct: the action definition explicitly implements a mechanism that changes Electrical energy intensity, without requiring another intervention.</x:v>
      </x:c>
      <x:c r="S48" s="14" t="str">
        <x:v>Relevant evidence demonstrates a moderate, conditional, context-dependent or mixed positive outcome.</x:v>
      </x:c>
      <x:c r="T48" s="14" t="str">
        <x:v>The implementation of green roofs and green walls mitigates urban heat island effects, improves thermal comfort, reduces energy demand in buildings, manages stormwater, and enhances urban livability and biodiversity.</x:v>
      </x:c>
    </x:row>
    <x:row r="49" ht="52" customHeight="1">
      <x:c r="A49" s="14" t="str">
        <x:v>icare_0183</x:v>
      </x:c>
      <x:c r="B49" s="14" t="str">
        <x:v>Implement Multi-hazard Early Warning Systems (MH-EWS)</x:v>
      </x:c>
      <x:c r="C49" s="14" t="str">
        <x:v>Energy Security</x:v>
      </x:c>
      <x:c r="D49" s="14" t="str">
        <x:v>Access</x:v>
      </x:c>
      <x:c r="E49" s="14" t="str">
        <x:v>Vulnerability</x:v>
      </x:c>
      <x:c r="F49" s="15" t="str"/>
      <x:c r="G49" s="15" t="str"/>
      <x:c r="H49" s="14" t="str">
        <x:v>Indirect</x:v>
      </x:c>
      <x:c r="I49" s="14" t="str">
        <x:v>Not assessed</x:v>
      </x:c>
      <x:c r="J49" s="14" t="str">
        <x:v>Not assessed</x:v>
      </x:c>
      <x:c r="K49" s="14" t="str">
        <x:v>No</x:v>
      </x:c>
      <x:c r="L49" s="14" t="str">
        <x:v>5-10 years</x:v>
      </x:c>
      <x:c r="M49" s="14" t="n">
        <x:v>0</x:v>
      </x:c>
      <x:c r="N49" s="14" t="n">
        <x:v>0</x:v>
      </x:c>
      <x:c r="O49" s="14" t="str">
        <x:v>Review directness</x:v>
      </x:c>
      <x:c r="P49" s="14" t="str"/>
      <x:c r="Q49" s="14" t="str">
        <x:v>Resilient cities</x:v>
      </x:c>
      <x:c r="R49" s="14" t="str">
        <x:v>Indirect — Indirect: the action can influence Resilient cities, but the stated mechanism does not directly change this indicator without an additional causal step.</x:v>
      </x:c>
      <x:c r="S49" s="14" t="str">
        <x:v>Effectiveness is not assessed because this relationship is not Direct.</x:v>
      </x:c>
      <x:c r="T49" s="14" t="str">
        <x: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x:v>
      </x:c>
    </x:row>
    <x:row r="50" ht="52" customHeight="1">
      <x:c r="A50" s="14" t="str">
        <x:v>ipcc_0100</x:v>
      </x:c>
      <x:c r="B50" s="14" t="str">
        <x:v>Improve Efficient water use/demand</x:v>
      </x:c>
      <x:c r="C50" s="14" t="str">
        <x:v>Energy Security</x:v>
      </x:c>
      <x:c r="D50" s="14" t="str">
        <x:v>Access</x:v>
      </x:c>
      <x:c r="E50" s="14" t="str">
        <x:v>Vulnerability</x:v>
      </x:c>
      <x:c r="F50" s="15" t="str"/>
      <x:c r="G50" s="15" t="str"/>
      <x:c r="H50" s="14" t="str">
        <x:v>Indirect</x:v>
      </x:c>
      <x:c r="I50" s="14" t="str">
        <x:v>Not assessed</x:v>
      </x:c>
      <x:c r="J50" s="14" t="str">
        <x:v>Not assessed</x:v>
      </x:c>
      <x:c r="K50" s="14" t="str">
        <x:v>No</x:v>
      </x:c>
      <x:c r="L50" s="14" t="str">
        <x:v>5-10 years</x:v>
      </x:c>
      <x:c r="M50" s="14" t="n">
        <x:v>0</x:v>
      </x:c>
      <x:c r="N50" s="14" t="n">
        <x:v>0</x:v>
      </x:c>
      <x:c r="O50" s="14" t="str">
        <x:v>Review directness</x:v>
      </x:c>
      <x:c r="P50" s="14" t="str"/>
      <x:c r="Q50" s="14" t="str">
        <x:v>Energy stored in hydroelectric reservoirs</x:v>
      </x:c>
      <x:c r="R50" s="14" t="str">
        <x:v>Indirect — Indirect: the action can influence Energy stored in hydroelectric reservoirs, but the stated mechanism does not directly change this indicator without an additional causal step.</x:v>
      </x:c>
      <x:c r="S50" s="14" t="str">
        <x:v>Effectiveness is not assessed because this relationship is not Direct.</x:v>
      </x:c>
      <x:c r="T50" s="14"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51" ht="52" customHeight="1">
      <x:c r="A51" s="14" t="str">
        <x:v>icare_0164</x:v>
      </x:c>
      <x:c r="B51" s="14" t="str">
        <x:v>Improve Hydrological Monitoring System with Telemetry Stations</x:v>
      </x:c>
      <x:c r="C51" s="14" t="str">
        <x:v>Energy Security</x:v>
      </x:c>
      <x:c r="D51" s="14" t="str">
        <x:v>Access</x:v>
      </x:c>
      <x:c r="E51" s="14" t="str">
        <x:v>Vulnerability</x:v>
      </x:c>
      <x:c r="F51" s="15" t="str"/>
      <x:c r="G51" s="15" t="str"/>
      <x:c r="H51" s="14" t="str">
        <x:v>Indirect</x:v>
      </x:c>
      <x:c r="I51" s="14" t="str">
        <x:v>Not assessed</x:v>
      </x:c>
      <x:c r="J51" s="14" t="str">
        <x:v>Not assessed</x:v>
      </x:c>
      <x:c r="K51" s="14" t="str">
        <x:v>No</x:v>
      </x:c>
      <x:c r="L51" s="14" t="str">
        <x:v>&lt;5 years</x:v>
      </x:c>
      <x:c r="M51" s="14" t="n">
        <x:v>0</x:v>
      </x:c>
      <x:c r="N51" s="14" t="n">
        <x:v>0</x:v>
      </x:c>
      <x:c r="O51" s="14" t="str">
        <x:v>Review directness</x:v>
      </x:c>
      <x:c r="P51" s="14" t="str"/>
      <x:c r="Q51" s="14" t="str">
        <x:v>Energy stored in hydroelectric reservoirs</x:v>
      </x:c>
      <x:c r="R51" s="14" t="str">
        <x:v>Indirect — Indirect: the action can influence Energy stored in hydroelectric reservoirs, but the stated mechanism does not directly change this indicator without an additional causal step.</x:v>
      </x:c>
      <x:c r="S51" s="14" t="str">
        <x:v>Effectiveness is not assessed because this relationship is not Direct.</x:v>
      </x:c>
      <x:c r="T51" s="14" t="str">
        <x:v>Implementation of a hydrological monitoring system with telemetry stations to monitor rainfall, water levels, and meteorological variables in real-time.</x:v>
      </x:c>
    </x:row>
    <x:row r="52" ht="52" customHeight="1">
      <x:c r="A52" s="14" t="str">
        <x:v>ipcc_0087</x:v>
      </x:c>
      <x:c r="B52" s="14" t="str">
        <x:v>Improve Infrastructure retrofitting</x:v>
      </x:c>
      <x:c r="C52" s="14" t="str">
        <x:v>Energy Security</x:v>
      </x:c>
      <x:c r="D52" s="14" t="str">
        <x:v>Access</x:v>
      </x:c>
      <x:c r="E52" s="14" t="str">
        <x:v>Vulnerability</x:v>
      </x:c>
      <x:c r="F52" s="15" t="str"/>
      <x:c r="G52" s="15" t="str"/>
      <x:c r="H52" s="14" t="str">
        <x:v>Direct</x:v>
      </x:c>
      <x:c r="I52" s="14" t="str">
        <x:v>No demonstrated effectiveness</x:v>
      </x:c>
      <x:c r="J52" s="14" t="str">
        <x:v>Multiple sources</x:v>
      </x:c>
      <x:c r="K52" s="14" t="str">
        <x:v>No</x:v>
      </x:c>
      <x:c r="L52" s="14" t="str">
        <x:v>5-10 years</x:v>
      </x:c>
      <x:c r="M52" s="14" t="n">
        <x:v>2</x:v>
      </x:c>
      <x:c r="N52" s="14" t="n">
        <x:v>14</x:v>
      </x:c>
      <x:c r="O52" s="14" t="str">
        <x:v>Review directness | Evidence gap</x:v>
      </x:c>
      <x:c r="P52" s="14" t="str">
        <x:v>Electricity interruption</x:v>
      </x:c>
      <x:c r="Q52" s="14" t="str"/>
      <x:c r="R52" s="14" t="str">
        <x:v>Direct — Direct: the action definition explicitly implements a mechanism that changes Electricity interruption, without requiring another intervention.</x:v>
      </x:c>
      <x:c r="S52" s="14" t="str">
        <x:v>Relevant evidence supports the direction of effect but does not demonstrate its effectiveness level.</x:v>
      </x:c>
      <x:c r="T52" s="14" t="str">
        <x: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x:v>
      </x:c>
    </x:row>
    <x:row r="53" ht="52" customHeight="1">
      <x:c r="A53" s="14" t="str">
        <x:v>icare_0171</x:v>
      </x:c>
      <x:c r="B53" s="14" t="str">
        <x:v>Improve the hydrometeorological forecasting, monitoring, and alert system for climate risks</x:v>
      </x:c>
      <x:c r="C53" s="14" t="str">
        <x:v>Energy Security</x:v>
      </x:c>
      <x:c r="D53" s="14" t="str">
        <x:v>Access</x:v>
      </x:c>
      <x:c r="E53" s="14" t="str">
        <x:v>Vulnerability</x:v>
      </x:c>
      <x:c r="F53" s="15" t="str"/>
      <x:c r="G53" s="15" t="str"/>
      <x:c r="H53" s="14" t="str">
        <x:v>Indirect</x:v>
      </x:c>
      <x:c r="I53" s="14" t="str">
        <x:v>Not assessed</x:v>
      </x:c>
      <x:c r="J53" s="14" t="str">
        <x:v>Not assessed</x:v>
      </x:c>
      <x:c r="K53" s="14" t="str">
        <x:v>No</x:v>
      </x:c>
      <x:c r="L53" s="14" t="str">
        <x:v>5-10 years</x:v>
      </x:c>
      <x:c r="M53" s="14" t="n">
        <x:v>0</x:v>
      </x:c>
      <x:c r="N53" s="14" t="n">
        <x:v>0</x:v>
      </x:c>
      <x:c r="O53" s="14" t="str">
        <x:v>Review directness</x:v>
      </x:c>
      <x:c r="P53" s="14" t="str"/>
      <x:c r="Q53" s="14" t="str">
        <x:v>Resilient cities</x:v>
      </x:c>
      <x:c r="R53" s="14" t="str">
        <x:v>Indirect — Indirect: the action can influence Resilient cities, but the stated mechanism does not directly change this indicator without an additional causal step.</x:v>
      </x:c>
      <x:c r="S53" s="14" t="str">
        <x:v>Effectiveness is not assessed because this relationship is not Direct.</x:v>
      </x:c>
      <x:c r="T53" s="14" t="str">
        <x:v>This action aims to expand the procedures related to the existing climate risk forecasting, monitoring, and alert system in the municipality.</x:v>
      </x:c>
    </x:row>
    <x:row r="54" ht="52" customHeight="1">
      <x:c r="A54" s="14" t="str">
        <x:v>ipcc_0101</x:v>
      </x:c>
      <x:c r="B54" s="14" t="str">
        <x:v>Improve urban water management</x:v>
      </x:c>
      <x:c r="C54" s="14" t="str">
        <x:v>Energy Security</x:v>
      </x:c>
      <x:c r="D54" s="14" t="str">
        <x:v>Access</x:v>
      </x:c>
      <x:c r="E54" s="14" t="str">
        <x:v>Vulnerability</x:v>
      </x:c>
      <x:c r="F54" s="15" t="str"/>
      <x:c r="G54" s="15" t="str"/>
      <x:c r="H54" s="14" t="str">
        <x:v>Indirect</x:v>
      </x:c>
      <x:c r="I54" s="14" t="str">
        <x:v>Not assessed</x:v>
      </x:c>
      <x:c r="J54" s="14" t="str">
        <x:v>Not assessed</x:v>
      </x:c>
      <x:c r="K54" s="14" t="str">
        <x:v>No</x:v>
      </x:c>
      <x:c r="L54" s="14" t="str">
        <x:v>5-10 years</x:v>
      </x:c>
      <x:c r="M54" s="14" t="n">
        <x:v>0</x:v>
      </x:c>
      <x:c r="N54" s="14" t="n">
        <x:v>0</x:v>
      </x:c>
      <x:c r="O54" s="14" t="str">
        <x:v>Review directness</x:v>
      </x:c>
      <x:c r="P54" s="14" t="str"/>
      <x:c r="Q54" s="14" t="str">
        <x:v>Electrical energy intensity</x:v>
      </x:c>
      <x:c r="R54" s="14" t="str">
        <x:v>Indirect — Indirect: the action can influence Electrical energy intensity, but the stated mechanism does not directly change this indicator without an additional causal step.</x:v>
      </x:c>
      <x:c r="S54" s="14" t="str">
        <x:v>Effectiveness is not assessed because this relationship is not Direct.</x:v>
      </x:c>
      <x:c r="T54" s="14"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55" ht="52" customHeight="1">
      <x:c r="A55" s="14" t="str">
        <x:v>c40_0056</x:v>
      </x:c>
      <x:c r="B55" s="14" t="str">
        <x:v>Improve Watershed Protection and Management</x:v>
      </x:c>
      <x:c r="C55" s="14" t="str">
        <x:v>Energy Security</x:v>
      </x:c>
      <x:c r="D55" s="14" t="str">
        <x:v>Access</x:v>
      </x:c>
      <x:c r="E55" s="14" t="str">
        <x:v>Vulnerability</x:v>
      </x:c>
      <x:c r="F55" s="15" t="str"/>
      <x:c r="G55" s="15" t="str"/>
      <x:c r="H55" s="14" t="str">
        <x:v>Indirect</x:v>
      </x:c>
      <x:c r="I55" s="14" t="str">
        <x:v>Not assessed</x:v>
      </x:c>
      <x:c r="J55" s="14" t="str">
        <x:v>Not assessed</x:v>
      </x:c>
      <x:c r="K55" s="14" t="str">
        <x:v>No</x:v>
      </x:c>
      <x:c r="L55" s="14" t="str">
        <x:v>&lt;5 years</x:v>
      </x:c>
      <x:c r="M55" s="14" t="n">
        <x:v>0</x:v>
      </x:c>
      <x:c r="N55" s="14" t="n">
        <x:v>0</x:v>
      </x:c>
      <x:c r="O55" s="14" t="str">
        <x:v>Review directness</x:v>
      </x:c>
      <x:c r="P55" s="14" t="str"/>
      <x:c r="Q55" s="14" t="str">
        <x:v>Energy stored in hydroelectric reservoirs</x:v>
      </x:c>
      <x:c r="R55" s="14" t="str">
        <x:v>Indirect — Indirect: the action can influence Energy stored in hydroelectric reservoirs, but the stated mechanism does not directly change this indicator without an additional causal step.</x:v>
      </x:c>
      <x:c r="S55" s="14" t="str">
        <x:v>Effectiveness is not assessed because this relationship is not Direct.</x:v>
      </x:c>
      <x:c r="T55" s="14"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56" ht="52" customHeight="1">
      <x:c r="A56" s="14" t="str">
        <x:v>ipcc_0099</x:v>
      </x:c>
      <x:c r="B56" s="14" t="str">
        <x:v>Increase Water Capture and Storage</x:v>
      </x:c>
      <x:c r="C56" s="14" t="str">
        <x:v>Energy Security</x:v>
      </x:c>
      <x:c r="D56" s="14" t="str">
        <x:v>Access</x:v>
      </x:c>
      <x:c r="E56" s="14" t="str">
        <x:v>Vulnerability</x:v>
      </x:c>
      <x:c r="F56" s="15" t="str"/>
      <x:c r="G56" s="15" t="str"/>
      <x:c r="H56" s="14" t="str">
        <x:v>Direct</x:v>
      </x:c>
      <x:c r="I56" s="14" t="str">
        <x:v>No demonstrated effectiveness</x:v>
      </x:c>
      <x:c r="J56" s="14" t="str">
        <x:v>Single source</x:v>
      </x:c>
      <x:c r="K56" s="14" t="str">
        <x:v>No</x:v>
      </x:c>
      <x:c r="L56" s="14" t="str">
        <x:v>5-10 years</x:v>
      </x:c>
      <x:c r="M56" s="14" t="n">
        <x:v>1</x:v>
      </x:c>
      <x:c r="N56" s="14" t="n">
        <x:v>14</x:v>
      </x:c>
      <x:c r="O56" s="14" t="str">
        <x:v>Review directness | Evidence gap</x:v>
      </x:c>
      <x:c r="P56" s="14" t="str">
        <x:v>Energy stored in hydroelectric reservoirs</x:v>
      </x:c>
      <x:c r="Q56" s="14" t="str"/>
      <x:c r="R56" s="14" t="str">
        <x:v>Direct — Direct: the action definition explicitly implements a mechanism that changes Energy stored in hydroelectric reservoirs, without requiring another intervention.</x:v>
      </x:c>
      <x:c r="S56" s="14" t="str">
        <x:v>Relevant evidence supports the direction of effect but does not demonstrate its effectiveness level.</x:v>
      </x:c>
      <x:c r="T56" s="14"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57" ht="52" customHeight="1">
      <x:c r="A57" s="14" t="str">
        <x:v>ipcc_0104</x:v>
      </x:c>
      <x:c r="B57" s="14" t="str">
        <x:v>Plan and support permanent climate‑related migration</x:v>
      </x:c>
      <x:c r="C57" s="14" t="str">
        <x:v>Energy Security</x:v>
      </x:c>
      <x:c r="D57" s="14" t="str">
        <x:v>Access</x:v>
      </x:c>
      <x:c r="E57" s="14" t="str">
        <x:v>Exposure</x:v>
      </x:c>
      <x:c r="F57" s="15" t="str"/>
      <x:c r="G57" s="15" t="str"/>
      <x:c r="H57" s="14" t="str">
        <x:v>Direct</x:v>
      </x:c>
      <x:c r="I57" s="14" t="str">
        <x:v>No demonstrated effectiveness</x:v>
      </x:c>
      <x:c r="J57" s="14" t="str">
        <x:v>None</x:v>
      </x:c>
      <x:c r="K57" s="14" t="str">
        <x:v>No</x:v>
      </x:c>
      <x:c r="L57" s="14" t="str">
        <x:v>5-10 years</x:v>
      </x:c>
      <x:c r="M57" s="14" t="n">
        <x:v>0</x:v>
      </x:c>
      <x:c r="N57" s="14" t="n">
        <x:v>14</x:v>
      </x:c>
      <x:c r="O57" s="14" t="str">
        <x:v>Review directness | Evidence gap</x:v>
      </x:c>
      <x:c r="P57" s="14" t="str">
        <x:v>Population density</x:v>
      </x:c>
      <x:c r="Q57" s="14" t="str"/>
      <x:c r="R57" s="14" t="str">
        <x:v>Direct — Direct: the action definition explicitly implements a mechanism that changes Population density, without requiring another intervention.</x:v>
      </x:c>
      <x:c r="S57" s="14" t="str">
        <x:v>No relevant positive evidence was found in the screened source pages.</x:v>
      </x:c>
      <x:c r="T57" s="14"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58" ht="52" customHeight="1">
      <x:c r="A58" s="14" t="str">
        <x:v>ipcc_0083</x:v>
      </x:c>
      <x:c r="B58" s="14" t="str">
        <x:v>Plan strategic coastal retreat for vulnerable communities</x:v>
      </x:c>
      <x:c r="C58" s="14" t="str">
        <x:v>Energy Security</x:v>
      </x:c>
      <x:c r="D58" s="14" t="str">
        <x:v>Access</x:v>
      </x:c>
      <x:c r="E58" s="14" t="str">
        <x:v>Exposure</x:v>
      </x:c>
      <x:c r="F58" s="15" t="str"/>
      <x:c r="G58" s="15" t="str"/>
      <x:c r="H58" s="14" t="str">
        <x:v>Direct</x:v>
      </x:c>
      <x:c r="I58" s="14" t="str">
        <x:v>No demonstrated effectiveness</x:v>
      </x:c>
      <x:c r="J58" s="14" t="str">
        <x:v>None</x:v>
      </x:c>
      <x:c r="K58" s="14" t="str">
        <x:v>No</x:v>
      </x:c>
      <x:c r="L58" s="14" t="str">
        <x:v>&gt;10 years</x:v>
      </x:c>
      <x:c r="M58" s="14" t="n">
        <x:v>0</x:v>
      </x:c>
      <x:c r="N58" s="14" t="n">
        <x:v>14</x:v>
      </x:c>
      <x:c r="O58" s="14" t="str">
        <x:v>Review directness | Evidence gap</x:v>
      </x:c>
      <x:c r="P58" s="14" t="str">
        <x:v>Population density</x:v>
      </x:c>
      <x:c r="Q58" s="14" t="str"/>
      <x:c r="R58" s="14" t="str">
        <x:v>Direct — Direct: the action definition explicitly implements a mechanism that changes Population density, without requiring another intervention.</x:v>
      </x:c>
      <x:c r="S58" s="14" t="str">
        <x:v>No relevant positive evidence was found in the screened source pages.</x:v>
      </x:c>
      <x:c r="T58" s="14" t="str">
        <x:v>Planned relocation and retreat of people, assets, and activities from coastal hazard zones to reduce exposure and risks caused by sea-level rise and associated coastal hazards.</x:v>
      </x:c>
    </x:row>
    <x:row r="59" ht="52" customHeight="1">
      <x:c r="A59" s="14" t="str">
        <x:v>icare_0173</x:v>
      </x:c>
      <x:c r="B59" s="14" t="str">
        <x:v>Preventive maintenance of drainage systems</x:v>
      </x:c>
      <x:c r="C59" s="14" t="str">
        <x:v>Energy Security</x:v>
      </x:c>
      <x:c r="D59" s="14" t="str">
        <x:v>Access</x:v>
      </x:c>
      <x:c r="E59" s="14" t="str">
        <x:v>Vulnerability</x:v>
      </x:c>
      <x:c r="F59" s="15" t="str"/>
      <x:c r="G59" s="15" t="str"/>
      <x:c r="H59" s="14" t="str">
        <x:v>Indirect</x:v>
      </x:c>
      <x:c r="I59" s="14" t="str">
        <x:v>Not assessed</x:v>
      </x:c>
      <x:c r="J59" s="14" t="str">
        <x:v>Not assessed</x:v>
      </x:c>
      <x:c r="K59" s="14" t="str">
        <x:v>No</x:v>
      </x:c>
      <x:c r="L59" s="14" t="str">
        <x:v>5-10 years</x:v>
      </x:c>
      <x:c r="M59" s="14" t="n">
        <x:v>0</x:v>
      </x:c>
      <x:c r="N59" s="14" t="n">
        <x:v>0</x:v>
      </x:c>
      <x:c r="O59" s="14" t="str">
        <x:v>Review directness</x:v>
      </x:c>
      <x:c r="P59" s="14" t="str"/>
      <x:c r="Q59" s="14" t="str">
        <x:v>Electricity interruption</x:v>
      </x:c>
      <x:c r="R59" s="14" t="str">
        <x:v>Indirect — Indirect: the action can influence Electricity interruption, but the stated mechanism does not directly change this indicator without an additional causal step.</x:v>
      </x:c>
      <x:c r="S59" s="14" t="str">
        <x:v>Effectiveness is not assessed because this relationship is not Direct.</x:v>
      </x:c>
      <x:c r="T59" s="14" t="str">
        <x:v>Regular upkeep and cleaning of urban drainage systems, including storm drains, sewers, and retention basins, to ensure efficient water flow and prevent blockages that can lead to flooding during heavy rainfall events.</x:v>
      </x:c>
    </x:row>
    <x:row r="60" ht="52" customHeight="1">
      <x:c r="A60" s="14" t="str">
        <x:v>c40_0053</x:v>
      </x:c>
      <x:c r="B60" s="14" t="str">
        <x:v>Promote water-saving technologies and practices</x:v>
      </x:c>
      <x:c r="C60" s="14" t="str">
        <x:v>Energy Security</x:v>
      </x:c>
      <x:c r="D60" s="14" t="str">
        <x:v>Access</x:v>
      </x:c>
      <x:c r="E60" s="14" t="str">
        <x:v>Vulnerability</x:v>
      </x:c>
      <x:c r="F60" s="15" t="str"/>
      <x:c r="G60" s="15" t="str"/>
      <x:c r="H60" s="14" t="str">
        <x:v>Indirect</x:v>
      </x:c>
      <x:c r="I60" s="14" t="str">
        <x:v>Not assessed</x:v>
      </x:c>
      <x:c r="J60" s="14" t="str">
        <x:v>Not assessed</x:v>
      </x:c>
      <x:c r="K60" s="14" t="str">
        <x:v>No</x:v>
      </x:c>
      <x:c r="L60" s="14" t="str">
        <x:v>5-10 years</x:v>
      </x:c>
      <x:c r="M60" s="14" t="n">
        <x:v>0</x:v>
      </x:c>
      <x:c r="N60" s="14" t="n">
        <x:v>0</x:v>
      </x:c>
      <x:c r="O60" s="14" t="str">
        <x:v>Review directness</x:v>
      </x:c>
      <x:c r="P60" s="14" t="str"/>
      <x:c r="Q60" s="14" t="str">
        <x:v>Residential electrical consumption</x:v>
      </x:c>
      <x:c r="R60" s="14" t="str">
        <x:v>Indirect — Indirect: the action can influence Residential electrical consumption, but the stated mechanism does not directly change this indicator without an additional causal step.</x:v>
      </x:c>
      <x:c r="S60" s="14" t="str">
        <x:v>Effectiveness is not assessed because this relationship is not Direct.</x:v>
      </x:c>
      <x:c r="T60" s="14" t="str">
        <x: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x:v>
      </x:c>
    </x:row>
    <x:row r="61" ht="52" customHeight="1">
      <x:c r="A61" s="14" t="str">
        <x:v>icare_0178</x:v>
      </x:c>
      <x:c r="B61" s="14" t="str">
        <x:v>Redirect urban development through climate‑risk spatial planning</x:v>
      </x:c>
      <x:c r="C61" s="14" t="str">
        <x:v>Energy Security</x:v>
      </x:c>
      <x:c r="D61" s="14" t="str">
        <x:v>Access</x:v>
      </x:c>
      <x:c r="E61" s="14" t="str">
        <x:v>Exposure</x:v>
      </x:c>
      <x:c r="F61" s="15" t="str"/>
      <x:c r="G61" s="15" t="str"/>
      <x:c r="H61" s="14" t="str">
        <x:v>Indirect</x:v>
      </x:c>
      <x:c r="I61" s="14" t="str">
        <x:v>Not assessed</x:v>
      </x:c>
      <x:c r="J61" s="14" t="str">
        <x:v>Not assessed</x:v>
      </x:c>
      <x:c r="K61" s="14" t="str">
        <x:v>No</x:v>
      </x:c>
      <x:c r="L61" s="14" t="str">
        <x:v>&lt;5 years</x:v>
      </x:c>
      <x:c r="M61" s="14" t="n">
        <x:v>0</x:v>
      </x:c>
      <x:c r="N61" s="14" t="n">
        <x:v>0</x:v>
      </x:c>
      <x:c r="O61" s="14" t="str">
        <x:v>Review directness</x:v>
      </x:c>
      <x:c r="P61" s="14" t="str"/>
      <x:c r="Q61" s="14" t="str">
        <x:v>Population density</x:v>
      </x:c>
      <x:c r="R61" s="14" t="str">
        <x:v>Indirect — Indirect: the action can influence Population density, but the stated mechanism does not directly change this indicator without an additional causal step.</x:v>
      </x:c>
      <x:c r="S61" s="14" t="str">
        <x:v>Effectiveness is not assessed because this relationship is not Direct.</x:v>
      </x:c>
      <x:c r="T61" s="14" t="str">
        <x:v>Mapping of critical flood-prone areas with the aim of revising and harmonizing legislation related to land use, given the intensification of the impacts of extreme weather events.</x:v>
      </x:c>
    </x:row>
    <x:row r="62" ht="52" customHeight="1">
      <x:c r="A62" s="14" t="str">
        <x:v>icare_0181</x:v>
      </x:c>
      <x:c r="B62" s="14" t="str">
        <x:v>Restore in Vulnerable Areas</x:v>
      </x:c>
      <x:c r="C62" s="14" t="str">
        <x:v>Energy Security</x:v>
      </x:c>
      <x:c r="D62" s="14" t="str">
        <x:v>Access</x:v>
      </x:c>
      <x:c r="E62" s="14" t="str">
        <x:v>Exposure</x:v>
      </x:c>
      <x:c r="F62" s="15" t="str"/>
      <x:c r="G62" s="15" t="str"/>
      <x:c r="H62" s="14" t="str">
        <x:v>Direct</x:v>
      </x:c>
      <x:c r="I62" s="14" t="str">
        <x:v>No demonstrated effectiveness</x:v>
      </x:c>
      <x:c r="J62" s="14" t="str">
        <x:v>None</x:v>
      </x:c>
      <x:c r="K62" s="14" t="str">
        <x:v>No</x:v>
      </x:c>
      <x:c r="L62" s="14" t="str">
        <x:v>5-10 years</x:v>
      </x:c>
      <x:c r="M62" s="14" t="n">
        <x:v>0</x:v>
      </x:c>
      <x:c r="N62" s="14" t="n">
        <x:v>14</x:v>
      </x:c>
      <x:c r="O62" s="14" t="str">
        <x:v>Review directness | Evidence gap</x:v>
      </x:c>
      <x:c r="P62" s="14" t="str">
        <x:v>Population density</x:v>
      </x:c>
      <x:c r="Q62" s="14" t="str"/>
      <x:c r="R62" s="14" t="str">
        <x:v>Direct — Direct: the action definition explicitly implements a mechanism that changes Population density, without requiring another intervention.</x:v>
      </x:c>
      <x:c r="S62" s="14" t="str">
        <x:v>No relevant positive evidence was found in the screened source pages.</x:v>
      </x:c>
      <x:c r="T62" s="14" t="str">
        <x:v>A comprehensive project addressing the socio-environmental vulnerability of an informal settlement. It includes relocating residents from flood-prone areas, restoring the environment, and providing infrastructure and social services.</x:v>
      </x:c>
    </x:row>
    <x:row r="63" ht="52" customHeight="1">
      <x:c r="A63" s="14" t="str">
        <x:v>ipcc_0089</x:v>
      </x:c>
      <x:c r="B63" s="14" t="str">
        <x:v>Spatially redirect development</x:v>
      </x:c>
      <x:c r="C63" s="14" t="str">
        <x:v>Energy Security</x:v>
      </x:c>
      <x:c r="D63" s="14" t="str">
        <x:v>Access</x:v>
      </x:c>
      <x:c r="E63" s="14" t="str">
        <x:v>Exposure</x:v>
      </x:c>
      <x:c r="F63" s="15" t="str"/>
      <x:c r="G63" s="15" t="str"/>
      <x:c r="H63" s="14" t="str">
        <x:v>Direct</x:v>
      </x:c>
      <x:c r="I63" s="14" t="str">
        <x:v>No demonstrated effectiveness</x:v>
      </x:c>
      <x:c r="J63" s="14" t="str">
        <x:v>None</x:v>
      </x:c>
      <x:c r="K63" s="14" t="str">
        <x:v>No</x:v>
      </x:c>
      <x:c r="L63" s="14" t="str">
        <x:v>5-10 years</x:v>
      </x:c>
      <x:c r="M63" s="14" t="n">
        <x:v>0</x:v>
      </x:c>
      <x:c r="N63" s="14" t="n">
        <x:v>14</x:v>
      </x:c>
      <x:c r="O63" s="14" t="str">
        <x:v>Review directness | Evidence gap</x:v>
      </x:c>
      <x:c r="P63" s="14" t="str">
        <x:v>Population density</x:v>
      </x:c>
      <x:c r="Q63" s="14" t="str"/>
      <x:c r="R63" s="14" t="str">
        <x:v>Direct — Direct: the action definition explicitly implements a mechanism that changes Population density, without requiring another intervention.</x:v>
      </x:c>
      <x:c r="S63" s="14" t="str">
        <x:v>No relevant positive evidence was found in the screened source pages.</x:v>
      </x:c>
      <x:c r="T63" s="14"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64" ht="52" customHeight="1">
      <x:c r="A64" s="14" t="str">
        <x:v>ipcc_0089</x:v>
      </x:c>
      <x:c r="B64" s="14" t="str">
        <x:v>Spatially redirect development</x:v>
      </x:c>
      <x:c r="C64" s="14" t="str">
        <x:v>Energy Security</x:v>
      </x:c>
      <x:c r="D64" s="14" t="str">
        <x:v>Access</x:v>
      </x:c>
      <x:c r="E64" s="14" t="str">
        <x:v>Vulnerability</x:v>
      </x:c>
      <x:c r="F64" s="15" t="str"/>
      <x:c r="G64" s="15" t="str"/>
      <x:c r="H64" s="14" t="str">
        <x:v>Indirect</x:v>
      </x:c>
      <x:c r="I64" s="14" t="str">
        <x:v>Not assessed</x:v>
      </x:c>
      <x:c r="J64" s="14" t="str">
        <x:v>Not assessed</x:v>
      </x:c>
      <x:c r="K64" s="14" t="str">
        <x:v>No</x:v>
      </x:c>
      <x:c r="L64" s="14" t="str">
        <x:v>5-10 years</x:v>
      </x:c>
      <x:c r="M64" s="14" t="n">
        <x:v>0</x:v>
      </x:c>
      <x:c r="N64" s="14" t="n">
        <x:v>0</x:v>
      </x:c>
      <x:c r="O64" s="14" t="str">
        <x:v>Review directness</x:v>
      </x:c>
      <x:c r="P64" s="14" t="str"/>
      <x:c r="Q64" s="14" t="str">
        <x:v>Resilient cities</x:v>
      </x:c>
      <x:c r="R64" s="14" t="str">
        <x:v>Indirect — Indirect: the action can influence Resilient cities, but the stated mechanism does not directly change this indicator without an additional causal step.</x:v>
      </x:c>
      <x:c r="S64" s="14" t="str">
        <x:v>Effectiveness is not assessed because this relationship is not Direct.</x:v>
      </x:c>
      <x:c r="T64" s="14"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65" ht="52" customHeight="1">
      <x:c r="A65" s="14" t="str">
        <x:v>ipcc_0103</x:v>
      </x:c>
      <x:c r="B65" s="14" t="str">
        <x:v>Strengthen cooperative climate governance</x:v>
      </x:c>
      <x:c r="C65" s="14" t="str">
        <x:v>Energy Security</x:v>
      </x:c>
      <x:c r="D65" s="14" t="str">
        <x:v>Access</x:v>
      </x:c>
      <x:c r="E65" s="14" t="str">
        <x:v>Vulnerability</x:v>
      </x:c>
      <x:c r="F65" s="15" t="str"/>
      <x:c r="G65" s="15" t="str"/>
      <x:c r="H65" s="14" t="str">
        <x:v>Indirect</x:v>
      </x:c>
      <x:c r="I65" s="14" t="str">
        <x:v>Not assessed</x:v>
      </x:c>
      <x:c r="J65" s="14" t="str">
        <x:v>Not assessed</x:v>
      </x:c>
      <x:c r="K65" s="14" t="str">
        <x:v>No</x:v>
      </x:c>
      <x:c r="L65" s="14" t="str">
        <x:v>5-10 years</x:v>
      </x:c>
      <x:c r="M65" s="14" t="n">
        <x:v>0</x:v>
      </x:c>
      <x:c r="N65" s="14" t="n">
        <x:v>0</x:v>
      </x:c>
      <x:c r="O65" s="14" t="str">
        <x:v>Review directness</x:v>
      </x:c>
      <x:c r="P65" s="14" t="str"/>
      <x:c r="Q65" s="14" t="str">
        <x:v>Resilient cities</x:v>
      </x:c>
      <x:c r="R65" s="14" t="str">
        <x:v>Indirect — Indirect: the action can influence Resilient cities, but the stated mechanism does not directly change this indicator without an additional causal step.</x:v>
      </x:c>
      <x:c r="S65" s="14" t="str">
        <x:v>Effectiveness is not assessed because this relationship is not Direct.</x:v>
      </x:c>
      <x:c r="T65" s="14"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66" ht="52" customHeight="1">
      <x:c r="A66" s="14" t="str">
        <x:v>ipcc_0091</x:v>
      </x:c>
      <x:c r="B66" s="14" t="str">
        <x:v>Support livelihood diversification for climate resilience</x:v>
      </x:c>
      <x:c r="C66" s="14" t="str">
        <x:v>Energy Security</x:v>
      </x:c>
      <x:c r="D66" s="14" t="str">
        <x:v>Access</x:v>
      </x:c>
      <x:c r="E66" s="14" t="str">
        <x:v>Vulnerability</x:v>
      </x:c>
      <x:c r="F66" s="15" t="str"/>
      <x:c r="G66" s="15" t="str"/>
      <x:c r="H66" s="14" t="str">
        <x:v>Indirect</x:v>
      </x:c>
      <x:c r="I66" s="14" t="str">
        <x:v>Not assessed</x:v>
      </x:c>
      <x:c r="J66" s="14" t="str">
        <x:v>Not assessed</x:v>
      </x:c>
      <x:c r="K66" s="14" t="str">
        <x:v>No</x:v>
      </x:c>
      <x:c r="L66" s="14" t="str">
        <x:v>&lt;5 years</x:v>
      </x:c>
      <x:c r="M66" s="14" t="n">
        <x:v>0</x:v>
      </x:c>
      <x:c r="N66" s="14" t="n">
        <x:v>0</x:v>
      </x:c>
      <x:c r="O66" s="14" t="str">
        <x:v>Review directness</x:v>
      </x:c>
      <x:c r="P66" s="14" t="str"/>
      <x:c r="Q66" s="14" t="str">
        <x:v>Municipal GDP per capita | Income greater than two minimum wages</x:v>
      </x:c>
      <x:c r="R66" s="14" t="str">
        <x:v>Indirect — Indirect: the action can influence Municipal GDP per capita, but the stated mechanism does not directly change this indicator without an additional causal step.
Indirect — Indirect: the action can influence Income greater than two minimum wages, but the stated mechanism does not directly change this indicator without an additional causal step.</x:v>
      </x:c>
      <x:c r="S66" s="14" t="str">
        <x:v>Effectiveness is not assessed because this relationship is not Direct.</x:v>
      </x:c>
      <x:c r="T66" s="14"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67" ht="52" customHeight="1">
      <x:c r="A67" s="14" t="str">
        <x:v>ipcc_0088</x:v>
      </x:c>
      <x:c r="B67" s="14" t="str">
        <x:v>Update and enforce climate‑resilient building codes</x:v>
      </x:c>
      <x:c r="C67" s="14" t="str">
        <x:v>Energy Security</x:v>
      </x:c>
      <x:c r="D67" s="14" t="str">
        <x:v>Access</x:v>
      </x:c>
      <x:c r="E67" s="14" t="str">
        <x:v>Vulnerability</x:v>
      </x:c>
      <x:c r="F67" s="15" t="str"/>
      <x:c r="G67" s="15" t="str"/>
      <x:c r="H67" s="14" t="str">
        <x:v>Indirect</x:v>
      </x:c>
      <x:c r="I67" s="14" t="str">
        <x:v>Not assessed</x:v>
      </x:c>
      <x:c r="J67" s="14" t="str">
        <x:v>Not assessed</x:v>
      </x:c>
      <x:c r="K67" s="14" t="str">
        <x:v>No</x:v>
      </x:c>
      <x:c r="L67" s="14" t="str">
        <x:v>5-10 years</x:v>
      </x:c>
      <x:c r="M67" s="14" t="n">
        <x:v>0</x:v>
      </x:c>
      <x:c r="N67" s="14" t="n">
        <x:v>0</x:v>
      </x:c>
      <x:c r="O67" s="14" t="str">
        <x:v>Review directness</x:v>
      </x:c>
      <x:c r="P67" s="14" t="str"/>
      <x:c r="Q67" s="14" t="str">
        <x:v>Resilient cities</x:v>
      </x:c>
      <x:c r="R67" s="14" t="str">
        <x:v>Indirect — Indirect: the action can influence Resilient cities, but the stated mechanism does not directly change this indicator without an additional causal step.</x:v>
      </x:c>
      <x:c r="S67" s="14" t="str">
        <x:v>Effectiveness is not assessed because this relationship is not Direct.</x:v>
      </x:c>
      <x:c r="T67" s="14" t="str">
        <x: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x:v>
      </x:c>
    </x:row>
    <x:row r="68" ht="52" customHeight="1">
      <x:c r="A68" s="14" t="str">
        <x:v>icare_0184</x:v>
      </x:c>
      <x:c r="B68" s="14" t="str">
        <x:v>Upgrade Slope stabilization and drainage</x:v>
      </x:c>
      <x:c r="C68" s="14" t="str">
        <x:v>Energy Security</x:v>
      </x:c>
      <x:c r="D68" s="14" t="str">
        <x:v>Access</x:v>
      </x:c>
      <x:c r="E68" s="14" t="str">
        <x:v>Vulnerability</x:v>
      </x:c>
      <x:c r="F68" s="15" t="str"/>
      <x:c r="G68" s="15" t="str"/>
      <x:c r="H68" s="14" t="str">
        <x:v>Indirect</x:v>
      </x:c>
      <x:c r="I68" s="14" t="str">
        <x:v>Not assessed</x:v>
      </x:c>
      <x:c r="J68" s="14" t="str">
        <x:v>Not assessed</x:v>
      </x:c>
      <x:c r="K68" s="14" t="str">
        <x:v>No</x:v>
      </x:c>
      <x:c r="L68" s="14" t="str">
        <x:v>5-10 years</x:v>
      </x:c>
      <x:c r="M68" s="14" t="n">
        <x:v>0</x:v>
      </x:c>
      <x:c r="N68" s="14" t="n">
        <x:v>0</x:v>
      </x:c>
      <x:c r="O68" s="14" t="str">
        <x:v>Review directness</x:v>
      </x:c>
      <x:c r="P68" s="14" t="str"/>
      <x:c r="Q68" s="14" t="str">
        <x:v>Electricity interruption</x:v>
      </x:c>
      <x:c r="R68" s="14" t="str">
        <x:v>Indirect — Indirect: the action can influence Electricity interruption, but the stated mechanism does not directly change this indicator without an additional causal step.</x:v>
      </x:c>
      <x:c r="S68" s="14" t="str">
        <x:v>Effectiveness is not assessed because this relationship is not Direct.</x:v>
      </x:c>
      <x:c r="T68" s="14" t="str">
        <x:v>This action involves stabilizing slopes and maintaining or restoring drainage systems in hillside areas. This helps to prevent landslides and erosion, reducing the risk of disasters.</x:v>
      </x:c>
    </x:row>
    <x:row r="69" ht="52" customHeight="1">
      <x:c r="A69" s="14" t="str">
        <x:v>c40_0048</x:v>
      </x:c>
      <x:c r="B69" s="14" t="str">
        <x:v>Upgrade urban drainage systems</x:v>
      </x:c>
      <x:c r="C69" s="14" t="str">
        <x:v>Energy Security</x:v>
      </x:c>
      <x:c r="D69" s="14" t="str">
        <x:v>Access</x:v>
      </x:c>
      <x:c r="E69" s="14" t="str">
        <x:v>Vulnerability</x:v>
      </x:c>
      <x:c r="F69" s="15" t="str"/>
      <x:c r="G69" s="15" t="str"/>
      <x:c r="H69" s="14" t="str">
        <x:v>Indirect</x:v>
      </x:c>
      <x:c r="I69" s="14" t="str">
        <x:v>Not assessed</x:v>
      </x:c>
      <x:c r="J69" s="14" t="str">
        <x:v>Not assessed</x:v>
      </x:c>
      <x:c r="K69" s="14" t="str">
        <x:v>No</x:v>
      </x:c>
      <x:c r="L69" s="14" t="str">
        <x:v>5-10 years</x:v>
      </x:c>
      <x:c r="M69" s="14" t="n">
        <x:v>0</x:v>
      </x:c>
      <x:c r="N69" s="14" t="n">
        <x:v>0</x:v>
      </x:c>
      <x:c r="O69" s="14" t="str">
        <x:v>Review directness</x:v>
      </x:c>
      <x:c r="P69" s="14" t="str"/>
      <x:c r="Q69" s="14" t="str">
        <x:v>Electricity interruption</x:v>
      </x:c>
      <x:c r="R69" s="14" t="str">
        <x:v>Indirect — Indirect: the action can influence Electricity interruption, but the stated mechanism does not directly change this indicator without an additional causal step.</x:v>
      </x:c>
      <x:c r="S69" s="14" t="str">
        <x:v>Effectiveness is not assessed because this relationship is not Direct.</x:v>
      </x:c>
      <x:c r="T69" s="14" t="str">
        <x:v>"Upgrade urban drainage systems" involves eco-engineering solutions to enhance drainage systems, through capacity upgrade and network expansion. This adaptation measure aims to improve urban resilience by minimizing the impact of extreme weather events such as flooding.</x:v>
      </x:c>
    </x:row>
    <x:row r="70" ht="52" customHeight="1">
      <x:c r="A70" s="14" t="str">
        <x:v>icare_0170</x:v>
      </x:c>
      <x:c r="B70" s="14" t="str">
        <x:v>Build safe housing and implement urban rehabilitation projects for populations living in high-risk areas</x:v>
      </x:c>
      <x:c r="C70" s="14" t="str">
        <x:v>Food Security</x:v>
      </x:c>
      <x:c r="D70" s="14" t="str">
        <x:v>Access and consumption of food</x:v>
      </x:c>
      <x:c r="E70" s="14" t="str">
        <x:v>Exposure</x:v>
      </x:c>
      <x:c r="F70" s="15" t="str"/>
      <x:c r="G70" s="15" t="str"/>
      <x:c r="H70" s="14" t="str">
        <x:v>Direct</x:v>
      </x:c>
      <x:c r="I70" s="14" t="str">
        <x:v>No demonstrated effectiveness</x:v>
      </x:c>
      <x:c r="J70" s="14" t="str">
        <x:v>None</x:v>
      </x:c>
      <x:c r="K70" s="14" t="str">
        <x:v>No</x:v>
      </x:c>
      <x:c r="L70" s="14" t="str">
        <x:v>&gt;10 years</x:v>
      </x:c>
      <x:c r="M70" s="14" t="n">
        <x:v>0</x:v>
      </x:c>
      <x:c r="N70" s="14" t="n">
        <x:v>15</x:v>
      </x:c>
      <x:c r="O70" s="14" t="str">
        <x:v>Review directness | Evidence gap</x:v>
      </x:c>
      <x:c r="P70" s="14" t="str">
        <x:v>Population density | Total population</x:v>
      </x:c>
      <x:c r="Q70" s="14" t="str"/>
      <x:c r="R70" s="14" t="str">
        <x:v>Direct — Direct: the action definition explicitly implements a mechanism that changes Population density, without requiring another intervention.
Direct — Direct: the action definition explicitly implements a mechanism that changes Total population, without requiring another intervention.</x:v>
      </x:c>
      <x:c r="S70" s="14" t="str">
        <x:v>No relevant positive evidence was found in the screened source pages.</x:v>
      </x:c>
      <x:c r="T70" s="14"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71" ht="52" customHeight="1">
      <x:c r="A71" s="14" t="str">
        <x:v>icare_0188</x:v>
      </x:c>
      <x:c r="B71" s="14" t="str">
        <x:v>Create an Environmental Health Surveillance Program related to Populations Exposed to Air Pollution, Noise Pollution, Water Pollution, and Soil Pollution.</x:v>
      </x:c>
      <x:c r="C71" s="14" t="str">
        <x:v>Food Security</x:v>
      </x:c>
      <x:c r="D71" s="14" t="str">
        <x:v>Access and consumption of food</x:v>
      </x:c>
      <x:c r="E71" s="14" t="str">
        <x:v>Vulnerability</x:v>
      </x:c>
      <x:c r="F71" s="15" t="str"/>
      <x:c r="G71" s="15" t="str"/>
      <x:c r="H71" s="14" t="str">
        <x:v>Indirect</x:v>
      </x:c>
      <x:c r="I71" s="14" t="str">
        <x:v>Not assessed</x:v>
      </x:c>
      <x:c r="J71" s="14" t="str">
        <x:v>Not assessed</x:v>
      </x:c>
      <x:c r="K71" s="14" t="str">
        <x:v>No</x:v>
      </x:c>
      <x:c r="L71" s="14" t="str">
        <x:v>5-10 years</x:v>
      </x:c>
      <x:c r="M71" s="14" t="n">
        <x:v>0</x:v>
      </x:c>
      <x:c r="N71" s="14" t="n">
        <x:v>0</x:v>
      </x:c>
      <x:c r="O71" s="14" t="str">
        <x:v>Review directness</x:v>
      </x:c>
      <x:c r="P71" s="14" t="str"/>
      <x:c r="Q71" s="14" t="str">
        <x:v>Compromised water quality | Occurrence of diseases related to inadequate environmental sanitation</x:v>
      </x:c>
      <x:c r="R71" s="14" t="str">
        <x:v>Indirect — Indirect: the action can influence Compromised water quality, but the stated mechanism does not directly change this indicator without an additional causal step.
Indirect — Indirect: the action can influence Occurrence of diseases related to inadequate environmental sanitation, but the stated mechanism does not directly change this indicator without an additional causal step.</x:v>
      </x:c>
      <x:c r="S71" s="14" t="str">
        <x:v>Effectiveness is not assessed because this relationship is not Direct.</x:v>
      </x:c>
      <x:c r="T71" s="14" t="str">
        <x: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x:v>
      </x:c>
    </x:row>
    <x:row r="72" ht="52" customHeight="1">
      <x:c r="A72" s="14" t="str">
        <x:v>icare_0176</x:v>
      </x:c>
      <x:c r="B72" s="14" t="str">
        <x:v>Develop a Climate Action Plan</x:v>
      </x:c>
      <x:c r="C72" s="14" t="str">
        <x:v>Food Security</x:v>
      </x:c>
      <x:c r="D72" s="14" t="str">
        <x:v>Access and consumption of food</x:v>
      </x:c>
      <x:c r="E72" s="14" t="str">
        <x:v>Vulnerability</x:v>
      </x:c>
      <x:c r="F72" s="15" t="str"/>
      <x:c r="G72" s="15" t="str"/>
      <x:c r="H72" s="14" t="str">
        <x:v>Indirect</x:v>
      </x:c>
      <x:c r="I72" s="14" t="str">
        <x:v>Not assessed</x:v>
      </x:c>
      <x:c r="J72" s="14" t="str">
        <x:v>Not assessed</x:v>
      </x:c>
      <x:c r="K72" s="14" t="str">
        <x:v>No</x:v>
      </x:c>
      <x:c r="L72" s="14" t="str">
        <x:v>&lt;5 years</x:v>
      </x:c>
      <x:c r="M72" s="14" t="n">
        <x:v>0</x:v>
      </x:c>
      <x:c r="N72" s="14" t="n">
        <x:v>0</x:v>
      </x:c>
      <x:c r="O72" s="14" t="str">
        <x:v>Review directness</x:v>
      </x:c>
      <x:c r="P72" s="14" t="str"/>
      <x:c r="Q72" s="14" t="str">
        <x:v>Federal investment per capita | Food safety instruments</x:v>
      </x:c>
      <x:c r="R72" s="14" t="str">
        <x:v>Indirect — Indirect: the action can influence Federal investment per capita, but the stated mechanism does not directly change this indicator without an additional causal step.
Indirect — Indirect: the action can influence Food safety instruments, but the stated mechanism does not directly change this indicator without an additional causal step.</x:v>
      </x:c>
      <x:c r="S72" s="14" t="str">
        <x:v>Effectiveness is not assessed because this relationship is not Direct.</x:v>
      </x:c>
      <x:c r="T72" s="14"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73" ht="52" customHeight="1">
      <x:c r="A73" s="14" t="str">
        <x:v>icare_0176</x:v>
      </x:c>
      <x:c r="B73" s="14" t="str">
        <x:v>Develop a Climate Action Plan</x:v>
      </x:c>
      <x:c r="C73" s="14" t="str">
        <x:v>Food Security</x:v>
      </x:c>
      <x:c r="D73" s="14" t="str">
        <x:v>Food availability</x:v>
      </x:c>
      <x:c r="E73" s="14" t="str">
        <x:v>Vulnerability</x:v>
      </x:c>
      <x:c r="F73" s="15" t="str"/>
      <x:c r="G73" s="15" t="str"/>
      <x:c r="H73" s="14" t="str">
        <x:v>Indirect</x:v>
      </x:c>
      <x:c r="I73" s="14" t="str">
        <x:v>Not assessed</x:v>
      </x:c>
      <x:c r="J73" s="14" t="str">
        <x:v>Not assessed</x:v>
      </x:c>
      <x:c r="K73" s="14" t="str">
        <x:v>No</x:v>
      </x:c>
      <x:c r="L73" s="14" t="str">
        <x:v>&lt;5 years</x:v>
      </x:c>
      <x:c r="M73" s="14" t="n">
        <x:v>0</x:v>
      </x:c>
      <x:c r="N73" s="14" t="n">
        <x:v>0</x:v>
      </x:c>
      <x:c r="O73" s="14" t="str">
        <x:v>Review directness</x:v>
      </x:c>
      <x:c r="P73" s="14" t="str"/>
      <x:c r="Q73" s="14" t="str">
        <x:v>Investment in agrarian and environmental management policies</x:v>
      </x:c>
      <x:c r="R73" s="14" t="str">
        <x:v>Indirect — Indirect: the action can influence Investment in agrarian and environmental management policies, but the stated mechanism does not directly change this indicator without an additional causal step.</x:v>
      </x:c>
      <x:c r="S73" s="14" t="str">
        <x:v>Effectiveness is not assessed because this relationship is not Direct.</x:v>
      </x:c>
      <x:c r="T73" s="14"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74" ht="52" customHeight="1">
      <x:c r="A74" s="14" t="str">
        <x:v>icare_0182</x:v>
      </x:c>
      <x:c r="B74" s="14" t="str">
        <x:v>Develop an Urban Afforestation Plan</x:v>
      </x:c>
      <x:c r="C74" s="14" t="str">
        <x:v>Food Security</x:v>
      </x:c>
      <x:c r="D74" s="14" t="str">
        <x:v>Food availability</x:v>
      </x:c>
      <x:c r="E74" s="14" t="str">
        <x:v>Vulnerability</x:v>
      </x:c>
      <x:c r="F74" s="15" t="str"/>
      <x:c r="G74" s="15" t="str"/>
      <x:c r="H74" s="14" t="str">
        <x:v>Direct</x:v>
      </x:c>
      <x:c r="I74" s="14" t="str">
        <x:v>Medium effectiveness</x:v>
      </x:c>
      <x:c r="J74" s="14" t="str">
        <x:v>Single source</x:v>
      </x:c>
      <x:c r="K74" s="14" t="str">
        <x:v>No</x:v>
      </x:c>
      <x:c r="L74" s="14" t="str">
        <x:v>5-10 years</x:v>
      </x:c>
      <x:c r="M74" s="14" t="n">
        <x:v>1</x:v>
      </x:c>
      <x:c r="N74" s="14" t="n">
        <x:v>15</x:v>
      </x:c>
      <x:c r="O74" s="14" t="str">
        <x:v>Review directness</x:v>
      </x:c>
      <x:c r="P74" s="14" t="str">
        <x:v>Agricultural areas with soil susceptible to erosion | Vegetation cover losses</x:v>
      </x:c>
      <x:c r="Q74" s="14" t="str"/>
      <x:c r="R74" s="14" t="str">
        <x:v>Direct — Direct: the action definition explicitly implements a mechanism that changes Agricultural areas with soil susceptible to erosion, without requiring another intervention.
Direct — Direct: the action definition explicitly implements a mechanism that changes Vegetation cover losses, without requiring another intervention.</x:v>
      </x:c>
      <x:c r="S74" s="14" t="str">
        <x:v>Relevant evidence demonstrates a moderate, conditional, context-dependent or mixed positive outcome.</x:v>
      </x:c>
      <x:c r="T74" s="14" t="str">
        <x:v>This action focuses on expanding green areas in the city through urban afforestation. This includes planting trees in sidewalks, squares, public buildings, and schools, as well as creating ecological parks to revitalize watercourses and/or restore forests.</x:v>
      </x:c>
    </x:row>
    <x:row r="75" ht="52" customHeight="1">
      <x:c r="A75" s="14" t="str">
        <x:v>icare_0144</x:v>
      </x:c>
      <x:c r="B75" s="14" t="str">
        <x:v>Establish a financial support program for extreme weather events</x:v>
      </x:c>
      <x:c r="C75" s="14" t="str">
        <x:v>Food Security</x:v>
      </x:c>
      <x:c r="D75" s="14" t="str">
        <x:v>Access and consumption of food</x:v>
      </x:c>
      <x:c r="E75" s="14" t="str">
        <x:v>Vulnerability</x:v>
      </x:c>
      <x:c r="F75" s="15" t="str"/>
      <x:c r="G75" s="15" t="str"/>
      <x:c r="H75" s="14" t="str">
        <x:v>Indirect</x:v>
      </x:c>
      <x:c r="I75" s="14" t="str">
        <x:v>Not assessed</x:v>
      </x:c>
      <x:c r="J75" s="14" t="str">
        <x:v>Not assessed</x:v>
      </x:c>
      <x:c r="K75" s="14" t="str">
        <x:v>No</x:v>
      </x:c>
      <x:c r="L75" s="14" t="str">
        <x:v>&lt;5 years</x:v>
      </x:c>
      <x:c r="M75" s="14" t="n">
        <x:v>0</x:v>
      </x:c>
      <x:c r="N75" s="14" t="n">
        <x:v>0</x:v>
      </x:c>
      <x:c r="O75" s="14" t="str">
        <x:v>Review directness</x:v>
      </x:c>
      <x:c r="P75" s="14" t="str"/>
      <x:c r="Q75" s="14" t="str">
        <x:v>Federal investment per capita | Scope of the family allowance program | Households with high per capita income</x:v>
      </x:c>
      <x:c r="R75" s="14" t="str">
        <x:v>Indirect — Indirect: the action can influence Federal investment per capita, but the stated mechanism does not directly change this indicator without an additional causal step.
Indirect — Indirect: the action can influence Scope of the family allowance program, but the stated mechanism does not directly change this indicator without an additional causal step.
Indirect — Indirect: the action can influence Households with high per capita income, but the stated mechanism does not directly change this indicator without an additional causal step.</x:v>
      </x:c>
      <x:c r="S75" s="14" t="str">
        <x:v>Effectiveness is not assessed because this relationship is not Direct.</x:v>
      </x:c>
      <x:c r="T75" s="14" t="str">
        <x: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x:v>
      </x:c>
    </x:row>
    <x:row r="76" ht="52" customHeight="1">
      <x:c r="A76" s="14" t="str">
        <x:v>icare_0144</x:v>
      </x:c>
      <x:c r="B76" s="14" t="str">
        <x:v>Establish a financial support program for extreme weather events</x:v>
      </x:c>
      <x:c r="C76" s="14" t="str">
        <x:v>Food Security</x:v>
      </x:c>
      <x:c r="D76" s="14" t="str">
        <x:v>Food availability</x:v>
      </x:c>
      <x:c r="E76" s="14" t="str">
        <x:v>Vulnerability</x:v>
      </x:c>
      <x:c r="F76" s="15" t="str"/>
      <x:c r="G76" s="15" t="str"/>
      <x:c r="H76" s="14" t="str">
        <x:v>Indirect</x:v>
      </x:c>
      <x:c r="I76" s="14" t="str">
        <x:v>Not assessed</x:v>
      </x:c>
      <x:c r="J76" s="14" t="str">
        <x:v>Not assessed</x:v>
      </x:c>
      <x:c r="K76" s="14" t="str">
        <x:v>No</x:v>
      </x:c>
      <x:c r="L76" s="14" t="str">
        <x:v>&lt;5 years</x:v>
      </x:c>
      <x:c r="M76" s="14" t="n">
        <x:v>0</x:v>
      </x:c>
      <x:c r="N76" s="14" t="n">
        <x:v>0</x:v>
      </x:c>
      <x:c r="O76" s="14" t="str">
        <x:v>Review directness</x:v>
      </x:c>
      <x:c r="P76" s="14" t="str"/>
      <x:c r="Q76" s="14" t="str">
        <x:v>Investment in agrarian and environmental management policies | Harvest guarantee program | PRONAF coverage | Proagro coverage plus | PSR coverage</x:v>
      </x:c>
      <x:c r="R76" s="14" t="str">
        <x:v>Indirect — Indirect: the action can influence Investment in agrarian and environmental management policies, but the stated mechanism does not directly change this indicator without an additional causal step.
Indirect — Indirect: the action can influence Harvest guarantee program, but the stated mechanism does not directly change this indicator without an additional causal step.
Indirect — Indirect: the action can influence PRONAF coverage, but the stated mechanism does not directly change this indicator without an additional causal step.
Indirect — Indirect: the action can influence Proagro coverage plus, but the stated mechanism does not directly change this indicator without an additional causal step.
Indirect — Indirect: the action can influence PSR coverage, but the stated mechanism does not directly change this indicator without an additional causal step.</x:v>
      </x:c>
      <x:c r="S76" s="14" t="str">
        <x:v>Effectiveness is not assessed because this relationship is not Direct.</x:v>
      </x:c>
      <x:c r="T76" s="14" t="str">
        <x: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x:v>
      </x:c>
    </x:row>
    <x:row r="77" ht="52" customHeight="1">
      <x:c r="A77" s="14" t="str">
        <x:v>icare_0163</x:v>
      </x:c>
      <x:c r="B77" s="14" t="str">
        <x:v>Establish a first‑response firefighting brigade</x:v>
      </x:c>
      <x:c r="C77" s="14" t="str">
        <x:v>Food Security</x:v>
      </x:c>
      <x:c r="D77" s="14" t="str">
        <x:v>Food availability</x:v>
      </x:c>
      <x:c r="E77" s="14" t="str">
        <x:v>Vulnerability</x:v>
      </x:c>
      <x:c r="F77" s="15" t="str"/>
      <x:c r="G77" s="15" t="str"/>
      <x:c r="H77" s="14" t="str">
        <x:v>Direct</x:v>
      </x:c>
      <x:c r="I77" s="14" t="str">
        <x:v>No demonstrated effectiveness</x:v>
      </x:c>
      <x:c r="J77" s="14" t="str">
        <x:v>None</x:v>
      </x:c>
      <x:c r="K77" s="14" t="str">
        <x:v>No</x:v>
      </x:c>
      <x:c r="L77" s="14" t="str">
        <x:v>&lt;5 years</x:v>
      </x:c>
      <x:c r="M77" s="14" t="n">
        <x:v>0</x:v>
      </x:c>
      <x:c r="N77" s="14" t="n">
        <x:v>15</x:v>
      </x:c>
      <x:c r="O77" s="14" t="str">
        <x:v>Review directness | Evidence gap</x:v>
      </x:c>
      <x:c r="P77" s="14" t="str">
        <x:v>Fire hotspots | Vegetation cover losses</x:v>
      </x:c>
      <x:c r="Q77" s="14" t="str"/>
      <x:c r="R77" s="14" t="str">
        <x:v>Direct — Direct: the action definition explicitly implements a mechanism that changes Fire hotspots, without requiring another intervention.
Direct — Direct: the action definition explicitly implements a mechanism that changes Vegetation cover losses, without requiring another intervention.</x:v>
      </x:c>
      <x:c r="S77" s="14" t="str">
        <x:v>No relevant positive evidence was found in the screened source pages.</x:v>
      </x:c>
      <x:c r="T77" s="14" t="str">
        <x:v>Creation of a First Response Brigade in rural communities to provide them with training and equipment for fire prevention and firefighting.</x:v>
      </x:c>
    </x:row>
    <x:row r="78" ht="52" customHeight="1">
      <x:c r="A78" s="14" t="str">
        <x:v>icare_0160</x:v>
      </x:c>
      <x:c r="B78" s="14" t="str">
        <x:v>Establish mechanisms for intersectoral coordination and public participation in climate policy</x:v>
      </x:c>
      <x:c r="C78" s="14" t="str">
        <x:v>Food Security</x:v>
      </x:c>
      <x:c r="D78" s="14" t="str">
        <x:v>Access and consumption of food</x:v>
      </x:c>
      <x:c r="E78" s="14" t="str">
        <x:v>Vulnerability</x:v>
      </x:c>
      <x:c r="F78" s="15" t="str"/>
      <x:c r="G78" s="15" t="str"/>
      <x:c r="H78" s="14" t="str">
        <x:v>Indirect</x:v>
      </x:c>
      <x:c r="I78" s="14" t="str">
        <x:v>Not assessed</x:v>
      </x:c>
      <x:c r="J78" s="14" t="str">
        <x:v>Not assessed</x:v>
      </x:c>
      <x:c r="K78" s="14" t="str">
        <x:v>No</x:v>
      </x:c>
      <x:c r="L78" s="14" t="str">
        <x:v>&lt;5 years</x:v>
      </x:c>
      <x:c r="M78" s="14" t="n">
        <x:v>0</x:v>
      </x:c>
      <x:c r="N78" s="14" t="n">
        <x:v>0</x:v>
      </x:c>
      <x:c r="O78" s="14" t="str">
        <x:v>Review directness</x:v>
      </x:c>
      <x:c r="P78" s="14" t="str"/>
      <x:c r="Q78" s="14" t="str">
        <x:v>Federal investment per capita | Food safety instruments</x:v>
      </x:c>
      <x:c r="R78" s="14" t="str">
        <x:v>Indirect — Indirect: the action can influence Federal investment per capita, but the stated mechanism does not directly change this indicator without an additional causal step.
Indirect — Indirect: the action can influence Food safety instruments, but the stated mechanism does not directly change this indicator without an additional causal step.</x:v>
      </x:c>
      <x:c r="S78" s="14" t="str">
        <x:v>Effectiveness is not assessed because this relationship is not Direct.</x:v>
      </x:c>
      <x:c r="T78" s="14" t="str">
        <x:v>Establish more mechanisms that enable better intersectoral coordination and public participation in climate policy, including the creation of working groups with neighboring municipalities to discuss a common climate agenda.</x:v>
      </x:c>
    </x:row>
    <x:row r="79" ht="52" customHeight="1">
      <x:c r="A79" s="14" t="str">
        <x:v>icare_0160</x:v>
      </x:c>
      <x:c r="B79" s="14" t="str">
        <x:v>Establish mechanisms for intersectoral coordination and public participation in climate policy</x:v>
      </x:c>
      <x:c r="C79" s="14" t="str">
        <x:v>Food Security</x:v>
      </x:c>
      <x:c r="D79" s="14" t="str">
        <x:v>Food availability</x:v>
      </x:c>
      <x:c r="E79" s="14" t="str">
        <x:v>Vulnerability</x:v>
      </x:c>
      <x:c r="F79" s="15" t="str"/>
      <x:c r="G79" s="15" t="str"/>
      <x:c r="H79" s="14" t="str">
        <x:v>Indirect</x:v>
      </x:c>
      <x:c r="I79" s="14" t="str">
        <x:v>Not assessed</x:v>
      </x:c>
      <x:c r="J79" s="14" t="str">
        <x:v>Not assessed</x:v>
      </x:c>
      <x:c r="K79" s="14" t="str">
        <x:v>No</x:v>
      </x:c>
      <x:c r="L79" s="14" t="str">
        <x:v>&lt;5 years</x:v>
      </x:c>
      <x:c r="M79" s="14" t="n">
        <x:v>0</x:v>
      </x:c>
      <x:c r="N79" s="14" t="n">
        <x:v>0</x:v>
      </x:c>
      <x:c r="O79" s="14" t="str">
        <x:v>Review directness</x:v>
      </x:c>
      <x:c r="P79" s="14" t="str"/>
      <x:c r="Q79" s="14" t="str">
        <x:v>Investment in agrarian and environmental management policies | Associativism</x:v>
      </x:c>
      <x:c r="R79" s="14" t="str">
        <x:v>Indirect — Indirect: the action can influence Investment in agrarian and environmental management policies, but the stated mechanism does not directly change this indicator without an additional causal step.
Indirect — Indirect: the action can influence Associativism, but the stated mechanism does not directly change this indicator without an additional causal step.</x:v>
      </x:c>
      <x:c r="S79" s="14" t="str">
        <x:v>Effectiveness is not assessed because this relationship is not Direct.</x:v>
      </x:c>
      <x:c r="T79" s="14" t="str">
        <x:v>Establish more mechanisms that enable better intersectoral coordination and public participation in climate policy, including the creation of working groups with neighboring municipalities to discuss a common climate agenda.</x:v>
      </x:c>
    </x:row>
    <x:row r="80" ht="52" customHeight="1">
      <x:c r="A80" s="14" t="str">
        <x:v>ipcc_0090</x:v>
      </x:c>
      <x:c r="B80" s="14" t="str">
        <x:v>Expand climate risk insurance coverage</x:v>
      </x:c>
      <x:c r="C80" s="14" t="str">
        <x:v>Food Security</x:v>
      </x:c>
      <x:c r="D80" s="14" t="str">
        <x:v>Access and consumption of food</x:v>
      </x:c>
      <x:c r="E80" s="14" t="str">
        <x:v>Vulnerability</x:v>
      </x:c>
      <x:c r="F80" s="15" t="str"/>
      <x:c r="G80" s="15" t="str"/>
      <x:c r="H80" s="14" t="str">
        <x:v>Indirect</x:v>
      </x:c>
      <x:c r="I80" s="14" t="str">
        <x:v>Not assessed</x:v>
      </x:c>
      <x:c r="J80" s="14" t="str">
        <x:v>Not assessed</x:v>
      </x:c>
      <x:c r="K80" s="14" t="str">
        <x:v>No</x:v>
      </x:c>
      <x:c r="L80" s="14" t="str">
        <x:v>&lt;5 years</x:v>
      </x:c>
      <x:c r="M80" s="14" t="n">
        <x:v>0</x:v>
      </x:c>
      <x:c r="N80" s="14" t="n">
        <x:v>0</x:v>
      </x:c>
      <x:c r="O80" s="14" t="str">
        <x:v>Review directness</x:v>
      </x:c>
      <x:c r="P80" s="14" t="str"/>
      <x:c r="Q80" s="14" t="str">
        <x:v>Food safety instruments | Scope of the family allowance program | Households with high per capita income</x:v>
      </x:c>
      <x:c r="R80" s="14" t="str">
        <x:v>Indirect — Indirect: the action can influence Food safety instruments, but the stated mechanism does not directly change this indicator without an additional causal step.
Indirect — Indirect: the action can influence Scope of the family allowance program, but the stated mechanism does not directly change this indicator without an additional causal step.
Indirect — Indirect: the action can influence Households with high per capita income, but the stated mechanism does not directly change this indicator without an additional causal step.</x:v>
      </x:c>
      <x:c r="S80" s="14" t="str">
        <x:v>Effectiveness is not assessed because this relationship is not Direct.</x:v>
      </x:c>
      <x:c r="T80" s="14"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81" ht="52" customHeight="1">
      <x:c r="A81" s="14" t="str">
        <x:v>ipcc_0090</x:v>
      </x:c>
      <x:c r="B81" s="14" t="str">
        <x:v>Expand climate risk insurance coverage</x:v>
      </x:c>
      <x:c r="C81" s="14" t="str">
        <x:v>Food Security</x:v>
      </x:c>
      <x:c r="D81" s="14" t="str">
        <x:v>Food availability</x:v>
      </x:c>
      <x:c r="E81" s="14" t="str">
        <x:v>Vulnerability</x:v>
      </x:c>
      <x:c r="F81" s="15" t="str"/>
      <x:c r="G81" s="15" t="str"/>
      <x:c r="H81" s="14" t="str">
        <x:v>Direct</x:v>
      </x:c>
      <x:c r="I81" s="14" t="str">
        <x:v>No demonstrated effectiveness</x:v>
      </x:c>
      <x:c r="J81" s="14" t="str">
        <x:v>Multiple sources</x:v>
      </x:c>
      <x:c r="K81" s="14" t="str">
        <x:v>No</x:v>
      </x:c>
      <x:c r="L81" s="14" t="str">
        <x:v>&lt;5 years</x:v>
      </x:c>
      <x:c r="M81" s="14" t="n">
        <x:v>3</x:v>
      </x:c>
      <x:c r="N81" s="14" t="n">
        <x:v>15</x:v>
      </x:c>
      <x:c r="O81" s="14" t="str">
        <x:v>Review directness | Evidence gap</x:v>
      </x:c>
      <x:c r="P81" s="14" t="str">
        <x:v>Harvest guarantee program | Proagro coverage plus | PSR coverage</x:v>
      </x:c>
      <x:c r="Q81" s="14" t="str">
        <x:v>PRONAF coverage | Diversity of revenues</x:v>
      </x:c>
      <x:c r="R81" s="14" t="str">
        <x:v>Direct — Direct: the action definition explicitly implements a mechanism that changes Harvest guarantee program, without requiring another intervention.
Indirect — Indirect: the action can influence PRONAF coverage, but the stated mechanism does not directly change this indicator without an additional causal step.
Direct — Direct: the action definition explicitly implements a mechanism that changes Proagro coverage plus, without requiring another intervention.
Direct — Direct: the action definition explicitly implements a mechanism that changes PSR coverage, without requiring another intervention.
Indirect — Indirect: the action can influence Diversity of revenues, but the stated mechanism does not directly change this indicator without an additional causal step.</x:v>
      </x:c>
      <x:c r="S81" s="14" t="str">
        <x:v>Relevant evidence supports the direction of effect but does not demonstrate its effectiveness level.</x:v>
      </x:c>
      <x:c r="T81" s="14"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82" ht="52" customHeight="1">
      <x:c r="A82" s="14" t="str">
        <x:v>ipcc_0092</x:v>
      </x:c>
      <x:c r="B82" s="14" t="str">
        <x:v>Expand climate‑responsive social safety nets</x:v>
      </x:c>
      <x:c r="C82" s="14" t="str">
        <x:v>Food Security</x:v>
      </x:c>
      <x:c r="D82" s="14" t="str">
        <x:v>Access and consumption of food</x:v>
      </x:c>
      <x:c r="E82" s="14" t="str">
        <x:v>Vulnerability</x:v>
      </x:c>
      <x:c r="F82" s="15" t="str"/>
      <x:c r="G82" s="15" t="str"/>
      <x:c r="H82" s="14" t="str">
        <x:v>Direct</x:v>
      </x:c>
      <x:c r="I82" s="14" t="str">
        <x:v>Medium effectiveness</x:v>
      </x:c>
      <x:c r="J82" s="14" t="str">
        <x:v>Multiple sources</x:v>
      </x:c>
      <x:c r="K82" s="14" t="str">
        <x:v>No</x:v>
      </x:c>
      <x:c r="L82" s="14" t="str">
        <x:v>5-10 years</x:v>
      </x:c>
      <x:c r="M82" s="14" t="n">
        <x:v>2</x:v>
      </x:c>
      <x:c r="N82" s="14" t="n">
        <x:v>15</x:v>
      </x:c>
      <x:c r="O82" s="14" t="str">
        <x:v>Review directness</x:v>
      </x:c>
      <x:c r="P82" s="14" t="str">
        <x:v>Food and nutritional insecurity | Child malnutrition | Food safety instruments | National school feeding program (PNAE) | Scope of the family allowance program</x:v>
      </x:c>
      <x:c r="Q82" s="14" t="str">
        <x:v>Federal investment per capita | Food Acquisition Program (PAA) | Equality in intra-household income distribution | Households with high per capita income</x:v>
      </x:c>
      <x:c r="R82" s="14" t="str">
        <x:v>Direct — Direct: the action definition explicitly implements a mechanism that changes Food and nutritional insecurity, without requiring another intervention.
Direct — Direct: the action definition explicitly implements a mechanism that changes Child malnutrition, without requiring another intervention.
Indirect — Indirect: the action can influence Federal investment per capita, but the stated mechanism does not directly change this indicator without an additional causal step.
Direct — Direct: the action definition explicitly implements a mechanism that changes Food safety instruments, without requiring another intervention.
Direct — Direct: the action definition explicitly implements a mechanism that changes National school feeding program (PNAE), without requiring another intervention.
Indirect — Indirect: the action can influence Food Acquisition Program (PAA), but the stated mechanism does not directly change this indicator without an additional causal step.
Direct — Direct: the action definition explicitly implements a mechanism that changes Scope of the family allowance program, without requiring another intervention.
Indirect — Indirect: the action can influence Equality in intra-household income distribution, but the stated mechanism does not directly change this indicator without an additional causal step.
Indirect — Indirect: the action can influence Households with high per capita income, but the stated mechanism does not directly change this indicator without an additional causal step.</x:v>
      </x:c>
      <x:c r="S82" s="14" t="str">
        <x:v>Relevant evidence demonstrates a moderate, conditional, context-dependent or mixed positive outcome.</x:v>
      </x:c>
      <x:c r="T82" s="14" t="str">
        <x: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x:v>
      </x:c>
    </x:row>
    <x:row r="83" ht="52" customHeight="1">
      <x:c r="A83" s="14" t="str">
        <x:v>ipcc_0102</x:v>
      </x:c>
      <x:c r="B83" s="14" t="str">
        <x:v>Facilitate seasonal and temporary mobility strategies</x:v>
      </x:c>
      <x:c r="C83" s="14" t="str">
        <x:v>Food Security</x:v>
      </x:c>
      <x:c r="D83" s="14" t="str">
        <x:v>Access and consumption of food</x:v>
      </x:c>
      <x:c r="E83" s="14" t="str">
        <x:v>Exposure</x:v>
      </x:c>
      <x:c r="F83" s="15" t="str"/>
      <x:c r="G83" s="15" t="str"/>
      <x:c r="H83" s="14" t="str">
        <x:v>Direct</x:v>
      </x:c>
      <x:c r="I83" s="14" t="str">
        <x:v>No demonstrated effectiveness</x:v>
      </x:c>
      <x:c r="J83" s="14" t="str">
        <x:v>None</x:v>
      </x:c>
      <x:c r="K83" s="14" t="str">
        <x:v>No</x:v>
      </x:c>
      <x:c r="L83" s="14" t="str">
        <x:v>5-10 years</x:v>
      </x:c>
      <x:c r="M83" s="14" t="n">
        <x:v>0</x:v>
      </x:c>
      <x:c r="N83" s="14" t="n">
        <x:v>15</x:v>
      </x:c>
      <x:c r="O83" s="14" t="str">
        <x:v>Review directness | Evidence gap</x:v>
      </x:c>
      <x:c r="P83" s="14" t="str">
        <x:v>Population density | Total population</x:v>
      </x:c>
      <x:c r="Q83" s="14" t="str"/>
      <x:c r="R83" s="14" t="str">
        <x:v>Direct — Direct: the action definition explicitly implements a mechanism that changes Population density, without requiring another intervention.
Direct — Direct: the action definition explicitly implements a mechanism that changes Total population, without requiring another intervention.</x:v>
      </x:c>
      <x:c r="S83" s="14" t="str">
        <x:v>No relevant positive evidence was found in the screened source pages.</x:v>
      </x:c>
      <x:c r="T83" s="14"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84" ht="52" customHeight="1">
      <x:c r="A84" s="14" t="str">
        <x:v>ipcc_0086</x:v>
      </x:c>
      <x:c r="B84" s="14" t="str">
        <x:v>Implement ecosystem‑based adaptation measures</x:v>
      </x:c>
      <x:c r="C84" s="14" t="str">
        <x:v>Food Security</x:v>
      </x:c>
      <x:c r="D84" s="14" t="str">
        <x:v>Food availability</x:v>
      </x:c>
      <x:c r="E84" s="14" t="str">
        <x:v>Vulnerability</x:v>
      </x:c>
      <x:c r="F84" s="15" t="str"/>
      <x:c r="G84" s="15" t="str"/>
      <x:c r="H84" s="14" t="str">
        <x:v>Direct</x:v>
      </x:c>
      <x:c r="I84" s="14" t="str">
        <x:v>Medium effectiveness</x:v>
      </x:c>
      <x:c r="J84" s="14" t="str">
        <x:v>Single source</x:v>
      </x:c>
      <x:c r="K84" s="14" t="str">
        <x:v>No</x:v>
      </x:c>
      <x:c r="L84" s="14" t="str">
        <x:v>5-10 years</x:v>
      </x:c>
      <x:c r="M84" s="14" t="n">
        <x:v>1</x:v>
      </x:c>
      <x:c r="N84" s="14" t="n">
        <x:v>15</x:v>
      </x:c>
      <x:c r="O84" s="14" t="str">
        <x:v>Review directness</x:v>
      </x:c>
      <x:c r="P84" s="14" t="str">
        <x:v>Susceptibility of agricultural productivity | Agricultural areas with low agricultural potential | Agricultural areas with soil susceptible to erosion | Vegetation cover losses</x:v>
      </x:c>
      <x:c r="Q84" s="14" t="str">
        <x:v>Susceptibility of livestock productivity | Homogeneity of agricultural production | Irrigation susceptibility | Agriculture and water availability | Water deficit | Technical guidance</x:v>
      </x:c>
      <x:c r="R84" s="14" t="str">
        <x:v>Direct — Direct: the action definition explicitly implements a mechanism that changes Susceptibility of agricultural productivity, without requiring another intervention.
Indirect — Indirect: the action can influence Susceptibility of livestock productivity, but the stated mechanism does not directly change this indicator without an additional causal step.
Indirect — Indirect: the action can influence Homogeneity of agricultural production, but the stated mechanism does not directly change this indicator without an additional causal step.
Indirect — Indirect: the action can influence Irrigation susceptibility, but the stated mechanism does not directly change this indicator without an additional causal step.
Indirect — Indirect: the action can influence Agriculture and water availability, but the stated mechanism does not directly change this indicator without an additional causal step.
Direct — Direct: the action definition explicitly implements a mechanism that changes Agricultural areas with low agricultural potential, without requiring another intervention.
Direct — Direct: the action definition explicitly implements a mechanism that changes Agricultural areas with soil susceptible to erosion, without requiring another intervention.
Indirect — Indirect: the action can influence Water deficit, but the stated mechanism does not directly change this indicator without an additional causal step.
Direct — Direct: the action definition explicitly implements a mechanism that changes Vegetation cover losses, without requiring another intervention.
Indirect — Indirect: the action can influence Technical guidance, but the stated mechanism does not directly change this indicator without an additional causal step.</x:v>
      </x:c>
      <x:c r="S84" s="14" t="str">
        <x:v>Relevant evidence demonstrates a moderate, conditional, context-dependent or mixed positive outcome.</x:v>
      </x:c>
      <x:c r="T84" s="14"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85" ht="52" customHeight="1">
      <x:c r="A85" s="14" t="str">
        <x:v>icare_0183</x:v>
      </x:c>
      <x:c r="B85" s="14" t="str">
        <x:v>Implement Multi-hazard Early Warning Systems (MH-EWS)</x:v>
      </x:c>
      <x:c r="C85" s="14" t="str">
        <x:v>Food Security</x:v>
      </x:c>
      <x:c r="D85" s="14" t="str">
        <x:v>Food availability</x:v>
      </x:c>
      <x:c r="E85" s="14" t="str">
        <x:v>Vulnerability</x:v>
      </x:c>
      <x:c r="F85" s="15" t="str"/>
      <x:c r="G85" s="15" t="str"/>
      <x:c r="H85" s="14" t="str">
        <x:v>Indirect</x:v>
      </x:c>
      <x:c r="I85" s="14" t="str">
        <x:v>Not assessed</x:v>
      </x:c>
      <x:c r="J85" s="14" t="str">
        <x:v>Not assessed</x:v>
      </x:c>
      <x:c r="K85" s="14" t="str">
        <x:v>No</x:v>
      </x:c>
      <x:c r="L85" s="14" t="str">
        <x:v>5-10 years</x:v>
      </x:c>
      <x:c r="M85" s="14" t="n">
        <x:v>0</x:v>
      </x:c>
      <x:c r="N85" s="14" t="n">
        <x:v>0</x:v>
      </x:c>
      <x:c r="O85" s="14" t="str">
        <x:v>Review directness</x:v>
      </x:c>
      <x:c r="P85" s="14" t="str"/>
      <x:c r="Q85" s="14" t="str">
        <x:v>Susceptibility of agricultural productivity | Susceptibility of livestock productivity | Irrigation susceptibility | Fire hotspots | Agriculture and water availability | Water deficit</x:v>
      </x:c>
      <x:c r="R85" s="14" t="str">
        <x:v>Indirect — Indirect: the action can influence Susceptibility of agricultural productivity, but the stated mechanism does not directly change this indicator without an additional causal step.
Indirect — Indirect: the action can influence Susceptibility of livestock productivity, but the stated mechanism does not directly change this indicator without an additional causal step.
Indirect — Indirect: the action can influence Irrigation susceptibility, but the stated mechanism does not directly change this indicator without an additional causal step.
Indirect — Indirect: the action can influence Fire hotspots, but the stated mechanism does not directly change this indicator without an additional causal step.
Indirect — Indirect: the action can influence Agriculture and water availability, but the stated mechanism does not directly change this indicator without an additional causal step.
Indirect — Indirect: the action can influence Water deficit, but the stated mechanism does not directly change this indicator without an additional causal step.</x:v>
      </x:c>
      <x:c r="S85" s="14" t="str">
        <x:v>Effectiveness is not assessed because this relationship is not Direct.</x:v>
      </x:c>
      <x:c r="T85" s="14" t="str">
        <x: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x:v>
      </x:c>
    </x:row>
    <x:row r="86" ht="52" customHeight="1">
      <x:c r="A86" s="14" t="str">
        <x:v>ipcc_0100</x:v>
      </x:c>
      <x:c r="B86" s="14" t="str">
        <x:v>Improve Efficient water use/demand</x:v>
      </x:c>
      <x:c r="C86" s="14" t="str">
        <x:v>Food Security</x:v>
      </x:c>
      <x:c r="D86" s="14" t="str">
        <x:v>Access and consumption of food</x:v>
      </x:c>
      <x:c r="E86" s="14" t="str">
        <x:v>Vulnerability</x:v>
      </x:c>
      <x:c r="F86" s="15" t="str"/>
      <x:c r="G86" s="15" t="str"/>
      <x:c r="H86" s="14" t="str">
        <x:v>Indirect</x:v>
      </x:c>
      <x:c r="I86" s="14" t="str">
        <x:v>Not assessed</x:v>
      </x:c>
      <x:c r="J86" s="14" t="str">
        <x:v>Not assessed</x:v>
      </x:c>
      <x:c r="K86" s="14" t="str">
        <x:v>No</x:v>
      </x:c>
      <x:c r="L86" s="14" t="str">
        <x:v>5-10 years</x:v>
      </x:c>
      <x:c r="M86" s="14" t="n">
        <x:v>0</x:v>
      </x:c>
      <x:c r="N86" s="14" t="n">
        <x:v>0</x:v>
      </x:c>
      <x:c r="O86" s="14" t="str">
        <x:v>Review directness</x:v>
      </x:c>
      <x:c r="P86" s="14" t="str"/>
      <x:c r="Q86" s="14" t="str">
        <x:v>Direct source water shortage</x:v>
      </x:c>
      <x:c r="R86" s="14" t="str">
        <x:v>Indirect — Indirect: the action can influence Direct source water shortage, but the stated mechanism does not directly change this indicator without an additional causal step.</x:v>
      </x:c>
      <x:c r="S86" s="14" t="str">
        <x:v>Effectiveness is not assessed because this relationship is not Direct.</x:v>
      </x:c>
      <x:c r="T86" s="14"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87" ht="52" customHeight="1">
      <x:c r="A87" s="14" t="str">
        <x:v>ipcc_0100</x:v>
      </x:c>
      <x:c r="B87" s="14" t="str">
        <x:v>Improve Efficient water use/demand</x:v>
      </x:c>
      <x:c r="C87" s="14" t="str">
        <x:v>Food Security</x:v>
      </x:c>
      <x:c r="D87" s="14" t="str">
        <x:v>Food availability</x:v>
      </x:c>
      <x:c r="E87" s="14" t="str">
        <x:v>Vulnerability</x:v>
      </x:c>
      <x:c r="F87" s="15" t="str"/>
      <x:c r="G87" s="15" t="str"/>
      <x:c r="H87" s="14" t="str">
        <x:v>Direct</x:v>
      </x:c>
      <x:c r="I87" s="14" t="str">
        <x:v>No demonstrated effectiveness</x:v>
      </x:c>
      <x:c r="J87" s="14" t="str">
        <x:v>Single source</x:v>
      </x:c>
      <x:c r="K87" s="14" t="str">
        <x:v>No</x:v>
      </x:c>
      <x:c r="L87" s="14" t="str">
        <x:v>5-10 years</x:v>
      </x:c>
      <x:c r="M87" s="14" t="n">
        <x:v>1</x:v>
      </x:c>
      <x:c r="N87" s="14" t="n">
        <x:v>15</x:v>
      </x:c>
      <x:c r="O87" s="14" t="str">
        <x:v>Review directness | Evidence gap</x:v>
      </x:c>
      <x:c r="P87" s="14" t="str">
        <x:v>Irrigation susceptibility | Agriculture and water availability | Water deficit</x:v>
      </x:c>
      <x:c r="Q87" s="14" t="str">
        <x:v>Technical guidance</x:v>
      </x:c>
      <x:c r="R87" s="14" t="str">
        <x:v>Direct — Direct: the action definition explicitly implements a mechanism that changes Irrigation susceptibility, without requiring another intervention.
Direct — Direct: the action definition explicitly implements a mechanism that changes Agriculture and water availability, without requiring another intervention.
Direct — Direct: the action definition explicitly implements a mechanism that changes Water deficit, without requiring another intervention.
Indirect — Indirect: the action can influence Technical guidance, but the stated mechanism does not directly change this indicator without an additional causal step.</x:v>
      </x:c>
      <x:c r="S87" s="14" t="str">
        <x:v>Relevant evidence supports the direction of effect but does not demonstrate its effectiveness level.</x:v>
      </x:c>
      <x:c r="T87" s="14"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88" ht="52" customHeight="1">
      <x:c r="A88" s="14" t="str">
        <x:v>icare_0164</x:v>
      </x:c>
      <x:c r="B88" s="14" t="str">
        <x:v>Improve Hydrological Monitoring System with Telemetry Stations</x:v>
      </x:c>
      <x:c r="C88" s="14" t="str">
        <x:v>Food Security</x:v>
      </x:c>
      <x:c r="D88" s="14" t="str">
        <x:v>Access and consumption of food</x:v>
      </x:c>
      <x:c r="E88" s="14" t="str">
        <x:v>Vulnerability</x:v>
      </x:c>
      <x:c r="F88" s="15" t="str"/>
      <x:c r="G88" s="15" t="str"/>
      <x:c r="H88" s="14" t="str">
        <x:v>Indirect</x:v>
      </x:c>
      <x:c r="I88" s="14" t="str">
        <x:v>Not assessed</x:v>
      </x:c>
      <x:c r="J88" s="14" t="str">
        <x:v>Not assessed</x:v>
      </x:c>
      <x:c r="K88" s="14" t="str">
        <x:v>No</x:v>
      </x:c>
      <x:c r="L88" s="14" t="str">
        <x:v>&lt;5 years</x:v>
      </x:c>
      <x:c r="M88" s="14" t="n">
        <x:v>0</x:v>
      </x:c>
      <x:c r="N88" s="14" t="n">
        <x:v>0</x:v>
      </x:c>
      <x:c r="O88" s="14" t="str">
        <x:v>Review directness</x:v>
      </x:c>
      <x:c r="P88" s="14" t="str"/>
      <x:c r="Q88" s="14" t="str">
        <x:v>Direct source water shortage</x:v>
      </x:c>
      <x:c r="R88" s="14" t="str">
        <x:v>Indirect — Indirect: the action can influence Direct source water shortage, but the stated mechanism does not directly change this indicator without an additional causal step.</x:v>
      </x:c>
      <x:c r="S88" s="14" t="str">
        <x:v>Effectiveness is not assessed because this relationship is not Direct.</x:v>
      </x:c>
      <x:c r="T88" s="14" t="str">
        <x:v>Implementation of a hydrological monitoring system with telemetry stations to monitor rainfall, water levels, and meteorological variables in real-time.</x:v>
      </x:c>
    </x:row>
    <x:row r="89" ht="52" customHeight="1">
      <x:c r="A89" s="14" t="str">
        <x:v>icare_0164</x:v>
      </x:c>
      <x:c r="B89" s="14" t="str">
        <x:v>Improve Hydrological Monitoring System with Telemetry Stations</x:v>
      </x:c>
      <x:c r="C89" s="14" t="str">
        <x:v>Food Security</x:v>
      </x:c>
      <x:c r="D89" s="14" t="str">
        <x:v>Food availability</x:v>
      </x:c>
      <x:c r="E89" s="14" t="str">
        <x:v>Vulnerability</x:v>
      </x:c>
      <x:c r="F89" s="15" t="str"/>
      <x:c r="G89" s="15" t="str"/>
      <x:c r="H89" s="14" t="str">
        <x:v>Indirect</x:v>
      </x:c>
      <x:c r="I89" s="14" t="str">
        <x:v>Not assessed</x:v>
      </x:c>
      <x:c r="J89" s="14" t="str">
        <x:v>Not assessed</x:v>
      </x:c>
      <x:c r="K89" s="14" t="str">
        <x:v>No</x:v>
      </x:c>
      <x:c r="L89" s="14" t="str">
        <x:v>&lt;5 years</x:v>
      </x:c>
      <x:c r="M89" s="14" t="n">
        <x:v>0</x:v>
      </x:c>
      <x:c r="N89" s="14" t="n">
        <x:v>0</x:v>
      </x:c>
      <x:c r="O89" s="14" t="str">
        <x:v>Review directness</x:v>
      </x:c>
      <x:c r="P89" s="14" t="str"/>
      <x:c r="Q89" s="14" t="str">
        <x:v>Irrigation susceptibility | Agriculture and water availability | Water deficit</x:v>
      </x:c>
      <x:c r="R89" s="14" t="str">
        <x:v>Indirect — Indirect: the action can influence Irrigation susceptibility, but the stated mechanism does not directly change this indicator without an additional causal step.
Indirect — Indirect: the action can influence Agriculture and water availability, but the stated mechanism does not directly change this indicator without an additional causal step.
Indirect — Indirect: the action can influence Water deficit, but the stated mechanism does not directly change this indicator without an additional causal step.</x:v>
      </x:c>
      <x:c r="S89" s="14" t="str">
        <x:v>Effectiveness is not assessed because this relationship is not Direct.</x:v>
      </x:c>
      <x:c r="T89" s="14" t="str">
        <x:v>Implementation of a hydrological monitoring system with telemetry stations to monitor rainfall, water levels, and meteorological variables in real-time.</x:v>
      </x:c>
    </x:row>
    <x:row r="90" ht="52" customHeight="1">
      <x:c r="A90" s="14" t="str">
        <x:v>icare_0156</x:v>
      </x:c>
      <x:c r="B90" s="14" t="str">
        <x:v>Improve Implementation of urban gardens</x:v>
      </x:c>
      <x:c r="C90" s="14" t="str">
        <x:v>Food Security</x:v>
      </x:c>
      <x:c r="D90" s="14" t="str">
        <x:v>Access and consumption of food</x:v>
      </x:c>
      <x:c r="E90" s="14" t="str">
        <x:v>Vulnerability</x:v>
      </x:c>
      <x:c r="F90" s="15" t="str"/>
      <x:c r="G90" s="15" t="str"/>
      <x:c r="H90" s="14" t="str">
        <x:v>Indirect</x:v>
      </x:c>
      <x:c r="I90" s="14" t="str">
        <x:v>Not assessed</x:v>
      </x:c>
      <x:c r="J90" s="14" t="str">
        <x:v>Not assessed</x:v>
      </x:c>
      <x:c r="K90" s="14" t="str">
        <x:v>No</x:v>
      </x:c>
      <x:c r="L90" s="14" t="str">
        <x:v>&lt;5 years</x:v>
      </x:c>
      <x:c r="M90" s="14" t="n">
        <x:v>0</x:v>
      </x:c>
      <x:c r="N90" s="14" t="n">
        <x:v>0</x:v>
      </x:c>
      <x:c r="O90" s="14" t="str">
        <x:v>Review directness</x:v>
      </x:c>
      <x:c r="P90" s="14" t="str"/>
      <x:c r="Q90" s="14" t="str">
        <x:v>Municipalities without a basic food supply network | Food and nutritional insecurity</x:v>
      </x:c>
      <x:c r="R90" s="14" t="str">
        <x:v>Indirect — Indirect: the action can influence Municipalities without a basic food supply network, but the stated mechanism does not directly change this indicator without an additional causal step.
Indirect — Indirect: the action can influence Food and nutritional insecurity, but the stated mechanism does not directly change this indicator without an additional causal step.</x:v>
      </x:c>
      <x:c r="S90" s="14" t="str">
        <x:v>Effectiveness is not assessed because this relationship is not Direct.</x:v>
      </x:c>
      <x:c r="T90" s="14" t="str">
        <x:v>Identify and assess the feasibility of suitable areas for the installation of urban gardens and ensure that the sites chosen meet the expectations of the community.</x:v>
      </x:c>
    </x:row>
    <x:row r="91" ht="52" customHeight="1">
      <x:c r="A91" s="14" t="str">
        <x:v>icare_0156</x:v>
      </x:c>
      <x:c r="B91" s="14" t="str">
        <x:v>Improve Implementation of urban gardens</x:v>
      </x:c>
      <x:c r="C91" s="14" t="str">
        <x:v>Food Security</x:v>
      </x:c>
      <x:c r="D91" s="14" t="str">
        <x:v>Food availability</x:v>
      </x:c>
      <x:c r="E91" s="14" t="str">
        <x:v>Exposure</x:v>
      </x:c>
      <x:c r="F91" s="15" t="str"/>
      <x:c r="G91" s="15" t="str"/>
      <x:c r="H91" s="14" t="str">
        <x:v>Direct</x:v>
      </x:c>
      <x:c r="I91" s="14" t="str">
        <x:v>No demonstrated effectiveness</x:v>
      </x:c>
      <x:c r="J91" s="14" t="str">
        <x:v>None</x:v>
      </x:c>
      <x:c r="K91" s="14" t="str">
        <x:v>No</x:v>
      </x:c>
      <x:c r="L91" s="14" t="str">
        <x:v>&lt;5 years</x:v>
      </x:c>
      <x:c r="M91" s="14" t="n">
        <x:v>0</x:v>
      </x:c>
      <x:c r="N91" s="14" t="n">
        <x:v>15</x:v>
      </x:c>
      <x:c r="O91" s="14" t="str">
        <x:v>Review directness | Evidence gap</x:v>
      </x:c>
      <x:c r="P91" s="14" t="str">
        <x:v>Area planted with agricultural crops | Density of agricultural establishments</x:v>
      </x:c>
      <x:c r="Q91" s="14" t="str"/>
      <x:c r="R91" s="14" t="str">
        <x:v>Direct — Direct: the action definition explicitly implements a mechanism that changes Area planted with agricultural crops, without requiring another intervention.
Direct — Direct: the action definition explicitly implements a mechanism that changes Density of agricultural establishments, without requiring another intervention.</x:v>
      </x:c>
      <x:c r="S91" s="14" t="str">
        <x:v>No relevant positive evidence was found in the screened source pages.</x:v>
      </x:c>
      <x:c r="T91" s="14" t="str">
        <x:v>Identify and assess the feasibility of suitable areas for the installation of urban gardens and ensure that the sites chosen meet the expectations of the community.</x:v>
      </x:c>
    </x:row>
    <x:row r="92" ht="52" customHeight="1">
      <x:c r="A92" s="14" t="str">
        <x:v>icare_0156</x:v>
      </x:c>
      <x:c r="B92" s="14" t="str">
        <x:v>Improve Implementation of urban gardens</x:v>
      </x:c>
      <x:c r="C92" s="14" t="str">
        <x:v>Food Security</x:v>
      </x:c>
      <x:c r="D92" s="14" t="str">
        <x:v>Food availability</x:v>
      </x:c>
      <x:c r="E92" s="14" t="str">
        <x:v>Vulnerability</x:v>
      </x:c>
      <x:c r="F92" s="15" t="str"/>
      <x:c r="G92" s="15" t="str"/>
      <x:c r="H92" s="14" t="str">
        <x:v>Indirect</x:v>
      </x:c>
      <x:c r="I92" s="14" t="str">
        <x:v>Not assessed</x:v>
      </x:c>
      <x:c r="J92" s="14" t="str">
        <x:v>Not assessed</x:v>
      </x:c>
      <x:c r="K92" s="14" t="str">
        <x:v>No</x:v>
      </x:c>
      <x:c r="L92" s="14" t="str">
        <x:v>&lt;5 years</x:v>
      </x:c>
      <x:c r="M92" s="14" t="n">
        <x:v>0</x:v>
      </x:c>
      <x:c r="N92" s="14" t="n">
        <x:v>0</x:v>
      </x:c>
      <x:c r="O92" s="14" t="str">
        <x:v>Review directness</x:v>
      </x:c>
      <x:c r="P92" s="14" t="str"/>
      <x:c r="Q92" s="14" t="str">
        <x:v>Susceptibility of agricultural productivity | Homogeneity of agricultural production | Agricultural areas with low agricultural potential | Technical guidance</x:v>
      </x:c>
      <x:c r="R92" s="14" t="str">
        <x:v>Indirect — Indirect: the action can influence Susceptibility of agricultural productivity, but the stated mechanism does not directly change this indicator without an additional causal step.
Indirect — Indirect: the action can influence Homogeneity of agricultural production, but the stated mechanism does not directly change this indicator without an additional causal step.
Indirect — Indirect: the action can influence Agricultural areas with low agricultural potential, but the stated mechanism does not directly change this indicator without an additional causal step.
Indirect — Indirect: the action can influence Technical guidance, but the stated mechanism does not directly change this indicator without an additional causal step.</x:v>
      </x:c>
      <x:c r="S92" s="14" t="str">
        <x:v>Effectiveness is not assessed because this relationship is not Direct.</x:v>
      </x:c>
      <x:c r="T92" s="14" t="str">
        <x:v>Identify and assess the feasibility of suitable areas for the installation of urban gardens and ensure that the sites chosen meet the expectations of the community.</x:v>
      </x:c>
    </x:row>
    <x:row r="93" ht="52" customHeight="1">
      <x:c r="A93" s="14" t="str">
        <x:v>icare_0171</x:v>
      </x:c>
      <x:c r="B93" s="14" t="str">
        <x:v>Improve the hydrometeorological forecasting, monitoring, and alert system for climate risks</x:v>
      </x:c>
      <x:c r="C93" s="14" t="str">
        <x:v>Food Security</x:v>
      </x:c>
      <x:c r="D93" s="14" t="str">
        <x:v>Food availability</x:v>
      </x:c>
      <x:c r="E93" s="14" t="str">
        <x:v>Vulnerability</x:v>
      </x:c>
      <x:c r="F93" s="15" t="str"/>
      <x:c r="G93" s="15" t="str"/>
      <x:c r="H93" s="14" t="str">
        <x:v>Indirect</x:v>
      </x:c>
      <x:c r="I93" s="14" t="str">
        <x:v>Not assessed</x:v>
      </x:c>
      <x:c r="J93" s="14" t="str">
        <x:v>Not assessed</x:v>
      </x:c>
      <x:c r="K93" s="14" t="str">
        <x:v>No</x:v>
      </x:c>
      <x:c r="L93" s="14" t="str">
        <x:v>5-10 years</x:v>
      </x:c>
      <x:c r="M93" s="14" t="n">
        <x:v>0</x:v>
      </x:c>
      <x:c r="N93" s="14" t="n">
        <x:v>0</x:v>
      </x:c>
      <x:c r="O93" s="14" t="str">
        <x:v>Review directness</x:v>
      </x:c>
      <x:c r="P93" s="14" t="str"/>
      <x:c r="Q93" s="14" t="str">
        <x:v>Susceptibility of agricultural productivity | Susceptibility of livestock productivity | Irrigation susceptibility | Fire hotspots | Agriculture and water availability | Water deficit</x:v>
      </x:c>
      <x:c r="R93" s="14" t="str">
        <x:v>Indirect — Indirect: the action can influence Susceptibility of agricultural productivity, but the stated mechanism does not directly change this indicator without an additional causal step.
Indirect — Indirect: the action can influence Susceptibility of livestock productivity, but the stated mechanism does not directly change this indicator without an additional causal step.
Indirect — Indirect: the action can influence Irrigation susceptibility, but the stated mechanism does not directly change this indicator without an additional causal step.
Indirect — Indirect: the action can influence Fire hotspots, but the stated mechanism does not directly change this indicator without an additional causal step.
Indirect — Indirect: the action can influence Agriculture and water availability, but the stated mechanism does not directly change this indicator without an additional causal step.
Indirect — Indirect: the action can influence Water deficit, but the stated mechanism does not directly change this indicator without an additional causal step.</x:v>
      </x:c>
      <x:c r="S93" s="14" t="str">
        <x:v>Effectiveness is not assessed because this relationship is not Direct.</x:v>
      </x:c>
      <x:c r="T93" s="14" t="str">
        <x:v>This action aims to expand the procedures related to the existing climate risk forecasting, monitoring, and alert system in the municipality.</x:v>
      </x:c>
    </x:row>
    <x:row r="94" ht="52" customHeight="1">
      <x:c r="A94" s="14" t="str">
        <x:v>ipcc_0101</x:v>
      </x:c>
      <x:c r="B94" s="14" t="str">
        <x:v>Improve urban water management</x:v>
      </x:c>
      <x:c r="C94" s="14" t="str">
        <x:v>Food Security</x:v>
      </x:c>
      <x:c r="D94" s="14" t="str">
        <x:v>Access and consumption of food</x:v>
      </x:c>
      <x:c r="E94" s="14" t="str">
        <x:v>Vulnerability</x:v>
      </x:c>
      <x:c r="F94" s="15" t="str"/>
      <x:c r="G94" s="15" t="str"/>
      <x:c r="H94" s="14" t="str">
        <x:v>Direct</x:v>
      </x:c>
      <x:c r="I94" s="14" t="str">
        <x:v>No demonstrated effectiveness</x:v>
      </x:c>
      <x:c r="J94" s="14" t="str">
        <x:v>None</x:v>
      </x:c>
      <x:c r="K94" s="14" t="str">
        <x:v>No</x:v>
      </x:c>
      <x:c r="L94" s="14" t="str">
        <x:v>5-10 years</x:v>
      </x:c>
      <x:c r="M94" s="14" t="n">
        <x:v>0</x:v>
      </x:c>
      <x:c r="N94" s="14" t="n">
        <x:v>15</x:v>
      </x:c>
      <x:c r="O94" s="14" t="str">
        <x:v>Review directness | Evidence gap</x:v>
      </x:c>
      <x:c r="P94" s="14" t="str">
        <x:v>Direct source water shortage | Compromised water quality | Occurrence of diseases related to inadequate environmental sanitation</x:v>
      </x:c>
      <x:c r="Q94" s="14" t="str">
        <x:v>Cistern program service</x:v>
      </x:c>
      <x:c r="R94" s="14" t="str">
        <x:v>Direct — Direct: the action definition explicitly implements a mechanism that changes Direct source water shortage, without requiring another intervention.
Direct — Direct: the action definition explicitly implements a mechanism that changes Compromised water quality, without requiring another intervention.
Direct — Direct: the action definition explicitly implements a mechanism that changes Occurrence of diseases related to inadequate environmental sanitation, without requiring another intervention.
Indirect — Indirect: the action can influence Cistern program service, but the stated mechanism does not directly change this indicator without an additional causal step.</x:v>
      </x:c>
      <x:c r="S94" s="14" t="str">
        <x:v>No relevant positive evidence was found in the screened source pages.</x:v>
      </x:c>
      <x:c r="T94" s="14"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95" ht="52" customHeight="1">
      <x:c r="A95" s="14" t="str">
        <x:v>c40_0056</x:v>
      </x:c>
      <x:c r="B95" s="14" t="str">
        <x:v>Improve Watershed Protection and Management</x:v>
      </x:c>
      <x:c r="C95" s="14" t="str">
        <x:v>Food Security</x:v>
      </x:c>
      <x:c r="D95" s="14" t="str">
        <x:v>Access and consumption of food</x:v>
      </x:c>
      <x:c r="E95" s="14" t="str">
        <x:v>Vulnerability</x:v>
      </x:c>
      <x:c r="F95" s="15" t="str"/>
      <x:c r="G95" s="15" t="str"/>
      <x:c r="H95" s="14" t="str">
        <x:v>Direct</x:v>
      </x:c>
      <x:c r="I95" s="14" t="str">
        <x:v>No demonstrated effectiveness</x:v>
      </x:c>
      <x:c r="J95" s="14" t="str">
        <x:v>None</x:v>
      </x:c>
      <x:c r="K95" s="14" t="str">
        <x:v>No</x:v>
      </x:c>
      <x:c r="L95" s="14" t="str">
        <x:v>&lt;5 years</x:v>
      </x:c>
      <x:c r="M95" s="14" t="n">
        <x:v>0</x:v>
      </x:c>
      <x:c r="N95" s="14" t="n">
        <x:v>15</x:v>
      </x:c>
      <x:c r="O95" s="14" t="str">
        <x:v>Review directness | Evidence gap</x:v>
      </x:c>
      <x:c r="P95" s="14" t="str">
        <x:v>Compromised water quality</x:v>
      </x:c>
      <x:c r="Q95" s="14" t="str"/>
      <x:c r="R95" s="14" t="str">
        <x:v>Direct — Direct: the action definition explicitly implements a mechanism that changes Compromised water quality, without requiring another intervention.</x:v>
      </x:c>
      <x:c r="S95" s="14" t="str">
        <x:v>No relevant positive evidence was found in the screened source pages.</x:v>
      </x:c>
      <x:c r="T95" s="14"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96" ht="52" customHeight="1">
      <x:c r="A96" s="14" t="str">
        <x:v>c40_0056</x:v>
      </x:c>
      <x:c r="B96" s="14" t="str">
        <x:v>Improve Watershed Protection and Management</x:v>
      </x:c>
      <x:c r="C96" s="14" t="str">
        <x:v>Food Security</x:v>
      </x:c>
      <x:c r="D96" s="14" t="str">
        <x:v>Food availability</x:v>
      </x:c>
      <x:c r="E96" s="14" t="str">
        <x:v>Vulnerability</x:v>
      </x:c>
      <x:c r="F96" s="15" t="str"/>
      <x:c r="G96" s="15" t="str"/>
      <x:c r="H96" s="14" t="str">
        <x:v>Direct</x:v>
      </x:c>
      <x:c r="I96" s="14" t="str">
        <x:v>Medium effectiveness</x:v>
      </x:c>
      <x:c r="J96" s="14" t="str">
        <x:v>Single source</x:v>
      </x:c>
      <x:c r="K96" s="14" t="str">
        <x:v>No</x:v>
      </x:c>
      <x:c r="L96" s="14" t="str">
        <x:v>&lt;5 years</x:v>
      </x:c>
      <x:c r="M96" s="14" t="n">
        <x:v>1</x:v>
      </x:c>
      <x:c r="N96" s="14" t="n">
        <x:v>15</x:v>
      </x:c>
      <x:c r="O96" s="14" t="str">
        <x:v>Review directness</x:v>
      </x:c>
      <x:c r="P96" s="14" t="str">
        <x:v>Agricultural areas with soil susceptible to erosion | Vegetation cover losses</x:v>
      </x:c>
      <x:c r="Q96" s="14" t="str">
        <x:v>Agriculture and water availability | Water deficit</x:v>
      </x:c>
      <x:c r="R96" s="14" t="str">
        <x:v>Indirect — Indirect: the action can influence Agriculture and water availability, but the stated mechanism does not directly change this indicator without an additional causal step.
Direct — Direct: the action definition explicitly implements a mechanism that changes Agricultural areas with soil susceptible to erosion, without requiring another intervention.
Indirect — Indirect: the action can influence Water deficit, but the stated mechanism does not directly change this indicator without an additional causal step.
Direct — Direct: the action definition explicitly implements a mechanism that changes Vegetation cover losses, without requiring another intervention.</x:v>
      </x:c>
      <x:c r="S96" s="14" t="str">
        <x:v>Relevant evidence demonstrates a moderate, conditional, context-dependent or mixed positive outcome.</x:v>
      </x:c>
      <x:c r="T96" s="14"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97" ht="52" customHeight="1">
      <x:c r="A97" s="14" t="str">
        <x:v>ipcc_0098</x:v>
      </x:c>
      <x:c r="B97" s="14" t="str">
        <x:v>Increase resilience by improving access to food, improving livelihoods and promoting dietary shifts and food waste reduction</x:v>
      </x:c>
      <x:c r="C97" s="14" t="str">
        <x:v>Food Security</x:v>
      </x:c>
      <x:c r="D97" s="14" t="str">
        <x:v>Access and consumption of food</x:v>
      </x:c>
      <x:c r="E97" s="14" t="str">
        <x:v>Vulnerability</x:v>
      </x:c>
      <x:c r="F97" s="15" t="str"/>
      <x:c r="G97" s="15" t="str"/>
      <x:c r="H97" s="14" t="str">
        <x:v>Direct</x:v>
      </x:c>
      <x:c r="I97" s="14" t="str">
        <x:v>Medium effectiveness</x:v>
      </x:c>
      <x:c r="J97" s="14" t="str">
        <x:v>Single source</x:v>
      </x:c>
      <x:c r="K97" s="14" t="str">
        <x:v>No</x:v>
      </x:c>
      <x:c r="L97" s="14" t="str">
        <x:v>5-10 years</x:v>
      </x:c>
      <x:c r="M97" s="14" t="n">
        <x:v>1</x:v>
      </x:c>
      <x:c r="N97" s="14" t="n">
        <x:v>15</x:v>
      </x:c>
      <x:c r="O97" s="14" t="str">
        <x:v>Review directness</x:v>
      </x:c>
      <x:c r="P97" s="14" t="str">
        <x:v>Municipalities without a basic food supply network | Food and nutritional insecurity | Child malnutrition | Overweight and obesity</x:v>
      </x:c>
      <x:c r="Q97" s="14" t="str">
        <x:v>Ultra-processed food commercial establishments | Food safety instruments | National school feeding program (PNAE) | Food Acquisition Program (PAA) | Scope of the family allowance program | Households with high per capita income</x:v>
      </x:c>
      <x:c r="R97" s="14" t="str">
        <x:v>Indirect — Indirect: the action can influence Ultra-processed food commercial establishments, but the stated mechanism does not directly change this indicator without an additional causal step.
Direct — Direct: the action definition explicitly implements a mechanism that changes Municipalities without a basic food supply network, without requiring another intervention.
Direct — Direct: the action definition explicitly implements a mechanism that changes Food and nutritional insecurity, without requiring another intervention.
Direct — Direct: the action definition explicitly implements a mechanism that changes Child malnutrition, without requiring another intervention.
Direct — Direct: the action definition explicitly implements a mechanism that changes Overweight and obesity, without requiring another intervention.
Indirect — Indirect: the action can influence Food safety instruments, but the stated mechanism does not directly change this indicator without an additional causal step.
Indirect — Indirect: the action can influence National school feeding program (PNAE), but the stated mechanism does not directly change this indicator without an additional causal step.
Indirect — Indirect: the action can influence Food Acquisition Program (PAA), but the stated mechanism does not directly change this indicator without an additional causal step.
Indirect — Indirect: the action can influence Scope of the family allowance program, but the stated mechanism does not directly change this indicator without an additional causal step.
Indirect — Indirect: the action can influence Households with high per capita income, but the stated mechanism does not directly change this indicator without an additional causal step.</x:v>
      </x:c>
      <x:c r="S97" s="14" t="str">
        <x:v>Relevant evidence demonstrates a moderate, conditional, context-dependent or mixed positive outcome.</x:v>
      </x:c>
      <x:c r="T97" s="14" t="str">
        <x: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x:v>
      </x:c>
    </x:row>
    <x:row r="98" ht="52" customHeight="1">
      <x:c r="A98" s="14" t="str">
        <x:v>ipcc_0098</x:v>
      </x:c>
      <x:c r="B98" s="14" t="str">
        <x:v>Increase resilience by improving access to food, improving livelihoods and promoting dietary shifts and food waste reduction</x:v>
      </x:c>
      <x:c r="C98" s="14" t="str">
        <x:v>Food Security</x:v>
      </x:c>
      <x:c r="D98" s="14" t="str">
        <x:v>Food availability</x:v>
      </x:c>
      <x:c r="E98" s="14" t="str">
        <x:v>Vulnerability</x:v>
      </x:c>
      <x:c r="F98" s="15" t="str"/>
      <x:c r="G98" s="15" t="str"/>
      <x:c r="H98" s="14" t="str">
        <x:v>Direct</x:v>
      </x:c>
      <x:c r="I98" s="14" t="str">
        <x:v>No demonstrated effectiveness</x:v>
      </x:c>
      <x:c r="J98" s="14" t="str">
        <x:v>None</x:v>
      </x:c>
      <x:c r="K98" s="14" t="str">
        <x:v>No</x:v>
      </x:c>
      <x:c r="L98" s="14" t="str">
        <x:v>5-10 years</x:v>
      </x:c>
      <x:c r="M98" s="14" t="n">
        <x:v>0</x:v>
      </x:c>
      <x:c r="N98" s="14" t="n">
        <x:v>15</x:v>
      </x:c>
      <x:c r="O98" s="14" t="str">
        <x:v>Review directness | Evidence gap</x:v>
      </x:c>
      <x:c r="P98" s="14" t="str">
        <x:v>Susceptibility of agricultural productivity | Homogeneity of agricultural production | Irrigation susceptibility | Agriculture and water availability | Storage capacity</x:v>
      </x:c>
      <x:c r="Q98" s="14" t="str">
        <x:v>Agricultural areas with low agricultural potential | Agricultural areas with soil susceptible to erosion | Water deficit | Vegetation cover losses | Diversity of revenues</x:v>
      </x:c>
      <x:c r="R98" s="14" t="str">
        <x:v>Direct — Direct: the action definition explicitly implements a mechanism that changes Susceptibility of agricultural productivity, without requiring another intervention.
Direct — Direct: the action definition explicitly implements a mechanism that changes Homogeneity of agricultural production, without requiring another intervention.
Direct — Direct: the action definition explicitly implements a mechanism that changes Irrigation susceptibility, without requiring another intervention.
Direct — Direct: the action definition explicitly implements a mechanism that changes Agriculture and water availability, without requiring another intervention.
Indirect — Indirect: the action can influence Agricultural areas with low agricultural potential, but the stated mechanism does not directly change this indicator without an additional causal step.
Indirect — Indirect: the action can influence Agricultural areas with soil susceptible to erosion, but the stated mechanism does not directly change this indicator without an additional causal step.
Indirect — Indirect: the action can influence Water deficit, but the stated mechanism does not directly change this indicator without an additional causal step.
Indirect — Indirect: the action can influence Vegetation cover losses, but the stated mechanism does not directly change this indicator without an additional causal step.
Direct — Direct: the action definition explicitly implements a mechanism that changes Storage capacity, without requiring another intervention.
Indirect — Indirect: the action can influence Diversity of revenues, but the stated mechanism does not directly change this indicator without an additional causal step.</x:v>
      </x:c>
      <x:c r="S98" s="14" t="str">
        <x:v>No relevant positive evidence was found in the screened source pages.</x:v>
      </x:c>
      <x:c r="T98" s="14" t="str">
        <x: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x:v>
      </x:c>
    </x:row>
    <x:row r="99" ht="52" customHeight="1">
      <x:c r="A99" s="14" t="str">
        <x:v>ipcc_0099</x:v>
      </x:c>
      <x:c r="B99" s="14" t="str">
        <x:v>Increase Water Capture and Storage</x:v>
      </x:c>
      <x:c r="C99" s="14" t="str">
        <x:v>Food Security</x:v>
      </x:c>
      <x:c r="D99" s="14" t="str">
        <x:v>Access and consumption of food</x:v>
      </x:c>
      <x:c r="E99" s="14" t="str">
        <x:v>Vulnerability</x:v>
      </x:c>
      <x:c r="F99" s="15" t="str"/>
      <x:c r="G99" s="15" t="str"/>
      <x:c r="H99" s="14" t="str">
        <x:v>Direct</x:v>
      </x:c>
      <x:c r="I99" s="14" t="str">
        <x:v>No demonstrated effectiveness</x:v>
      </x:c>
      <x:c r="J99" s="14" t="str">
        <x:v>None</x:v>
      </x:c>
      <x:c r="K99" s="14" t="str">
        <x:v>No</x:v>
      </x:c>
      <x:c r="L99" s="14" t="str">
        <x:v>5-10 years</x:v>
      </x:c>
      <x:c r="M99" s="14" t="n">
        <x:v>0</x:v>
      </x:c>
      <x:c r="N99" s="14" t="n">
        <x:v>15</x:v>
      </x:c>
      <x:c r="O99" s="14" t="str">
        <x:v>Review directness | Evidence gap</x:v>
      </x:c>
      <x:c r="P99" s="14" t="str">
        <x:v>Cistern program service</x:v>
      </x:c>
      <x:c r="Q99" s="14" t="str"/>
      <x:c r="R99" s="14" t="str">
        <x:v>Direct — Direct: the action definition explicitly implements a mechanism that changes Cistern program service, without requiring another intervention.</x:v>
      </x:c>
      <x:c r="S99" s="14" t="str">
        <x:v>No relevant positive evidence was found in the screened source pages.</x:v>
      </x:c>
      <x:c r="T99" s="14"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100" ht="52" customHeight="1">
      <x:c r="A100" s="14" t="str">
        <x:v>ipcc_0099</x:v>
      </x:c>
      <x:c r="B100" s="14" t="str">
        <x:v>Increase Water Capture and Storage</x:v>
      </x:c>
      <x:c r="C100" s="14" t="str">
        <x:v>Food Security</x:v>
      </x:c>
      <x:c r="D100" s="14" t="str">
        <x:v>Food availability</x:v>
      </x:c>
      <x:c r="E100" s="14" t="str">
        <x:v>Vulnerability</x:v>
      </x:c>
      <x:c r="F100" s="15" t="str"/>
      <x:c r="G100" s="15" t="str"/>
      <x:c r="H100" s="14" t="str">
        <x:v>Direct</x:v>
      </x:c>
      <x:c r="I100" s="14" t="str">
        <x:v>Medium effectiveness</x:v>
      </x:c>
      <x:c r="J100" s="14" t="str">
        <x:v>Multiple sources</x:v>
      </x:c>
      <x:c r="K100" s="14" t="str">
        <x:v>No</x:v>
      </x:c>
      <x:c r="L100" s="14" t="str">
        <x:v>5-10 years</x:v>
      </x:c>
      <x:c r="M100" s="14" t="n">
        <x:v>2</x:v>
      </x:c>
      <x:c r="N100" s="14" t="n">
        <x:v>15</x:v>
      </x:c>
      <x:c r="O100" s="14" t="str">
        <x:v>Review directness</x:v>
      </x:c>
      <x:c r="P100" s="14" t="str">
        <x:v>Irrigation susceptibility | Agriculture and water availability | Water deficit | cistern program</x:v>
      </x:c>
      <x:c r="Q100" s="14" t="str"/>
      <x:c r="R100" s="14" t="str">
        <x:v>Direct — Direct: the action definition explicitly implements a mechanism that changes Irrigation susceptibility, without requiring another intervention.
Direct — Direct: the action definition explicitly implements a mechanism that changes Agriculture and water availability, without requiring another intervention.
Direct — Direct: the action definition explicitly implements a mechanism that changes Water deficit, without requiring another intervention.
Direct — Direct: the action definition explicitly implements a mechanism that changes cistern program, without requiring another intervention.</x:v>
      </x:c>
      <x:c r="S100" s="14" t="str">
        <x:v>Relevant evidence demonstrates a moderate, conditional, context-dependent or mixed positive outcome.</x:v>
      </x:c>
      <x:c r="T100" s="14"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101" ht="52" customHeight="1">
      <x:c r="A101" s="14" t="str">
        <x:v>ipcc_0104</x:v>
      </x:c>
      <x:c r="B101" s="14" t="str">
        <x:v>Plan and support permanent climate‑related migration</x:v>
      </x:c>
      <x:c r="C101" s="14" t="str">
        <x:v>Food Security</x:v>
      </x:c>
      <x:c r="D101" s="14" t="str">
        <x:v>Access and consumption of food</x:v>
      </x:c>
      <x:c r="E101" s="14" t="str">
        <x:v>Exposure</x:v>
      </x:c>
      <x:c r="F101" s="15" t="str"/>
      <x:c r="G101" s="15" t="str"/>
      <x:c r="H101" s="14" t="str">
        <x:v>Direct</x:v>
      </x:c>
      <x:c r="I101" s="14" t="str">
        <x:v>No demonstrated effectiveness</x:v>
      </x:c>
      <x:c r="J101" s="14" t="str">
        <x:v>None</x:v>
      </x:c>
      <x:c r="K101" s="14" t="str">
        <x:v>No</x:v>
      </x:c>
      <x:c r="L101" s="14" t="str">
        <x:v>5-10 years</x:v>
      </x:c>
      <x:c r="M101" s="14" t="n">
        <x:v>0</x:v>
      </x:c>
      <x:c r="N101" s="14" t="n">
        <x:v>15</x:v>
      </x:c>
      <x:c r="O101" s="14" t="str">
        <x:v>Review directness | Evidence gap</x:v>
      </x:c>
      <x:c r="P101" s="14" t="str">
        <x:v>Population density | Total population</x:v>
      </x:c>
      <x:c r="Q101" s="14" t="str"/>
      <x:c r="R101" s="14" t="str">
        <x:v>Direct — Direct: the action definition explicitly implements a mechanism that changes Population density, without requiring another intervention.
Direct — Direct: the action definition explicitly implements a mechanism that changes Total population, without requiring another intervention.</x:v>
      </x:c>
      <x:c r="S101" s="14" t="str">
        <x:v>No relevant positive evidence was found in the screened source pages.</x:v>
      </x:c>
      <x:c r="T101" s="14"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102" ht="52" customHeight="1">
      <x:c r="A102" s="14" t="str">
        <x:v>ipcc_0083</x:v>
      </x:c>
      <x:c r="B102" s="14" t="str">
        <x:v>Plan strategic coastal retreat for vulnerable communities</x:v>
      </x:c>
      <x:c r="C102" s="14" t="str">
        <x:v>Food Security</x:v>
      </x:c>
      <x:c r="D102" s="14" t="str">
        <x:v>Access and consumption of food</x:v>
      </x:c>
      <x:c r="E102" s="14" t="str">
        <x:v>Exposure</x:v>
      </x:c>
      <x:c r="F102" s="15" t="str"/>
      <x:c r="G102" s="15" t="str"/>
      <x:c r="H102" s="14" t="str">
        <x:v>Direct</x:v>
      </x:c>
      <x:c r="I102" s="14" t="str">
        <x:v>No demonstrated effectiveness</x:v>
      </x:c>
      <x:c r="J102" s="14" t="str">
        <x:v>None</x:v>
      </x:c>
      <x:c r="K102" s="14" t="str">
        <x:v>No</x:v>
      </x:c>
      <x:c r="L102" s="14" t="str">
        <x:v>&gt;10 years</x:v>
      </x:c>
      <x:c r="M102" s="14" t="n">
        <x:v>0</x:v>
      </x:c>
      <x:c r="N102" s="14" t="n">
        <x:v>15</x:v>
      </x:c>
      <x:c r="O102" s="14" t="str">
        <x:v>Review directness | Evidence gap</x:v>
      </x:c>
      <x:c r="P102" s="14" t="str">
        <x:v>Population density | Total population</x:v>
      </x:c>
      <x:c r="Q102" s="14" t="str"/>
      <x:c r="R102" s="14" t="str">
        <x:v>Direct — Direct: the action definition explicitly implements a mechanism that changes Population density, without requiring another intervention.
Direct — Direct: the action definition explicitly implements a mechanism that changes Total population, without requiring another intervention.</x:v>
      </x:c>
      <x:c r="S102" s="14" t="str">
        <x:v>No relevant positive evidence was found in the screened source pages.</x:v>
      </x:c>
      <x:c r="T102" s="14" t="str">
        <x:v>Planned relocation and retreat of people, assets, and activities from coastal hazard zones to reduce exposure and risks caused by sea-level rise and associated coastal hazards.</x:v>
      </x:c>
    </x:row>
    <x:row r="103" ht="52" customHeight="1">
      <x:c r="A103" s="14" t="str">
        <x:v>c40_0053</x:v>
      </x:c>
      <x:c r="B103" s="14" t="str">
        <x:v>Promote water-saving technologies and practices</x:v>
      </x:c>
      <x:c r="C103" s="14" t="str">
        <x:v>Food Security</x:v>
      </x:c>
      <x:c r="D103" s="14" t="str">
        <x:v>Access and consumption of food</x:v>
      </x:c>
      <x:c r="E103" s="14" t="str">
        <x:v>Vulnerability</x:v>
      </x:c>
      <x:c r="F103" s="15" t="str"/>
      <x:c r="G103" s="15" t="str"/>
      <x:c r="H103" s="14" t="str">
        <x:v>Indirect</x:v>
      </x:c>
      <x:c r="I103" s="14" t="str">
        <x:v>Not assessed</x:v>
      </x:c>
      <x:c r="J103" s="14" t="str">
        <x:v>Not assessed</x:v>
      </x:c>
      <x:c r="K103" s="14" t="str">
        <x:v>No</x:v>
      </x:c>
      <x:c r="L103" s="14" t="str">
        <x:v>5-10 years</x:v>
      </x:c>
      <x:c r="M103" s="14" t="n">
        <x:v>0</x:v>
      </x:c>
      <x:c r="N103" s="14" t="n">
        <x:v>0</x:v>
      </x:c>
      <x:c r="O103" s="14" t="str">
        <x:v>Review directness</x:v>
      </x:c>
      <x:c r="P103" s="14" t="str"/>
      <x:c r="Q103" s="14" t="str">
        <x:v>Direct source water shortage</x:v>
      </x:c>
      <x:c r="R103" s="14" t="str">
        <x:v>Indirect — Indirect: the action can influence Direct source water shortage, but the stated mechanism does not directly change this indicator without an additional causal step.</x:v>
      </x:c>
      <x:c r="S103" s="14" t="str">
        <x:v>Effectiveness is not assessed because this relationship is not Direct.</x:v>
      </x:c>
      <x:c r="T103" s="14" t="str">
        <x: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x:v>
      </x:c>
    </x:row>
    <x:row r="104" ht="52" customHeight="1">
      <x:c r="A104" s="14" t="str">
        <x:v>c40_0053</x:v>
      </x:c>
      <x:c r="B104" s="14" t="str">
        <x:v>Promote water-saving technologies and practices</x:v>
      </x:c>
      <x:c r="C104" s="14" t="str">
        <x:v>Food Security</x:v>
      </x:c>
      <x:c r="D104" s="14" t="str">
        <x:v>Food availability</x:v>
      </x:c>
      <x:c r="E104" s="14" t="str">
        <x:v>Vulnerability</x:v>
      </x:c>
      <x:c r="F104" s="15" t="str"/>
      <x:c r="G104" s="15" t="str"/>
      <x:c r="H104" s="14" t="str">
        <x:v>Indirect</x:v>
      </x:c>
      <x:c r="I104" s="14" t="str">
        <x:v>Not assessed</x:v>
      </x:c>
      <x:c r="J104" s="14" t="str">
        <x:v>Not assessed</x:v>
      </x:c>
      <x:c r="K104" s="14" t="str">
        <x:v>No</x:v>
      </x:c>
      <x:c r="L104" s="14" t="str">
        <x:v>5-10 years</x:v>
      </x:c>
      <x:c r="M104" s="14" t="n">
        <x:v>0</x:v>
      </x:c>
      <x:c r="N104" s="14" t="n">
        <x:v>0</x:v>
      </x:c>
      <x:c r="O104" s="14" t="str">
        <x:v>Review directness</x:v>
      </x:c>
      <x:c r="P104" s="14" t="str"/>
      <x:c r="Q104" s="14" t="str">
        <x:v>Irrigation susceptibility | Agriculture and water availability | Water deficit</x:v>
      </x:c>
      <x:c r="R104" s="14" t="str">
        <x:v>Indirect — Indirect: the action can influence Irrigation susceptibility, but the stated mechanism does not directly change this indicator without an additional causal step.
Indirect — Indirect: the action can influence Agriculture and water availability, but the stated mechanism does not directly change this indicator without an additional causal step.
Indirect — Indirect: the action can influence Water deficit, but the stated mechanism does not directly change this indicator without an additional causal step.</x:v>
      </x:c>
      <x:c r="S104" s="14" t="str">
        <x:v>Effectiveness is not assessed because this relationship is not Direct.</x:v>
      </x:c>
      <x:c r="T104" s="14" t="str">
        <x: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x:v>
      </x:c>
    </x:row>
    <x:row r="105" ht="52" customHeight="1">
      <x:c r="A105" s="14" t="str">
        <x:v>icare_0178</x:v>
      </x:c>
      <x:c r="B105" s="14" t="str">
        <x:v>Redirect urban development through climate‑risk spatial planning</x:v>
      </x:c>
      <x:c r="C105" s="14" t="str">
        <x:v>Food Security</x:v>
      </x:c>
      <x:c r="D105" s="14" t="str">
        <x:v>Access and consumption of food</x:v>
      </x:c>
      <x:c r="E105" s="14" t="str">
        <x:v>Exposure</x:v>
      </x:c>
      <x:c r="F105" s="15" t="str"/>
      <x:c r="G105" s="15" t="str"/>
      <x:c r="H105" s="14" t="str">
        <x:v>Direct</x:v>
      </x:c>
      <x:c r="I105" s="14" t="str">
        <x:v>No demonstrated effectiveness</x:v>
      </x:c>
      <x:c r="J105" s="14" t="str">
        <x:v>None</x:v>
      </x:c>
      <x:c r="K105" s="14" t="str">
        <x:v>No</x:v>
      </x:c>
      <x:c r="L105" s="14" t="str">
        <x:v>&lt;5 years</x:v>
      </x:c>
      <x:c r="M105" s="14" t="n">
        <x:v>0</x:v>
      </x:c>
      <x:c r="N105" s="14" t="n">
        <x:v>15</x:v>
      </x:c>
      <x:c r="O105" s="14" t="str">
        <x:v>Review directness | Evidence gap</x:v>
      </x:c>
      <x:c r="P105" s="14" t="str">
        <x:v>Population density | Total population</x:v>
      </x:c>
      <x:c r="Q105" s="14" t="str"/>
      <x:c r="R105" s="14" t="str">
        <x:v>Direct — Direct: the action definition explicitly implements a mechanism that changes Population density, without requiring another intervention.
Direct — Direct: the action definition explicitly implements a mechanism that changes Total population, without requiring another intervention.</x:v>
      </x:c>
      <x:c r="S105" s="14" t="str">
        <x:v>No relevant positive evidence was found in the screened source pages.</x:v>
      </x:c>
      <x:c r="T105" s="14" t="str">
        <x:v>Mapping of critical flood-prone areas with the aim of revising and harmonizing legislation related to land use, given the intensification of the impacts of extreme weather events.</x:v>
      </x:c>
    </x:row>
    <x:row r="106" ht="52" customHeight="1">
      <x:c r="A106" s="14" t="str">
        <x:v>ipcc_0085</x:v>
      </x:c>
      <x:c r="B106" s="14" t="str">
        <x:v>Reduce pressures on ecosystems to build resilience</x:v>
      </x:c>
      <x:c r="C106" s="14" t="str">
        <x:v>Food Security</x:v>
      </x:c>
      <x:c r="D106" s="14" t="str">
        <x:v>Access and consumption of food</x:v>
      </x:c>
      <x:c r="E106" s="14" t="str">
        <x:v>Vulnerability</x:v>
      </x:c>
      <x:c r="F106" s="15" t="str"/>
      <x:c r="G106" s="15" t="str"/>
      <x:c r="H106" s="14" t="str">
        <x:v>Direct</x:v>
      </x:c>
      <x:c r="I106" s="14" t="str">
        <x:v>No demonstrated effectiveness</x:v>
      </x:c>
      <x:c r="J106" s="14" t="str">
        <x:v>None</x:v>
      </x:c>
      <x:c r="K106" s="14" t="str">
        <x:v>No</x:v>
      </x:c>
      <x:c r="L106" s="14" t="str">
        <x:v>5-10 years</x:v>
      </x:c>
      <x:c r="M106" s="14" t="n">
        <x:v>0</x:v>
      </x:c>
      <x:c r="N106" s="14" t="n">
        <x:v>15</x:v>
      </x:c>
      <x:c r="O106" s="14" t="str">
        <x:v>Review directness | Evidence gap</x:v>
      </x:c>
      <x:c r="P106" s="14" t="str">
        <x:v>Compromised water quality</x:v>
      </x:c>
      <x:c r="Q106" s="14" t="str"/>
      <x:c r="R106" s="14" t="str">
        <x:v>Direct — Direct: the action definition explicitly implements a mechanism that changes Compromised water quality, without requiring another intervention.</x:v>
      </x:c>
      <x:c r="S106" s="14" t="str">
        <x:v>No relevant positive evidence was found in the screened source pages.</x:v>
      </x:c>
      <x:c r="T106" s="14"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107" ht="52" customHeight="1">
      <x:c r="A107" s="14" t="str">
        <x:v>ipcc_0085</x:v>
      </x:c>
      <x:c r="B107" s="14" t="str">
        <x:v>Reduce pressures on ecosystems to build resilience</x:v>
      </x:c>
      <x:c r="C107" s="14" t="str">
        <x:v>Food Security</x:v>
      </x:c>
      <x:c r="D107" s="14" t="str">
        <x:v>Food availability</x:v>
      </x:c>
      <x:c r="E107" s="14" t="str">
        <x:v>Vulnerability</x:v>
      </x:c>
      <x:c r="F107" s="15" t="str"/>
      <x:c r="G107" s="15" t="str"/>
      <x:c r="H107" s="14" t="str">
        <x:v>Direct</x:v>
      </x:c>
      <x:c r="I107" s="14" t="str">
        <x:v>Medium effectiveness</x:v>
      </x:c>
      <x:c r="J107" s="14" t="str">
        <x:v>Single source</x:v>
      </x:c>
      <x:c r="K107" s="14" t="str">
        <x:v>No</x:v>
      </x:c>
      <x:c r="L107" s="14" t="str">
        <x:v>5-10 years</x:v>
      </x:c>
      <x:c r="M107" s="14" t="n">
        <x:v>1</x:v>
      </x:c>
      <x:c r="N107" s="14" t="n">
        <x:v>15</x:v>
      </x:c>
      <x:c r="O107" s="14" t="str">
        <x:v>Review directness</x:v>
      </x:c>
      <x:c r="P107" s="14" t="str">
        <x:v>Vegetation cover losses</x:v>
      </x:c>
      <x:c r="Q107" s="14" t="str"/>
      <x:c r="R107" s="14" t="str">
        <x:v>Direct — Direct: the action definition explicitly implements a mechanism that changes Vegetation cover losses, without requiring another intervention.</x:v>
      </x:c>
      <x:c r="S107" s="14" t="str">
        <x:v>Relevant evidence demonstrates a moderate, conditional, context-dependent or mixed positive outcome.</x:v>
      </x:c>
      <x:c r="T107" s="14"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108" ht="52" customHeight="1">
      <x:c r="A108" s="14" t="str">
        <x:v>icare_0181</x:v>
      </x:c>
      <x:c r="B108" s="14" t="str">
        <x:v>Restore in Vulnerable Areas</x:v>
      </x:c>
      <x:c r="C108" s="14" t="str">
        <x:v>Food Security</x:v>
      </x:c>
      <x:c r="D108" s="14" t="str">
        <x:v>Access and consumption of food</x:v>
      </x:c>
      <x:c r="E108" s="14" t="str">
        <x:v>Exposure</x:v>
      </x:c>
      <x:c r="F108" s="15" t="str"/>
      <x:c r="G108" s="15" t="str"/>
      <x:c r="H108" s="14" t="str">
        <x:v>Direct</x:v>
      </x:c>
      <x:c r="I108" s="14" t="str">
        <x:v>No demonstrated effectiveness</x:v>
      </x:c>
      <x:c r="J108" s="14" t="str">
        <x:v>None</x:v>
      </x:c>
      <x:c r="K108" s="14" t="str">
        <x:v>No</x:v>
      </x:c>
      <x:c r="L108" s="14" t="str">
        <x:v>5-10 years</x:v>
      </x:c>
      <x:c r="M108" s="14" t="n">
        <x:v>0</x:v>
      </x:c>
      <x:c r="N108" s="14" t="n">
        <x:v>15</x:v>
      </x:c>
      <x:c r="O108" s="14" t="str">
        <x:v>Review directness | Evidence gap</x:v>
      </x:c>
      <x:c r="P108" s="14" t="str">
        <x:v>Population density | Total population</x:v>
      </x:c>
      <x:c r="Q108" s="14" t="str"/>
      <x:c r="R108" s="14" t="str">
        <x:v>Direct — Direct: the action definition explicitly implements a mechanism that changes Population density, without requiring another intervention.
Direct — Direct: the action definition explicitly implements a mechanism that changes Total population, without requiring another intervention.</x:v>
      </x:c>
      <x:c r="S108" s="14" t="str">
        <x:v>No relevant positive evidence was found in the screened source pages.</x:v>
      </x:c>
      <x:c r="T108" s="14" t="str">
        <x:v>A comprehensive project addressing the socio-environmental vulnerability of an informal settlement. It includes relocating residents from flood-prone areas, restoring the environment, and providing infrastructure and social services.</x:v>
      </x:c>
    </x:row>
    <x:row r="109" ht="52" customHeight="1">
      <x:c r="A109" s="14" t="str">
        <x:v>ipcc_0084</x:v>
      </x:c>
      <x:c r="B109" s="14" t="str">
        <x:v>Restore/create natural areas</x:v>
      </x:c>
      <x:c r="C109" s="14" t="str">
        <x:v>Food Security</x:v>
      </x:c>
      <x:c r="D109" s="14" t="str">
        <x:v>Food availability</x:v>
      </x:c>
      <x:c r="E109" s="14" t="str">
        <x:v>Vulnerability</x:v>
      </x:c>
      <x:c r="F109" s="15" t="str"/>
      <x:c r="G109" s="15" t="str"/>
      <x:c r="H109" s="14" t="str">
        <x:v>Direct</x:v>
      </x:c>
      <x:c r="I109" s="14" t="str">
        <x:v>Medium effectiveness</x:v>
      </x:c>
      <x:c r="J109" s="14" t="str">
        <x:v>Single source</x:v>
      </x:c>
      <x:c r="K109" s="14" t="str">
        <x:v>No</x:v>
      </x:c>
      <x:c r="L109" s="14" t="str">
        <x:v>5-10 years</x:v>
      </x:c>
      <x:c r="M109" s="14" t="n">
        <x:v>1</x:v>
      </x:c>
      <x:c r="N109" s="14" t="n">
        <x:v>15</x:v>
      </x:c>
      <x:c r="O109" s="14" t="str">
        <x:v>Review directness</x:v>
      </x:c>
      <x:c r="P109" s="14" t="str">
        <x:v>Vegetation cover losses</x:v>
      </x:c>
      <x:c r="Q109" s="14" t="str"/>
      <x:c r="R109" s="14" t="str">
        <x:v>Direct — Direct: the action definition explicitly implements a mechanism that changes Vegetation cover losses, without requiring another intervention.</x:v>
      </x:c>
      <x:c r="S109" s="14" t="str">
        <x:v>Relevant evidence demonstrates a moderate, conditional, context-dependent or mixed positive outcome.</x:v>
      </x:c>
      <x:c r="T109" s="14"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110" ht="52" customHeight="1">
      <x:c r="A110" s="14" t="str">
        <x:v>ipcc_0089</x:v>
      </x:c>
      <x:c r="B110" s="14" t="str">
        <x:v>Spatially redirect development</x:v>
      </x:c>
      <x:c r="C110" s="14" t="str">
        <x:v>Food Security</x:v>
      </x:c>
      <x:c r="D110" s="14" t="str">
        <x:v>Access and consumption of food</x:v>
      </x:c>
      <x:c r="E110" s="14" t="str">
        <x:v>Exposure</x:v>
      </x:c>
      <x:c r="F110" s="15" t="str"/>
      <x:c r="G110" s="15" t="str"/>
      <x:c r="H110" s="14" t="str">
        <x:v>Direct</x:v>
      </x:c>
      <x:c r="I110" s="14" t="str">
        <x:v>No demonstrated effectiveness</x:v>
      </x:c>
      <x:c r="J110" s="14" t="str">
        <x:v>None</x:v>
      </x:c>
      <x:c r="K110" s="14" t="str">
        <x:v>No</x:v>
      </x:c>
      <x:c r="L110" s="14" t="str">
        <x:v>5-10 years</x:v>
      </x:c>
      <x:c r="M110" s="14" t="n">
        <x:v>0</x:v>
      </x:c>
      <x:c r="N110" s="14" t="n">
        <x:v>15</x:v>
      </x:c>
      <x:c r="O110" s="14" t="str">
        <x:v>Review directness | Evidence gap</x:v>
      </x:c>
      <x:c r="P110" s="14" t="str">
        <x:v>Population density | Total population</x:v>
      </x:c>
      <x:c r="Q110" s="14" t="str"/>
      <x:c r="R110" s="14" t="str">
        <x:v>Direct — Direct: the action definition explicitly implements a mechanism that changes Population density, without requiring another intervention.
Direct — Direct: the action definition explicitly implements a mechanism that changes Total population, without requiring another intervention.</x:v>
      </x:c>
      <x:c r="S110" s="14" t="str">
        <x:v>No relevant positive evidence was found in the screened source pages.</x:v>
      </x:c>
      <x:c r="T110" s="14"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111" ht="52" customHeight="1">
      <x:c r="A111" s="14" t="str">
        <x:v>ipcc_0096</x:v>
      </x:c>
      <x:c r="B111" s="14" t="str">
        <x:v>Strengthen climate resilience in farming and fisheries</x:v>
      </x:c>
      <x:c r="C111" s="14" t="str">
        <x:v>Food Security</x:v>
      </x:c>
      <x:c r="D111" s="14" t="str">
        <x:v>Food availability</x:v>
      </x:c>
      <x:c r="E111" s="14" t="str">
        <x:v>Vulnerability</x:v>
      </x:c>
      <x:c r="F111" s="15" t="str"/>
      <x:c r="G111" s="15" t="str"/>
      <x:c r="H111" s="14" t="str">
        <x:v>Direct</x:v>
      </x:c>
      <x:c r="I111" s="14" t="str">
        <x:v>Medium effectiveness</x:v>
      </x:c>
      <x:c r="J111" s="14" t="str">
        <x:v>Multiple sources</x:v>
      </x:c>
      <x:c r="K111" s="14" t="str">
        <x:v>No</x:v>
      </x:c>
      <x:c r="L111" s="14" t="str">
        <x:v>5-10 years</x:v>
      </x:c>
      <x:c r="M111" s="14" t="n">
        <x:v>4</x:v>
      </x:c>
      <x:c r="N111" s="14" t="n">
        <x:v>15</x:v>
      </x:c>
      <x:c r="O111" s="14" t="str">
        <x:v>Review directness</x:v>
      </x:c>
      <x:c r="P111" s="14" t="str">
        <x:v>Susceptibility of agricultural productivity | Susceptibility of livestock productivity | Homogeneity of agricultural production | Irrigation susceptibility | Agriculture and water availability | Investment in agrarian and environmental management policies | Technical guidance</x:v>
      </x:c>
      <x:c r="Q111" s="14" t="str">
        <x:v>Agricultural areas with low agricultural potential | Agricultural areas with soil susceptible to erosion | Water deficit | Vegetation cover losses | Associativism</x:v>
      </x:c>
      <x:c r="R111" s="14" t="str">
        <x:v>Direct — Direct: the action definition explicitly implements a mechanism that changes Susceptibility of agricultural productivity, without requiring another intervention.
Direct — Direct: the action definition explicitly implements a mechanism that changes Susceptibility of livestock productivity, without requiring another intervention.
Direct — Direct: the action definition explicitly implements a mechanism that changes Homogeneity of agricultural production, without requiring another intervention.
Direct — Direct: the action definition explicitly implements a mechanism that changes Irrigation susceptibility, without requiring another intervention.
Direct — Direct: the action definition explicitly implements a mechanism that changes Agriculture and water availability, without requiring another intervention.
Indirect — Indirect: the action can influence Agricultural areas with low agricultural potential, but the stated mechanism does not directly change this indicator without an additional causal step.
Indirect — Indirect: the action can influence Agricultural areas with soil susceptible to erosion, but the stated mechanism does not directly change this indicator without an additional causal step.
Indirect — Indirect: the action can influence Water deficit, but the stated mechanism does not directly change this indicator without an additional causal step.
Indirect — Indirect: the action can influence Vegetation cover losses, but the stated mechanism does not directly change this indicator without an additional causal step.
Direct — Direct: the action definition explicitly implements a mechanism that changes Investment in agrarian and environmental management policies, without requiring another intervention.
Direct — Direct: the action definition explicitly implements a mechanism that changes Technical guidance, without requiring another intervention.
Indirect — Indirect: the action can influence Associativism, but the stated mechanism does not directly change this indicator without an additional causal step.</x:v>
      </x:c>
      <x:c r="S111" s="14" t="str">
        <x:v>Relevant evidence demonstrates a moderate, conditional, context-dependent or mixed positive outcome.</x:v>
      </x:c>
      <x:c r="T111" s="14" t="str">
        <x: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x:v>
      </x:c>
    </x:row>
    <x:row r="112" ht="52" customHeight="1">
      <x:c r="A112" s="14" t="str">
        <x:v>ipcc_0094</x:v>
      </x:c>
      <x:c r="B112" s="14" t="str">
        <x:v>Strengthen climate‑resilient health services</x:v>
      </x:c>
      <x:c r="C112" s="14" t="str">
        <x:v>Food Security</x:v>
      </x:c>
      <x:c r="D112" s="14" t="str">
        <x:v>Access and consumption of food</x:v>
      </x:c>
      <x:c r="E112" s="14" t="str">
        <x:v>Vulnerability</x:v>
      </x:c>
      <x:c r="F112" s="15" t="str"/>
      <x:c r="G112" s="15" t="str"/>
      <x:c r="H112" s="14" t="str">
        <x:v>Direct</x:v>
      </x:c>
      <x:c r="I112" s="14" t="str">
        <x:v>No demonstrated effectiveness</x:v>
      </x:c>
      <x:c r="J112" s="14" t="str">
        <x:v>None</x:v>
      </x:c>
      <x:c r="K112" s="14" t="str">
        <x:v>No</x:v>
      </x:c>
      <x:c r="L112" s="14" t="str">
        <x:v>5-10 years</x:v>
      </x:c>
      <x:c r="M112" s="14" t="n">
        <x:v>0</x:v>
      </x:c>
      <x:c r="N112" s="14" t="n">
        <x:v>15</x:v>
      </x:c>
      <x:c r="O112" s="14" t="str">
        <x:v>Review directness | Evidence gap</x:v>
      </x:c>
      <x:c r="P112" s="14" t="str">
        <x:v>Child malnutrition | Occurrence of diseases related to inadequate environmental sanitation</x:v>
      </x:c>
      <x:c r="Q112" s="14" t="str"/>
      <x:c r="R112" s="14" t="str">
        <x:v>Direct — Direct: the action definition explicitly implements a mechanism that changes Child malnutrition, without requiring another intervention.
Direct — Direct: the action definition explicitly implements a mechanism that changes Occurrence of diseases related to inadequate environmental sanitation, without requiring another intervention.</x:v>
      </x:c>
      <x:c r="S112" s="14" t="str">
        <x:v>No relevant positive evidence was found in the screened source pages.</x:v>
      </x:c>
      <x:c r="T112" s="14"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113" ht="52" customHeight="1">
      <x:c r="A113" s="14" t="str">
        <x:v>ipcc_0103</x:v>
      </x:c>
      <x:c r="B113" s="14" t="str">
        <x:v>Strengthen cooperative climate governance</x:v>
      </x:c>
      <x:c r="C113" s="14" t="str">
        <x:v>Food Security</x:v>
      </x:c>
      <x:c r="D113" s="14" t="str">
        <x:v>Access and consumption of food</x:v>
      </x:c>
      <x:c r="E113" s="14" t="str">
        <x:v>Vulnerability</x:v>
      </x:c>
      <x:c r="F113" s="15" t="str"/>
      <x:c r="G113" s="15" t="str"/>
      <x:c r="H113" s="14" t="str">
        <x:v>Indirect</x:v>
      </x:c>
      <x:c r="I113" s="14" t="str">
        <x:v>Not assessed</x:v>
      </x:c>
      <x:c r="J113" s="14" t="str">
        <x:v>Not assessed</x:v>
      </x:c>
      <x:c r="K113" s="14" t="str">
        <x:v>No</x:v>
      </x:c>
      <x:c r="L113" s="14" t="str">
        <x:v>5-10 years</x:v>
      </x:c>
      <x:c r="M113" s="14" t="n">
        <x:v>0</x:v>
      </x:c>
      <x:c r="N113" s="14" t="n">
        <x:v>0</x:v>
      </x:c>
      <x:c r="O113" s="14" t="str">
        <x:v>Review directness</x:v>
      </x:c>
      <x:c r="P113" s="14" t="str"/>
      <x:c r="Q113" s="14" t="str">
        <x:v>Federal investment per capita | Food safety instruments | PAA suppliers classified as “traditional peoples and communities”</x:v>
      </x:c>
      <x:c r="R113" s="14" t="str">
        <x:v>Indirect — Indirect: the action can influence Federal investment per capita, but the stated mechanism does not directly change this indicator without an additional causal step.
Indirect — Indirect: the action can influence Food safety instruments, but the stated mechanism does not directly change this indicator without an additional causal step.
Indirect — Indirect: the action can influence PAA suppliers classified as “traditional peoples and communities”, but the stated mechanism does not directly change this indicator without an additional causal step.</x:v>
      </x:c>
      <x:c r="S113" s="14" t="str">
        <x:v>Effectiveness is not assessed because this relationship is not Direct.</x:v>
      </x:c>
      <x:c r="T113" s="14"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114" ht="52" customHeight="1">
      <x:c r="A114" s="14" t="str">
        <x:v>ipcc_0103</x:v>
      </x:c>
      <x:c r="B114" s="14" t="str">
        <x:v>Strengthen cooperative climate governance</x:v>
      </x:c>
      <x:c r="C114" s="14" t="str">
        <x:v>Food Security</x:v>
      </x:c>
      <x:c r="D114" s="14" t="str">
        <x:v>Food availability</x:v>
      </x:c>
      <x:c r="E114" s="14" t="str">
        <x:v>Vulnerability</x:v>
      </x:c>
      <x:c r="F114" s="15" t="str"/>
      <x:c r="G114" s="15" t="str"/>
      <x:c r="H114" s="14" t="str">
        <x:v>Direct</x:v>
      </x:c>
      <x:c r="I114" s="14" t="str">
        <x:v>No demonstrated effectiveness</x:v>
      </x:c>
      <x:c r="J114" s="14" t="str">
        <x:v>None</x:v>
      </x:c>
      <x:c r="K114" s="14" t="str">
        <x:v>No</x:v>
      </x:c>
      <x:c r="L114" s="14" t="str">
        <x:v>5-10 years</x:v>
      </x:c>
      <x:c r="M114" s="14" t="n">
        <x:v>0</x:v>
      </x:c>
      <x:c r="N114" s="14" t="n">
        <x:v>15</x:v>
      </x:c>
      <x:c r="O114" s="14" t="str">
        <x:v>Review directness | Evidence gap</x:v>
      </x:c>
      <x:c r="P114" s="14" t="str">
        <x:v>Associativism | Stability of agrarian conflicts</x:v>
      </x:c>
      <x:c r="Q114" s="14" t="str">
        <x:v>Investment in agrarian and environmental management policies</x:v>
      </x:c>
      <x:c r="R114" s="14" t="str">
        <x:v>Indirect — Indirect: the action can influence Investment in agrarian and environmental management policies, but the stated mechanism does not directly change this indicator without an additional causal step.
Direct — Direct: the action definition explicitly implements a mechanism that changes Associativism, without requiring another intervention.
Direct — Direct: the action definition explicitly implements a mechanism that changes Stability of agrarian conflicts, without requiring another intervention.</x:v>
      </x:c>
      <x:c r="S114" s="14" t="str">
        <x:v>No relevant positive evidence was found in the screened source pages.</x:v>
      </x:c>
      <x:c r="T114" s="14"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115" ht="52" customHeight="1">
      <x:c r="A115" s="14" t="str">
        <x:v>ipcc_0091</x:v>
      </x:c>
      <x:c r="B115" s="14" t="str">
        <x:v>Support livelihood diversification for climate resilience</x:v>
      </x:c>
      <x:c r="C115" s="14" t="str">
        <x:v>Food Security</x:v>
      </x:c>
      <x:c r="D115" s="14" t="str">
        <x:v>Access and consumption of food</x:v>
      </x:c>
      <x:c r="E115" s="14" t="str">
        <x:v>Vulnerability</x:v>
      </x:c>
      <x:c r="F115" s="15" t="str"/>
      <x:c r="G115" s="15" t="str"/>
      <x:c r="H115" s="14" t="str">
        <x:v>Indirect</x:v>
      </x:c>
      <x:c r="I115" s="14" t="str">
        <x:v>Not assessed</x:v>
      </x:c>
      <x:c r="J115" s="14" t="str">
        <x:v>Not assessed</x:v>
      </x:c>
      <x:c r="K115" s="14" t="str">
        <x:v>No</x:v>
      </x:c>
      <x:c r="L115" s="14" t="str">
        <x:v>&lt;5 years</x:v>
      </x:c>
      <x:c r="M115" s="14" t="n">
        <x:v>0</x:v>
      </x:c>
      <x:c r="N115" s="14" t="n">
        <x:v>0</x:v>
      </x:c>
      <x:c r="O115" s="14" t="str">
        <x:v>Review directness</x:v>
      </x:c>
      <x:c r="P115" s="14" t="str"/>
      <x:c r="Q115" s="14" t="str">
        <x:v>Food and nutritional insecurity | Households with high per capita income</x:v>
      </x:c>
      <x:c r="R115" s="14" t="str">
        <x:v>Indirect — Indirect: the action can influence Food and nutritional insecurity, but the stated mechanism does not directly change this indicator without an additional causal step.
Indirect — Indirect: the action can influence Households with high per capita income, but the stated mechanism does not directly change this indicator without an additional causal step.</x:v>
      </x:c>
      <x:c r="S115" s="14" t="str">
        <x:v>Effectiveness is not assessed because this relationship is not Direct.</x:v>
      </x:c>
      <x:c r="T115" s="14"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116" ht="52" customHeight="1">
      <x:c r="A116" s="14" t="str">
        <x:v>ipcc_0091</x:v>
      </x:c>
      <x:c r="B116" s="14" t="str">
        <x:v>Support livelihood diversification for climate resilience</x:v>
      </x:c>
      <x:c r="C116" s="14" t="str">
        <x:v>Food Security</x:v>
      </x:c>
      <x:c r="D116" s="14" t="str">
        <x:v>Food availability</x:v>
      </x:c>
      <x:c r="E116" s="14" t="str">
        <x:v>Vulnerability</x:v>
      </x:c>
      <x:c r="F116" s="15" t="str"/>
      <x:c r="G116" s="15" t="str"/>
      <x:c r="H116" s="14" t="str">
        <x:v>Direct</x:v>
      </x:c>
      <x:c r="I116" s="14" t="str">
        <x:v>No demonstrated effectiveness</x:v>
      </x:c>
      <x:c r="J116" s="14" t="str">
        <x:v>Single source</x:v>
      </x:c>
      <x:c r="K116" s="14" t="str">
        <x:v>No</x:v>
      </x:c>
      <x:c r="L116" s="14" t="str">
        <x:v>&lt;5 years</x:v>
      </x:c>
      <x:c r="M116" s="14" t="n">
        <x:v>1</x:v>
      </x:c>
      <x:c r="N116" s="14" t="n">
        <x:v>15</x:v>
      </x:c>
      <x:c r="O116" s="14" t="str">
        <x:v>Review directness | Evidence gap</x:v>
      </x:c>
      <x:c r="P116" s="14" t="str">
        <x:v>Diversity of revenues</x:v>
      </x:c>
      <x:c r="Q116" s="14" t="str"/>
      <x:c r="R116" s="14" t="str">
        <x:v>Direct — Direct: the action definition explicitly implements a mechanism that changes Diversity of revenues, without requiring another intervention.</x:v>
      </x:c>
      <x:c r="S116" s="14" t="str">
        <x:v>Relevant evidence supports the direction of effect but does not demonstrate its effectiveness level.</x:v>
      </x:c>
      <x:c r="T116" s="14"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117" ht="52" customHeight="1">
      <x:c r="A117" s="14" t="str">
        <x:v>ipcc_0097</x:v>
      </x:c>
      <x:c r="B117" s="14" t="str">
        <x:v>Upgrade food storage and distribution for climate resilience</x:v>
      </x:c>
      <x:c r="C117" s="14" t="str">
        <x:v>Food Security</x:v>
      </x:c>
      <x:c r="D117" s="14" t="str">
        <x:v>Access and consumption of food</x:v>
      </x:c>
      <x:c r="E117" s="14" t="str">
        <x:v>Vulnerability</x:v>
      </x:c>
      <x:c r="F117" s="15" t="str"/>
      <x:c r="G117" s="15" t="str"/>
      <x:c r="H117" s="14" t="str">
        <x:v>Direct</x:v>
      </x:c>
      <x:c r="I117" s="14" t="str">
        <x:v>No demonstrated effectiveness</x:v>
      </x:c>
      <x:c r="J117" s="14" t="str">
        <x:v>None</x:v>
      </x:c>
      <x:c r="K117" s="14" t="str">
        <x:v>No</x:v>
      </x:c>
      <x:c r="L117" s="14" t="str">
        <x:v>5-10 years</x:v>
      </x:c>
      <x:c r="M117" s="14" t="n">
        <x:v>0</x:v>
      </x:c>
      <x:c r="N117" s="14" t="n">
        <x:v>15</x:v>
      </x:c>
      <x:c r="O117" s="14" t="str">
        <x:v>Review directness | Evidence gap</x:v>
      </x:c>
      <x:c r="P117" s="14" t="str">
        <x:v>Municipalities without a basic food supply network</x:v>
      </x:c>
      <x:c r="Q117" s="14" t="str">
        <x:v>Food and nutritional insecurity | Food safety instruments</x:v>
      </x:c>
      <x:c r="R117" s="14" t="str">
        <x:v>Direct — Direct: the action definition explicitly implements a mechanism that changes Municipalities without a basic food supply network, without requiring another intervention.
Indirect — Indirect: the action can influence Food and nutritional insecurity, but the stated mechanism does not directly change this indicator without an additional causal step.
Indirect — Indirect: the action can influence Food safety instruments, but the stated mechanism does not directly change this indicator without an additional causal step.</x:v>
      </x:c>
      <x:c r="S117" s="14" t="str">
        <x:v>No relevant positive evidence was found in the screened source pages.</x:v>
      </x:c>
      <x:c r="T117" s="14" t="str">
        <x: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x:v>
      </x:c>
    </x:row>
    <x:row r="118" ht="52" customHeight="1">
      <x:c r="A118" s="14" t="str">
        <x:v>ipcc_0097</x:v>
      </x:c>
      <x:c r="B118" s="14" t="str">
        <x:v>Upgrade food storage and distribution for climate resilience</x:v>
      </x:c>
      <x:c r="C118" s="14" t="str">
        <x:v>Food Security</x:v>
      </x:c>
      <x:c r="D118" s="14" t="str">
        <x:v>Food availability</x:v>
      </x:c>
      <x:c r="E118" s="14" t="str">
        <x:v>Vulnerability</x:v>
      </x:c>
      <x:c r="F118" s="15" t="str"/>
      <x:c r="G118" s="15" t="str"/>
      <x:c r="H118" s="14" t="str">
        <x:v>Direct</x:v>
      </x:c>
      <x:c r="I118" s="14" t="str">
        <x:v>No demonstrated effectiveness</x:v>
      </x:c>
      <x:c r="J118" s="14" t="str">
        <x:v>None</x:v>
      </x:c>
      <x:c r="K118" s="14" t="str">
        <x:v>No</x:v>
      </x:c>
      <x:c r="L118" s="14" t="str">
        <x:v>5-10 years</x:v>
      </x:c>
      <x:c r="M118" s="14" t="n">
        <x:v>0</x:v>
      </x:c>
      <x:c r="N118" s="14" t="n">
        <x:v>15</x:v>
      </x:c>
      <x:c r="O118" s="14" t="str">
        <x:v>Review directness | Evidence gap</x:v>
      </x:c>
      <x:c r="P118" s="14" t="str">
        <x:v>Storage capacity | Distance from warehouses</x:v>
      </x:c>
      <x:c r="Q118" s="14" t="str"/>
      <x:c r="R118" s="14" t="str">
        <x:v>Direct — Direct: the action definition explicitly implements a mechanism that changes Storage capacity, without requiring another intervention.
Direct — Direct: the action definition explicitly implements a mechanism that changes Distance from warehouses, without requiring another intervention.</x:v>
      </x:c>
      <x:c r="S118" s="14" t="str">
        <x:v>No relevant positive evidence was found in the screened source pages.</x:v>
      </x:c>
      <x:c r="T118" s="14" t="str">
        <x: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x:v>
      </x:c>
    </x:row>
    <x:row r="119" ht="52" customHeight="1">
      <x:c r="A119" s="14" t="str">
        <x:v>icare_0184</x:v>
      </x:c>
      <x:c r="B119" s="14" t="str">
        <x:v>Upgrade Slope stabilization and drainage</x:v>
      </x:c>
      <x:c r="C119" s="14" t="str">
        <x:v>Food Security</x:v>
      </x:c>
      <x:c r="D119" s="14" t="str">
        <x:v>Food availability</x:v>
      </x:c>
      <x:c r="E119" s="14" t="str">
        <x:v>Vulnerability</x:v>
      </x:c>
      <x:c r="F119" s="15" t="str"/>
      <x:c r="G119" s="15" t="str"/>
      <x:c r="H119" s="14" t="str">
        <x:v>Direct</x:v>
      </x:c>
      <x:c r="I119" s="14" t="str">
        <x:v>No demonstrated effectiveness</x:v>
      </x:c>
      <x:c r="J119" s="14" t="str">
        <x:v>None</x:v>
      </x:c>
      <x:c r="K119" s="14" t="str">
        <x:v>No</x:v>
      </x:c>
      <x:c r="L119" s="14" t="str">
        <x:v>5-10 years</x:v>
      </x:c>
      <x:c r="M119" s="14" t="n">
        <x:v>0</x:v>
      </x:c>
      <x:c r="N119" s="14" t="n">
        <x:v>15</x:v>
      </x:c>
      <x:c r="O119" s="14" t="str">
        <x:v>Review directness | Evidence gap</x:v>
      </x:c>
      <x:c r="P119" s="14" t="str">
        <x:v>Agricultural areas with soil susceptible to erosion</x:v>
      </x:c>
      <x:c r="Q119" s="14" t="str"/>
      <x:c r="R119" s="14" t="str">
        <x:v>Direct — Direct: the action definition explicitly implements a mechanism that changes Agricultural areas with soil susceptible to erosion, without requiring another intervention.</x:v>
      </x:c>
      <x:c r="S119" s="14" t="str">
        <x:v>No relevant positive evidence was found in the screened source pages.</x:v>
      </x:c>
      <x:c r="T119" s="14" t="str">
        <x:v>This action involves stabilizing slopes and maintaining or restoring drainage systems in hillside areas. This helps to prevent landslides and erosion, reducing the risk of disasters.</x:v>
      </x:c>
    </x:row>
    <x:row r="120" ht="52" customHeight="1">
      <x:c r="A120" s="14" t="str">
        <x:v>c40_0049</x:v>
      </x:c>
      <x:c r="B120" s="14" t="str">
        <x:v>Build and maintain shelters for critical climate hazards</x:v>
      </x:c>
      <x:c r="C120" s="14" t="str">
        <x:v>Geohydrological Disasters</x:v>
      </x:c>
      <x:c r="D120" s="14" t="str">
        <x:v>Floods, flash floods, and urban flooding</x:v>
      </x:c>
      <x:c r="E120" s="14" t="str">
        <x:v>Vulnerability</x:v>
      </x:c>
      <x:c r="F120" s="15" t="str"/>
      <x:c r="G120" s="15" t="str"/>
      <x:c r="H120" s="14" t="str">
        <x:v>Direct</x:v>
      </x:c>
      <x:c r="I120" s="14" t="str">
        <x:v>No demonstrated effectiveness</x:v>
      </x:c>
      <x:c r="J120" s="14" t="str">
        <x:v>None</x:v>
      </x:c>
      <x:c r="K120" s="14" t="str">
        <x:v>No</x:v>
      </x:c>
      <x:c r="L120" s="14" t="str">
        <x:v>&lt;5 years</x:v>
      </x:c>
      <x:c r="M120" s="14" t="n">
        <x:v>0</x:v>
      </x:c>
      <x:c r="N120" s="14" t="n">
        <x:v>15</x:v>
      </x:c>
      <x:c r="O120" s="14" t="str">
        <x:v>Review directness | Evidence gap</x:v>
      </x:c>
      <x:c r="P120" s="14" t="str">
        <x:v>Actions to reduce risk</x:v>
      </x:c>
      <x:c r="Q120" s="14" t="str">
        <x:v>Contingency plan</x:v>
      </x:c>
      <x:c r="R120" s="14" t="str">
        <x:v>Direct — Direct: the action definition explicitly implements a mechanism that changes Actions to reduce risk, without requiring another intervention.
Indirect — Indirect: the action can influence Contingency plan, but the stated mechanism does not directly change this indicator without an additional causal step.</x:v>
      </x:c>
      <x:c r="S120" s="14" t="str">
        <x:v>No relevant positive evidence was found in the screened source pages.</x:v>
      </x:c>
      <x:c r="T120" s="14" t="str">
        <x: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x:v>
      </x:c>
    </x:row>
    <x:row r="121" ht="52" customHeight="1">
      <x:c r="A121" s="14" t="str">
        <x:v>c40_0049</x:v>
      </x:c>
      <x:c r="B121" s="14" t="str">
        <x:v>Build and maintain shelters for critical climate hazards</x:v>
      </x:c>
      <x:c r="C121" s="14" t="str">
        <x:v>Geohydrological Disasters</x:v>
      </x:c>
      <x:c r="D121" s="14" t="str">
        <x:v>Landslide</x:v>
      </x:c>
      <x:c r="E121" s="14" t="str">
        <x:v>Vulnerability</x:v>
      </x:c>
      <x:c r="F121" s="15" t="str"/>
      <x:c r="G121" s="15" t="str"/>
      <x:c r="H121" s="14" t="str">
        <x:v>Direct</x:v>
      </x:c>
      <x:c r="I121" s="14" t="str">
        <x:v>No demonstrated effectiveness</x:v>
      </x:c>
      <x:c r="J121" s="14" t="str">
        <x:v>None</x:v>
      </x:c>
      <x:c r="K121" s="14" t="str">
        <x:v>No</x:v>
      </x:c>
      <x:c r="L121" s="14" t="str">
        <x:v>&lt;5 years</x:v>
      </x:c>
      <x:c r="M121" s="14" t="n">
        <x:v>0</x:v>
      </x:c>
      <x:c r="N121" s="14" t="n">
        <x:v>15</x:v>
      </x:c>
      <x:c r="O121" s="14" t="str">
        <x:v>Review directness | Evidence gap</x:v>
      </x:c>
      <x:c r="P121" s="14" t="str">
        <x:v>Actions to reduce risk</x:v>
      </x:c>
      <x:c r="Q121" s="14" t="str">
        <x:v>Contingency plan</x:v>
      </x:c>
      <x:c r="R121" s="14" t="str">
        <x:v>Direct — Direct: the action definition explicitly implements a mechanism that changes Actions to reduce risk, without requiring another intervention.
Indirect — Indirect: the action can influence Contingency plan, but the stated mechanism does not directly change this indicator without an additional causal step.</x:v>
      </x:c>
      <x:c r="S121" s="14" t="str">
        <x:v>No relevant positive evidence was found in the screened source pages.</x:v>
      </x:c>
      <x:c r="T121" s="14" t="str">
        <x: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x:v>
      </x:c>
    </x:row>
    <x:row r="122" ht="52" customHeight="1">
      <x:c r="A122" s="14" t="str">
        <x:v>icare_0170</x:v>
      </x:c>
      <x:c r="B122" s="14" t="str">
        <x:v>Build safe housing and implement urban rehabilitation projects for populations living in high-risk areas</x:v>
      </x:c>
      <x:c r="C122" s="14" t="str">
        <x:v>Geohydrological Disasters</x:v>
      </x:c>
      <x:c r="D122" s="14" t="str">
        <x:v>Floods, flash floods, and urban flooding</x:v>
      </x:c>
      <x:c r="E122" s="14" t="str">
        <x:v>Exposure</x:v>
      </x:c>
      <x:c r="F122" s="15" t="str"/>
      <x:c r="G122" s="15" t="str"/>
      <x:c r="H122" s="14" t="str">
        <x:v>Direct</x:v>
      </x:c>
      <x:c r="I122" s="14" t="str">
        <x:v>Medium effectiveness</x:v>
      </x:c>
      <x:c r="J122" s="14" t="str">
        <x:v>Single source</x:v>
      </x:c>
      <x:c r="K122" s="14" t="str">
        <x:v>No</x:v>
      </x:c>
      <x:c r="L122" s="14" t="str">
        <x:v>&gt;10 years</x:v>
      </x:c>
      <x:c r="M122" s="14" t="n">
        <x:v>1</x:v>
      </x:c>
      <x:c r="N122" s="14" t="n">
        <x:v>15</x:v>
      </x:c>
      <x:c r="O122" s="14" t="str">
        <x:v>Review directness</x:v>
      </x:c>
      <x:c r="P122" s="14" t="str">
        <x:v>Households in risk areas | Urban population density</x:v>
      </x:c>
      <x:c r="Q122" s="14" t="str"/>
      <x:c r="R122" s="14" t="str">
        <x:v>Direct — Direct: the action definition explicitly implements a mechanism that changes Households in risk areas, without requiring another intervention.
Direct — Direct: the action definition explicitly implements a mechanism that changes Urban population density, without requiring another intervention.</x:v>
      </x:c>
      <x:c r="S122" s="14" t="str">
        <x:v>Relevant evidence demonstrates a moderate, conditional, context-dependent or mixed positive outcome.</x:v>
      </x:c>
      <x:c r="T122" s="14"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23" ht="52" customHeight="1">
      <x:c r="A123" s="14" t="str">
        <x:v>icare_0170</x:v>
      </x:c>
      <x:c r="B123" s="14" t="str">
        <x:v>Build safe housing and implement urban rehabilitation projects for populations living in high-risk areas</x:v>
      </x:c>
      <x:c r="C123" s="14" t="str">
        <x:v>Geohydrological Disasters</x:v>
      </x:c>
      <x:c r="D123" s="14" t="str">
        <x:v>Floods, flash floods, and urban flooding</x:v>
      </x:c>
      <x:c r="E123" s="14" t="str">
        <x:v>Vulnerability</x:v>
      </x:c>
      <x:c r="F123" s="15" t="str"/>
      <x:c r="G123" s="15" t="str"/>
      <x:c r="H123" s="14" t="str">
        <x:v>Direct</x:v>
      </x:c>
      <x:c r="I123" s="14" t="str">
        <x:v>No demonstrated effectiveness</x:v>
      </x:c>
      <x:c r="J123" s="14" t="str">
        <x:v>Single source</x:v>
      </x:c>
      <x:c r="K123" s="14" t="str">
        <x:v>No</x:v>
      </x:c>
      <x:c r="L123" s="14" t="str">
        <x:v>&gt;10 years</x:v>
      </x:c>
      <x:c r="M123" s="14" t="n">
        <x:v>2</x:v>
      </x:c>
      <x:c r="N123" s="14" t="n">
        <x:v>15</x:v>
      </x:c>
      <x:c r="O123" s="14" t="str">
        <x:v>Review directness | Evidence gap</x:v>
      </x:c>
      <x:c r="P123" s="14" t="str">
        <x:v>Urban occupation management in risk areas | Actions to reduce risk | Housing governance | Inappropriate households | Drainage</x:v>
      </x:c>
      <x:c r="Q123" s="14" t="str"/>
      <x:c r="R123" s="14" t="str">
        <x:v>Direct — Direct: the action definition explicitly implements a mechanism that changes Urban occupation management in risk areas, without requiring another intervention.
Direct — Direct: the action definition explicitly implements a mechanism that changes Actions to reduce risk, without requiring another intervention.
Direct — Direct: the action definition explicitly implements a mechanism that changes Housing governance, without requiring another intervention.
Direct — Direct: the action definition explicitly implements a mechanism that changes Inappropriate households, without requiring another intervention.
Direct — Direct: the action definition explicitly implements a mechanism that changes Drainage, without requiring another intervention.</x:v>
      </x:c>
      <x:c r="S123" s="14" t="str">
        <x:v>Relevant evidence supports the direction of effect but does not demonstrate its effectiveness level.</x:v>
      </x:c>
      <x:c r="T123" s="14"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24" ht="52" customHeight="1">
      <x:c r="A124" s="14" t="str">
        <x:v>icare_0170</x:v>
      </x:c>
      <x:c r="B124" s="14" t="str">
        <x:v>Build safe housing and implement urban rehabilitation projects for populations living in high-risk areas</x:v>
      </x:c>
      <x:c r="C124" s="14" t="str">
        <x:v>Geohydrological Disasters</x:v>
      </x:c>
      <x:c r="D124" s="14" t="str">
        <x:v>Landslide</x:v>
      </x:c>
      <x:c r="E124" s="14" t="str">
        <x:v>Exposure</x:v>
      </x:c>
      <x:c r="F124" s="15" t="str"/>
      <x:c r="G124" s="15" t="str"/>
      <x:c r="H124" s="14" t="str">
        <x:v>Direct</x:v>
      </x:c>
      <x:c r="I124" s="14" t="str">
        <x:v>No demonstrated effectiveness</x:v>
      </x:c>
      <x:c r="J124" s="14" t="str">
        <x:v>None</x:v>
      </x:c>
      <x:c r="K124" s="14" t="str">
        <x:v>No</x:v>
      </x:c>
      <x:c r="L124" s="14" t="str">
        <x:v>&gt;10 years</x:v>
      </x:c>
      <x:c r="M124" s="14" t="n">
        <x:v>0</x:v>
      </x:c>
      <x:c r="N124" s="14" t="n">
        <x:v>15</x:v>
      </x:c>
      <x:c r="O124" s="14" t="str">
        <x:v>Review directness | Evidence gap</x:v>
      </x:c>
      <x:c r="P124" s="14" t="str">
        <x:v>Households in risk areas | Urban population density</x:v>
      </x:c>
      <x:c r="Q124" s="14" t="str"/>
      <x:c r="R124" s="14" t="str">
        <x:v>Direct — Direct: the action definition explicitly implements a mechanism that changes Households in risk areas, without requiring another intervention.
Direct — Direct: the action definition explicitly implements a mechanism that changes Urban population density, without requiring another intervention.</x:v>
      </x:c>
      <x:c r="S124" s="14" t="str">
        <x:v>No relevant positive evidence was found in the screened source pages.</x:v>
      </x:c>
      <x:c r="T124" s="14"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25" ht="52" customHeight="1">
      <x:c r="A125" s="14" t="str">
        <x:v>icare_0170</x:v>
      </x:c>
      <x:c r="B125" s="14" t="str">
        <x:v>Build safe housing and implement urban rehabilitation projects for populations living in high-risk areas</x:v>
      </x:c>
      <x:c r="C125" s="14" t="str">
        <x:v>Geohydrological Disasters</x:v>
      </x:c>
      <x:c r="D125" s="14" t="str">
        <x:v>Landslide</x:v>
      </x:c>
      <x:c r="E125" s="14" t="str">
        <x:v>Vulnerability</x:v>
      </x:c>
      <x:c r="F125" s="15" t="str"/>
      <x:c r="G125" s="15" t="str"/>
      <x:c r="H125" s="14" t="str">
        <x:v>Direct</x:v>
      </x:c>
      <x:c r="I125" s="14" t="str">
        <x:v>No demonstrated effectiveness</x:v>
      </x:c>
      <x:c r="J125" s="14" t="str">
        <x:v>None</x:v>
      </x:c>
      <x:c r="K125" s="14" t="str">
        <x:v>No</x:v>
      </x:c>
      <x:c r="L125" s="14" t="str">
        <x:v>&gt;10 years</x:v>
      </x:c>
      <x:c r="M125" s="14" t="n">
        <x:v>0</x:v>
      </x:c>
      <x:c r="N125" s="14" t="n">
        <x:v>15</x:v>
      </x:c>
      <x:c r="O125" s="14" t="str">
        <x:v>Review directness | Evidence gap</x:v>
      </x:c>
      <x:c r="P125" s="14" t="str">
        <x:v>Urban occupation management in risk areas | Actions to reduce risk | Housing governance | Inappropriate households | Drainage</x:v>
      </x:c>
      <x:c r="Q125" s="14" t="str"/>
      <x:c r="R125" s="14" t="str">
        <x:v>Direct — Direct: the action definition explicitly implements a mechanism that changes Urban occupation management in risk areas, without requiring another intervention.
Direct — Direct: the action definition explicitly implements a mechanism that changes Actions to reduce risk, without requiring another intervention.
Direct — Direct: the action definition explicitly implements a mechanism that changes Housing governance, without requiring another intervention.
Direct — Direct: the action definition explicitly implements a mechanism that changes Inappropriate households, without requiring another intervention.
Direct — Direct: the action definition explicitly implements a mechanism that changes Drainage, without requiring another intervention.</x:v>
      </x:c>
      <x:c r="S125" s="14" t="str">
        <x:v>No relevant positive evidence was found in the screened source pages.</x:v>
      </x:c>
      <x:c r="T125" s="14"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26" ht="52" customHeight="1">
      <x:c r="A126" s="14" t="str">
        <x:v>icare_0154</x:v>
      </x:c>
      <x:c r="B126" s="14" t="str">
        <x:v>Clean and unclog drainage channels and install eco-barriers</x:v>
      </x:c>
      <x:c r="C126" s="14" t="str">
        <x:v>Geohydrological Disasters</x:v>
      </x:c>
      <x:c r="D126" s="14" t="str">
        <x:v>Floods, flash floods, and urban flooding</x:v>
      </x:c>
      <x:c r="E126" s="14" t="str">
        <x:v>Vulnerability</x:v>
      </x:c>
      <x:c r="F126" s="15" t="str"/>
      <x:c r="G126" s="15" t="str"/>
      <x:c r="H126" s="14" t="str">
        <x:v>Direct</x:v>
      </x:c>
      <x:c r="I126" s="14" t="str">
        <x:v>No demonstrated effectiveness</x:v>
      </x:c>
      <x:c r="J126" s="14" t="str">
        <x:v>Single source</x:v>
      </x:c>
      <x:c r="K126" s="14" t="str">
        <x:v>No</x:v>
      </x:c>
      <x:c r="L126" s="14" t="str">
        <x:v>&lt;5 years</x:v>
      </x:c>
      <x:c r="M126" s="14" t="n">
        <x:v>2</x:v>
      </x:c>
      <x:c r="N126" s="14" t="n">
        <x:v>15</x:v>
      </x:c>
      <x:c r="O126" s="14" t="str">
        <x:v>Review directness | Evidence gap</x:v>
      </x:c>
      <x:c r="P126" s="14" t="str">
        <x:v>Waste management and public cleaning | Actions to reduce risk | Basic sanitation | Drainage</x:v>
      </x:c>
      <x:c r="Q126" s="14" t="str">
        <x:v>Municipal basic sanitation plan</x:v>
      </x:c>
      <x:c r="R126" s="14" t="str">
        <x:v>Direct — Direct: the action definition explicitly implements a mechanism that changes Waste management and public cleaning, without requiring another intervention.
Direct — Direct: the action definition explicitly implements a mechanism that changes Actions to reduce risk, without requiring another intervention.
Indirect — Indirect: the action can influence Municipal basic sanitation plan, but the stated mechanism does not directly change this indicator without an additional causal step.
Direct — Direct: the action definition explicitly implements a mechanism that changes Basic sanitation, without requiring another intervention.
Direct — Direct: the action definition explicitly implements a mechanism that changes Drainage, without requiring another intervention.</x:v>
      </x:c>
      <x:c r="S126" s="14" t="str">
        <x:v>Relevant evidence supports the direction of effect but does not demonstrate its effectiveness level.</x:v>
      </x:c>
      <x:c r="T126" s="14" t="str">
        <x:v>Cleaning and unclogging channels in the city to reduce the risk of flooding caused by extreme rainfall events. Installation of eco-barriers to assist in cleaning efforts and raise awareness about solid waste.</x:v>
      </x:c>
    </x:row>
    <x:row r="127" ht="52" customHeight="1">
      <x:c r="A127" s="14" t="str">
        <x:v>icare_0176</x:v>
      </x:c>
      <x:c r="B127" s="14" t="str">
        <x:v>Develop a Climate Action Plan</x:v>
      </x:c>
      <x:c r="C127" s="14" t="str">
        <x:v>Geohydrological Disasters</x:v>
      </x:c>
      <x:c r="D127" s="14" t="str">
        <x:v>Floods, flash floods, and urban flooding</x:v>
      </x:c>
      <x:c r="E127" s="14" t="str">
        <x:v>Vulnerability</x:v>
      </x:c>
      <x:c r="F127" s="15" t="str"/>
      <x:c r="G127" s="15" t="str"/>
      <x:c r="H127" s="14" t="str">
        <x:v>Direct</x:v>
      </x:c>
      <x:c r="I127" s="14" t="str">
        <x:v>No demonstrated effectiveness</x:v>
      </x:c>
      <x:c r="J127" s="14" t="str">
        <x:v>None</x:v>
      </x:c>
      <x:c r="K127" s="14" t="str">
        <x:v>No</x:v>
      </x:c>
      <x:c r="L127" s="14" t="str">
        <x:v>&lt;5 years</x:v>
      </x:c>
      <x:c r="M127" s="14" t="n">
        <x:v>0</x:v>
      </x:c>
      <x:c r="N127" s="14" t="n">
        <x:v>15</x:v>
      </x:c>
      <x:c r="O127" s="14" t="str">
        <x:v>Review directness | Evidence gap</x:v>
      </x:c>
      <x:c r="P127" s="14" t="str">
        <x:v>Actions to reduce risk | Environmental governance</x:v>
      </x:c>
      <x:c r="Q127" s="14" t="str">
        <x:v>Investment in adaptation policies | Resilient cities program | Institutions for risk management</x:v>
      </x:c>
      <x:c r="R127" s="14" t="str">
        <x:v>Indirect — Indirect: the action can influence Investment in adaptation policies, but the stated mechanism does not directly change this indicator without an additional causal step.
Indirect — Indirect: the action can influence Resilient cities program, but the stated mechanism does not directly change this indicator without an additional causal step.
Indirect — Indirect: the action can influence Institutions for risk management, but the stated mechanism does not directly change this indicator without an additional causal step.
Direct — Direct: the action definition explicitly implements a mechanism that changes Actions to reduce risk, without requiring another intervention.
Direct — Direct: the action definition explicitly implements a mechanism that changes Environmental governance, without requiring another intervention.</x:v>
      </x:c>
      <x:c r="S127" s="14" t="str">
        <x:v>No relevant positive evidence was found in the screened source pages.</x:v>
      </x:c>
      <x:c r="T127" s="14"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128" ht="52" customHeight="1">
      <x:c r="A128" s="14" t="str">
        <x:v>icare_0176</x:v>
      </x:c>
      <x:c r="B128" s="14" t="str">
        <x:v>Develop a Climate Action Plan</x:v>
      </x:c>
      <x:c r="C128" s="14" t="str">
        <x:v>Geohydrological Disasters</x:v>
      </x:c>
      <x:c r="D128" s="14" t="str">
        <x:v>Landslide</x:v>
      </x:c>
      <x:c r="E128" s="14" t="str">
        <x:v>Vulnerability</x:v>
      </x:c>
      <x:c r="F128" s="15" t="str"/>
      <x:c r="G128" s="15" t="str"/>
      <x:c r="H128" s="14" t="str">
        <x:v>Direct</x:v>
      </x:c>
      <x:c r="I128" s="14" t="str">
        <x:v>No demonstrated effectiveness</x:v>
      </x:c>
      <x:c r="J128" s="14" t="str">
        <x:v>None</x:v>
      </x:c>
      <x:c r="K128" s="14" t="str">
        <x:v>No</x:v>
      </x:c>
      <x:c r="L128" s="14" t="str">
        <x:v>&lt;5 years</x:v>
      </x:c>
      <x:c r="M128" s="14" t="n">
        <x:v>0</x:v>
      </x:c>
      <x:c r="N128" s="14" t="n">
        <x:v>15</x:v>
      </x:c>
      <x:c r="O128" s="14" t="str">
        <x:v>Review directness | Evidence gap</x:v>
      </x:c>
      <x:c r="P128" s="14" t="str">
        <x:v>Actions to reduce risk | Environmental governance</x:v>
      </x:c>
      <x:c r="Q128" s="14" t="str">
        <x:v>Investment in adaptation policies | Resilient cities program | Institutions for risk management</x:v>
      </x:c>
      <x:c r="R128" s="14" t="str">
        <x:v>Indirect — Indirect: the action can influence Investment in adaptation policies, but the stated mechanism does not directly change this indicator without an additional causal step.
Indirect — Indirect: the action can influence Resilient cities program, but the stated mechanism does not directly change this indicator without an additional causal step.
Indirect — Indirect: the action can influence Institutions for risk management, but the stated mechanism does not directly change this indicator without an additional causal step.
Direct — Direct: the action definition explicitly implements a mechanism that changes Actions to reduce risk, without requiring another intervention.
Direct — Direct: the action definition explicitly implements a mechanism that changes Environmental governance, without requiring another intervention.</x:v>
      </x:c>
      <x:c r="S128" s="14" t="str">
        <x:v>No relevant positive evidence was found in the screened source pages.</x:v>
      </x:c>
      <x:c r="T128" s="14"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129" ht="52" customHeight="1">
      <x:c r="A129" s="14" t="str">
        <x:v>icare_0182</x:v>
      </x:c>
      <x:c r="B129" s="14" t="str">
        <x:v>Develop an Urban Afforestation Plan</x:v>
      </x:c>
      <x:c r="C129" s="14" t="str">
        <x:v>Geohydrological Disasters</x:v>
      </x:c>
      <x:c r="D129" s="14" t="str">
        <x:v>Floods, flash floods, and urban flooding</x:v>
      </x:c>
      <x:c r="E129" s="14" t="str">
        <x:v>Vulnerability</x:v>
      </x:c>
      <x:c r="F129" s="15" t="str"/>
      <x:c r="G129" s="15" t="str"/>
      <x:c r="H129" s="14" t="str">
        <x:v>Direct</x:v>
      </x:c>
      <x:c r="I129" s="14" t="str">
        <x:v>No demonstrated effectiveness</x:v>
      </x:c>
      <x:c r="J129" s="14" t="str">
        <x:v>None</x:v>
      </x:c>
      <x:c r="K129" s="14" t="str">
        <x:v>No</x:v>
      </x:c>
      <x:c r="L129" s="14" t="str">
        <x:v>5-10 years</x:v>
      </x:c>
      <x:c r="M129" s="14" t="n">
        <x:v>0</x:v>
      </x:c>
      <x:c r="N129" s="14" t="n">
        <x:v>15</x:v>
      </x:c>
      <x:c r="O129" s="14" t="str">
        <x:v>Review directness | Evidence gap</x:v>
      </x:c>
      <x:c r="P129" s="14" t="str">
        <x:v>Land use and occupation | Environmental governance</x:v>
      </x:c>
      <x:c r="Q129" s="14" t="str">
        <x:v>Actions to reduce risk</x:v>
      </x:c>
      <x:c r="R129" s="14" t="str">
        <x:v>Indirect — Indirect: the action can influence Actions to reduce risk, but the stated mechanism does not directly change this indicator without an additional causal step.
Direct — Direct: the action definition explicitly implements a mechanism that changes Land use and occupation, without requiring another intervention.
Direct — Direct: the action definition explicitly implements a mechanism that changes Environmental governance, without requiring another intervention.</x:v>
      </x:c>
      <x:c r="S129" s="14" t="str">
        <x:v>No relevant positive evidence was found in the screened source pages.</x:v>
      </x:c>
      <x:c r="T129" s="14" t="str">
        <x:v>This action focuses on expanding green areas in the city through urban afforestation. This includes planting trees in sidewalks, squares, public buildings, and schools, as well as creating ecological parks to revitalize watercourses and/or restore forests.</x:v>
      </x:c>
    </x:row>
    <x:row r="130" ht="52" customHeight="1">
      <x:c r="A130" s="14" t="str">
        <x:v>icare_0182</x:v>
      </x:c>
      <x:c r="B130" s="14" t="str">
        <x:v>Develop an Urban Afforestation Plan</x:v>
      </x:c>
      <x:c r="C130" s="14" t="str">
        <x:v>Geohydrological Disasters</x:v>
      </x:c>
      <x:c r="D130" s="14" t="str">
        <x:v>Landslide</x:v>
      </x:c>
      <x:c r="E130" s="14" t="str">
        <x:v>Vulnerability</x:v>
      </x:c>
      <x:c r="F130" s="15" t="str"/>
      <x:c r="G130" s="15" t="str"/>
      <x:c r="H130" s="14" t="str">
        <x:v>Direct</x:v>
      </x:c>
      <x:c r="I130" s="14" t="str">
        <x:v>No demonstrated effectiveness</x:v>
      </x:c>
      <x:c r="J130" s="14" t="str">
        <x:v>None</x:v>
      </x:c>
      <x:c r="K130" s="14" t="str">
        <x:v>No</x:v>
      </x:c>
      <x:c r="L130" s="14" t="str">
        <x:v>5-10 years</x:v>
      </x:c>
      <x:c r="M130" s="14" t="n">
        <x:v>0</x:v>
      </x:c>
      <x:c r="N130" s="14" t="n">
        <x:v>15</x:v>
      </x:c>
      <x:c r="O130" s="14" t="str">
        <x:v>Review directness | Evidence gap</x:v>
      </x:c>
      <x:c r="P130" s="14" t="str">
        <x:v>Land use and occupation | Environmental governance</x:v>
      </x:c>
      <x:c r="Q130" s="14" t="str">
        <x:v>Actions to reduce risk</x:v>
      </x:c>
      <x:c r="R130" s="14" t="str">
        <x:v>Indirect — Indirect: the action can influence Actions to reduce risk, but the stated mechanism does not directly change this indicator without an additional causal step.
Direct — Direct: the action definition explicitly implements a mechanism that changes Land use and occupation, without requiring another intervention.
Direct — Direct: the action definition explicitly implements a mechanism that changes Environmental governance, without requiring another intervention.</x:v>
      </x:c>
      <x:c r="S130" s="14" t="str">
        <x:v>No relevant positive evidence was found in the screened source pages.</x:v>
      </x:c>
      <x:c r="T130" s="14" t="str">
        <x:v>This action focuses on expanding green areas in the city through urban afforestation. This includes planting trees in sidewalks, squares, public buildings, and schools, as well as creating ecological parks to revitalize watercourses and/or restore forests.</x:v>
      </x:c>
    </x:row>
    <x:row r="131" ht="52" customHeight="1">
      <x:c r="A131" s="14" t="str">
        <x:v>icare_0172</x:v>
      </x:c>
      <x:c r="B131" s="14" t="str">
        <x:v>Develop and implement the Municipal Risk Reduction Plan (PMRR) and identify population groups vulnerable to climate risks.</x:v>
      </x:c>
      <x:c r="C131" s="14" t="str">
        <x:v>Geohydrological Disasters</x:v>
      </x:c>
      <x:c r="D131" s="14" t="str">
        <x:v>Floods, flash floods, and urban flooding</x:v>
      </x:c>
      <x:c r="E131" s="14" t="str">
        <x:v>Vulnerability</x:v>
      </x:c>
      <x:c r="F131" s="15" t="str"/>
      <x:c r="G131" s="15" t="str"/>
      <x:c r="H131" s="14" t="str">
        <x:v>Direct</x:v>
      </x:c>
      <x:c r="I131" s="14" t="str">
        <x:v>No demonstrated effectiveness</x:v>
      </x:c>
      <x:c r="J131" s="14" t="str">
        <x:v>None</x:v>
      </x:c>
      <x:c r="K131" s="14" t="str">
        <x:v>No</x:v>
      </x:c>
      <x:c r="L131" s="14" t="str">
        <x:v>&lt;5 years</x:v>
      </x:c>
      <x:c r="M131" s="14" t="n">
        <x:v>0</x:v>
      </x:c>
      <x:c r="N131" s="14" t="n">
        <x:v>15</x:v>
      </x:c>
      <x:c r="O131" s="14" t="str">
        <x:v>Review directness | Evidence gap</x:v>
      </x:c>
      <x:c r="P131" s="14" t="str">
        <x:v>Institutions for risk management | Actions to reduce risk</x:v>
      </x:c>
      <x:c r="Q131" s="14" t="str">
        <x:v>Resilient cities program | Urban occupation management in risk areas | Early warning systems | Contingency plan | Land use and occupation</x:v>
      </x:c>
      <x:c r="R131" s="14" t="str">
        <x:v>Indirect — Indirect: the action can influence Resilient cities program, but the stated mechanism does not directly change this indicator without an additional causal step.
Direct — Direct: the action definition explicitly implements a mechanism that changes Institutions for risk management, without requiring another intervention.
Indirect — Indirect: the action can influence Urban occupation management in risk areas, but the stated mechanism does not directly change this indicator without an additional causal step.
Direct — Direct: the action definition explicitly implements a mechanism that changes Actions to reduce risk, without requiring another intervention.
Indirect — Indirect: the action can influence Early warning systems, but the stated mechanism does not directly change this indicator without an additional causal step.
Indirect — Indirect: the action can influence Contingency plan, but the stated mechanism does not directly change this indicator without an additional causal step.
Indirect — Indirect: the action can influence Land use and occupation, but the stated mechanism does not directly change this indicator without an additional causal step.</x:v>
      </x:c>
      <x:c r="S131" s="14" t="str">
        <x:v>No relevant positive evidence was found in the screened source pages.</x:v>
      </x:c>
      <x:c r="T131" s="14" t="str">
        <x:v>This action aims to strengthen the development of the Municipal Risk Reduction Plan (PMRR) in the municipality, as it is a highly relevant tool for managing climate risks, especially river floods and landslides.</x:v>
      </x:c>
    </x:row>
    <x:row r="132" ht="52" customHeight="1">
      <x:c r="A132" s="14" t="str">
        <x:v>icare_0172</x:v>
      </x:c>
      <x:c r="B132" s="14" t="str">
        <x:v>Develop and implement the Municipal Risk Reduction Plan (PMRR) and identify population groups vulnerable to climate risks.</x:v>
      </x:c>
      <x:c r="C132" s="14" t="str">
        <x:v>Geohydrological Disasters</x:v>
      </x:c>
      <x:c r="D132" s="14" t="str">
        <x:v>Landslide</x:v>
      </x:c>
      <x:c r="E132" s="14" t="str">
        <x:v>Vulnerability</x:v>
      </x:c>
      <x:c r="F132" s="15" t="str"/>
      <x:c r="G132" s="15" t="str"/>
      <x:c r="H132" s="14" t="str">
        <x:v>Direct</x:v>
      </x:c>
      <x:c r="I132" s="14" t="str">
        <x:v>No demonstrated effectiveness</x:v>
      </x:c>
      <x:c r="J132" s="14" t="str">
        <x:v>None</x:v>
      </x:c>
      <x:c r="K132" s="14" t="str">
        <x:v>No</x:v>
      </x:c>
      <x:c r="L132" s="14" t="str">
        <x:v>&lt;5 years</x:v>
      </x:c>
      <x:c r="M132" s="14" t="n">
        <x:v>0</x:v>
      </x:c>
      <x:c r="N132" s="14" t="n">
        <x:v>15</x:v>
      </x:c>
      <x:c r="O132" s="14" t="str">
        <x:v>Review directness | Evidence gap</x:v>
      </x:c>
      <x:c r="P132" s="14" t="str">
        <x:v>Institutions for risk management | Actions to reduce risk</x:v>
      </x:c>
      <x:c r="Q132" s="14" t="str">
        <x:v>Resilient cities program | Urban occupation management in risk areas | Early warning systems | Contingency plan | Land use and occupation</x:v>
      </x:c>
      <x:c r="R132" s="14" t="str">
        <x:v>Indirect — Indirect: the action can influence Resilient cities program, but the stated mechanism does not directly change this indicator without an additional causal step.
Direct — Direct: the action definition explicitly implements a mechanism that changes Institutions for risk management, without requiring another intervention.
Indirect — Indirect: the action can influence Urban occupation management in risk areas, but the stated mechanism does not directly change this indicator without an additional causal step.
Direct — Direct: the action definition explicitly implements a mechanism that changes Actions to reduce risk, without requiring another intervention.
Indirect — Indirect: the action can influence Early warning systems, but the stated mechanism does not directly change this indicator without an additional causal step.
Indirect — Indirect: the action can influence Contingency plan, but the stated mechanism does not directly change this indicator without an additional causal step.
Indirect — Indirect: the action can influence Land use and occupation, but the stated mechanism does not directly change this indicator without an additional causal step.</x:v>
      </x:c>
      <x:c r="S132" s="14" t="str">
        <x:v>No relevant positive evidence was found in the screened source pages.</x:v>
      </x:c>
      <x:c r="T132" s="14" t="str">
        <x:v>This action aims to strengthen the development of the Municipal Risk Reduction Plan (PMRR) in the municipality, as it is a highly relevant tool for managing climate risks, especially river floods and landslides.</x:v>
      </x:c>
    </x:row>
    <x:row r="133" ht="52" customHeight="1">
      <x:c r="A133" s="14" t="str">
        <x:v>icare_0144</x:v>
      </x:c>
      <x:c r="B133" s="14" t="str">
        <x:v>Establish a financial support program for extreme weather events</x:v>
      </x:c>
      <x:c r="C133" s="14" t="str">
        <x:v>Geohydrological Disasters</x:v>
      </x:c>
      <x:c r="D133" s="14" t="str">
        <x:v>Floods, flash floods, and urban flooding</x:v>
      </x:c>
      <x:c r="E133" s="14" t="str">
        <x:v>Vulnerability</x:v>
      </x:c>
      <x:c r="F133" s="15" t="str"/>
      <x:c r="G133" s="15" t="str"/>
      <x:c r="H133" s="14" t="str">
        <x:v>Direct</x:v>
      </x:c>
      <x:c r="I133" s="14" t="str">
        <x:v>No demonstrated effectiveness</x:v>
      </x:c>
      <x:c r="J133" s="14" t="str">
        <x:v>None</x:v>
      </x:c>
      <x:c r="K133" s="14" t="str">
        <x:v>No</x:v>
      </x:c>
      <x:c r="L133" s="14" t="str">
        <x:v>&lt;5 years</x:v>
      </x:c>
      <x:c r="M133" s="14" t="n">
        <x:v>0</x:v>
      </x:c>
      <x:c r="N133" s="14" t="n">
        <x:v>15</x:v>
      </x:c>
      <x:c r="O133" s="14" t="str">
        <x:v>Review directness | Evidence gap</x:v>
      </x:c>
      <x:c r="P133" s="14" t="str">
        <x:v>Investment in adaptation policies | Actions to reduce risk | Housing governance</x:v>
      </x:c>
      <x:c r="Q133" s="14" t="str">
        <x:v>Employment and income | Gross domestic product by urban area</x:v>
      </x:c>
      <x:c r="R133" s="14" t="str">
        <x:v>Direct — Direct: the action definition explicitly implements a mechanism that changes Investment in adaptation policies, without requiring another intervention.
Indirect — Indirect: the action can influence Employment and income, but the stated mechanism does not directly change this indicator without an additional causal step.
Indirect — Indirect: the action can influence Gross domestic product by urban area, but the stated mechanism does not directly change this indicator without an additional causal step.
Direct — Direct: the action definition explicitly implements a mechanism that changes Actions to reduce risk, without requiring another intervention.
Direct — Direct: the action definition explicitly implements a mechanism that changes Housing governance, without requiring another intervention.</x:v>
      </x:c>
      <x:c r="S133" s="14" t="str">
        <x:v>No relevant positive evidence was found in the screened source pages.</x:v>
      </x:c>
      <x:c r="T133" s="14" t="str">
        <x: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x:v>
      </x:c>
    </x:row>
    <x:row r="134" ht="52" customHeight="1">
      <x:c r="A134" s="14" t="str">
        <x:v>icare_0144</x:v>
      </x:c>
      <x:c r="B134" s="14" t="str">
        <x:v>Establish a financial support program for extreme weather events</x:v>
      </x:c>
      <x:c r="C134" s="14" t="str">
        <x:v>Geohydrological Disasters</x:v>
      </x:c>
      <x:c r="D134" s="14" t="str">
        <x:v>Landslide</x:v>
      </x:c>
      <x:c r="E134" s="14" t="str">
        <x:v>Vulnerability</x:v>
      </x:c>
      <x:c r="F134" s="15" t="str"/>
      <x:c r="G134" s="15" t="str"/>
      <x:c r="H134" s="14" t="str">
        <x:v>Direct</x:v>
      </x:c>
      <x:c r="I134" s="14" t="str">
        <x:v>No demonstrated effectiveness</x:v>
      </x:c>
      <x:c r="J134" s="14" t="str">
        <x:v>None</x:v>
      </x:c>
      <x:c r="K134" s="14" t="str">
        <x:v>No</x:v>
      </x:c>
      <x:c r="L134" s="14" t="str">
        <x:v>&lt;5 years</x:v>
      </x:c>
      <x:c r="M134" s="14" t="n">
        <x:v>0</x:v>
      </x:c>
      <x:c r="N134" s="14" t="n">
        <x:v>15</x:v>
      </x:c>
      <x:c r="O134" s="14" t="str">
        <x:v>Review directness | Evidence gap</x:v>
      </x:c>
      <x:c r="P134" s="14" t="str">
        <x:v>Investment in adaptation policies | Actions to reduce risk | Housing governance</x:v>
      </x:c>
      <x:c r="Q134" s="14" t="str">
        <x:v>Employment and income | Gross domestic product by urban area</x:v>
      </x:c>
      <x:c r="R134" s="14" t="str">
        <x:v>Direct — Direct: the action definition explicitly implements a mechanism that changes Investment in adaptation policies, without requiring another intervention.
Indirect — Indirect: the action can influence Employment and income, but the stated mechanism does not directly change this indicator without an additional causal step.
Indirect — Indirect: the action can influence Gross domestic product by urban area, but the stated mechanism does not directly change this indicator without an additional causal step.
Direct — Direct: the action definition explicitly implements a mechanism that changes Actions to reduce risk, without requiring another intervention.
Direct — Direct: the action definition explicitly implements a mechanism that changes Housing governance, without requiring another intervention.</x:v>
      </x:c>
      <x:c r="S134" s="14" t="str">
        <x:v>No relevant positive evidence was found in the screened source pages.</x:v>
      </x:c>
      <x:c r="T134" s="14" t="str">
        <x: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x:v>
      </x:c>
    </x:row>
    <x:row r="135" ht="52" customHeight="1">
      <x:c r="A135" s="14" t="str">
        <x:v>icare_0169</x:v>
      </x:c>
      <x:c r="B135" s="14" t="str">
        <x:v>Establish a Plan for Preparation and Emergency Response Measures in the event of extreme weather events</x:v>
      </x:c>
      <x:c r="C135" s="14" t="str">
        <x:v>Geohydrological Disasters</x:v>
      </x:c>
      <x:c r="D135" s="14" t="str">
        <x:v>Floods, flash floods, and urban flooding</x:v>
      </x:c>
      <x:c r="E135" s="14" t="str">
        <x:v>Vulnerability</x:v>
      </x:c>
      <x:c r="F135" s="15" t="str"/>
      <x:c r="G135" s="15" t="str"/>
      <x:c r="H135" s="14" t="str">
        <x:v>Direct</x:v>
      </x:c>
      <x:c r="I135" s="14" t="str">
        <x:v>No demonstrated effectiveness</x:v>
      </x:c>
      <x:c r="J135" s="14" t="str">
        <x:v>None</x:v>
      </x:c>
      <x:c r="K135" s="14" t="str">
        <x:v>No</x:v>
      </x:c>
      <x:c r="L135" s="14" t="str">
        <x:v>5-10 years</x:v>
      </x:c>
      <x:c r="M135" s="14" t="n">
        <x:v>0</x:v>
      </x:c>
      <x:c r="N135" s="14" t="n">
        <x:v>15</x:v>
      </x:c>
      <x:c r="O135" s="14" t="str">
        <x:v>Review directness | Evidence gap</x:v>
      </x:c>
      <x:c r="P135" s="14" t="str">
        <x:v>Actions to reduce risk | Contingency plan</x:v>
      </x:c>
      <x:c r="Q135" s="14" t="str">
        <x:v>Institutions for risk management</x:v>
      </x:c>
      <x:c r="R135" s="14" t="str">
        <x:v>Indirect — Indirect: the action can influence Institutions for risk management, but the stated mechanism does not directly change this indicator without an additional causal step.
Direct — Direct: the action definition explicitly implements a mechanism that changes Actions to reduce risk, without requiring another intervention.
Direct — Direct: the action definition explicitly implements a mechanism that changes Contingency plan, without requiring another intervention.</x:v>
      </x:c>
      <x:c r="S135" s="14" t="str">
        <x:v>No relevant positive evidence was found in the screened source pages.</x:v>
      </x:c>
      <x:c r="T135" s="14" t="str">
        <x:v>This action focuses on preparing the municipality to respond to extreme events, aiming to provide a rapid response that minimizes the impacts on the population.</x:v>
      </x:c>
    </x:row>
    <x:row r="136" ht="52" customHeight="1">
      <x:c r="A136" s="14" t="str">
        <x:v>icare_0169</x:v>
      </x:c>
      <x:c r="B136" s="14" t="str">
        <x:v>Establish a Plan for Preparation and Emergency Response Measures in the event of extreme weather events</x:v>
      </x:c>
      <x:c r="C136" s="14" t="str">
        <x:v>Geohydrological Disasters</x:v>
      </x:c>
      <x:c r="D136" s="14" t="str">
        <x:v>Landslide</x:v>
      </x:c>
      <x:c r="E136" s="14" t="str">
        <x:v>Vulnerability</x:v>
      </x:c>
      <x:c r="F136" s="15" t="str"/>
      <x:c r="G136" s="15" t="str"/>
      <x:c r="H136" s="14" t="str">
        <x:v>Direct</x:v>
      </x:c>
      <x:c r="I136" s="14" t="str">
        <x:v>No demonstrated effectiveness</x:v>
      </x:c>
      <x:c r="J136" s="14" t="str">
        <x:v>None</x:v>
      </x:c>
      <x:c r="K136" s="14" t="str">
        <x:v>No</x:v>
      </x:c>
      <x:c r="L136" s="14" t="str">
        <x:v>5-10 years</x:v>
      </x:c>
      <x:c r="M136" s="14" t="n">
        <x:v>0</x:v>
      </x:c>
      <x:c r="N136" s="14" t="n">
        <x:v>15</x:v>
      </x:c>
      <x:c r="O136" s="14" t="str">
        <x:v>Review directness | Evidence gap</x:v>
      </x:c>
      <x:c r="P136" s="14" t="str">
        <x:v>Actions to reduce risk | Contingency plan</x:v>
      </x:c>
      <x:c r="Q136" s="14" t="str">
        <x:v>Institutions for risk management</x:v>
      </x:c>
      <x:c r="R136" s="14" t="str">
        <x:v>Indirect — Indirect: the action can influence Institutions for risk management, but the stated mechanism does not directly change this indicator without an additional causal step.
Direct — Direct: the action definition explicitly implements a mechanism that changes Actions to reduce risk, without requiring another intervention.
Direct — Direct: the action definition explicitly implements a mechanism that changes Contingency plan, without requiring another intervention.</x:v>
      </x:c>
      <x:c r="S136" s="14" t="str">
        <x:v>No relevant positive evidence was found in the screened source pages.</x:v>
      </x:c>
      <x:c r="T136" s="14" t="str">
        <x:v>This action focuses on preparing the municipality to respond to extreme events, aiming to provide a rapid response that minimizes the impacts on the population.</x:v>
      </x:c>
    </x:row>
    <x:row r="137" ht="52" customHeight="1">
      <x:c r="A137" s="14" t="str">
        <x:v>icare_0160</x:v>
      </x:c>
      <x:c r="B137" s="14" t="str">
        <x:v>Establish mechanisms for intersectoral coordination and public participation in climate policy</x:v>
      </x:c>
      <x:c r="C137" s="14" t="str">
        <x:v>Geohydrological Disasters</x:v>
      </x:c>
      <x:c r="D137" s="14" t="str">
        <x:v>Floods, flash floods, and urban flooding</x:v>
      </x:c>
      <x:c r="E137" s="14" t="str">
        <x:v>Vulnerability</x:v>
      </x:c>
      <x:c r="F137" s="15" t="str"/>
      <x:c r="G137" s="15" t="str"/>
      <x:c r="H137" s="14" t="str">
        <x:v>Indirect</x:v>
      </x:c>
      <x:c r="I137" s="14" t="str">
        <x:v>Not assessed</x:v>
      </x:c>
      <x:c r="J137" s="14" t="str">
        <x:v>Not assessed</x:v>
      </x:c>
      <x:c r="K137" s="14" t="str">
        <x:v>No</x:v>
      </x:c>
      <x:c r="L137" s="14" t="str">
        <x:v>&lt;5 years</x:v>
      </x:c>
      <x:c r="M137" s="14" t="n">
        <x:v>0</x:v>
      </x:c>
      <x:c r="N137" s="14" t="n">
        <x:v>0</x:v>
      </x:c>
      <x:c r="O137" s="14" t="str">
        <x:v>Review directness</x:v>
      </x:c>
      <x:c r="P137" s="14" t="str"/>
      <x:c r="Q137" s="14" t="str">
        <x:v>Institutions for risk management | Environmental governance</x:v>
      </x:c>
      <x:c r="R137" s="14" t="str">
        <x:v>Indirect — Indirect: the action can influence Institutions for risk management, but the stated mechanism does not directly change this indicator without an additional causal step.
Indirect — Indirect: the action can influence Environmental governance, but the stated mechanism does not directly change this indicator without an additional causal step.</x:v>
      </x:c>
      <x:c r="S137" s="14" t="str">
        <x:v>Effectiveness is not assessed because this relationship is not Direct.</x:v>
      </x:c>
      <x:c r="T137" s="14" t="str">
        <x:v>Establish more mechanisms that enable better intersectoral coordination and public participation in climate policy, including the creation of working groups with neighboring municipalities to discuss a common climate agenda.</x:v>
      </x:c>
    </x:row>
    <x:row r="138" ht="52" customHeight="1">
      <x:c r="A138" s="14" t="str">
        <x:v>icare_0160</x:v>
      </x:c>
      <x:c r="B138" s="14" t="str">
        <x:v>Establish mechanisms for intersectoral coordination and public participation in climate policy</x:v>
      </x:c>
      <x:c r="C138" s="14" t="str">
        <x:v>Geohydrological Disasters</x:v>
      </x:c>
      <x:c r="D138" s="14" t="str">
        <x:v>Landslide</x:v>
      </x:c>
      <x:c r="E138" s="14" t="str">
        <x:v>Vulnerability</x:v>
      </x:c>
      <x:c r="F138" s="15" t="str"/>
      <x:c r="G138" s="15" t="str"/>
      <x:c r="H138" s="14" t="str">
        <x:v>Indirect</x:v>
      </x:c>
      <x:c r="I138" s="14" t="str">
        <x:v>Not assessed</x:v>
      </x:c>
      <x:c r="J138" s="14" t="str">
        <x:v>Not assessed</x:v>
      </x:c>
      <x:c r="K138" s="14" t="str">
        <x:v>No</x:v>
      </x:c>
      <x:c r="L138" s="14" t="str">
        <x:v>&lt;5 years</x:v>
      </x:c>
      <x:c r="M138" s="14" t="n">
        <x:v>0</x:v>
      </x:c>
      <x:c r="N138" s="14" t="n">
        <x:v>0</x:v>
      </x:c>
      <x:c r="O138" s="14" t="str">
        <x:v>Review directness</x:v>
      </x:c>
      <x:c r="P138" s="14" t="str"/>
      <x:c r="Q138" s="14" t="str">
        <x:v>Institutions for risk management | Environmental governance</x:v>
      </x:c>
      <x:c r="R138" s="14" t="str">
        <x:v>Indirect — Indirect: the action can influence Institutions for risk management, but the stated mechanism does not directly change this indicator without an additional causal step.
Indirect — Indirect: the action can influence Environmental governance, but the stated mechanism does not directly change this indicator without an additional causal step.</x:v>
      </x:c>
      <x:c r="S138" s="14" t="str">
        <x:v>Effectiveness is not assessed because this relationship is not Direct.</x:v>
      </x:c>
      <x:c r="T138" s="14" t="str">
        <x:v>Establish more mechanisms that enable better intersectoral coordination and public participation in climate policy, including the creation of working groups with neighboring municipalities to discuss a common climate agenda.</x:v>
      </x:c>
    </x:row>
    <x:row r="139" ht="52" customHeight="1">
      <x:c r="A139" s="14" t="str">
        <x:v>ipcc_0090</x:v>
      </x:c>
      <x:c r="B139" s="14" t="str">
        <x:v>Expand climate risk insurance coverage</x:v>
      </x:c>
      <x:c r="C139" s="14" t="str">
        <x:v>Geohydrological Disasters</x:v>
      </x:c>
      <x:c r="D139" s="14" t="str">
        <x:v>Floods, flash floods, and urban flooding</x:v>
      </x:c>
      <x:c r="E139" s="14" t="str">
        <x:v>Vulnerability</x:v>
      </x:c>
      <x:c r="F139" s="15" t="str"/>
      <x:c r="G139" s="15" t="str"/>
      <x:c r="H139" s="14" t="str">
        <x:v>Direct</x:v>
      </x:c>
      <x:c r="I139" s="14" t="str">
        <x:v>No demonstrated effectiveness</x:v>
      </x:c>
      <x:c r="J139" s="14" t="str">
        <x:v>None</x:v>
      </x:c>
      <x:c r="K139" s="14" t="str">
        <x:v>No</x:v>
      </x:c>
      <x:c r="L139" s="14" t="str">
        <x:v>&lt;5 years</x:v>
      </x:c>
      <x:c r="M139" s="14" t="n">
        <x:v>0</x:v>
      </x:c>
      <x:c r="N139" s="14" t="n">
        <x:v>15</x:v>
      </x:c>
      <x:c r="O139" s="14" t="str">
        <x:v>Review directness | Evidence gap</x:v>
      </x:c>
      <x:c r="P139" s="14" t="str">
        <x:v>Investment in adaptation policies</x:v>
      </x:c>
      <x:c r="Q139" s="14" t="str">
        <x:v>Tax management | Employment and income | Gross domestic product by urban area</x:v>
      </x:c>
      <x:c r="R139" s="14" t="str">
        <x:v>Direct — Direct: the action definition explicitly implements a mechanism that changes Investment in adaptation policies, without requiring another intervention.
Indirect — Indirect: the action can influence Tax management, but the stated mechanism does not directly change this indicator without an additional causal step.
Indirect — Indirect: the action can influence Employment and income, but the stated mechanism does not directly change this indicator without an additional causal step.
Indirect — Indirect: the action can influence Gross domestic product by urban area, but the stated mechanism does not directly change this indicator without an additional causal step.</x:v>
      </x:c>
      <x:c r="S139" s="14" t="str">
        <x:v>No relevant positive evidence was found in the screened source pages.</x:v>
      </x:c>
      <x:c r="T139" s="14"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140" ht="52" customHeight="1">
      <x:c r="A140" s="14" t="str">
        <x:v>ipcc_0090</x:v>
      </x:c>
      <x:c r="B140" s="14" t="str">
        <x:v>Expand climate risk insurance coverage</x:v>
      </x:c>
      <x:c r="C140" s="14" t="str">
        <x:v>Geohydrological Disasters</x:v>
      </x:c>
      <x:c r="D140" s="14" t="str">
        <x:v>Landslide</x:v>
      </x:c>
      <x:c r="E140" s="14" t="str">
        <x:v>Vulnerability</x:v>
      </x:c>
      <x:c r="F140" s="15" t="str"/>
      <x:c r="G140" s="15" t="str"/>
      <x:c r="H140" s="14" t="str">
        <x:v>Direct</x:v>
      </x:c>
      <x:c r="I140" s="14" t="str">
        <x:v>No demonstrated effectiveness</x:v>
      </x:c>
      <x:c r="J140" s="14" t="str">
        <x:v>None</x:v>
      </x:c>
      <x:c r="K140" s="14" t="str">
        <x:v>No</x:v>
      </x:c>
      <x:c r="L140" s="14" t="str">
        <x:v>&lt;5 years</x:v>
      </x:c>
      <x:c r="M140" s="14" t="n">
        <x:v>0</x:v>
      </x:c>
      <x:c r="N140" s="14" t="n">
        <x:v>15</x:v>
      </x:c>
      <x:c r="O140" s="14" t="str">
        <x:v>Review directness | Evidence gap</x:v>
      </x:c>
      <x:c r="P140" s="14" t="str">
        <x:v>Investment in adaptation policies</x:v>
      </x:c>
      <x:c r="Q140" s="14" t="str">
        <x:v>Tax management | Employment and income | Gross domestic product by urban area</x:v>
      </x:c>
      <x:c r="R140" s="14" t="str">
        <x:v>Direct — Direct: the action definition explicitly implements a mechanism that changes Investment in adaptation policies, without requiring another intervention.
Indirect — Indirect: the action can influence Tax management, but the stated mechanism does not directly change this indicator without an additional causal step.
Indirect — Indirect: the action can influence Employment and income, but the stated mechanism does not directly change this indicator without an additional causal step.
Indirect — Indirect: the action can influence Gross domestic product by urban area, but the stated mechanism does not directly change this indicator without an additional causal step.</x:v>
      </x:c>
      <x:c r="S140" s="14" t="str">
        <x:v>No relevant positive evidence was found in the screened source pages.</x:v>
      </x:c>
      <x:c r="T140" s="14"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141" ht="52" customHeight="1">
      <x:c r="A141" s="14" t="str">
        <x:v>ipcc_0092</x:v>
      </x:c>
      <x:c r="B141" s="14" t="str">
        <x:v>Expand climate‑responsive social safety nets</x:v>
      </x:c>
      <x:c r="C141" s="14" t="str">
        <x:v>Geohydrological Disasters</x:v>
      </x:c>
      <x:c r="D141" s="14" t="str">
        <x:v>Floods, flash floods, and urban flooding</x:v>
      </x:c>
      <x:c r="E141" s="14" t="str">
        <x:v>Vulnerability</x:v>
      </x:c>
      <x:c r="F141" s="15" t="str"/>
      <x:c r="G141" s="15" t="str"/>
      <x:c r="H141" s="14" t="str">
        <x:v>Direct</x:v>
      </x:c>
      <x:c r="I141" s="14" t="str">
        <x:v>No demonstrated effectiveness</x:v>
      </x:c>
      <x:c r="J141" s="14" t="str">
        <x:v>None</x:v>
      </x:c>
      <x:c r="K141" s="14" t="str">
        <x:v>No</x:v>
      </x:c>
      <x:c r="L141" s="14" t="str">
        <x:v>5-10 years</x:v>
      </x:c>
      <x:c r="M141" s="14" t="n">
        <x:v>0</x:v>
      </x:c>
      <x:c r="N141" s="14" t="n">
        <x:v>15</x:v>
      </x:c>
      <x:c r="O141" s="14" t="str">
        <x:v>Review directness | Evidence gap</x:v>
      </x:c>
      <x:c r="P141" s="14" t="str">
        <x:v>Employment and income | Income inequality</x:v>
      </x:c>
      <x:c r="Q141" s="14" t="str">
        <x:v>Population with special demands</x:v>
      </x:c>
      <x:c r="R141" s="14" t="str">
        <x:v>Direct — Direct: the action definition explicitly implements a mechanism that changes Employment and income, without requiring another intervention.
Indirect — Indirect: the action can influence Population with special demands, but the stated mechanism does not directly change this indicator without an additional causal step.
Direct — Direct: the action definition explicitly implements a mechanism that changes Income inequality, without requiring another intervention.</x:v>
      </x:c>
      <x:c r="S141" s="14" t="str">
        <x:v>No relevant positive evidence was found in the screened source pages.</x:v>
      </x:c>
      <x:c r="T141" s="14" t="str">
        <x: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x:v>
      </x:c>
    </x:row>
    <x:row r="142" ht="52" customHeight="1">
      <x:c r="A142" s="14" t="str">
        <x:v>ipcc_0092</x:v>
      </x:c>
      <x:c r="B142" s="14" t="str">
        <x:v>Expand climate‑responsive social safety nets</x:v>
      </x:c>
      <x:c r="C142" s="14" t="str">
        <x:v>Geohydrological Disasters</x:v>
      </x:c>
      <x:c r="D142" s="14" t="str">
        <x:v>Landslide</x:v>
      </x:c>
      <x:c r="E142" s="14" t="str">
        <x:v>Vulnerability</x:v>
      </x:c>
      <x:c r="F142" s="15" t="str"/>
      <x:c r="G142" s="15" t="str"/>
      <x:c r="H142" s="14" t="str">
        <x:v>Direct</x:v>
      </x:c>
      <x:c r="I142" s="14" t="str">
        <x:v>No demonstrated effectiveness</x:v>
      </x:c>
      <x:c r="J142" s="14" t="str">
        <x:v>None</x:v>
      </x:c>
      <x:c r="K142" s="14" t="str">
        <x:v>No</x:v>
      </x:c>
      <x:c r="L142" s="14" t="str">
        <x:v>5-10 years</x:v>
      </x:c>
      <x:c r="M142" s="14" t="n">
        <x:v>0</x:v>
      </x:c>
      <x:c r="N142" s="14" t="n">
        <x:v>15</x:v>
      </x:c>
      <x:c r="O142" s="14" t="str">
        <x:v>Review directness | Evidence gap</x:v>
      </x:c>
      <x:c r="P142" s="14" t="str">
        <x:v>Employment and income | Income inequality</x:v>
      </x:c>
      <x:c r="Q142" s="14" t="str">
        <x:v>Population with special demands</x:v>
      </x:c>
      <x:c r="R142" s="14" t="str">
        <x:v>Direct — Direct: the action definition explicitly implements a mechanism that changes Employment and income, without requiring another intervention.
Indirect — Indirect: the action can influence Population with special demands, but the stated mechanism does not directly change this indicator without an additional causal step.
Direct — Direct: the action definition explicitly implements a mechanism that changes Income inequality, without requiring another intervention.</x:v>
      </x:c>
      <x:c r="S142" s="14" t="str">
        <x:v>No relevant positive evidence was found in the screened source pages.</x:v>
      </x:c>
      <x:c r="T142" s="14" t="str">
        <x: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x:v>
      </x:c>
    </x:row>
    <x:row r="143" ht="52" customHeight="1">
      <x:c r="A143" s="14" t="str">
        <x:v>icare_0180</x:v>
      </x:c>
      <x:c r="B143" s="14" t="str">
        <x:v>Expand urban green-blue networks and corridors</x:v>
      </x:c>
      <x:c r="C143" s="14" t="str">
        <x:v>Geohydrological Disasters</x:v>
      </x:c>
      <x:c r="D143" s="14" t="str">
        <x:v>Floods, flash floods, and urban flooding</x:v>
      </x:c>
      <x:c r="E143" s="14" t="str">
        <x:v>Vulnerability</x:v>
      </x:c>
      <x:c r="F143" s="15" t="str"/>
      <x:c r="G143" s="15" t="str"/>
      <x:c r="H143" s="14" t="str">
        <x:v>Direct</x:v>
      </x:c>
      <x:c r="I143" s="14" t="str">
        <x:v>Medium effectiveness</x:v>
      </x:c>
      <x:c r="J143" s="14" t="str">
        <x:v>Single source</x:v>
      </x:c>
      <x:c r="K143" s="14" t="str">
        <x:v>No</x:v>
      </x:c>
      <x:c r="L143" s="14" t="str">
        <x:v>&lt;5 years</x:v>
      </x:c>
      <x:c r="M143" s="14" t="n">
        <x:v>1</x:v>
      </x:c>
      <x:c r="N143" s="14" t="n">
        <x:v>15</x:v>
      </x:c>
      <x:c r="O143" s="14" t="str">
        <x:v>Review directness</x:v>
      </x:c>
      <x:c r="P143" s="14" t="str">
        <x:v>Actions to reduce risk | Land use and occupation | Drainage</x:v>
      </x:c>
      <x:c r="Q143" s="14" t="str"/>
      <x:c r="R143" s="14" t="str">
        <x:v>Direct — Direct: the action definition explicitly implements a mechanism that changes Actions to reduce risk, without requiring another intervention.
Direct — Direct: the action definition explicitly implements a mechanism that changes Land use and occupation, without requiring another intervention.
Direct — Direct: the action definition explicitly implements a mechanism that changes Drainage, without requiring another intervention.</x:v>
      </x:c>
      <x:c r="S143" s="14" t="str">
        <x:v>Relevant evidence demonstrates a moderate, conditional, context-dependent or mixed positive outcome.</x:v>
      </x:c>
      <x:c r="T143" s="14"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144" ht="52" customHeight="1">
      <x:c r="A144" s="14" t="str">
        <x:v>icare_0183</x:v>
      </x:c>
      <x:c r="B144" s="14" t="str">
        <x:v>Implement Multi-hazard Early Warning Systems (MH-EWS)</x:v>
      </x:c>
      <x:c r="C144" s="14" t="str">
        <x:v>Geohydrological Disasters</x:v>
      </x:c>
      <x:c r="D144" s="14" t="str">
        <x:v>Floods, flash floods, and urban flooding</x:v>
      </x:c>
      <x:c r="E144" s="14" t="str">
        <x:v>Vulnerability</x:v>
      </x:c>
      <x:c r="F144" s="15" t="str"/>
      <x:c r="G144" s="15" t="str"/>
      <x:c r="H144" s="14" t="str">
        <x:v>Direct</x:v>
      </x:c>
      <x:c r="I144" s="14" t="str">
        <x:v>Low effectiveness</x:v>
      </x:c>
      <x:c r="J144" s="14" t="str">
        <x:v>Multiple sources</x:v>
      </x:c>
      <x:c r="K144" s="14" t="str">
        <x:v>No</x:v>
      </x:c>
      <x:c r="L144" s="14" t="str">
        <x:v>5-10 years</x:v>
      </x:c>
      <x:c r="M144" s="14" t="n">
        <x:v>2</x:v>
      </x:c>
      <x:c r="N144" s="14" t="n">
        <x:v>15</x:v>
      </x:c>
      <x:c r="O144" s="14" t="str">
        <x:v>Review directness</x:v>
      </x:c>
      <x:c r="P144" s="14" t="str">
        <x:v>Early warning systems</x:v>
      </x:c>
      <x:c r="Q144" s="14" t="str"/>
      <x:c r="R144" s="14" t="str">
        <x:v>Direct — Direct: the action definition explicitly implements a mechanism that changes Early warning systems, without requiring another intervention.</x:v>
      </x:c>
      <x:c r="S144" s="14" t="str">
        <x:v>Relevant evidence explicitly demonstrates a limited positive outcome.</x:v>
      </x:c>
      <x:c r="T144" s="14" t="str">
        <x: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x:v>
      </x:c>
    </x:row>
    <x:row r="145" ht="52" customHeight="1">
      <x:c r="A145" s="14" t="str">
        <x:v>icare_0183</x:v>
      </x:c>
      <x:c r="B145" s="14" t="str">
        <x:v>Implement Multi-hazard Early Warning Systems (MH-EWS)</x:v>
      </x:c>
      <x:c r="C145" s="14" t="str">
        <x:v>Geohydrological Disasters</x:v>
      </x:c>
      <x:c r="D145" s="14" t="str">
        <x:v>Landslide</x:v>
      </x:c>
      <x:c r="E145" s="14" t="str">
        <x:v>Vulnerability</x:v>
      </x:c>
      <x:c r="F145" s="15" t="str"/>
      <x:c r="G145" s="15" t="str"/>
      <x:c r="H145" s="14" t="str">
        <x:v>Direct</x:v>
      </x:c>
      <x:c r="I145" s="14" t="str">
        <x:v>No demonstrated effectiveness</x:v>
      </x:c>
      <x:c r="J145" s="14" t="str">
        <x:v>Single source</x:v>
      </x:c>
      <x:c r="K145" s="14" t="str">
        <x:v>No</x:v>
      </x:c>
      <x:c r="L145" s="14" t="str">
        <x:v>5-10 years</x:v>
      </x:c>
      <x:c r="M145" s="14" t="n">
        <x:v>1</x:v>
      </x:c>
      <x:c r="N145" s="14" t="n">
        <x:v>15</x:v>
      </x:c>
      <x:c r="O145" s="14" t="str">
        <x:v>Review directness | Evidence gap</x:v>
      </x:c>
      <x:c r="P145" s="14" t="str">
        <x:v>Early warning systems</x:v>
      </x:c>
      <x:c r="Q145" s="14" t="str"/>
      <x:c r="R145" s="14" t="str">
        <x:v>Direct — Direct: the action definition explicitly implements a mechanism that changes Early warning systems, without requiring another intervention.</x:v>
      </x:c>
      <x:c r="S145" s="14" t="str">
        <x:v>Relevant evidence supports the direction of effect but does not demonstrate its effectiveness level.</x:v>
      </x:c>
      <x:c r="T145" s="14" t="str">
        <x: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x:v>
      </x:c>
    </x:row>
    <x:row r="146" ht="52" customHeight="1">
      <x:c r="A146" s="14" t="str">
        <x:v>icare_0164</x:v>
      </x:c>
      <x:c r="B146" s="14" t="str">
        <x:v>Improve Hydrological Monitoring System with Telemetry Stations</x:v>
      </x:c>
      <x:c r="C146" s="14" t="str">
        <x:v>Geohydrological Disasters</x:v>
      </x:c>
      <x:c r="D146" s="14" t="str">
        <x:v>Floods, flash floods, and urban flooding</x:v>
      </x:c>
      <x:c r="E146" s="14" t="str">
        <x:v>Vulnerability</x:v>
      </x:c>
      <x:c r="F146" s="15" t="str"/>
      <x:c r="G146" s="15" t="str"/>
      <x:c r="H146" s="14" t="str">
        <x:v>Indirect</x:v>
      </x:c>
      <x:c r="I146" s="14" t="str">
        <x:v>Not assessed</x:v>
      </x:c>
      <x:c r="J146" s="14" t="str">
        <x:v>Not assessed</x:v>
      </x:c>
      <x:c r="K146" s="14" t="str">
        <x:v>No</x:v>
      </x:c>
      <x:c r="L146" s="14" t="str">
        <x:v>&lt;5 years</x:v>
      </x:c>
      <x:c r="M146" s="14" t="n">
        <x:v>0</x:v>
      </x:c>
      <x:c r="N146" s="14" t="n">
        <x:v>0</x:v>
      </x:c>
      <x:c r="O146" s="14" t="str">
        <x:v>Review directness</x:v>
      </x:c>
      <x:c r="P146" s="14" t="str"/>
      <x:c r="Q146" s="14" t="str">
        <x:v>Early warning systems</x:v>
      </x:c>
      <x:c r="R146" s="14" t="str">
        <x:v>Indirect — Indirect: the action can influence Early warning systems, but the stated mechanism does not directly change this indicator without an additional causal step.</x:v>
      </x:c>
      <x:c r="S146" s="14" t="str">
        <x:v>Effectiveness is not assessed because this relationship is not Direct.</x:v>
      </x:c>
      <x:c r="T146" s="14" t="str">
        <x:v>Implementation of a hydrological monitoring system with telemetry stations to monitor rainfall, water levels, and meteorological variables in real-time.</x:v>
      </x:c>
    </x:row>
    <x:row r="147" ht="52" customHeight="1">
      <x:c r="A147" s="14" t="str">
        <x:v>icare_0164</x:v>
      </x:c>
      <x:c r="B147" s="14" t="str">
        <x:v>Improve Hydrological Monitoring System with Telemetry Stations</x:v>
      </x:c>
      <x:c r="C147" s="14" t="str">
        <x:v>Geohydrological Disasters</x:v>
      </x:c>
      <x:c r="D147" s="14" t="str">
        <x:v>Landslide</x:v>
      </x:c>
      <x:c r="E147" s="14" t="str">
        <x:v>Vulnerability</x:v>
      </x:c>
      <x:c r="F147" s="15" t="str"/>
      <x:c r="G147" s="15" t="str"/>
      <x:c r="H147" s="14" t="str">
        <x:v>Indirect</x:v>
      </x:c>
      <x:c r="I147" s="14" t="str">
        <x:v>Not assessed</x:v>
      </x:c>
      <x:c r="J147" s="14" t="str">
        <x:v>Not assessed</x:v>
      </x:c>
      <x:c r="K147" s="14" t="str">
        <x:v>No</x:v>
      </x:c>
      <x:c r="L147" s="14" t="str">
        <x:v>&lt;5 years</x:v>
      </x:c>
      <x:c r="M147" s="14" t="n">
        <x:v>0</x:v>
      </x:c>
      <x:c r="N147" s="14" t="n">
        <x:v>0</x:v>
      </x:c>
      <x:c r="O147" s="14" t="str">
        <x:v>Review directness</x:v>
      </x:c>
      <x:c r="P147" s="14" t="str"/>
      <x:c r="Q147" s="14" t="str">
        <x:v>Early warning systems</x:v>
      </x:c>
      <x:c r="R147" s="14" t="str">
        <x:v>Indirect — Indirect: the action can influence Early warning systems, but the stated mechanism does not directly change this indicator without an additional causal step.</x:v>
      </x:c>
      <x:c r="S147" s="14" t="str">
        <x:v>Effectiveness is not assessed because this relationship is not Direct.</x:v>
      </x:c>
      <x:c r="T147" s="14" t="str">
        <x:v>Implementation of a hydrological monitoring system with telemetry stations to monitor rainfall, water levels, and meteorological variables in real-time.</x:v>
      </x:c>
    </x:row>
    <x:row r="148" ht="52" customHeight="1">
      <x:c r="A148" s="14" t="str">
        <x:v>ipcc_0087</x:v>
      </x:c>
      <x:c r="B148" s="14" t="str">
        <x:v>Improve Infrastructure retrofitting</x:v>
      </x:c>
      <x:c r="C148" s="14" t="str">
        <x:v>Geohydrological Disasters</x:v>
      </x:c>
      <x:c r="D148" s="14" t="str">
        <x:v>Floods, flash floods, and urban flooding</x:v>
      </x:c>
      <x:c r="E148" s="14" t="str">
        <x:v>Vulnerability</x:v>
      </x:c>
      <x:c r="F148" s="15" t="str"/>
      <x:c r="G148" s="15" t="str"/>
      <x:c r="H148" s="14" t="str">
        <x:v>Direct</x:v>
      </x:c>
      <x:c r="I148" s="14" t="str">
        <x:v>Medium effectiveness</x:v>
      </x:c>
      <x:c r="J148" s="14" t="str">
        <x:v>Single source</x:v>
      </x:c>
      <x:c r="K148" s="14" t="str">
        <x:v>No</x:v>
      </x:c>
      <x:c r="L148" s="14" t="str">
        <x:v>5-10 years</x:v>
      </x:c>
      <x:c r="M148" s="14" t="n">
        <x:v>1</x:v>
      </x:c>
      <x:c r="N148" s="14" t="n">
        <x:v>15</x:v>
      </x:c>
      <x:c r="O148" s="14" t="str">
        <x:v>Review directness</x:v>
      </x:c>
      <x:c r="P148" s="14" t="str">
        <x:v>Actions to reduce risk | Inappropriate households | Lack of urban mobility | Inaccessibility to cities</x:v>
      </x:c>
      <x:c r="Q148" s="14" t="str">
        <x:v>Housing governance | Transport governance | Basic sanitation | Drainage</x:v>
      </x:c>
      <x:c r="R148" s="14" t="str">
        <x:v>Direct — Direct: the action definition explicitly implements a mechanism that changes Actions to reduce risk, without requiring another intervention.
Indirect — Indirect: the action can influence Housing governance, but the stated mechanism does not directly change this indicator without an additional causal step.
Indirect — Indirect: the action can influence Transport governance, but the stated mechanism does not directly change this indicator without an additional causal step.
Direct — Direct: the action definition explicitly implements a mechanism that changes Inappropriate households, without requiring another intervention.
Direct — Direct: the action definition explicitly implements a mechanism that changes Lack of urban mobility, without requiring another intervention.
Direct — Direct: the action definition explicitly implements a mechanism that changes Inaccessibility to cities, without requiring another intervention.
Indirect — Indirect: the action can influence Basic sanitation, but the stated mechanism does not directly change this indicator without an additional causal step.
Indirect — Indirect: the action can influence Drainage, but the stated mechanism does not directly change this indicator without an additional causal step.</x:v>
      </x:c>
      <x:c r="S148" s="14" t="str">
        <x:v>Relevant evidence demonstrates a moderate, conditional, context-dependent or mixed positive outcome.</x:v>
      </x:c>
      <x:c r="T148" s="14" t="str">
        <x: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x:v>
      </x:c>
    </x:row>
    <x:row r="149" ht="52" customHeight="1">
      <x:c r="A149" s="14" t="str">
        <x:v>ipcc_0087</x:v>
      </x:c>
      <x:c r="B149" s="14" t="str">
        <x:v>Improve Infrastructure retrofitting</x:v>
      </x:c>
      <x:c r="C149" s="14" t="str">
        <x:v>Geohydrological Disasters</x:v>
      </x:c>
      <x:c r="D149" s="14" t="str">
        <x:v>Landslide</x:v>
      </x:c>
      <x:c r="E149" s="14" t="str">
        <x:v>Vulnerability</x:v>
      </x:c>
      <x:c r="F149" s="15" t="str"/>
      <x:c r="G149" s="15" t="str"/>
      <x:c r="H149" s="14" t="str">
        <x:v>Direct</x:v>
      </x:c>
      <x:c r="I149" s="14" t="str">
        <x:v>No demonstrated effectiveness</x:v>
      </x:c>
      <x:c r="J149" s="14" t="str">
        <x:v>None</x:v>
      </x:c>
      <x:c r="K149" s="14" t="str">
        <x:v>No</x:v>
      </x:c>
      <x:c r="L149" s="14" t="str">
        <x:v>5-10 years</x:v>
      </x:c>
      <x:c r="M149" s="14" t="n">
        <x:v>0</x:v>
      </x:c>
      <x:c r="N149" s="14" t="n">
        <x:v>15</x:v>
      </x:c>
      <x:c r="O149" s="14" t="str">
        <x:v>Review directness | Evidence gap</x:v>
      </x:c>
      <x:c r="P149" s="14" t="str">
        <x:v>Actions to reduce risk | Inappropriate households | Lack of urban mobility | Inaccessibility to cities</x:v>
      </x:c>
      <x:c r="Q149" s="14" t="str">
        <x:v>Housing governance | Transport governance | Basic sanitation | Drainage</x:v>
      </x:c>
      <x:c r="R149" s="14" t="str">
        <x:v>Direct — Direct: the action definition explicitly implements a mechanism that changes Actions to reduce risk, without requiring another intervention.
Indirect — Indirect: the action can influence Housing governance, but the stated mechanism does not directly change this indicator without an additional causal step.
Indirect — Indirect: the action can influence Transport governance, but the stated mechanism does not directly change this indicator without an additional causal step.
Direct — Direct: the action definition explicitly implements a mechanism that changes Inappropriate households, without requiring another intervention.
Direct — Direct: the action definition explicitly implements a mechanism that changes Lack of urban mobility, without requiring another intervention.
Direct — Direct: the action definition explicitly implements a mechanism that changes Inaccessibility to cities, without requiring another intervention.
Indirect — Indirect: the action can influence Basic sanitation, but the stated mechanism does not directly change this indicator without an additional causal step.
Indirect — Indirect: the action can influence Drainage, but the stated mechanism does not directly change this indicator without an additional causal step.</x:v>
      </x:c>
      <x:c r="S149" s="14" t="str">
        <x:v>No relevant positive evidence was found in the screened source pages.</x:v>
      </x:c>
      <x:c r="T149" s="14" t="str">
        <x: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x:v>
      </x:c>
    </x:row>
    <x:row r="150" ht="52" customHeight="1">
      <x:c r="A150" s="14" t="str">
        <x:v>icare_0171</x:v>
      </x:c>
      <x:c r="B150" s="14" t="str">
        <x:v>Improve the hydrometeorological forecasting, monitoring, and alert system for climate risks</x:v>
      </x:c>
      <x:c r="C150" s="14" t="str">
        <x:v>Geohydrological Disasters</x:v>
      </x:c>
      <x:c r="D150" s="14" t="str">
        <x:v>Floods, flash floods, and urban flooding</x:v>
      </x:c>
      <x:c r="E150" s="14" t="str">
        <x:v>Vulnerability</x:v>
      </x:c>
      <x:c r="F150" s="15" t="str"/>
      <x:c r="G150" s="15" t="str"/>
      <x:c r="H150" s="14" t="str">
        <x:v>Direct</x:v>
      </x:c>
      <x:c r="I150" s="14" t="str">
        <x:v>Low effectiveness</x:v>
      </x:c>
      <x:c r="J150" s="14" t="str">
        <x:v>Multiple sources</x:v>
      </x:c>
      <x:c r="K150" s="14" t="str">
        <x:v>No</x:v>
      </x:c>
      <x:c r="L150" s="14" t="str">
        <x:v>5-10 years</x:v>
      </x:c>
      <x:c r="M150" s="14" t="n">
        <x:v>2</x:v>
      </x:c>
      <x:c r="N150" s="14" t="n">
        <x:v>15</x:v>
      </x:c>
      <x:c r="O150" s="14" t="str">
        <x:v>Review directness</x:v>
      </x:c>
      <x:c r="P150" s="14" t="str">
        <x:v>Early warning systems</x:v>
      </x:c>
      <x:c r="Q150" s="14" t="str"/>
      <x:c r="R150" s="14" t="str">
        <x:v>Direct — Direct: the action definition explicitly implements a mechanism that changes Early warning systems, without requiring another intervention.</x:v>
      </x:c>
      <x:c r="S150" s="14" t="str">
        <x:v>Relevant evidence explicitly demonstrates a limited positive outcome.</x:v>
      </x:c>
      <x:c r="T150" s="14" t="str">
        <x:v>This action aims to expand the procedures related to the existing climate risk forecasting, monitoring, and alert system in the municipality.</x:v>
      </x:c>
    </x:row>
    <x:row r="151" ht="52" customHeight="1">
      <x:c r="A151" s="14" t="str">
        <x:v>icare_0171</x:v>
      </x:c>
      <x:c r="B151" s="14" t="str">
        <x:v>Improve the hydrometeorological forecasting, monitoring, and alert system for climate risks</x:v>
      </x:c>
      <x:c r="C151" s="14" t="str">
        <x:v>Geohydrological Disasters</x:v>
      </x:c>
      <x:c r="D151" s="14" t="str">
        <x:v>Landslide</x:v>
      </x:c>
      <x:c r="E151" s="14" t="str">
        <x:v>Vulnerability</x:v>
      </x:c>
      <x:c r="F151" s="15" t="str"/>
      <x:c r="G151" s="15" t="str"/>
      <x:c r="H151" s="14" t="str">
        <x:v>Direct</x:v>
      </x:c>
      <x:c r="I151" s="14" t="str">
        <x:v>No demonstrated effectiveness</x:v>
      </x:c>
      <x:c r="J151" s="14" t="str">
        <x:v>Single source</x:v>
      </x:c>
      <x:c r="K151" s="14" t="str">
        <x:v>No</x:v>
      </x:c>
      <x:c r="L151" s="14" t="str">
        <x:v>5-10 years</x:v>
      </x:c>
      <x:c r="M151" s="14" t="n">
        <x:v>1</x:v>
      </x:c>
      <x:c r="N151" s="14" t="n">
        <x:v>15</x:v>
      </x:c>
      <x:c r="O151" s="14" t="str">
        <x:v>Review directness | Evidence gap</x:v>
      </x:c>
      <x:c r="P151" s="14" t="str">
        <x:v>Early warning systems</x:v>
      </x:c>
      <x:c r="Q151" s="14" t="str"/>
      <x:c r="R151" s="14" t="str">
        <x:v>Direct — Direct: the action definition explicitly implements a mechanism that changes Early warning systems, without requiring another intervention.</x:v>
      </x:c>
      <x:c r="S151" s="14" t="str">
        <x:v>Relevant evidence supports the direction of effect but does not demonstrate its effectiveness level.</x:v>
      </x:c>
      <x:c r="T151" s="14" t="str">
        <x:v>This action aims to expand the procedures related to the existing climate risk forecasting, monitoring, and alert system in the municipality.</x:v>
      </x:c>
    </x:row>
    <x:row r="152" ht="52" customHeight="1">
      <x:c r="A152" s="14" t="str">
        <x:v>ipcc_0101</x:v>
      </x:c>
      <x:c r="B152" s="14" t="str">
        <x:v>Improve urban water management</x:v>
      </x:c>
      <x:c r="C152" s="14" t="str">
        <x:v>Geohydrological Disasters</x:v>
      </x:c>
      <x:c r="D152" s="14" t="str">
        <x:v>Floods, flash floods, and urban flooding</x:v>
      </x:c>
      <x:c r="E152" s="14" t="str">
        <x:v>Vulnerability</x:v>
      </x:c>
      <x:c r="F152" s="15" t="str"/>
      <x:c r="G152" s="15" t="str"/>
      <x:c r="H152" s="14" t="str">
        <x:v>Direct</x:v>
      </x:c>
      <x:c r="I152" s="14" t="str">
        <x:v>Medium effectiveness</x:v>
      </x:c>
      <x:c r="J152" s="14" t="str">
        <x:v>Multiple sources</x:v>
      </x:c>
      <x:c r="K152" s="14" t="str">
        <x:v>No</x:v>
      </x:c>
      <x:c r="L152" s="14" t="str">
        <x:v>5-10 years</x:v>
      </x:c>
      <x:c r="M152" s="14" t="n">
        <x:v>3</x:v>
      </x:c>
      <x:c r="N152" s="14" t="n">
        <x:v>15</x:v>
      </x:c>
      <x:c r="O152" s="14" t="str">
        <x:v>Review directness</x:v>
      </x:c>
      <x:c r="P152" s="14" t="str">
        <x:v>Actions to reduce risk | Basic sanitation | Drainage</x:v>
      </x:c>
      <x:c r="Q152" s="14" t="str">
        <x:v>Municipal basic sanitation plan</x:v>
      </x:c>
      <x:c r="R152" s="14" t="str">
        <x:v>Direct — Direct: the action definition explicitly implements a mechanism that changes Actions to reduce risk, without requiring another intervention.
Indirect — Indirect: the action can influence Municipal basic sanitation plan, but the stated mechanism does not directly change this indicator without an additional causal step.
Direct — Direct: the action definition explicitly implements a mechanism that changes Basic sanitation, without requiring another intervention.
Direct — Direct: the action definition explicitly implements a mechanism that changes Drainage, without requiring another intervention.</x:v>
      </x:c>
      <x:c r="S152" s="14" t="str">
        <x:v>Relevant evidence demonstrates a moderate, conditional, context-dependent or mixed positive outcome.</x:v>
      </x:c>
      <x:c r="T152" s="14"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153" ht="52" customHeight="1">
      <x:c r="A153" s="14" t="str">
        <x:v>ipcc_0101</x:v>
      </x:c>
      <x:c r="B153" s="14" t="str">
        <x:v>Improve urban water management</x:v>
      </x:c>
      <x:c r="C153" s="14" t="str">
        <x:v>Geohydrological Disasters</x:v>
      </x:c>
      <x:c r="D153" s="14" t="str">
        <x:v>Landslide</x:v>
      </x:c>
      <x:c r="E153" s="14" t="str">
        <x:v>Vulnerability</x:v>
      </x:c>
      <x:c r="F153" s="15" t="str"/>
      <x:c r="G153" s="15" t="str"/>
      <x:c r="H153" s="14" t="str">
        <x:v>Direct</x:v>
      </x:c>
      <x:c r="I153" s="14" t="str">
        <x:v>No demonstrated effectiveness</x:v>
      </x:c>
      <x:c r="J153" s="14" t="str">
        <x:v>None</x:v>
      </x:c>
      <x:c r="K153" s="14" t="str">
        <x:v>No</x:v>
      </x:c>
      <x:c r="L153" s="14" t="str">
        <x:v>5-10 years</x:v>
      </x:c>
      <x:c r="M153" s="14" t="n">
        <x:v>0</x:v>
      </x:c>
      <x:c r="N153" s="14" t="n">
        <x:v>15</x:v>
      </x:c>
      <x:c r="O153" s="14" t="str">
        <x:v>Review directness | Evidence gap</x:v>
      </x:c>
      <x:c r="P153" s="14" t="str">
        <x:v>Basic sanitation | Drainage</x:v>
      </x:c>
      <x:c r="Q153" s="14" t="str">
        <x:v>Municipal basic sanitation plan</x:v>
      </x:c>
      <x:c r="R153" s="14" t="str">
        <x:v>Indirect — Indirect: the action can influence Municipal basic sanitation plan, but the stated mechanism does not directly change this indicator without an additional causal step.
Direct — Direct: the action definition explicitly implements a mechanism that changes Basic sanitation, without requiring another intervention.
Direct — Direct: the action definition explicitly implements a mechanism that changes Drainage, without requiring another intervention.</x:v>
      </x:c>
      <x:c r="S153" s="14" t="str">
        <x:v>No relevant positive evidence was found in the screened source pages.</x:v>
      </x:c>
      <x:c r="T153" s="14"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154" ht="52" customHeight="1">
      <x:c r="A154" s="14" t="str">
        <x:v>c40_0056</x:v>
      </x:c>
      <x:c r="B154" s="14" t="str">
        <x:v>Improve Watershed Protection and Management</x:v>
      </x:c>
      <x:c r="C154" s="14" t="str">
        <x:v>Geohydrological Disasters</x:v>
      </x:c>
      <x:c r="D154" s="14" t="str">
        <x:v>Floods, flash floods, and urban flooding</x:v>
      </x:c>
      <x:c r="E154" s="14" t="str">
        <x:v>Vulnerability</x:v>
      </x:c>
      <x:c r="F154" s="15" t="str"/>
      <x:c r="G154" s="15" t="str"/>
      <x:c r="H154" s="14" t="str">
        <x:v>Direct</x:v>
      </x:c>
      <x:c r="I154" s="14" t="str">
        <x:v>No demonstrated effectiveness</x:v>
      </x:c>
      <x:c r="J154" s="14" t="str">
        <x:v>Single source</x:v>
      </x:c>
      <x:c r="K154" s="14" t="str">
        <x:v>No</x:v>
      </x:c>
      <x:c r="L154" s="14" t="str">
        <x:v>&lt;5 years</x:v>
      </x:c>
      <x:c r="M154" s="14" t="n">
        <x:v>1</x:v>
      </x:c>
      <x:c r="N154" s="14" t="n">
        <x:v>15</x:v>
      </x:c>
      <x:c r="O154" s="14" t="str">
        <x:v>Review directness | Evidence gap</x:v>
      </x:c>
      <x:c r="P154" s="14" t="str">
        <x:v>Land use and occupation | Environmental governance</x:v>
      </x:c>
      <x:c r="Q154" s="14" t="str">
        <x:v>Actions to reduce risk</x:v>
      </x:c>
      <x:c r="R154" s="14" t="str">
        <x:v>Indirect — Indirect: the action can influence Actions to reduce risk, but the stated mechanism does not directly change this indicator without an additional causal step.
Direct — Direct: the action definition explicitly implements a mechanism that changes Land use and occupation, without requiring another intervention.
Direct — Direct: the action definition explicitly implements a mechanism that changes Environmental governance, without requiring another intervention.</x:v>
      </x:c>
      <x:c r="S154" s="14" t="str">
        <x:v>Relevant evidence supports the direction of effect but does not demonstrate its effectiveness level.</x:v>
      </x:c>
      <x:c r="T154" s="14"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155" ht="52" customHeight="1">
      <x:c r="A155" s="14" t="str">
        <x:v>c40_0056</x:v>
      </x:c>
      <x:c r="B155" s="14" t="str">
        <x:v>Improve Watershed Protection and Management</x:v>
      </x:c>
      <x:c r="C155" s="14" t="str">
        <x:v>Geohydrological Disasters</x:v>
      </x:c>
      <x:c r="D155" s="14" t="str">
        <x:v>Landslide</x:v>
      </x:c>
      <x:c r="E155" s="14" t="str">
        <x:v>Vulnerability</x:v>
      </x:c>
      <x:c r="F155" s="15" t="str"/>
      <x:c r="G155" s="15" t="str"/>
      <x:c r="H155" s="14" t="str">
        <x:v>Direct</x:v>
      </x:c>
      <x:c r="I155" s="14" t="str">
        <x:v>No demonstrated effectiveness</x:v>
      </x:c>
      <x:c r="J155" s="14" t="str">
        <x:v>None</x:v>
      </x:c>
      <x:c r="K155" s="14" t="str">
        <x:v>No</x:v>
      </x:c>
      <x:c r="L155" s="14" t="str">
        <x:v>&lt;5 years</x:v>
      </x:c>
      <x:c r="M155" s="14" t="n">
        <x:v>0</x:v>
      </x:c>
      <x:c r="N155" s="14" t="n">
        <x:v>15</x:v>
      </x:c>
      <x:c r="O155" s="14" t="str">
        <x:v>Review directness | Evidence gap</x:v>
      </x:c>
      <x:c r="P155" s="14" t="str">
        <x:v>Land use and occupation | Environmental governance</x:v>
      </x:c>
      <x:c r="Q155" s="14" t="str">
        <x:v>Actions to reduce risk</x:v>
      </x:c>
      <x:c r="R155" s="14" t="str">
        <x:v>Indirect — Indirect: the action can influence Actions to reduce risk, but the stated mechanism does not directly change this indicator without an additional causal step.
Direct — Direct: the action definition explicitly implements a mechanism that changes Land use and occupation, without requiring another intervention.
Direct — Direct: the action definition explicitly implements a mechanism that changes Environmental governance, without requiring another intervention.</x:v>
      </x:c>
      <x:c r="S155" s="14" t="str">
        <x:v>No relevant positive evidence was found in the screened source pages.</x:v>
      </x:c>
      <x:c r="T155" s="14"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156" ht="52" customHeight="1">
      <x:c r="A156" s="14" t="str">
        <x:v>ipcc_0099</x:v>
      </x:c>
      <x:c r="B156" s="14" t="str">
        <x:v>Increase Water Capture and Storage</x:v>
      </x:c>
      <x:c r="C156" s="14" t="str">
        <x:v>Geohydrological Disasters</x:v>
      </x:c>
      <x:c r="D156" s="14" t="str">
        <x:v>Floods, flash floods, and urban flooding</x:v>
      </x:c>
      <x:c r="E156" s="14" t="str">
        <x:v>Vulnerability</x:v>
      </x:c>
      <x:c r="F156" s="15" t="str"/>
      <x:c r="G156" s="15" t="str"/>
      <x:c r="H156" s="14" t="str">
        <x:v>Direct</x:v>
      </x:c>
      <x:c r="I156" s="14" t="str">
        <x:v>No demonstrated effectiveness</x:v>
      </x:c>
      <x:c r="J156" s="14" t="str">
        <x:v>Single source</x:v>
      </x:c>
      <x:c r="K156" s="14" t="str">
        <x:v>No</x:v>
      </x:c>
      <x:c r="L156" s="14" t="str">
        <x:v>5-10 years</x:v>
      </x:c>
      <x:c r="M156" s="14" t="n">
        <x:v>1</x:v>
      </x:c>
      <x:c r="N156" s="14" t="n">
        <x:v>15</x:v>
      </x:c>
      <x:c r="O156" s="14" t="str">
        <x:v>Review directness | Evidence gap</x:v>
      </x:c>
      <x:c r="P156" s="14" t="str">
        <x:v>Actions to reduce risk | Drainage</x:v>
      </x:c>
      <x:c r="Q156" s="14" t="str"/>
      <x:c r="R156" s="14" t="str">
        <x:v>Direct — Direct: the action definition explicitly implements a mechanism that changes Actions to reduce risk, without requiring another intervention.
Direct — Direct: the action definition explicitly implements a mechanism that changes Drainage, without requiring another intervention.</x:v>
      </x:c>
      <x:c r="S156" s="14" t="str">
        <x:v>Relevant evidence supports the direction of effect but does not demonstrate its effectiveness level.</x:v>
      </x:c>
      <x:c r="T156" s="14"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157" ht="52" customHeight="1">
      <x:c r="A157" s="14" t="str">
        <x:v>ipcc_0104</x:v>
      </x:c>
      <x:c r="B157" s="14" t="str">
        <x:v>Plan and support permanent climate‑related migration</x:v>
      </x:c>
      <x:c r="C157" s="14" t="str">
        <x:v>Geohydrological Disasters</x:v>
      </x:c>
      <x:c r="D157" s="14" t="str">
        <x:v>Floods, flash floods, and urban flooding</x:v>
      </x:c>
      <x:c r="E157" s="14" t="str">
        <x:v>Exposure</x:v>
      </x:c>
      <x:c r="F157" s="15" t="str"/>
      <x:c r="G157" s="15" t="str"/>
      <x:c r="H157" s="14" t="str">
        <x:v>Direct</x:v>
      </x:c>
      <x:c r="I157" s="14" t="str">
        <x:v>Medium effectiveness</x:v>
      </x:c>
      <x:c r="J157" s="14" t="str">
        <x:v>Single source</x:v>
      </x:c>
      <x:c r="K157" s="14" t="str">
        <x:v>No</x:v>
      </x:c>
      <x:c r="L157" s="14" t="str">
        <x:v>5-10 years</x:v>
      </x:c>
      <x:c r="M157" s="14" t="n">
        <x:v>1</x:v>
      </x:c>
      <x:c r="N157" s="14" t="n">
        <x:v>15</x:v>
      </x:c>
      <x:c r="O157" s="14" t="str">
        <x:v>Review directness</x:v>
      </x:c>
      <x:c r="P157" s="14" t="str">
        <x:v>Households in risk areas | Urban population density</x:v>
      </x:c>
      <x:c r="Q157" s="14" t="str"/>
      <x:c r="R157" s="14" t="str">
        <x:v>Direct — Direct: the action definition explicitly implements a mechanism that changes Households in risk areas, without requiring another intervention.
Direct — Direct: the action definition explicitly implements a mechanism that changes Urban population density, without requiring another intervention.</x:v>
      </x:c>
      <x:c r="S157" s="14" t="str">
        <x:v>Relevant evidence demonstrates a moderate, conditional, context-dependent or mixed positive outcome.</x:v>
      </x:c>
      <x:c r="T157" s="14"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158" ht="52" customHeight="1">
      <x:c r="A158" s="14" t="str">
        <x:v>ipcc_0104</x:v>
      </x:c>
      <x:c r="B158" s="14" t="str">
        <x:v>Plan and support permanent climate‑related migration</x:v>
      </x:c>
      <x:c r="C158" s="14" t="str">
        <x:v>Geohydrological Disasters</x:v>
      </x:c>
      <x:c r="D158" s="14" t="str">
        <x:v>Floods, flash floods, and urban flooding</x:v>
      </x:c>
      <x:c r="E158" s="14" t="str">
        <x:v>Vulnerability</x:v>
      </x:c>
      <x:c r="F158" s="15" t="str"/>
      <x:c r="G158" s="15" t="str"/>
      <x:c r="H158" s="14" t="str">
        <x:v>Direct</x:v>
      </x:c>
      <x:c r="I158" s="14" t="str">
        <x:v>No demonstrated effectiveness</x:v>
      </x:c>
      <x:c r="J158" s="14" t="str">
        <x:v>None</x:v>
      </x:c>
      <x:c r="K158" s="14" t="str">
        <x:v>No</x:v>
      </x:c>
      <x:c r="L158" s="14" t="str">
        <x:v>5-10 years</x:v>
      </x:c>
      <x:c r="M158" s="14" t="n">
        <x:v>0</x:v>
      </x:c>
      <x:c r="N158" s="14" t="n">
        <x:v>15</x:v>
      </x:c>
      <x:c r="O158" s="14" t="str">
        <x:v>Review directness | Evidence gap</x:v>
      </x:c>
      <x:c r="P158" s="14" t="str">
        <x:v>Urban occupation management in risk areas | Housing governance | Inappropriate households</x:v>
      </x:c>
      <x:c r="Q158" s="14" t="str"/>
      <x:c r="R158" s="14" t="str">
        <x:v>Direct — Direct: the action definition explicitly implements a mechanism that changes Urban occupation management in risk areas, without requiring another intervention.
Direct — Direct: the action definition explicitly implements a mechanism that changes Housing governance, without requiring another intervention.
Direct — Direct: the action definition explicitly implements a mechanism that changes Inappropriate households, without requiring another intervention.</x:v>
      </x:c>
      <x:c r="S158" s="14" t="str">
        <x:v>No relevant positive evidence was found in the screened source pages.</x:v>
      </x:c>
      <x:c r="T158" s="14"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159" ht="52" customHeight="1">
      <x:c r="A159" s="14" t="str">
        <x:v>ipcc_0104</x:v>
      </x:c>
      <x:c r="B159" s="14" t="str">
        <x:v>Plan and support permanent climate‑related migration</x:v>
      </x:c>
      <x:c r="C159" s="14" t="str">
        <x:v>Geohydrological Disasters</x:v>
      </x:c>
      <x:c r="D159" s="14" t="str">
        <x:v>Landslide</x:v>
      </x:c>
      <x:c r="E159" s="14" t="str">
        <x:v>Exposure</x:v>
      </x:c>
      <x:c r="F159" s="15" t="str"/>
      <x:c r="G159" s="15" t="str"/>
      <x:c r="H159" s="14" t="str">
        <x:v>Direct</x:v>
      </x:c>
      <x:c r="I159" s="14" t="str">
        <x:v>No demonstrated effectiveness</x:v>
      </x:c>
      <x:c r="J159" s="14" t="str">
        <x:v>None</x:v>
      </x:c>
      <x:c r="K159" s="14" t="str">
        <x:v>No</x:v>
      </x:c>
      <x:c r="L159" s="14" t="str">
        <x:v>5-10 years</x:v>
      </x:c>
      <x:c r="M159" s="14" t="n">
        <x:v>0</x:v>
      </x:c>
      <x:c r="N159" s="14" t="n">
        <x:v>15</x:v>
      </x:c>
      <x:c r="O159" s="14" t="str">
        <x:v>Review directness | Evidence gap</x:v>
      </x:c>
      <x:c r="P159" s="14" t="str">
        <x:v>Households in risk areas | Urban population density</x:v>
      </x:c>
      <x:c r="Q159" s="14" t="str"/>
      <x:c r="R159" s="14" t="str">
        <x:v>Direct — Direct: the action definition explicitly implements a mechanism that changes Households in risk areas, without requiring another intervention.
Direct — Direct: the action definition explicitly implements a mechanism that changes Urban population density, without requiring another intervention.</x:v>
      </x:c>
      <x:c r="S159" s="14" t="str">
        <x:v>No relevant positive evidence was found in the screened source pages.</x:v>
      </x:c>
      <x:c r="T159" s="14"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160" ht="52" customHeight="1">
      <x:c r="A160" s="14" t="str">
        <x:v>ipcc_0104</x:v>
      </x:c>
      <x:c r="B160" s="14" t="str">
        <x:v>Plan and support permanent climate‑related migration</x:v>
      </x:c>
      <x:c r="C160" s="14" t="str">
        <x:v>Geohydrological Disasters</x:v>
      </x:c>
      <x:c r="D160" s="14" t="str">
        <x:v>Landslide</x:v>
      </x:c>
      <x:c r="E160" s="14" t="str">
        <x:v>Vulnerability</x:v>
      </x:c>
      <x:c r="F160" s="15" t="str"/>
      <x:c r="G160" s="15" t="str"/>
      <x:c r="H160" s="14" t="str">
        <x:v>Direct</x:v>
      </x:c>
      <x:c r="I160" s="14" t="str">
        <x:v>No demonstrated effectiveness</x:v>
      </x:c>
      <x:c r="J160" s="14" t="str">
        <x:v>None</x:v>
      </x:c>
      <x:c r="K160" s="14" t="str">
        <x:v>No</x:v>
      </x:c>
      <x:c r="L160" s="14" t="str">
        <x:v>5-10 years</x:v>
      </x:c>
      <x:c r="M160" s="14" t="n">
        <x:v>0</x:v>
      </x:c>
      <x:c r="N160" s="14" t="n">
        <x:v>15</x:v>
      </x:c>
      <x:c r="O160" s="14" t="str">
        <x:v>Review directness | Evidence gap</x:v>
      </x:c>
      <x:c r="P160" s="14" t="str">
        <x:v>Urban occupation management in risk areas | Housing governance | Inappropriate households</x:v>
      </x:c>
      <x:c r="Q160" s="14" t="str"/>
      <x:c r="R160" s="14" t="str">
        <x:v>Direct — Direct: the action definition explicitly implements a mechanism that changes Urban occupation management in risk areas, without requiring another intervention.
Direct — Direct: the action definition explicitly implements a mechanism that changes Housing governance, without requiring another intervention.
Direct — Direct: the action definition explicitly implements a mechanism that changes Inappropriate households, without requiring another intervention.</x:v>
      </x:c>
      <x:c r="S160" s="14" t="str">
        <x:v>No relevant positive evidence was found in the screened source pages.</x:v>
      </x:c>
      <x:c r="T160" s="14"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161" ht="52" customHeight="1">
      <x:c r="A161" s="14" t="str">
        <x:v>icare_0173</x:v>
      </x:c>
      <x:c r="B161" s="14" t="str">
        <x:v>Preventive maintenance of drainage systems</x:v>
      </x:c>
      <x:c r="C161" s="14" t="str">
        <x:v>Geohydrological Disasters</x:v>
      </x:c>
      <x:c r="D161" s="14" t="str">
        <x:v>Floods, flash floods, and urban flooding</x:v>
      </x:c>
      <x:c r="E161" s="14" t="str">
        <x:v>Vulnerability</x:v>
      </x:c>
      <x:c r="F161" s="15" t="str"/>
      <x:c r="G161" s="15" t="str"/>
      <x:c r="H161" s="14" t="str">
        <x:v>Direct</x:v>
      </x:c>
      <x:c r="I161" s="14" t="str">
        <x:v>No demonstrated effectiveness</x:v>
      </x:c>
      <x:c r="J161" s="14" t="str">
        <x:v>Single source</x:v>
      </x:c>
      <x:c r="K161" s="14" t="str">
        <x:v>No</x:v>
      </x:c>
      <x:c r="L161" s="14" t="str">
        <x:v>5-10 years</x:v>
      </x:c>
      <x:c r="M161" s="14" t="n">
        <x:v>2</x:v>
      </x:c>
      <x:c r="N161" s="14" t="n">
        <x:v>15</x:v>
      </x:c>
      <x:c r="O161" s="14" t="str">
        <x:v>Review directness | Evidence gap</x:v>
      </x:c>
      <x:c r="P161" s="14" t="str">
        <x:v>Actions to reduce risk | Basic sanitation | Drainage</x:v>
      </x:c>
      <x:c r="Q161" s="14" t="str">
        <x:v>Waste management and public cleaning | Municipal basic sanitation plan</x:v>
      </x:c>
      <x:c r="R161" s="14" t="str">
        <x:v>Indirect — Indirect: the action can influence Waste management and public cleaning, but the stated mechanism does not directly change this indicator without an additional causal step.
Direct — Direct: the action definition explicitly implements a mechanism that changes Actions to reduce risk, without requiring another intervention.
Indirect — Indirect: the action can influence Municipal basic sanitation plan, but the stated mechanism does not directly change this indicator without an additional causal step.
Direct — Direct: the action definition explicitly implements a mechanism that changes Basic sanitation, without requiring another intervention.
Direct — Direct: the action definition explicitly implements a mechanism that changes Drainage, without requiring another intervention.</x:v>
      </x:c>
      <x:c r="S161" s="14" t="str">
        <x:v>Relevant evidence supports the direction of effect but does not demonstrate its effectiveness level.</x:v>
      </x:c>
      <x:c r="T161" s="14" t="str">
        <x:v>Regular upkeep and cleaning of urban drainage systems, including storm drains, sewers, and retention basins, to ensure efficient water flow and prevent blockages that can lead to flooding during heavy rainfall events.</x:v>
      </x:c>
    </x:row>
    <x:row r="162" ht="52" customHeight="1">
      <x:c r="A162" s="14" t="str">
        <x:v>icare_0178</x:v>
      </x:c>
      <x:c r="B162" s="14" t="str">
        <x:v>Redirect urban development through climate‑risk spatial planning</x:v>
      </x:c>
      <x:c r="C162" s="14" t="str">
        <x:v>Geohydrological Disasters</x:v>
      </x:c>
      <x:c r="D162" s="14" t="str">
        <x:v>Floods, flash floods, and urban flooding</x:v>
      </x:c>
      <x:c r="E162" s="14" t="str">
        <x:v>Exposure</x:v>
      </x:c>
      <x:c r="F162" s="15" t="str"/>
      <x:c r="G162" s="15" t="str"/>
      <x:c r="H162" s="14" t="str">
        <x:v>Direct</x:v>
      </x:c>
      <x:c r="I162" s="14" t="str">
        <x:v>No demonstrated effectiveness</x:v>
      </x:c>
      <x:c r="J162" s="14" t="str">
        <x:v>None</x:v>
      </x:c>
      <x:c r="K162" s="14" t="str">
        <x:v>No</x:v>
      </x:c>
      <x:c r="L162" s="14" t="str">
        <x:v>&lt;5 years</x:v>
      </x:c>
      <x:c r="M162" s="14" t="n">
        <x:v>0</x:v>
      </x:c>
      <x:c r="N162" s="14" t="n">
        <x:v>15</x:v>
      </x:c>
      <x:c r="O162" s="14" t="str">
        <x:v>Review directness | Evidence gap</x:v>
      </x:c>
      <x:c r="P162" s="14" t="str">
        <x:v>Households in risk areas | Urban population density</x:v>
      </x:c>
      <x:c r="Q162" s="14" t="str"/>
      <x:c r="R162" s="14" t="str">
        <x:v>Direct — Direct: the action definition explicitly implements a mechanism that changes Households in risk areas, without requiring another intervention.
Direct — Direct: the action definition explicitly implements a mechanism that changes Urban population density, without requiring another intervention.</x:v>
      </x:c>
      <x:c r="S162" s="14" t="str">
        <x:v>No relevant positive evidence was found in the screened source pages.</x:v>
      </x:c>
      <x:c r="T162" s="14" t="str">
        <x:v>Mapping of critical flood-prone areas with the aim of revising and harmonizing legislation related to land use, given the intensification of the impacts of extreme weather events.</x:v>
      </x:c>
    </x:row>
    <x:row r="163" ht="52" customHeight="1">
      <x:c r="A163" s="14" t="str">
        <x:v>icare_0178</x:v>
      </x:c>
      <x:c r="B163" s="14" t="str">
        <x:v>Redirect urban development through climate‑risk spatial planning</x:v>
      </x:c>
      <x:c r="C163" s="14" t="str">
        <x:v>Geohydrological Disasters</x:v>
      </x:c>
      <x:c r="D163" s="14" t="str">
        <x:v>Floods, flash floods, and urban flooding</x:v>
      </x:c>
      <x:c r="E163" s="14" t="str">
        <x:v>Vulnerability</x:v>
      </x:c>
      <x:c r="F163" s="15" t="str"/>
      <x:c r="G163" s="15" t="str"/>
      <x:c r="H163" s="14" t="str">
        <x:v>Direct</x:v>
      </x:c>
      <x:c r="I163" s="14" t="str">
        <x:v>No demonstrated effectiveness</x:v>
      </x:c>
      <x:c r="J163" s="14" t="str">
        <x:v>None</x:v>
      </x:c>
      <x:c r="K163" s="14" t="str">
        <x:v>No</x:v>
      </x:c>
      <x:c r="L163" s="14" t="str">
        <x:v>&lt;5 years</x:v>
      </x:c>
      <x:c r="M163" s="14" t="n">
        <x:v>0</x:v>
      </x:c>
      <x:c r="N163" s="14" t="n">
        <x:v>15</x:v>
      </x:c>
      <x:c r="O163" s="14" t="str">
        <x:v>Review directness | Evidence gap</x:v>
      </x:c>
      <x:c r="P163" s="14" t="str">
        <x:v>Urban occupation management in risk areas | Actions to reduce risk | Land use and occupation</x:v>
      </x:c>
      <x:c r="Q163" s="14" t="str"/>
      <x:c r="R163" s="14" t="str">
        <x:v>Direct — Direct: the action definition explicitly implements a mechanism that changes Urban occupation management in risk areas, without requiring another intervention.
Direct — Direct: the action definition explicitly implements a mechanism that changes Actions to reduce risk, without requiring another intervention.
Direct — Direct: the action definition explicitly implements a mechanism that changes Land use and occupation, without requiring another intervention.</x:v>
      </x:c>
      <x:c r="S163" s="14" t="str">
        <x:v>No relevant positive evidence was found in the screened source pages.</x:v>
      </x:c>
      <x:c r="T163" s="14" t="str">
        <x:v>Mapping of critical flood-prone areas with the aim of revising and harmonizing legislation related to land use, given the intensification of the impacts of extreme weather events.</x:v>
      </x:c>
    </x:row>
    <x:row r="164" ht="52" customHeight="1">
      <x:c r="A164" s="14" t="str">
        <x:v>icare_0178</x:v>
      </x:c>
      <x:c r="B164" s="14" t="str">
        <x:v>Redirect urban development through climate‑risk spatial planning</x:v>
      </x:c>
      <x:c r="C164" s="14" t="str">
        <x:v>Geohydrological Disasters</x:v>
      </x:c>
      <x:c r="D164" s="14" t="str">
        <x:v>Landslide</x:v>
      </x:c>
      <x:c r="E164" s="14" t="str">
        <x:v>Exposure</x:v>
      </x:c>
      <x:c r="F164" s="15" t="str"/>
      <x:c r="G164" s="15" t="str"/>
      <x:c r="H164" s="14" t="str">
        <x:v>Direct</x:v>
      </x:c>
      <x:c r="I164" s="14" t="str">
        <x:v>No demonstrated effectiveness</x:v>
      </x:c>
      <x:c r="J164" s="14" t="str">
        <x:v>None</x:v>
      </x:c>
      <x:c r="K164" s="14" t="str">
        <x:v>No</x:v>
      </x:c>
      <x:c r="L164" s="14" t="str">
        <x:v>&lt;5 years</x:v>
      </x:c>
      <x:c r="M164" s="14" t="n">
        <x:v>0</x:v>
      </x:c>
      <x:c r="N164" s="14" t="n">
        <x:v>15</x:v>
      </x:c>
      <x:c r="O164" s="14" t="str">
        <x:v>Review directness | Evidence gap</x:v>
      </x:c>
      <x:c r="P164" s="14" t="str">
        <x:v>Households in risk areas | Urban population density</x:v>
      </x:c>
      <x:c r="Q164" s="14" t="str"/>
      <x:c r="R164" s="14" t="str">
        <x:v>Direct — Direct: the action definition explicitly implements a mechanism that changes Households in risk areas, without requiring another intervention.
Direct — Direct: the action definition explicitly implements a mechanism that changes Urban population density, without requiring another intervention.</x:v>
      </x:c>
      <x:c r="S164" s="14" t="str">
        <x:v>No relevant positive evidence was found in the screened source pages.</x:v>
      </x:c>
      <x:c r="T164" s="14" t="str">
        <x:v>Mapping of critical flood-prone areas with the aim of revising and harmonizing legislation related to land use, given the intensification of the impacts of extreme weather events.</x:v>
      </x:c>
    </x:row>
    <x:row r="165" ht="52" customHeight="1">
      <x:c r="A165" s="14" t="str">
        <x:v>icare_0178</x:v>
      </x:c>
      <x:c r="B165" s="14" t="str">
        <x:v>Redirect urban development through climate‑risk spatial planning</x:v>
      </x:c>
      <x:c r="C165" s="14" t="str">
        <x:v>Geohydrological Disasters</x:v>
      </x:c>
      <x:c r="D165" s="14" t="str">
        <x:v>Landslide</x:v>
      </x:c>
      <x:c r="E165" s="14" t="str">
        <x:v>Vulnerability</x:v>
      </x:c>
      <x:c r="F165" s="15" t="str"/>
      <x:c r="G165" s="15" t="str"/>
      <x:c r="H165" s="14" t="str">
        <x:v>Direct</x:v>
      </x:c>
      <x:c r="I165" s="14" t="str">
        <x:v>No demonstrated effectiveness</x:v>
      </x:c>
      <x:c r="J165" s="14" t="str">
        <x:v>None</x:v>
      </x:c>
      <x:c r="K165" s="14" t="str">
        <x:v>No</x:v>
      </x:c>
      <x:c r="L165" s="14" t="str">
        <x:v>&lt;5 years</x:v>
      </x:c>
      <x:c r="M165" s="14" t="n">
        <x:v>0</x:v>
      </x:c>
      <x:c r="N165" s="14" t="n">
        <x:v>15</x:v>
      </x:c>
      <x:c r="O165" s="14" t="str">
        <x:v>Review directness | Evidence gap</x:v>
      </x:c>
      <x:c r="P165" s="14" t="str">
        <x:v>Urban occupation management in risk areas | Actions to reduce risk | Land use and occupation</x:v>
      </x:c>
      <x:c r="Q165" s="14" t="str"/>
      <x:c r="R165" s="14" t="str">
        <x:v>Direct — Direct: the action definition explicitly implements a mechanism that changes Urban occupation management in risk areas, without requiring another intervention.
Direct — Direct: the action definition explicitly implements a mechanism that changes Actions to reduce risk, without requiring another intervention.
Direct — Direct: the action definition explicitly implements a mechanism that changes Land use and occupation, without requiring another intervention.</x:v>
      </x:c>
      <x:c r="S165" s="14" t="str">
        <x:v>No relevant positive evidence was found in the screened source pages.</x:v>
      </x:c>
      <x:c r="T165" s="14" t="str">
        <x:v>Mapping of critical flood-prone areas with the aim of revising and harmonizing legislation related to land use, given the intensification of the impacts of extreme weather events.</x:v>
      </x:c>
    </x:row>
    <x:row r="166" ht="52" customHeight="1">
      <x:c r="A166" s="14" t="str">
        <x:v>icare_0181</x:v>
      </x:c>
      <x:c r="B166" s="14" t="str">
        <x:v>Restore in Vulnerable Areas</x:v>
      </x:c>
      <x:c r="C166" s="14" t="str">
        <x:v>Geohydrological Disasters</x:v>
      </x:c>
      <x:c r="D166" s="14" t="str">
        <x:v>Floods, flash floods, and urban flooding</x:v>
      </x:c>
      <x:c r="E166" s="14" t="str">
        <x:v>Exposure</x:v>
      </x:c>
      <x:c r="F166" s="15" t="str"/>
      <x:c r="G166" s="15" t="str"/>
      <x:c r="H166" s="14" t="str">
        <x:v>Direct</x:v>
      </x:c>
      <x:c r="I166" s="14" t="str">
        <x:v>Medium effectiveness</x:v>
      </x:c>
      <x:c r="J166" s="14" t="str">
        <x:v>Single source</x:v>
      </x:c>
      <x:c r="K166" s="14" t="str">
        <x:v>No</x:v>
      </x:c>
      <x:c r="L166" s="14" t="str">
        <x:v>5-10 years</x:v>
      </x:c>
      <x:c r="M166" s="14" t="n">
        <x:v>1</x:v>
      </x:c>
      <x:c r="N166" s="14" t="n">
        <x:v>15</x:v>
      </x:c>
      <x:c r="O166" s="14" t="str">
        <x:v>Review directness</x:v>
      </x:c>
      <x:c r="P166" s="14" t="str">
        <x:v>Households in risk areas | Urban population density</x:v>
      </x:c>
      <x:c r="Q166" s="14" t="str"/>
      <x:c r="R166" s="14" t="str">
        <x:v>Direct — Direct: the action definition explicitly implements a mechanism that changes Households in risk areas, without requiring another intervention.
Direct — Direct: the action definition explicitly implements a mechanism that changes Urban population density, without requiring another intervention.</x:v>
      </x:c>
      <x:c r="S166" s="14" t="str">
        <x:v>Relevant evidence demonstrates a moderate, conditional, context-dependent or mixed positive outcome.</x:v>
      </x:c>
      <x:c r="T166" s="14" t="str">
        <x:v>A comprehensive project addressing the socio-environmental vulnerability of an informal settlement. It includes relocating residents from flood-prone areas, restoring the environment, and providing infrastructure and social services.</x:v>
      </x:c>
    </x:row>
    <x:row r="167" ht="52" customHeight="1">
      <x:c r="A167" s="14" t="str">
        <x:v>icare_0181</x:v>
      </x:c>
      <x:c r="B167" s="14" t="str">
        <x:v>Restore in Vulnerable Areas</x:v>
      </x:c>
      <x:c r="C167" s="14" t="str">
        <x:v>Geohydrological Disasters</x:v>
      </x:c>
      <x:c r="D167" s="14" t="str">
        <x:v>Floods, flash floods, and urban flooding</x:v>
      </x:c>
      <x:c r="E167" s="14" t="str">
        <x:v>Vulnerability</x:v>
      </x:c>
      <x:c r="F167" s="15" t="str"/>
      <x:c r="G167" s="15" t="str"/>
      <x:c r="H167" s="14" t="str">
        <x:v>Direct</x:v>
      </x:c>
      <x:c r="I167" s="14" t="str">
        <x:v>No demonstrated effectiveness</x:v>
      </x:c>
      <x:c r="J167" s="14" t="str">
        <x:v>Single source</x:v>
      </x:c>
      <x:c r="K167" s="14" t="str">
        <x:v>No</x:v>
      </x:c>
      <x:c r="L167" s="14" t="str">
        <x:v>5-10 years</x:v>
      </x:c>
      <x:c r="M167" s="14" t="n">
        <x:v>1</x:v>
      </x:c>
      <x:c r="N167" s="14" t="n">
        <x:v>15</x:v>
      </x:c>
      <x:c r="O167" s="14" t="str">
        <x:v>Review directness | Evidence gap</x:v>
      </x:c>
      <x:c r="P167" s="14" t="str">
        <x:v>Urban occupation management in risk areas | Actions to reduce risk | Housing governance | Inappropriate households</x:v>
      </x:c>
      <x:c r="Q167" s="14" t="str">
        <x:v>Basic sanitation | Drainage</x:v>
      </x:c>
      <x:c r="R167" s="14" t="str">
        <x:v>Direct — Direct: the action definition explicitly implements a mechanism that changes Urban occupation management in risk areas, without requiring another intervention.
Direct — Direct: the action definition explicitly implements a mechanism that changes Actions to reduce risk, without requiring another intervention.
Direct — Direct: the action definition explicitly implements a mechanism that changes Housing governance, without requiring another intervention.
Direct — Direct: the action definition explicitly implements a mechanism that changes Inappropriate households, without requiring another intervention.
Indirect — Indirect: the action can influence Basic sanitation, but the stated mechanism does not directly change this indicator without an additional causal step.
Indirect — Indirect: the action can influence Drainage, but the stated mechanism does not directly change this indicator without an additional causal step.</x:v>
      </x:c>
      <x:c r="S167" s="14" t="str">
        <x:v>Relevant evidence supports the direction of effect but does not demonstrate its effectiveness level.</x:v>
      </x:c>
      <x:c r="T167" s="14" t="str">
        <x:v>A comprehensive project addressing the socio-environmental vulnerability of an informal settlement. It includes relocating residents from flood-prone areas, restoring the environment, and providing infrastructure and social services.</x:v>
      </x:c>
    </x:row>
    <x:row r="168" ht="52" customHeight="1">
      <x:c r="A168" s="14" t="str">
        <x:v>icare_0181</x:v>
      </x:c>
      <x:c r="B168" s="14" t="str">
        <x:v>Restore in Vulnerable Areas</x:v>
      </x:c>
      <x:c r="C168" s="14" t="str">
        <x:v>Geohydrological Disasters</x:v>
      </x:c>
      <x:c r="D168" s="14" t="str">
        <x:v>Landslide</x:v>
      </x:c>
      <x:c r="E168" s="14" t="str">
        <x:v>Exposure</x:v>
      </x:c>
      <x:c r="F168" s="15" t="str"/>
      <x:c r="G168" s="15" t="str"/>
      <x:c r="H168" s="14" t="str">
        <x:v>Direct</x:v>
      </x:c>
      <x:c r="I168" s="14" t="str">
        <x:v>No demonstrated effectiveness</x:v>
      </x:c>
      <x:c r="J168" s="14" t="str">
        <x:v>None</x:v>
      </x:c>
      <x:c r="K168" s="14" t="str">
        <x:v>No</x:v>
      </x:c>
      <x:c r="L168" s="14" t="str">
        <x:v>5-10 years</x:v>
      </x:c>
      <x:c r="M168" s="14" t="n">
        <x:v>0</x:v>
      </x:c>
      <x:c r="N168" s="14" t="n">
        <x:v>15</x:v>
      </x:c>
      <x:c r="O168" s="14" t="str">
        <x:v>Review directness | Evidence gap</x:v>
      </x:c>
      <x:c r="P168" s="14" t="str">
        <x:v>Households in risk areas | Urban population density</x:v>
      </x:c>
      <x:c r="Q168" s="14" t="str"/>
      <x:c r="R168" s="14" t="str">
        <x:v>Direct — Direct: the action definition explicitly implements a mechanism that changes Households in risk areas, without requiring another intervention.
Direct — Direct: the action definition explicitly implements a mechanism that changes Urban population density, without requiring another intervention.</x:v>
      </x:c>
      <x:c r="S168" s="14" t="str">
        <x:v>No relevant positive evidence was found in the screened source pages.</x:v>
      </x:c>
      <x:c r="T168" s="14" t="str">
        <x:v>A comprehensive project addressing the socio-environmental vulnerability of an informal settlement. It includes relocating residents from flood-prone areas, restoring the environment, and providing infrastructure and social services.</x:v>
      </x:c>
    </x:row>
    <x:row r="169" ht="52" customHeight="1">
      <x:c r="A169" s="14" t="str">
        <x:v>icare_0181</x:v>
      </x:c>
      <x:c r="B169" s="14" t="str">
        <x:v>Restore in Vulnerable Areas</x:v>
      </x:c>
      <x:c r="C169" s="14" t="str">
        <x:v>Geohydrological Disasters</x:v>
      </x:c>
      <x:c r="D169" s="14" t="str">
        <x:v>Landslide</x:v>
      </x:c>
      <x:c r="E169" s="14" t="str">
        <x:v>Vulnerability</x:v>
      </x:c>
      <x:c r="F169" s="15" t="str"/>
      <x:c r="G169" s="15" t="str"/>
      <x:c r="H169" s="14" t="str">
        <x:v>Direct</x:v>
      </x:c>
      <x:c r="I169" s="14" t="str">
        <x:v>No demonstrated effectiveness</x:v>
      </x:c>
      <x:c r="J169" s="14" t="str">
        <x:v>None</x:v>
      </x:c>
      <x:c r="K169" s="14" t="str">
        <x:v>No</x:v>
      </x:c>
      <x:c r="L169" s="14" t="str">
        <x:v>5-10 years</x:v>
      </x:c>
      <x:c r="M169" s="14" t="n">
        <x:v>0</x:v>
      </x:c>
      <x:c r="N169" s="14" t="n">
        <x:v>15</x:v>
      </x:c>
      <x:c r="O169" s="14" t="str">
        <x:v>Review directness | Evidence gap</x:v>
      </x:c>
      <x:c r="P169" s="14" t="str">
        <x:v>Urban occupation management in risk areas | Actions to reduce risk | Housing governance | Inappropriate households</x:v>
      </x:c>
      <x:c r="Q169" s="14" t="str">
        <x:v>Basic sanitation | Drainage</x:v>
      </x:c>
      <x:c r="R169" s="14" t="str">
        <x:v>Direct — Direct: the action definition explicitly implements a mechanism that changes Urban occupation management in risk areas, without requiring another intervention.
Direct — Direct: the action definition explicitly implements a mechanism that changes Actions to reduce risk, without requiring another intervention.
Direct — Direct: the action definition explicitly implements a mechanism that changes Housing governance, without requiring another intervention.
Direct — Direct: the action definition explicitly implements a mechanism that changes Inappropriate households, without requiring another intervention.
Indirect — Indirect: the action can influence Basic sanitation, but the stated mechanism does not directly change this indicator without an additional causal step.
Indirect — Indirect: the action can influence Drainage, but the stated mechanism does not directly change this indicator without an additional causal step.</x:v>
      </x:c>
      <x:c r="S169" s="14" t="str">
        <x:v>No relevant positive evidence was found in the screened source pages.</x:v>
      </x:c>
      <x:c r="T169" s="14" t="str">
        <x:v>A comprehensive project addressing the socio-environmental vulnerability of an informal settlement. It includes relocating residents from flood-prone areas, restoring the environment, and providing infrastructure and social services.</x:v>
      </x:c>
    </x:row>
    <x:row r="170" ht="52" customHeight="1">
      <x:c r="A170" s="14" t="str">
        <x:v>ipcc_0089</x:v>
      </x:c>
      <x:c r="B170" s="14" t="str">
        <x:v>Spatially redirect development</x:v>
      </x:c>
      <x:c r="C170" s="14" t="str">
        <x:v>Geohydrological Disasters</x:v>
      </x:c>
      <x:c r="D170" s="14" t="str">
        <x:v>Floods, flash floods, and urban flooding</x:v>
      </x:c>
      <x:c r="E170" s="14" t="str">
        <x:v>Exposure</x:v>
      </x:c>
      <x:c r="F170" s="15" t="str"/>
      <x:c r="G170" s="15" t="str"/>
      <x:c r="H170" s="14" t="str">
        <x:v>Direct</x:v>
      </x:c>
      <x:c r="I170" s="14" t="str">
        <x:v>No demonstrated effectiveness</x:v>
      </x:c>
      <x:c r="J170" s="14" t="str">
        <x:v>None</x:v>
      </x:c>
      <x:c r="K170" s="14" t="str">
        <x:v>No</x:v>
      </x:c>
      <x:c r="L170" s="14" t="str">
        <x:v>5-10 years</x:v>
      </x:c>
      <x:c r="M170" s="14" t="n">
        <x:v>0</x:v>
      </x:c>
      <x:c r="N170" s="14" t="n">
        <x:v>15</x:v>
      </x:c>
      <x:c r="O170" s="14" t="str">
        <x:v>Review directness | Evidence gap</x:v>
      </x:c>
      <x:c r="P170" s="14" t="str">
        <x:v>Households in risk areas | Urban population density</x:v>
      </x:c>
      <x:c r="Q170" s="14" t="str"/>
      <x:c r="R170" s="14" t="str">
        <x:v>Direct — Direct: the action definition explicitly implements a mechanism that changes Households in risk areas, without requiring another intervention.
Direct — Direct: the action definition explicitly implements a mechanism that changes Urban population density, without requiring another intervention.</x:v>
      </x:c>
      <x:c r="S170" s="14" t="str">
        <x:v>No relevant positive evidence was found in the screened source pages.</x:v>
      </x:c>
      <x:c r="T170" s="14"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171" ht="52" customHeight="1">
      <x:c r="A171" s="14" t="str">
        <x:v>ipcc_0089</x:v>
      </x:c>
      <x:c r="B171" s="14" t="str">
        <x:v>Spatially redirect development</x:v>
      </x:c>
      <x:c r="C171" s="14" t="str">
        <x:v>Geohydrological Disasters</x:v>
      </x:c>
      <x:c r="D171" s="14" t="str">
        <x:v>Floods, flash floods, and urban flooding</x:v>
      </x:c>
      <x:c r="E171" s="14" t="str">
        <x:v>Vulnerability</x:v>
      </x:c>
      <x:c r="F171" s="15" t="str"/>
      <x:c r="G171" s="15" t="str"/>
      <x:c r="H171" s="14" t="str">
        <x:v>Direct</x:v>
      </x:c>
      <x:c r="I171" s="14" t="str">
        <x:v>No demonstrated effectiveness</x:v>
      </x:c>
      <x:c r="J171" s="14" t="str">
        <x:v>None</x:v>
      </x:c>
      <x:c r="K171" s="14" t="str">
        <x:v>No</x:v>
      </x:c>
      <x:c r="L171" s="14" t="str">
        <x:v>5-10 years</x:v>
      </x:c>
      <x:c r="M171" s="14" t="n">
        <x:v>0</x:v>
      </x:c>
      <x:c r="N171" s="14" t="n">
        <x:v>15</x:v>
      </x:c>
      <x:c r="O171" s="14" t="str">
        <x:v>Review directness | Evidence gap</x:v>
      </x:c>
      <x:c r="P171" s="14" t="str">
        <x:v>Urban occupation management in risk areas | Actions to reduce risk | Land use and occupation</x:v>
      </x:c>
      <x:c r="Q171" s="14" t="str"/>
      <x:c r="R171" s="14" t="str">
        <x:v>Direct — Direct: the action definition explicitly implements a mechanism that changes Urban occupation management in risk areas, without requiring another intervention.
Direct — Direct: the action definition explicitly implements a mechanism that changes Actions to reduce risk, without requiring another intervention.
Direct — Direct: the action definition explicitly implements a mechanism that changes Land use and occupation, without requiring another intervention.</x:v>
      </x:c>
      <x:c r="S171" s="14" t="str">
        <x:v>No relevant positive evidence was found in the screened source pages.</x:v>
      </x:c>
      <x:c r="T171" s="14"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172" ht="52" customHeight="1">
      <x:c r="A172" s="14" t="str">
        <x:v>ipcc_0089</x:v>
      </x:c>
      <x:c r="B172" s="14" t="str">
        <x:v>Spatially redirect development</x:v>
      </x:c>
      <x:c r="C172" s="14" t="str">
        <x:v>Geohydrological Disasters</x:v>
      </x:c>
      <x:c r="D172" s="14" t="str">
        <x:v>Landslide</x:v>
      </x:c>
      <x:c r="E172" s="14" t="str">
        <x:v>Exposure</x:v>
      </x:c>
      <x:c r="F172" s="15" t="str"/>
      <x:c r="G172" s="15" t="str"/>
      <x:c r="H172" s="14" t="str">
        <x:v>Direct</x:v>
      </x:c>
      <x:c r="I172" s="14" t="str">
        <x:v>No demonstrated effectiveness</x:v>
      </x:c>
      <x:c r="J172" s="14" t="str">
        <x:v>None</x:v>
      </x:c>
      <x:c r="K172" s="14" t="str">
        <x:v>No</x:v>
      </x:c>
      <x:c r="L172" s="14" t="str">
        <x:v>5-10 years</x:v>
      </x:c>
      <x:c r="M172" s="14" t="n">
        <x:v>0</x:v>
      </x:c>
      <x:c r="N172" s="14" t="n">
        <x:v>15</x:v>
      </x:c>
      <x:c r="O172" s="14" t="str">
        <x:v>Review directness | Evidence gap</x:v>
      </x:c>
      <x:c r="P172" s="14" t="str">
        <x:v>Households in risk areas | Urban population density</x:v>
      </x:c>
      <x:c r="Q172" s="14" t="str"/>
      <x:c r="R172" s="14" t="str">
        <x:v>Direct — Direct: the action definition explicitly implements a mechanism that changes Households in risk areas, without requiring another intervention.
Direct — Direct: the action definition explicitly implements a mechanism that changes Urban population density, without requiring another intervention.</x:v>
      </x:c>
      <x:c r="S172" s="14" t="str">
        <x:v>No relevant positive evidence was found in the screened source pages.</x:v>
      </x:c>
      <x:c r="T172" s="14"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173" ht="52" customHeight="1">
      <x:c r="A173" s="14" t="str">
        <x:v>ipcc_0089</x:v>
      </x:c>
      <x:c r="B173" s="14" t="str">
        <x:v>Spatially redirect development</x:v>
      </x:c>
      <x:c r="C173" s="14" t="str">
        <x:v>Geohydrological Disasters</x:v>
      </x:c>
      <x:c r="D173" s="14" t="str">
        <x:v>Landslide</x:v>
      </x:c>
      <x:c r="E173" s="14" t="str">
        <x:v>Vulnerability</x:v>
      </x:c>
      <x:c r="F173" s="15" t="str"/>
      <x:c r="G173" s="15" t="str"/>
      <x:c r="H173" s="14" t="str">
        <x:v>Direct</x:v>
      </x:c>
      <x:c r="I173" s="14" t="str">
        <x:v>No demonstrated effectiveness</x:v>
      </x:c>
      <x:c r="J173" s="14" t="str">
        <x:v>None</x:v>
      </x:c>
      <x:c r="K173" s="14" t="str">
        <x:v>No</x:v>
      </x:c>
      <x:c r="L173" s="14" t="str">
        <x:v>5-10 years</x:v>
      </x:c>
      <x:c r="M173" s="14" t="n">
        <x:v>0</x:v>
      </x:c>
      <x:c r="N173" s="14" t="n">
        <x:v>15</x:v>
      </x:c>
      <x:c r="O173" s="14" t="str">
        <x:v>Review directness | Evidence gap</x:v>
      </x:c>
      <x:c r="P173" s="14" t="str">
        <x:v>Urban occupation management in risk areas | Actions to reduce risk | Land use and occupation</x:v>
      </x:c>
      <x:c r="Q173" s="14" t="str"/>
      <x:c r="R173" s="14" t="str">
        <x:v>Direct — Direct: the action definition explicitly implements a mechanism that changes Urban occupation management in risk areas, without requiring another intervention.
Direct — Direct: the action definition explicitly implements a mechanism that changes Actions to reduce risk, without requiring another intervention.
Direct — Direct: the action definition explicitly implements a mechanism that changes Land use and occupation, without requiring another intervention.</x:v>
      </x:c>
      <x:c r="S173" s="14" t="str">
        <x:v>No relevant positive evidence was found in the screened source pages.</x:v>
      </x:c>
      <x:c r="T173" s="14"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174" ht="52" customHeight="1">
      <x:c r="A174" s="14" t="str">
        <x:v>ipcc_0094</x:v>
      </x:c>
      <x:c r="B174" s="14" t="str">
        <x:v>Strengthen climate‑resilient health services</x:v>
      </x:c>
      <x:c r="C174" s="14" t="str">
        <x:v>Geohydrological Disasters</x:v>
      </x:c>
      <x:c r="D174" s="14" t="str">
        <x:v>Floods, flash floods, and urban flooding</x:v>
      </x:c>
      <x:c r="E174" s="14" t="str">
        <x:v>Vulnerability</x:v>
      </x:c>
      <x:c r="F174" s="15" t="str"/>
      <x:c r="G174" s="15" t="str"/>
      <x:c r="H174" s="14" t="str">
        <x:v>Direct</x:v>
      </x:c>
      <x:c r="I174" s="14" t="str">
        <x:v>No demonstrated effectiveness</x:v>
      </x:c>
      <x:c r="J174" s="14" t="str">
        <x:v>None</x:v>
      </x:c>
      <x:c r="K174" s="14" t="str">
        <x:v>No</x:v>
      </x:c>
      <x:c r="L174" s="14" t="str">
        <x:v>5-10 years</x:v>
      </x:c>
      <x:c r="M174" s="14" t="n">
        <x:v>0</x:v>
      </x:c>
      <x:c r="N174" s="14" t="n">
        <x:v>15</x:v>
      </x:c>
      <x:c r="O174" s="14" t="str">
        <x:v>Review directness | Evidence gap</x:v>
      </x:c>
      <x:c r="P174" s="14" t="str">
        <x:v>Healthcare facilities</x:v>
      </x:c>
      <x:c r="Q174" s="14" t="str"/>
      <x:c r="R174" s="14" t="str">
        <x:v>Direct — Direct: the action definition explicitly implements a mechanism that changes Healthcare facilities, without requiring another intervention.</x:v>
      </x:c>
      <x:c r="S174" s="14" t="str">
        <x:v>No relevant positive evidence was found in the screened source pages.</x:v>
      </x:c>
      <x:c r="T174" s="14"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175" ht="52" customHeight="1">
      <x:c r="A175" s="14" t="str">
        <x:v>ipcc_0094</x:v>
      </x:c>
      <x:c r="B175" s="14" t="str">
        <x:v>Strengthen climate‑resilient health services</x:v>
      </x:c>
      <x:c r="C175" s="14" t="str">
        <x:v>Geohydrological Disasters</x:v>
      </x:c>
      <x:c r="D175" s="14" t="str">
        <x:v>Landslide</x:v>
      </x:c>
      <x:c r="E175" s="14" t="str">
        <x:v>Vulnerability</x:v>
      </x:c>
      <x:c r="F175" s="15" t="str"/>
      <x:c r="G175" s="15" t="str"/>
      <x:c r="H175" s="14" t="str">
        <x:v>Direct</x:v>
      </x:c>
      <x:c r="I175" s="14" t="str">
        <x:v>No demonstrated effectiveness</x:v>
      </x:c>
      <x:c r="J175" s="14" t="str">
        <x:v>None</x:v>
      </x:c>
      <x:c r="K175" s="14" t="str">
        <x:v>No</x:v>
      </x:c>
      <x:c r="L175" s="14" t="str">
        <x:v>5-10 years</x:v>
      </x:c>
      <x:c r="M175" s="14" t="n">
        <x:v>0</x:v>
      </x:c>
      <x:c r="N175" s="14" t="n">
        <x:v>15</x:v>
      </x:c>
      <x:c r="O175" s="14" t="str">
        <x:v>Review directness | Evidence gap</x:v>
      </x:c>
      <x:c r="P175" s="14" t="str">
        <x:v>Healthcare facilities</x:v>
      </x:c>
      <x:c r="Q175" s="14" t="str"/>
      <x:c r="R175" s="14" t="str">
        <x:v>Direct — Direct: the action definition explicitly implements a mechanism that changes Healthcare facilities, without requiring another intervention.</x:v>
      </x:c>
      <x:c r="S175" s="14" t="str">
        <x:v>No relevant positive evidence was found in the screened source pages.</x:v>
      </x:c>
      <x:c r="T175" s="14"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176" ht="52" customHeight="1">
      <x:c r="A176" s="14" t="str">
        <x:v>ipcc_0103</x:v>
      </x:c>
      <x:c r="B176" s="14" t="str">
        <x:v>Strengthen cooperative climate governance</x:v>
      </x:c>
      <x:c r="C176" s="14" t="str">
        <x:v>Geohydrological Disasters</x:v>
      </x:c>
      <x:c r="D176" s="14" t="str">
        <x:v>Floods, flash floods, and urban flooding</x:v>
      </x:c>
      <x:c r="E176" s="14" t="str">
        <x:v>Vulnerability</x:v>
      </x:c>
      <x:c r="F176" s="15" t="str"/>
      <x:c r="G176" s="15" t="str"/>
      <x:c r="H176" s="14" t="str">
        <x:v>Direct</x:v>
      </x:c>
      <x:c r="I176" s="14" t="str">
        <x:v>No demonstrated effectiveness</x:v>
      </x:c>
      <x:c r="J176" s="14" t="str">
        <x:v>None</x:v>
      </x:c>
      <x:c r="K176" s="14" t="str">
        <x:v>No</x:v>
      </x:c>
      <x:c r="L176" s="14" t="str">
        <x:v>5-10 years</x:v>
      </x:c>
      <x:c r="M176" s="14" t="n">
        <x:v>0</x:v>
      </x:c>
      <x:c r="N176" s="14" t="n">
        <x:v>15</x:v>
      </x:c>
      <x:c r="O176" s="14" t="str">
        <x:v>Review directness | Evidence gap</x:v>
      </x:c>
      <x:c r="P176" s="14" t="str">
        <x:v>Institutions for risk management | Environmental governance</x:v>
      </x:c>
      <x:c r="Q176" s="14" t="str">
        <x:v>Land use and occupation</x:v>
      </x:c>
      <x:c r="R176" s="14" t="str">
        <x:v>Direct — Direct: the action definition explicitly implements a mechanism that changes Institutions for risk management, without requiring another intervention.
Indirect — Indirect: the action can influence Land use and occupation, but the stated mechanism does not directly change this indicator without an additional causal step.
Direct — Direct: the action definition explicitly implements a mechanism that changes Environmental governance, without requiring another intervention.</x:v>
      </x:c>
      <x:c r="S176" s="14" t="str">
        <x:v>No relevant positive evidence was found in the screened source pages.</x:v>
      </x:c>
      <x:c r="T176" s="14"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177" ht="52" customHeight="1">
      <x:c r="A177" s="14" t="str">
        <x:v>ipcc_0103</x:v>
      </x:c>
      <x:c r="B177" s="14" t="str">
        <x:v>Strengthen cooperative climate governance</x:v>
      </x:c>
      <x:c r="C177" s="14" t="str">
        <x:v>Geohydrological Disasters</x:v>
      </x:c>
      <x:c r="D177" s="14" t="str">
        <x:v>Landslide</x:v>
      </x:c>
      <x:c r="E177" s="14" t="str">
        <x:v>Vulnerability</x:v>
      </x:c>
      <x:c r="F177" s="15" t="str"/>
      <x:c r="G177" s="15" t="str"/>
      <x:c r="H177" s="14" t="str">
        <x:v>Direct</x:v>
      </x:c>
      <x:c r="I177" s="14" t="str">
        <x:v>No demonstrated effectiveness</x:v>
      </x:c>
      <x:c r="J177" s="14" t="str">
        <x:v>None</x:v>
      </x:c>
      <x:c r="K177" s="14" t="str">
        <x:v>No</x:v>
      </x:c>
      <x:c r="L177" s="14" t="str">
        <x:v>5-10 years</x:v>
      </x:c>
      <x:c r="M177" s="14" t="n">
        <x:v>0</x:v>
      </x:c>
      <x:c r="N177" s="14" t="n">
        <x:v>15</x:v>
      </x:c>
      <x:c r="O177" s="14" t="str">
        <x:v>Review directness | Evidence gap</x:v>
      </x:c>
      <x:c r="P177" s="14" t="str">
        <x:v>Institutions for risk management | Environmental governance</x:v>
      </x:c>
      <x:c r="Q177" s="14" t="str">
        <x:v>Land use and occupation</x:v>
      </x:c>
      <x:c r="R177" s="14" t="str">
        <x:v>Direct — Direct: the action definition explicitly implements a mechanism that changes Institutions for risk management, without requiring another intervention.
Indirect — Indirect: the action can influence Land use and occupation, but the stated mechanism does not directly change this indicator without an additional causal step.
Direct — Direct: the action definition explicitly implements a mechanism that changes Environmental governance, without requiring another intervention.</x:v>
      </x:c>
      <x:c r="S177" s="14" t="str">
        <x:v>No relevant positive evidence was found in the screened source pages.</x:v>
      </x:c>
      <x:c r="T177" s="14"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178" ht="52" customHeight="1">
      <x:c r="A178" s="14" t="str">
        <x:v>icare_0162</x:v>
      </x:c>
      <x:c r="B178" s="14" t="str">
        <x:v>Strengthen programs for control and conservation of protected areas</x:v>
      </x:c>
      <x:c r="C178" s="14" t="str">
        <x:v>Geohydrological Disasters</x:v>
      </x:c>
      <x:c r="D178" s="14" t="str">
        <x:v>Floods, flash floods, and urban flooding</x:v>
      </x:c>
      <x:c r="E178" s="14" t="str">
        <x:v>Vulnerability</x:v>
      </x:c>
      <x:c r="F178" s="15" t="str"/>
      <x:c r="G178" s="15" t="str"/>
      <x:c r="H178" s="14" t="str">
        <x:v>Direct</x:v>
      </x:c>
      <x:c r="I178" s="14" t="str">
        <x:v>No demonstrated effectiveness</x:v>
      </x:c>
      <x:c r="J178" s="14" t="str">
        <x:v>None</x:v>
      </x:c>
      <x:c r="K178" s="14" t="str">
        <x:v>No</x:v>
      </x:c>
      <x:c r="L178" s="14" t="str">
        <x:v>5-10 years</x:v>
      </x:c>
      <x:c r="M178" s="14" t="n">
        <x:v>0</x:v>
      </x:c>
      <x:c r="N178" s="14" t="n">
        <x:v>15</x:v>
      </x:c>
      <x:c r="O178" s="14" t="str">
        <x:v>Review directness | Evidence gap</x:v>
      </x:c>
      <x:c r="P178" s="14" t="str">
        <x:v>Land use and occupation | Environmental governance</x:v>
      </x:c>
      <x:c r="Q178" s="14" t="str">
        <x:v>Actions to reduce risk</x:v>
      </x:c>
      <x:c r="R178" s="14" t="str">
        <x:v>Indirect — Indirect: the action can influence Actions to reduce risk, but the stated mechanism does not directly change this indicator without an additional causal step.
Direct — Direct: the action definition explicitly implements a mechanism that changes Land use and occupation, without requiring another intervention.
Direct — Direct: the action definition explicitly implements a mechanism that changes Environmental governance, without requiring another intervention.</x:v>
      </x:c>
      <x:c r="S178" s="14" t="str">
        <x:v>No relevant positive evidence was found in the screened source pages.</x:v>
      </x:c>
      <x:c r="T178" s="14"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179" ht="52" customHeight="1">
      <x:c r="A179" s="14" t="str">
        <x:v>icare_0162</x:v>
      </x:c>
      <x:c r="B179" s="14" t="str">
        <x:v>Strengthen programs for control and conservation of protected areas</x:v>
      </x:c>
      <x:c r="C179" s="14" t="str">
        <x:v>Geohydrological Disasters</x:v>
      </x:c>
      <x:c r="D179" s="14" t="str">
        <x:v>Landslide</x:v>
      </x:c>
      <x:c r="E179" s="14" t="str">
        <x:v>Vulnerability</x:v>
      </x:c>
      <x:c r="F179" s="15" t="str"/>
      <x:c r="G179" s="15" t="str"/>
      <x:c r="H179" s="14" t="str">
        <x:v>Direct</x:v>
      </x:c>
      <x:c r="I179" s="14" t="str">
        <x:v>No demonstrated effectiveness</x:v>
      </x:c>
      <x:c r="J179" s="14" t="str">
        <x:v>None</x:v>
      </x:c>
      <x:c r="K179" s="14" t="str">
        <x:v>No</x:v>
      </x:c>
      <x:c r="L179" s="14" t="str">
        <x:v>5-10 years</x:v>
      </x:c>
      <x:c r="M179" s="14" t="n">
        <x:v>0</x:v>
      </x:c>
      <x:c r="N179" s="14" t="n">
        <x:v>15</x:v>
      </x:c>
      <x:c r="O179" s="14" t="str">
        <x:v>Review directness | Evidence gap</x:v>
      </x:c>
      <x:c r="P179" s="14" t="str">
        <x:v>Land use and occupation | Environmental governance</x:v>
      </x:c>
      <x:c r="Q179" s="14" t="str">
        <x:v>Actions to reduce risk</x:v>
      </x:c>
      <x:c r="R179" s="14" t="str">
        <x:v>Indirect — Indirect: the action can influence Actions to reduce risk, but the stated mechanism does not directly change this indicator without an additional causal step.
Direct — Direct: the action definition explicitly implements a mechanism that changes Land use and occupation, without requiring another intervention.
Direct — Direct: the action definition explicitly implements a mechanism that changes Environmental governance, without requiring another intervention.</x:v>
      </x:c>
      <x:c r="S179" s="14" t="str">
        <x:v>No relevant positive evidence was found in the screened source pages.</x:v>
      </x:c>
      <x:c r="T179" s="14"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180" ht="52" customHeight="1">
      <x:c r="A180" s="14" t="str">
        <x:v>icare_0145</x:v>
      </x:c>
      <x:c r="B180" s="14" t="str">
        <x:v>Strengthen the healthcare system to respond effectively to extreme events</x:v>
      </x:c>
      <x:c r="C180" s="14" t="str">
        <x:v>Geohydrological Disasters</x:v>
      </x:c>
      <x:c r="D180" s="14" t="str">
        <x:v>Floods, flash floods, and urban flooding</x:v>
      </x:c>
      <x:c r="E180" s="14" t="str">
        <x:v>Vulnerability</x:v>
      </x:c>
      <x:c r="F180" s="15" t="str"/>
      <x:c r="G180" s="15" t="str"/>
      <x:c r="H180" s="14" t="str">
        <x:v>Direct</x:v>
      </x:c>
      <x:c r="I180" s="14" t="str">
        <x:v>No demonstrated effectiveness</x:v>
      </x:c>
      <x:c r="J180" s="14" t="str">
        <x:v>None</x:v>
      </x:c>
      <x:c r="K180" s="14" t="str">
        <x:v>No</x:v>
      </x:c>
      <x:c r="L180" s="14" t="str">
        <x:v>&gt;10 years</x:v>
      </x:c>
      <x:c r="M180" s="14" t="n">
        <x:v>0</x:v>
      </x:c>
      <x:c r="N180" s="14" t="n">
        <x:v>15</x:v>
      </x:c>
      <x:c r="O180" s="14" t="str">
        <x:v>Review directness | Evidence gap</x:v>
      </x:c>
      <x:c r="P180" s="14" t="str">
        <x:v>Contingency plan | Healthcare facilities</x:v>
      </x:c>
      <x:c r="Q180" s="14" t="str"/>
      <x:c r="R180" s="14" t="str">
        <x:v>Direct — Direct: the action definition explicitly implements a mechanism that changes Contingency plan, without requiring another intervention.
Direct — Direct: the action definition explicitly implements a mechanism that changes Healthcare facilities, without requiring another intervention.</x:v>
      </x:c>
      <x:c r="S180" s="14" t="str">
        <x:v>No relevant positive evidence was found in the screened source pages.</x:v>
      </x:c>
      <x:c r="T180" s="14"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181" ht="52" customHeight="1">
      <x:c r="A181" s="14" t="str">
        <x:v>icare_0145</x:v>
      </x:c>
      <x:c r="B181" s="14" t="str">
        <x:v>Strengthen the healthcare system to respond effectively to extreme events</x:v>
      </x:c>
      <x:c r="C181" s="14" t="str">
        <x:v>Geohydrological Disasters</x:v>
      </x:c>
      <x:c r="D181" s="14" t="str">
        <x:v>Landslide</x:v>
      </x:c>
      <x:c r="E181" s="14" t="str">
        <x:v>Vulnerability</x:v>
      </x:c>
      <x:c r="F181" s="15" t="str"/>
      <x:c r="G181" s="15" t="str"/>
      <x:c r="H181" s="14" t="str">
        <x:v>Direct</x:v>
      </x:c>
      <x:c r="I181" s="14" t="str">
        <x:v>No demonstrated effectiveness</x:v>
      </x:c>
      <x:c r="J181" s="14" t="str">
        <x:v>None</x:v>
      </x:c>
      <x:c r="K181" s="14" t="str">
        <x:v>No</x:v>
      </x:c>
      <x:c r="L181" s="14" t="str">
        <x:v>&gt;10 years</x:v>
      </x:c>
      <x:c r="M181" s="14" t="n">
        <x:v>0</x:v>
      </x:c>
      <x:c r="N181" s="14" t="n">
        <x:v>15</x:v>
      </x:c>
      <x:c r="O181" s="14" t="str">
        <x:v>Review directness | Evidence gap</x:v>
      </x:c>
      <x:c r="P181" s="14" t="str">
        <x:v>Contingency plan | Healthcare facilities</x:v>
      </x:c>
      <x:c r="Q181" s="14" t="str"/>
      <x:c r="R181" s="14" t="str">
        <x:v>Direct — Direct: the action definition explicitly implements a mechanism that changes Contingency plan, without requiring another intervention.
Direct — Direct: the action definition explicitly implements a mechanism that changes Healthcare facilities, without requiring another intervention.</x:v>
      </x:c>
      <x:c r="S181" s="14" t="str">
        <x:v>No relevant positive evidence was found in the screened source pages.</x:v>
      </x:c>
      <x:c r="T181" s="14"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182" ht="52" customHeight="1">
      <x:c r="A182" s="14" t="str">
        <x:v>ipcc_0091</x:v>
      </x:c>
      <x:c r="B182" s="14" t="str">
        <x:v>Support livelihood diversification for climate resilience</x:v>
      </x:c>
      <x:c r="C182" s="14" t="str">
        <x:v>Geohydrological Disasters</x:v>
      </x:c>
      <x:c r="D182" s="14" t="str">
        <x:v>Floods, flash floods, and urban flooding</x:v>
      </x:c>
      <x:c r="E182" s="14" t="str">
        <x:v>Vulnerability</x:v>
      </x:c>
      <x:c r="F182" s="15" t="str"/>
      <x:c r="G182" s="15" t="str"/>
      <x:c r="H182" s="14" t="str">
        <x:v>Direct</x:v>
      </x:c>
      <x:c r="I182" s="14" t="str">
        <x:v>No demonstrated effectiveness</x:v>
      </x:c>
      <x:c r="J182" s="14" t="str">
        <x:v>None</x:v>
      </x:c>
      <x:c r="K182" s="14" t="str">
        <x:v>No</x:v>
      </x:c>
      <x:c r="L182" s="14" t="str">
        <x:v>&lt;5 years</x:v>
      </x:c>
      <x:c r="M182" s="14" t="n">
        <x:v>0</x:v>
      </x:c>
      <x:c r="N182" s="14" t="n">
        <x:v>15</x:v>
      </x:c>
      <x:c r="O182" s="14" t="str">
        <x:v>Review directness | Evidence gap</x:v>
      </x:c>
      <x:c r="P182" s="14" t="str">
        <x:v>Employment and income</x:v>
      </x:c>
      <x:c r="Q182" s="14" t="str">
        <x:v>Gross domestic product by urban area | Income inequality</x:v>
      </x:c>
      <x:c r="R182" s="14" t="str">
        <x:v>Direct — Direct: the action definition explicitly implements a mechanism that changes Employment and income, without requiring another intervention.
Indirect — Indirect: the action can influence Gross domestic product by urban area, but the stated mechanism does not directly change this indicator without an additional causal step.
Indirect — Indirect: the action can influence Income inequality, but the stated mechanism does not directly change this indicator without an additional causal step.</x:v>
      </x:c>
      <x:c r="S182" s="14" t="str">
        <x:v>No relevant positive evidence was found in the screened source pages.</x:v>
      </x:c>
      <x:c r="T182" s="14"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183" ht="52" customHeight="1">
      <x:c r="A183" s="14" t="str">
        <x:v>ipcc_0091</x:v>
      </x:c>
      <x:c r="B183" s="14" t="str">
        <x:v>Support livelihood diversification for climate resilience</x:v>
      </x:c>
      <x:c r="C183" s="14" t="str">
        <x:v>Geohydrological Disasters</x:v>
      </x:c>
      <x:c r="D183" s="14" t="str">
        <x:v>Landslide</x:v>
      </x:c>
      <x:c r="E183" s="14" t="str">
        <x:v>Vulnerability</x:v>
      </x:c>
      <x:c r="F183" s="15" t="str"/>
      <x:c r="G183" s="15" t="str"/>
      <x:c r="H183" s="14" t="str">
        <x:v>Direct</x:v>
      </x:c>
      <x:c r="I183" s="14" t="str">
        <x:v>No demonstrated effectiveness</x:v>
      </x:c>
      <x:c r="J183" s="14" t="str">
        <x:v>None</x:v>
      </x:c>
      <x:c r="K183" s="14" t="str">
        <x:v>No</x:v>
      </x:c>
      <x:c r="L183" s="14" t="str">
        <x:v>&lt;5 years</x:v>
      </x:c>
      <x:c r="M183" s="14" t="n">
        <x:v>0</x:v>
      </x:c>
      <x:c r="N183" s="14" t="n">
        <x:v>15</x:v>
      </x:c>
      <x:c r="O183" s="14" t="str">
        <x:v>Review directness | Evidence gap</x:v>
      </x:c>
      <x:c r="P183" s="14" t="str">
        <x:v>Employment and income</x:v>
      </x:c>
      <x:c r="Q183" s="14" t="str">
        <x:v>Gross domestic product by urban area | Income inequality</x:v>
      </x:c>
      <x:c r="R183" s="14" t="str">
        <x:v>Direct — Direct: the action definition explicitly implements a mechanism that changes Employment and income, without requiring another intervention.
Indirect — Indirect: the action can influence Gross domestic product by urban area, but the stated mechanism does not directly change this indicator without an additional causal step.
Indirect — Indirect: the action can influence Income inequality, but the stated mechanism does not directly change this indicator without an additional causal step.</x:v>
      </x:c>
      <x:c r="S183" s="14" t="str">
        <x:v>No relevant positive evidence was found in the screened source pages.</x:v>
      </x:c>
      <x:c r="T183" s="14"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184" ht="52" customHeight="1">
      <x:c r="A184" s="14" t="str">
        <x:v>ipcc_0088</x:v>
      </x:c>
      <x:c r="B184" s="14" t="str">
        <x:v>Update and enforce climate‑resilient building codes</x:v>
      </x:c>
      <x:c r="C184" s="14" t="str">
        <x:v>Geohydrological Disasters</x:v>
      </x:c>
      <x:c r="D184" s="14" t="str">
        <x:v>Floods, flash floods, and urban flooding</x:v>
      </x:c>
      <x:c r="E184" s="14" t="str">
        <x:v>Vulnerability</x:v>
      </x:c>
      <x:c r="F184" s="15" t="str"/>
      <x:c r="G184" s="15" t="str"/>
      <x:c r="H184" s="14" t="str">
        <x:v>Direct</x:v>
      </x:c>
      <x:c r="I184" s="14" t="str">
        <x:v>No demonstrated effectiveness</x:v>
      </x:c>
      <x:c r="J184" s="14" t="str">
        <x:v>None</x:v>
      </x:c>
      <x:c r="K184" s="14" t="str">
        <x:v>No</x:v>
      </x:c>
      <x:c r="L184" s="14" t="str">
        <x:v>5-10 years</x:v>
      </x:c>
      <x:c r="M184" s="14" t="n">
        <x:v>0</x:v>
      </x:c>
      <x:c r="N184" s="14" t="n">
        <x:v>15</x:v>
      </x:c>
      <x:c r="O184" s="14" t="str">
        <x:v>Review directness | Evidence gap</x:v>
      </x:c>
      <x:c r="P184" s="14" t="str">
        <x:v>Urban occupation management in risk areas | Actions to reduce risk | Land use and occupation | Housing governance | Inappropriate households</x:v>
      </x:c>
      <x:c r="Q184" s="14" t="str"/>
      <x:c r="R184" s="14" t="str">
        <x:v>Direct — Direct: the action definition explicitly implements a mechanism that changes Urban occupation management in risk areas, without requiring another intervention.
Direct — Direct: the action definition explicitly implements a mechanism that changes Actions to reduce risk, without requiring another intervention.
Direct — Direct: the action definition explicitly implements a mechanism that changes Land use and occupation, without requiring another intervention.
Direct — Direct: the action definition explicitly implements a mechanism that changes Housing governance, without requiring another intervention.
Direct — Direct: the action definition explicitly implements a mechanism that changes Inappropriate households, without requiring another intervention.</x:v>
      </x:c>
      <x:c r="S184" s="14" t="str">
        <x:v>No relevant positive evidence was found in the screened source pages.</x:v>
      </x:c>
      <x:c r="T184" s="14" t="str">
        <x: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x:v>
      </x:c>
    </x:row>
    <x:row r="185" ht="52" customHeight="1">
      <x:c r="A185" s="14" t="str">
        <x:v>ipcc_0088</x:v>
      </x:c>
      <x:c r="B185" s="14" t="str">
        <x:v>Update and enforce climate‑resilient building codes</x:v>
      </x:c>
      <x:c r="C185" s="14" t="str">
        <x:v>Geohydrological Disasters</x:v>
      </x:c>
      <x:c r="D185" s="14" t="str">
        <x:v>Landslide</x:v>
      </x:c>
      <x:c r="E185" s="14" t="str">
        <x:v>Vulnerability</x:v>
      </x:c>
      <x:c r="F185" s="15" t="str"/>
      <x:c r="G185" s="15" t="str"/>
      <x:c r="H185" s="14" t="str">
        <x:v>Direct</x:v>
      </x:c>
      <x:c r="I185" s="14" t="str">
        <x:v>No demonstrated effectiveness</x:v>
      </x:c>
      <x:c r="J185" s="14" t="str">
        <x:v>None</x:v>
      </x:c>
      <x:c r="K185" s="14" t="str">
        <x:v>No</x:v>
      </x:c>
      <x:c r="L185" s="14" t="str">
        <x:v>5-10 years</x:v>
      </x:c>
      <x:c r="M185" s="14" t="n">
        <x:v>0</x:v>
      </x:c>
      <x:c r="N185" s="14" t="n">
        <x:v>15</x:v>
      </x:c>
      <x:c r="O185" s="14" t="str">
        <x:v>Review directness | Evidence gap</x:v>
      </x:c>
      <x:c r="P185" s="14" t="str">
        <x:v>Urban occupation management in risk areas | Actions to reduce risk | Land use and occupation | Housing governance | Inappropriate households</x:v>
      </x:c>
      <x:c r="Q185" s="14" t="str"/>
      <x:c r="R185" s="14" t="str">
        <x:v>Direct — Direct: the action definition explicitly implements a mechanism that changes Urban occupation management in risk areas, without requiring another intervention.
Direct — Direct: the action definition explicitly implements a mechanism that changes Actions to reduce risk, without requiring another intervention.
Direct — Direct: the action definition explicitly implements a mechanism that changes Land use and occupation, without requiring another intervention.
Direct — Direct: the action definition explicitly implements a mechanism that changes Housing governance, without requiring another intervention.
Direct — Direct: the action definition explicitly implements a mechanism that changes Inappropriate households, without requiring another intervention.</x:v>
      </x:c>
      <x:c r="S185" s="14" t="str">
        <x:v>No relevant positive evidence was found in the screened source pages.</x:v>
      </x:c>
      <x:c r="T185" s="14" t="str">
        <x: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x:v>
      </x:c>
    </x:row>
    <x:row r="186" ht="52" customHeight="1">
      <x:c r="A186" s="14" t="str">
        <x:v>icare_0184</x:v>
      </x:c>
      <x:c r="B186" s="14" t="str">
        <x:v>Upgrade Slope stabilization and drainage</x:v>
      </x:c>
      <x:c r="C186" s="14" t="str">
        <x:v>Geohydrological Disasters</x:v>
      </x:c>
      <x:c r="D186" s="14" t="str">
        <x:v>Floods, flash floods, and urban flooding</x:v>
      </x:c>
      <x:c r="E186" s="14" t="str">
        <x:v>Vulnerability</x:v>
      </x:c>
      <x:c r="F186" s="15" t="str"/>
      <x:c r="G186" s="15" t="str"/>
      <x:c r="H186" s="14" t="str">
        <x:v>Direct</x:v>
      </x:c>
      <x:c r="I186" s="14" t="str">
        <x:v>No demonstrated effectiveness</x:v>
      </x:c>
      <x:c r="J186" s="14" t="str">
        <x:v>Single source</x:v>
      </x:c>
      <x:c r="K186" s="14" t="str">
        <x:v>No</x:v>
      </x:c>
      <x:c r="L186" s="14" t="str">
        <x:v>5-10 years</x:v>
      </x:c>
      <x:c r="M186" s="14" t="n">
        <x:v>2</x:v>
      </x:c>
      <x:c r="N186" s="14" t="n">
        <x:v>15</x:v>
      </x:c>
      <x:c r="O186" s="14" t="str">
        <x:v>Review directness | Evidence gap</x:v>
      </x:c>
      <x:c r="P186" s="14" t="str">
        <x:v>Actions to reduce risk | Drainage</x:v>
      </x:c>
      <x:c r="Q186" s="14" t="str">
        <x:v>Land use and occupation</x:v>
      </x:c>
      <x:c r="R186" s="14" t="str">
        <x:v>Direct — Direct: the action definition explicitly implements a mechanism that changes Actions to reduce risk, without requiring another intervention.
Indirect — Indirect: the action can influence Land use and occupation, but the stated mechanism does not directly change this indicator without an additional causal step.
Direct — Direct: the action definition explicitly implements a mechanism that changes Drainage, without requiring another intervention.</x:v>
      </x:c>
      <x:c r="S186" s="14" t="str">
        <x:v>Relevant evidence supports the direction of effect but does not demonstrate its effectiveness level.</x:v>
      </x:c>
      <x:c r="T186" s="14" t="str">
        <x:v>This action involves stabilizing slopes and maintaining or restoring drainage systems in hillside areas. This helps to prevent landslides and erosion, reducing the risk of disasters.</x:v>
      </x:c>
    </x:row>
    <x:row r="187" ht="52" customHeight="1">
      <x:c r="A187" s="14" t="str">
        <x:v>icare_0184</x:v>
      </x:c>
      <x:c r="B187" s="14" t="str">
        <x:v>Upgrade Slope stabilization and drainage</x:v>
      </x:c>
      <x:c r="C187" s="14" t="str">
        <x:v>Geohydrological Disasters</x:v>
      </x:c>
      <x:c r="D187" s="14" t="str">
        <x:v>Landslide</x:v>
      </x:c>
      <x:c r="E187" s="14" t="str">
        <x:v>Vulnerability</x:v>
      </x:c>
      <x:c r="F187" s="15" t="str"/>
      <x:c r="G187" s="15" t="str"/>
      <x:c r="H187" s="14" t="str">
        <x:v>Direct</x:v>
      </x:c>
      <x:c r="I187" s="14" t="str">
        <x:v>No demonstrated effectiveness</x:v>
      </x:c>
      <x:c r="J187" s="14" t="str">
        <x:v>None</x:v>
      </x:c>
      <x:c r="K187" s="14" t="str">
        <x:v>No</x:v>
      </x:c>
      <x:c r="L187" s="14" t="str">
        <x:v>5-10 years</x:v>
      </x:c>
      <x:c r="M187" s="14" t="n">
        <x:v>0</x:v>
      </x:c>
      <x:c r="N187" s="14" t="n">
        <x:v>15</x:v>
      </x:c>
      <x:c r="O187" s="14" t="str">
        <x:v>Review directness | Evidence gap</x:v>
      </x:c>
      <x:c r="P187" s="14" t="str">
        <x:v>Actions to reduce risk | Drainage</x:v>
      </x:c>
      <x:c r="Q187" s="14" t="str">
        <x:v>Land use and occupation</x:v>
      </x:c>
      <x:c r="R187" s="14" t="str">
        <x:v>Direct — Direct: the action definition explicitly implements a mechanism that changes Actions to reduce risk, without requiring another intervention.
Indirect — Indirect: the action can influence Land use and occupation, but the stated mechanism does not directly change this indicator without an additional causal step.
Direct — Direct: the action definition explicitly implements a mechanism that changes Drainage, without requiring another intervention.</x:v>
      </x:c>
      <x:c r="S187" s="14" t="str">
        <x:v>No relevant positive evidence was found in the screened source pages.</x:v>
      </x:c>
      <x:c r="T187" s="14" t="str">
        <x:v>This action involves stabilizing slopes and maintaining or restoring drainage systems in hillside areas. This helps to prevent landslides and erosion, reducing the risk of disasters.</x:v>
      </x:c>
    </x:row>
    <x:row r="188" ht="52" customHeight="1">
      <x:c r="A188" s="14" t="str">
        <x:v>c40_0048</x:v>
      </x:c>
      <x:c r="B188" s="14" t="str">
        <x:v>Upgrade urban drainage systems</x:v>
      </x:c>
      <x:c r="C188" s="14" t="str">
        <x:v>Geohydrological Disasters</x:v>
      </x:c>
      <x:c r="D188" s="14" t="str">
        <x:v>Floods, flash floods, and urban flooding</x:v>
      </x:c>
      <x:c r="E188" s="14" t="str">
        <x:v>Vulnerability</x:v>
      </x:c>
      <x:c r="F188" s="15" t="str"/>
      <x:c r="G188" s="15" t="str"/>
      <x:c r="H188" s="14" t="str">
        <x:v>Direct</x:v>
      </x:c>
      <x:c r="I188" s="14" t="str">
        <x:v>No demonstrated effectiveness</x:v>
      </x:c>
      <x:c r="J188" s="14" t="str">
        <x:v>Single source</x:v>
      </x:c>
      <x:c r="K188" s="14" t="str">
        <x:v>No</x:v>
      </x:c>
      <x:c r="L188" s="14" t="str">
        <x:v>5-10 years</x:v>
      </x:c>
      <x:c r="M188" s="14" t="n">
        <x:v>2</x:v>
      </x:c>
      <x:c r="N188" s="14" t="n">
        <x:v>15</x:v>
      </x:c>
      <x:c r="O188" s="14" t="str">
        <x:v>Review directness | Evidence gap</x:v>
      </x:c>
      <x:c r="P188" s="14" t="str">
        <x:v>Actions to reduce risk | Drainage</x:v>
      </x:c>
      <x:c r="Q188" s="14" t="str"/>
      <x:c r="R188" s="14" t="str">
        <x:v>Direct — Direct: the action definition explicitly implements a mechanism that changes Actions to reduce risk, without requiring another intervention.
Direct — Direct: the action definition explicitly implements a mechanism that changes Drainage, without requiring another intervention.</x:v>
      </x:c>
      <x:c r="S188" s="14" t="str">
        <x:v>Relevant evidence supports the direction of effect but does not demonstrate its effectiveness level.</x:v>
      </x:c>
      <x:c r="T188" s="14" t="str">
        <x:v>"Upgrade urban drainage systems" involves eco-engineering solutions to enhance drainage systems, through capacity upgrade and network expansion. This adaptation measure aims to improve urban resilience by minimizing the impact of extreme weather events such as flooding.</x:v>
      </x:c>
    </x:row>
    <x:row r="189" ht="52" customHeight="1">
      <x:c r="A189" s="14" t="str">
        <x:v>icare_0170</x:v>
      </x:c>
      <x:c r="B189" s="14" t="str">
        <x:v>Build safe housing and implement urban rehabilitation projects for populations living in high-risk areas</x:v>
      </x:c>
      <x:c r="C189" s="14" t="str">
        <x:v>Health</x:v>
      </x:c>
      <x:c r="D189" s="14" t="str">
        <x:v>American cutaneous leishmaniasis</x:v>
      </x:c>
      <x:c r="E189" s="14" t="str">
        <x:v>Exposure</x:v>
      </x:c>
      <x:c r="F189" s="15" t="str"/>
      <x:c r="G189" s="15" t="str"/>
      <x:c r="H189" s="14" t="str">
        <x:v>Direct</x:v>
      </x:c>
      <x:c r="I189" s="14" t="str">
        <x:v>No demonstrated effectiveness</x:v>
      </x:c>
      <x:c r="J189" s="14" t="str">
        <x:v>None</x:v>
      </x:c>
      <x:c r="K189" s="14" t="str">
        <x:v>No</x:v>
      </x:c>
      <x:c r="L189" s="14" t="str">
        <x:v>&gt;10 years</x:v>
      </x:c>
      <x:c r="M189" s="14" t="n">
        <x:v>0</x:v>
      </x:c>
      <x:c r="N189" s="14" t="n">
        <x:v>12</x:v>
      </x:c>
      <x:c r="O189" s="14" t="str">
        <x:v>Review directness | Evidence gap</x:v>
      </x:c>
      <x:c r="P189" s="14" t="str">
        <x:v>Settlements | Informal settlements</x:v>
      </x:c>
      <x:c r="Q189" s="14" t="str"/>
      <x:c r="R189" s="14" t="str">
        <x:v>Direct — Direct: the action definition explicitly implements a mechanism that changes Settlements, without requiring another intervention.
Direct — Direct: the action definition explicitly implements a mechanism that changes Informal settlements, without requiring another intervention.</x:v>
      </x:c>
      <x:c r="S189" s="14" t="str">
        <x:v>No relevant positive evidence was found in the screened source pages.</x:v>
      </x:c>
      <x:c r="T189" s="14"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90" ht="52" customHeight="1">
      <x:c r="A190" s="14" t="str">
        <x:v>icare_0170</x:v>
      </x:c>
      <x:c r="B190" s="14" t="str">
        <x:v>Build safe housing and implement urban rehabilitation projects for populations living in high-risk areas</x:v>
      </x:c>
      <x:c r="C190" s="14" t="str">
        <x:v>Health</x:v>
      </x:c>
      <x:c r="D190" s="14" t="str">
        <x:v>American cutaneous leishmaniasis</x:v>
      </x:c>
      <x:c r="E190" s="14" t="str">
        <x:v>Vulnerability</x:v>
      </x:c>
      <x:c r="F190" s="15" t="str"/>
      <x:c r="G190" s="15" t="str"/>
      <x:c r="H190" s="14" t="str">
        <x:v>Indirect</x:v>
      </x:c>
      <x:c r="I190" s="14" t="str">
        <x:v>Not assessed</x:v>
      </x:c>
      <x:c r="J190" s="14" t="str">
        <x:v>Not assessed</x:v>
      </x:c>
      <x:c r="K190" s="14" t="str">
        <x:v>No</x:v>
      </x:c>
      <x:c r="L190" s="14" t="str">
        <x:v>&gt;10 years</x:v>
      </x:c>
      <x:c r="M190" s="14" t="n">
        <x:v>0</x:v>
      </x:c>
      <x:c r="N190" s="14" t="n">
        <x:v>0</x:v>
      </x:c>
      <x:c r="O190" s="14" t="str">
        <x:v>Review directness</x:v>
      </x:c>
      <x:c r="P190" s="14" t="str"/>
      <x:c r="Q190" s="14" t="str">
        <x:v>Households without access to garbage collection</x:v>
      </x:c>
      <x:c r="R190" s="14" t="str">
        <x:v>Indirect — Indirect: the action can influence Households without access to garbage collection, but the stated mechanism does not directly change this indicator without an additional causal step.</x:v>
      </x:c>
      <x:c r="S190" s="14" t="str">
        <x:v>Effectiveness is not assessed because this relationship is not Direct.</x:v>
      </x:c>
      <x:c r="T190" s="14"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91" ht="52" customHeight="1">
      <x:c r="A191" s="14" t="str">
        <x:v>icare_0170</x:v>
      </x:c>
      <x:c r="B191" s="14" t="str">
        <x:v>Build safe housing and implement urban rehabilitation projects for populations living in high-risk areas</x:v>
      </x:c>
      <x:c r="C191" s="14" t="str">
        <x:v>Health</x:v>
      </x:c>
      <x:c r="D191" s="14" t="str">
        <x:v>Arboviruses dengue, zika and chikungunya</x:v>
      </x:c>
      <x:c r="E191" s="14" t="str">
        <x:v>Exposure</x:v>
      </x:c>
      <x:c r="F191" s="15" t="str"/>
      <x:c r="G191" s="15" t="str"/>
      <x:c r="H191" s="14" t="str">
        <x:v>Direct</x:v>
      </x:c>
      <x:c r="I191" s="14" t="str">
        <x:v>No demonstrated effectiveness</x:v>
      </x:c>
      <x:c r="J191" s="14" t="str">
        <x:v>None</x:v>
      </x:c>
      <x:c r="K191" s="14" t="str">
        <x:v>No</x:v>
      </x:c>
      <x:c r="L191" s="14" t="str">
        <x:v>&gt;10 years</x:v>
      </x:c>
      <x:c r="M191" s="14" t="n">
        <x:v>0</x:v>
      </x:c>
      <x:c r="N191" s="14" t="n">
        <x:v>12</x:v>
      </x:c>
      <x:c r="O191" s="14" t="str">
        <x:v>Review directness | Evidence gap</x:v>
      </x:c>
      <x:c r="P191" s="14" t="str">
        <x:v>Population density | Informal settlements</x:v>
      </x:c>
      <x:c r="Q191" s="14" t="str"/>
      <x:c r="R191" s="14" t="str">
        <x:v>Direct — Direct: the action definition explicitly implements a mechanism that changes Population density, without requiring another intervention.
Direct — Direct: the action definition explicitly implements a mechanism that changes Informal settlements, without requiring another intervention.</x:v>
      </x:c>
      <x:c r="S191" s="14" t="str">
        <x:v>No relevant positive evidence was found in the screened source pages.</x:v>
      </x:c>
      <x:c r="T191" s="14"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92" ht="52" customHeight="1">
      <x:c r="A192" s="14" t="str">
        <x:v>icare_0170</x:v>
      </x:c>
      <x:c r="B192" s="14" t="str">
        <x:v>Build safe housing and implement urban rehabilitation projects for populations living in high-risk areas</x:v>
      </x:c>
      <x:c r="C192" s="14" t="str">
        <x:v>Health</x:v>
      </x:c>
      <x:c r="D192" s="14" t="str">
        <x:v>Arboviruses dengue, zika and chikungunya</x:v>
      </x:c>
      <x:c r="E192" s="14" t="str">
        <x:v>Vulnerability</x:v>
      </x:c>
      <x:c r="F192" s="15" t="str"/>
      <x:c r="G192" s="15" t="str"/>
      <x:c r="H192" s="14" t="str">
        <x:v>Indirect</x:v>
      </x:c>
      <x:c r="I192" s="14" t="str">
        <x:v>Not assessed</x:v>
      </x:c>
      <x:c r="J192" s="14" t="str">
        <x:v>Not assessed</x:v>
      </x:c>
      <x:c r="K192" s="14" t="str">
        <x:v>No</x:v>
      </x:c>
      <x:c r="L192" s="14" t="str">
        <x:v>&gt;10 years</x:v>
      </x:c>
      <x:c r="M192" s="14" t="n">
        <x:v>0</x:v>
      </x:c>
      <x:c r="N192" s="14" t="n">
        <x:v>0</x:v>
      </x:c>
      <x:c r="O192" s="14" t="str">
        <x:v>Review directness</x:v>
      </x:c>
      <x:c r="P192" s="14" t="str"/>
      <x:c r="Q192" s="14" t="str">
        <x:v>Households without access to garbage collection | Water supply</x:v>
      </x:c>
      <x:c r="R192" s="14" t="str">
        <x:v>Indirect — Indirect: the action can influence Households without access to garbage collection, but the stated mechanism does not directly change this indicator without an additional causal step.
Indirect — Indirect: the action can influence Water supply, but the stated mechanism does not directly change this indicator without an additional causal step.</x:v>
      </x:c>
      <x:c r="S192" s="14" t="str">
        <x:v>Effectiveness is not assessed because this relationship is not Direct.</x:v>
      </x:c>
      <x:c r="T192" s="14"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93" ht="52" customHeight="1">
      <x:c r="A193" s="14" t="str">
        <x:v>icare_0170</x:v>
      </x:c>
      <x:c r="B193" s="14" t="str">
        <x:v>Build safe housing and implement urban rehabilitation projects for populations living in high-risk areas</x:v>
      </x:c>
      <x:c r="C193" s="14" t="str">
        <x:v>Health</x:v>
      </x:c>
      <x:c r="D193" s="14" t="str">
        <x:v>Malaria</x:v>
      </x:c>
      <x:c r="E193" s="14" t="str">
        <x:v>Exposure</x:v>
      </x:c>
      <x:c r="F193" s="15" t="str"/>
      <x:c r="G193" s="15" t="str"/>
      <x:c r="H193" s="14" t="str">
        <x:v>Direct</x:v>
      </x:c>
      <x:c r="I193" s="14" t="str">
        <x:v>No demonstrated effectiveness</x:v>
      </x:c>
      <x:c r="J193" s="14" t="str">
        <x:v>None</x:v>
      </x:c>
      <x:c r="K193" s="14" t="str">
        <x:v>No</x:v>
      </x:c>
      <x:c r="L193" s="14" t="str">
        <x:v>&gt;10 years</x:v>
      </x:c>
      <x:c r="M193" s="14" t="n">
        <x:v>0</x:v>
      </x:c>
      <x:c r="N193" s="14" t="n">
        <x:v>12</x:v>
      </x:c>
      <x:c r="O193" s="14" t="str">
        <x:v>Review directness | Evidence gap</x:v>
      </x:c>
      <x:c r="P193" s="14" t="str">
        <x:v>Settlements</x:v>
      </x:c>
      <x:c r="Q193" s="14" t="str">
        <x:v>Rural population</x:v>
      </x:c>
      <x:c r="R193" s="14" t="str">
        <x:v>Direct — Direct: the action definition explicitly implements a mechanism that changes Settlements, without requiring another intervention.
Indirect — Indirect: the action can influence Rural population, but the stated mechanism does not directly change this indicator without an additional causal step.</x:v>
      </x:c>
      <x:c r="S193" s="14" t="str">
        <x:v>No relevant positive evidence was found in the screened source pages.</x:v>
      </x:c>
      <x:c r="T193" s="14"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94" ht="52" customHeight="1">
      <x:c r="A194" s="14" t="str">
        <x:v>icare_0170</x:v>
      </x:c>
      <x:c r="B194" s="14" t="str">
        <x:v>Build safe housing and implement urban rehabilitation projects for populations living in high-risk areas</x:v>
      </x:c>
      <x:c r="C194" s="14" t="str">
        <x:v>Health</x:v>
      </x:c>
      <x:c r="D194" s="14" t="str">
        <x:v>Malaria</x:v>
      </x:c>
      <x:c r="E194" s="14" t="str">
        <x:v>Vulnerability</x:v>
      </x:c>
      <x:c r="F194" s="15" t="str"/>
      <x:c r="G194" s="15" t="str"/>
      <x:c r="H194" s="14" t="str">
        <x:v>Indirect</x:v>
      </x:c>
      <x:c r="I194" s="14" t="str">
        <x:v>Not assessed</x:v>
      </x:c>
      <x:c r="J194" s="14" t="str">
        <x:v>Not assessed</x:v>
      </x:c>
      <x:c r="K194" s="14" t="str">
        <x:v>No</x:v>
      </x:c>
      <x:c r="L194" s="14" t="str">
        <x:v>&gt;10 years</x:v>
      </x:c>
      <x:c r="M194" s="14" t="n">
        <x:v>0</x:v>
      </x:c>
      <x:c r="N194" s="14" t="n">
        <x:v>0</x:v>
      </x:c>
      <x:c r="O194" s="14" t="str">
        <x:v>Review directness</x:v>
      </x:c>
      <x:c r="P194" s="14" t="str"/>
      <x:c r="Q194" s="14" t="str">
        <x:v>No access to adequate sanitation</x:v>
      </x:c>
      <x:c r="R194" s="14" t="str">
        <x:v>Indirect — Indirect: the action can influence No access to adequate sanitation, but the stated mechanism does not directly change this indicator without an additional causal step.</x:v>
      </x:c>
      <x:c r="S194" s="14" t="str">
        <x:v>Effectiveness is not assessed because this relationship is not Direct.</x:v>
      </x:c>
      <x:c r="T194" s="14"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95" ht="52" customHeight="1">
      <x:c r="A195" s="14" t="str">
        <x:v>icare_0170</x:v>
      </x:c>
      <x:c r="B195" s="14" t="str">
        <x:v>Build safe housing and implement urban rehabilitation projects for populations living in high-risk areas</x:v>
      </x:c>
      <x:c r="C195" s="14" t="str">
        <x:v>Health</x:v>
      </x:c>
      <x:c r="D195" s="14" t="str">
        <x:v>Visceral leishmaniasis</x:v>
      </x:c>
      <x:c r="E195" s="14" t="str">
        <x:v>Exposure</x:v>
      </x:c>
      <x:c r="F195" s="15" t="str"/>
      <x:c r="G195" s="15" t="str"/>
      <x:c r="H195" s="14" t="str">
        <x:v>Direct</x:v>
      </x:c>
      <x:c r="I195" s="14" t="str">
        <x:v>No demonstrated effectiveness</x:v>
      </x:c>
      <x:c r="J195" s="14" t="str">
        <x:v>None</x:v>
      </x:c>
      <x:c r="K195" s="14" t="str">
        <x:v>No</x:v>
      </x:c>
      <x:c r="L195" s="14" t="str">
        <x:v>&gt;10 years</x:v>
      </x:c>
      <x:c r="M195" s="14" t="n">
        <x:v>0</x:v>
      </x:c>
      <x:c r="N195" s="14" t="n">
        <x:v>12</x:v>
      </x:c>
      <x:c r="O195" s="14" t="str">
        <x:v>Review directness | Evidence gap</x:v>
      </x:c>
      <x:c r="P195" s="14" t="str">
        <x:v>Settlements</x:v>
      </x:c>
      <x:c r="Q195" s="14" t="str"/>
      <x:c r="R195" s="14" t="str">
        <x:v>Direct — Direct: the action definition explicitly implements a mechanism that changes Settlements, without requiring another intervention.</x:v>
      </x:c>
      <x:c r="S195" s="14" t="str">
        <x:v>No relevant positive evidence was found in the screened source pages.</x:v>
      </x:c>
      <x:c r="T195" s="14"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96" ht="52" customHeight="1">
      <x:c r="A196" s="14" t="str">
        <x:v>icare_0170</x:v>
      </x:c>
      <x:c r="B196" s="14" t="str">
        <x:v>Build safe housing and implement urban rehabilitation projects for populations living in high-risk areas</x:v>
      </x:c>
      <x:c r="C196" s="14" t="str">
        <x:v>Health</x:v>
      </x:c>
      <x:c r="D196" s="14" t="str">
        <x:v>Visceral leishmaniasis</x:v>
      </x:c>
      <x:c r="E196" s="14" t="str">
        <x:v>Vulnerability</x:v>
      </x:c>
      <x:c r="F196" s="15" t="str"/>
      <x:c r="G196" s="15" t="str"/>
      <x:c r="H196" s="14" t="str">
        <x:v>Indirect</x:v>
      </x:c>
      <x:c r="I196" s="14" t="str">
        <x:v>Not assessed</x:v>
      </x:c>
      <x:c r="J196" s="14" t="str">
        <x:v>Not assessed</x:v>
      </x:c>
      <x:c r="K196" s="14" t="str">
        <x:v>No</x:v>
      </x:c>
      <x:c r="L196" s="14" t="str">
        <x:v>&gt;10 years</x:v>
      </x:c>
      <x:c r="M196" s="14" t="n">
        <x:v>0</x:v>
      </x:c>
      <x:c r="N196" s="14" t="n">
        <x:v>0</x:v>
      </x:c>
      <x:c r="O196" s="14" t="str">
        <x:v>Review directness</x:v>
      </x:c>
      <x:c r="P196" s="14" t="str"/>
      <x:c r="Q196" s="14" t="str">
        <x:v>Households without access to garbage collection</x:v>
      </x:c>
      <x:c r="R196" s="14" t="str">
        <x:v>Indirect — Indirect: the action can influence Households without access to garbage collection, but the stated mechanism does not directly change this indicator without an additional causal step.</x:v>
      </x:c>
      <x:c r="S196" s="14" t="str">
        <x:v>Effectiveness is not assessed because this relationship is not Direct.</x:v>
      </x:c>
      <x:c r="T196" s="14"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197" ht="52" customHeight="1">
      <x:c r="A197" s="14" t="str">
        <x:v>icare_0154</x:v>
      </x:c>
      <x:c r="B197" s="14" t="str">
        <x:v>Clean and unclog drainage channels and install eco-barriers</x:v>
      </x:c>
      <x:c r="C197" s="14" t="str">
        <x:v>Health</x:v>
      </x:c>
      <x:c r="D197" s="14" t="str">
        <x:v>American cutaneous leishmaniasis</x:v>
      </x:c>
      <x:c r="E197" s="14" t="str">
        <x:v>Vulnerability</x:v>
      </x:c>
      <x:c r="F197" s="15" t="str"/>
      <x:c r="G197" s="15" t="str"/>
      <x:c r="H197" s="14" t="str">
        <x:v>Indirect</x:v>
      </x:c>
      <x:c r="I197" s="14" t="str">
        <x:v>Not assessed</x:v>
      </x:c>
      <x:c r="J197" s="14" t="str">
        <x:v>Not assessed</x:v>
      </x:c>
      <x:c r="K197" s="14" t="str">
        <x:v>No</x:v>
      </x:c>
      <x:c r="L197" s="14" t="str">
        <x:v>&lt;5 years</x:v>
      </x:c>
      <x:c r="M197" s="14" t="n">
        <x:v>0</x:v>
      </x:c>
      <x:c r="N197" s="14" t="n">
        <x:v>0</x:v>
      </x:c>
      <x:c r="O197" s="14" t="str">
        <x:v>Review directness</x:v>
      </x:c>
      <x:c r="P197" s="14" t="str"/>
      <x:c r="Q197" s="14" t="str">
        <x:v>Households without access to garbage collection</x:v>
      </x:c>
      <x:c r="R197" s="14" t="str">
        <x:v>Indirect — Indirect: the action can influence Households without access to garbage collection, but the stated mechanism does not directly change this indicator without an additional causal step.</x:v>
      </x:c>
      <x:c r="S197" s="14" t="str">
        <x:v>Effectiveness is not assessed because this relationship is not Direct.</x:v>
      </x:c>
      <x:c r="T197" s="14" t="str">
        <x:v>Cleaning and unclogging channels in the city to reduce the risk of flooding caused by extreme rainfall events. Installation of eco-barriers to assist in cleaning efforts and raise awareness about solid waste.</x:v>
      </x:c>
    </x:row>
    <x:row r="198" ht="52" customHeight="1">
      <x:c r="A198" s="14" t="str">
        <x:v>icare_0154</x:v>
      </x:c>
      <x:c r="B198" s="14" t="str">
        <x:v>Clean and unclog drainage channels and install eco-barriers</x:v>
      </x:c>
      <x:c r="C198" s="14" t="str">
        <x:v>Health</x:v>
      </x:c>
      <x:c r="D198" s="14" t="str">
        <x:v>Arboviruses dengue, zika and chikungunya</x:v>
      </x:c>
      <x:c r="E198" s="14" t="str">
        <x:v>Vulnerability</x:v>
      </x:c>
      <x:c r="F198" s="15" t="str"/>
      <x:c r="G198" s="15" t="str"/>
      <x:c r="H198" s="14" t="str">
        <x:v>Indirect</x:v>
      </x:c>
      <x:c r="I198" s="14" t="str">
        <x:v>Not assessed</x:v>
      </x:c>
      <x:c r="J198" s="14" t="str">
        <x:v>Not assessed</x:v>
      </x:c>
      <x:c r="K198" s="14" t="str">
        <x:v>No</x:v>
      </x:c>
      <x:c r="L198" s="14" t="str">
        <x:v>&lt;5 years</x:v>
      </x:c>
      <x:c r="M198" s="14" t="n">
        <x:v>0</x:v>
      </x:c>
      <x:c r="N198" s="14" t="n">
        <x:v>0</x:v>
      </x:c>
      <x:c r="O198" s="14" t="str">
        <x:v>Review directness</x:v>
      </x:c>
      <x:c r="P198" s="14" t="str"/>
      <x:c r="Q198" s="14" t="str">
        <x:v>Households without access to garbage collection | Water supply | Incidence of arboviruses dengue, zika and chikungunya</x:v>
      </x:c>
      <x:c r="R198" s="14" t="str">
        <x:v>Indirect — Indirect: the action can influence Households without access to garbage collection, but the stated mechanism does not directly change this indicator without an additional causal step.
Indirect — Indirect: the action can influence Water supply, but the stated mechanism does not directly change this indicator without an additional causal step.
Indirect — Indirect: the action can influence Incidence of arboviruses dengue, zika and chikungunya, but the stated mechanism does not directly change this indicator without an additional causal step.</x:v>
      </x:c>
      <x:c r="S198" s="14" t="str">
        <x:v>Effectiveness is not assessed because this relationship is not Direct.</x:v>
      </x:c>
      <x:c r="T198" s="14" t="str">
        <x:v>Cleaning and unclogging channels in the city to reduce the risk of flooding caused by extreme rainfall events. Installation of eco-barriers to assist in cleaning efforts and raise awareness about solid waste.</x:v>
      </x:c>
    </x:row>
    <x:row r="199" ht="52" customHeight="1">
      <x:c r="A199" s="14" t="str">
        <x:v>icare_0154</x:v>
      </x:c>
      <x:c r="B199" s="14" t="str">
        <x:v>Clean and unclog drainage channels and install eco-barriers</x:v>
      </x:c>
      <x:c r="C199" s="14" t="str">
        <x:v>Health</x:v>
      </x:c>
      <x:c r="D199" s="14" t="str">
        <x:v>Visceral leishmaniasis</x:v>
      </x:c>
      <x:c r="E199" s="14" t="str">
        <x:v>Vulnerability</x:v>
      </x:c>
      <x:c r="F199" s="15" t="str"/>
      <x:c r="G199" s="15" t="str"/>
      <x:c r="H199" s="14" t="str">
        <x:v>Indirect</x:v>
      </x:c>
      <x:c r="I199" s="14" t="str">
        <x:v>Not assessed</x:v>
      </x:c>
      <x:c r="J199" s="14" t="str">
        <x:v>Not assessed</x:v>
      </x:c>
      <x:c r="K199" s="14" t="str">
        <x:v>No</x:v>
      </x:c>
      <x:c r="L199" s="14" t="str">
        <x:v>&lt;5 years</x:v>
      </x:c>
      <x:c r="M199" s="14" t="n">
        <x:v>0</x:v>
      </x:c>
      <x:c r="N199" s="14" t="n">
        <x:v>0</x:v>
      </x:c>
      <x:c r="O199" s="14" t="str">
        <x:v>Review directness</x:v>
      </x:c>
      <x:c r="P199" s="14" t="str"/>
      <x:c r="Q199" s="14" t="str">
        <x:v>Households without access to garbage collection</x:v>
      </x:c>
      <x:c r="R199" s="14" t="str">
        <x:v>Indirect — Indirect: the action can influence Households without access to garbage collection, but the stated mechanism does not directly change this indicator without an additional causal step.</x:v>
      </x:c>
      <x:c r="S199" s="14" t="str">
        <x:v>Effectiveness is not assessed because this relationship is not Direct.</x:v>
      </x:c>
      <x:c r="T199" s="14" t="str">
        <x:v>Cleaning and unclogging channels in the city to reduce the risk of flooding caused by extreme rainfall events. Installation of eco-barriers to assist in cleaning efforts and raise awareness about solid waste.</x:v>
      </x:c>
    </x:row>
    <x:row r="200" ht="52" customHeight="1">
      <x:c r="A200" s="14" t="str">
        <x:v>icare_0182</x:v>
      </x:c>
      <x:c r="B200" s="14" t="str">
        <x:v>Develop an Urban Afforestation Plan</x:v>
      </x:c>
      <x:c r="C200" s="14" t="str">
        <x:v>Health</x:v>
      </x:c>
      <x:c r="D200" s="14" t="str">
        <x:v>American cutaneous leishmaniasis</x:v>
      </x:c>
      <x:c r="E200" s="14" t="str">
        <x:v>Exposure</x:v>
      </x:c>
      <x:c r="F200" s="15" t="str"/>
      <x:c r="G200" s="15" t="str"/>
      <x:c r="H200" s="14" t="str">
        <x:v>Direct</x:v>
      </x:c>
      <x:c r="I200" s="14" t="str">
        <x:v>No demonstrated effectiveness</x:v>
      </x:c>
      <x:c r="J200" s="14" t="str">
        <x:v>None</x:v>
      </x:c>
      <x:c r="K200" s="14" t="str">
        <x:v>No</x:v>
      </x:c>
      <x:c r="L200" s="14" t="str">
        <x:v>5-10 years</x:v>
      </x:c>
      <x:c r="M200" s="14" t="n">
        <x:v>0</x:v>
      </x:c>
      <x:c r="N200" s="14" t="n">
        <x:v>12</x:v>
      </x:c>
      <x:c r="O200" s="14" t="str">
        <x:v>Review directness | Evidence gap</x:v>
      </x:c>
      <x:c r="P200" s="14" t="str">
        <x:v>Natural coverage</x:v>
      </x:c>
      <x:c r="Q200" s="14" t="str"/>
      <x:c r="R200" s="14" t="str">
        <x:v>Direct — Direct: the action definition explicitly implements a mechanism that changes Natural coverage, without requiring another intervention.</x:v>
      </x:c>
      <x:c r="S200" s="14" t="str">
        <x:v>No relevant positive evidence was found in the screened source pages.</x:v>
      </x:c>
      <x:c r="T200" s="14" t="str">
        <x:v>This action focuses on expanding green areas in the city through urban afforestation. This includes planting trees in sidewalks, squares, public buildings, and schools, as well as creating ecological parks to revitalize watercourses and/or restore forests.</x:v>
      </x:c>
    </x:row>
    <x:row r="201" ht="52" customHeight="1">
      <x:c r="A201" s="14" t="str">
        <x:v>icare_0182</x:v>
      </x:c>
      <x:c r="B201" s="14" t="str">
        <x:v>Develop an Urban Afforestation Plan</x:v>
      </x:c>
      <x:c r="C201" s="14" t="str">
        <x:v>Health</x:v>
      </x:c>
      <x:c r="D201" s="14" t="str">
        <x:v>Arboviruses dengue, zika and chikungunya</x:v>
      </x:c>
      <x:c r="E201" s="14" t="str">
        <x:v>Exposure</x:v>
      </x:c>
      <x:c r="F201" s="15" t="str"/>
      <x:c r="G201" s="15" t="str"/>
      <x:c r="H201" s="14" t="str">
        <x:v>Direct</x:v>
      </x:c>
      <x:c r="I201" s="14" t="str">
        <x:v>No demonstrated effectiveness</x:v>
      </x:c>
      <x:c r="J201" s="14" t="str">
        <x:v>None</x:v>
      </x:c>
      <x:c r="K201" s="14" t="str">
        <x:v>No</x:v>
      </x:c>
      <x:c r="L201" s="14" t="str">
        <x:v>5-10 years</x:v>
      </x:c>
      <x:c r="M201" s="14" t="n">
        <x:v>0</x:v>
      </x:c>
      <x:c r="N201" s="14" t="n">
        <x:v>12</x:v>
      </x:c>
      <x:c r="O201" s="14" t="str">
        <x:v>Review directness | Evidence gap</x:v>
      </x:c>
      <x:c r="P201" s="14" t="str">
        <x:v>Deforestation</x:v>
      </x:c>
      <x:c r="Q201" s="14" t="str"/>
      <x:c r="R201" s="14" t="str">
        <x:v>Direct — Direct: the action definition explicitly implements a mechanism that changes Deforestation, without requiring another intervention.</x:v>
      </x:c>
      <x:c r="S201" s="14" t="str">
        <x:v>No relevant positive evidence was found in the screened source pages.</x:v>
      </x:c>
      <x:c r="T201" s="14" t="str">
        <x:v>This action focuses on expanding green areas in the city through urban afforestation. This includes planting trees in sidewalks, squares, public buildings, and schools, as well as creating ecological parks to revitalize watercourses and/or restore forests.</x:v>
      </x:c>
    </x:row>
    <x:row r="202" ht="52" customHeight="1">
      <x:c r="A202" s="14" t="str">
        <x:v>icare_0182</x:v>
      </x:c>
      <x:c r="B202" s="14" t="str">
        <x:v>Develop an Urban Afforestation Plan</x:v>
      </x:c>
      <x:c r="C202" s="14" t="str">
        <x:v>Health</x:v>
      </x:c>
      <x:c r="D202" s="14" t="str">
        <x:v>Malaria</x:v>
      </x:c>
      <x:c r="E202" s="14" t="str">
        <x:v>Exposure</x:v>
      </x:c>
      <x:c r="F202" s="15" t="str"/>
      <x:c r="G202" s="15" t="str"/>
      <x:c r="H202" s="14" t="str">
        <x:v>Direct</x:v>
      </x:c>
      <x:c r="I202" s="14" t="str">
        <x:v>No demonstrated effectiveness</x:v>
      </x:c>
      <x:c r="J202" s="14" t="str">
        <x:v>None</x:v>
      </x:c>
      <x:c r="K202" s="14" t="str">
        <x:v>No</x:v>
      </x:c>
      <x:c r="L202" s="14" t="str">
        <x:v>5-10 years</x:v>
      </x:c>
      <x:c r="M202" s="14" t="n">
        <x:v>0</x:v>
      </x:c>
      <x:c r="N202" s="14" t="n">
        <x:v>12</x:v>
      </x:c>
      <x:c r="O202" s="14" t="str">
        <x:v>Review directness | Evidence gap</x:v>
      </x:c>
      <x:c r="P202" s="14" t="str">
        <x:v>Deforestation</x:v>
      </x:c>
      <x:c r="Q202" s="14" t="str"/>
      <x:c r="R202" s="14" t="str">
        <x:v>Direct — Direct: the action definition explicitly implements a mechanism that changes Deforestation, without requiring another intervention.</x:v>
      </x:c>
      <x:c r="S202" s="14" t="str">
        <x:v>No relevant positive evidence was found in the screened source pages.</x:v>
      </x:c>
      <x:c r="T202" s="14" t="str">
        <x:v>This action focuses on expanding green areas in the city through urban afforestation. This includes planting trees in sidewalks, squares, public buildings, and schools, as well as creating ecological parks to revitalize watercourses and/or restore forests.</x:v>
      </x:c>
    </x:row>
    <x:row r="203" ht="52" customHeight="1">
      <x:c r="A203" s="14" t="str">
        <x:v>icare_0182</x:v>
      </x:c>
      <x:c r="B203" s="14" t="str">
        <x:v>Develop an Urban Afforestation Plan</x:v>
      </x:c>
      <x:c r="C203" s="14" t="str">
        <x:v>Health</x:v>
      </x:c>
      <x:c r="D203" s="14" t="str">
        <x:v>Visceral leishmaniasis</x:v>
      </x:c>
      <x:c r="E203" s="14" t="str">
        <x:v>Exposure</x:v>
      </x:c>
      <x:c r="F203" s="15" t="str"/>
      <x:c r="G203" s="15" t="str"/>
      <x:c r="H203" s="14" t="str">
        <x:v>Direct</x:v>
      </x:c>
      <x:c r="I203" s="14" t="str">
        <x:v>No demonstrated effectiveness</x:v>
      </x:c>
      <x:c r="J203" s="14" t="str">
        <x:v>None</x:v>
      </x:c>
      <x:c r="K203" s="14" t="str">
        <x:v>No</x:v>
      </x:c>
      <x:c r="L203" s="14" t="str">
        <x:v>5-10 years</x:v>
      </x:c>
      <x:c r="M203" s="14" t="n">
        <x:v>0</x:v>
      </x:c>
      <x:c r="N203" s="14" t="n">
        <x:v>12</x:v>
      </x:c>
      <x:c r="O203" s="14" t="str">
        <x:v>Review directness | Evidence gap</x:v>
      </x:c>
      <x:c r="P203" s="14" t="str">
        <x:v>Natural coverage</x:v>
      </x:c>
      <x:c r="Q203" s="14" t="str"/>
      <x:c r="R203" s="14" t="str">
        <x:v>Direct — Direct: the action definition explicitly implements a mechanism that changes Natural coverage, without requiring another intervention.</x:v>
      </x:c>
      <x:c r="S203" s="14" t="str">
        <x:v>No relevant positive evidence was found in the screened source pages.</x:v>
      </x:c>
      <x:c r="T203" s="14" t="str">
        <x:v>This action focuses on expanding green areas in the city through urban afforestation. This includes planting trees in sidewalks, squares, public buildings, and schools, as well as creating ecological parks to revitalize watercourses and/or restore forests.</x:v>
      </x:c>
    </x:row>
    <x:row r="204" ht="52" customHeight="1">
      <x:c r="A204" s="14" t="str">
        <x:v>icare_0163</x:v>
      </x:c>
      <x:c r="B204" s="14" t="str">
        <x:v>Establish a first‑response firefighting brigade</x:v>
      </x:c>
      <x:c r="C204" s="14" t="str">
        <x:v>Health</x:v>
      </x:c>
      <x:c r="D204" s="14" t="str">
        <x:v>Arboviruses dengue, zika and chikungunya</x:v>
      </x:c>
      <x:c r="E204" s="14" t="str">
        <x:v>Exposure</x:v>
      </x:c>
      <x:c r="F204" s="15" t="str"/>
      <x:c r="G204" s="15" t="str"/>
      <x:c r="H204" s="14" t="str">
        <x:v>Direct</x:v>
      </x:c>
      <x:c r="I204" s="14" t="str">
        <x:v>No demonstrated effectiveness</x:v>
      </x:c>
      <x:c r="J204" s="14" t="str">
        <x:v>None</x:v>
      </x:c>
      <x:c r="K204" s="14" t="str">
        <x:v>No</x:v>
      </x:c>
      <x:c r="L204" s="14" t="str">
        <x:v>&lt;5 years</x:v>
      </x:c>
      <x:c r="M204" s="14" t="n">
        <x:v>0</x:v>
      </x:c>
      <x:c r="N204" s="14" t="n">
        <x:v>12</x:v>
      </x:c>
      <x:c r="O204" s="14" t="str">
        <x:v>Review directness | Evidence gap</x:v>
      </x:c>
      <x:c r="P204" s="14" t="str">
        <x:v>Deforestation</x:v>
      </x:c>
      <x:c r="Q204" s="14" t="str"/>
      <x:c r="R204" s="14" t="str">
        <x:v>Direct — Direct: the action definition explicitly implements a mechanism that changes Deforestation, without requiring another intervention.</x:v>
      </x:c>
      <x:c r="S204" s="14" t="str">
        <x:v>No relevant positive evidence was found in the screened source pages.</x:v>
      </x:c>
      <x:c r="T204" s="14" t="str">
        <x:v>Creation of a First Response Brigade in rural communities to provide them with training and equipment for fire prevention and firefighting.</x:v>
      </x:c>
    </x:row>
    <x:row r="205" ht="52" customHeight="1">
      <x:c r="A205" s="14" t="str">
        <x:v>icare_0163</x:v>
      </x:c>
      <x:c r="B205" s="14" t="str">
        <x:v>Establish a first‑response firefighting brigade</x:v>
      </x:c>
      <x:c r="C205" s="14" t="str">
        <x:v>Health</x:v>
      </x:c>
      <x:c r="D205" s="14" t="str">
        <x:v>Malaria</x:v>
      </x:c>
      <x:c r="E205" s="14" t="str">
        <x:v>Exposure</x:v>
      </x:c>
      <x:c r="F205" s="15" t="str"/>
      <x:c r="G205" s="15" t="str"/>
      <x:c r="H205" s="14" t="str">
        <x:v>Direct</x:v>
      </x:c>
      <x:c r="I205" s="14" t="str">
        <x:v>No demonstrated effectiveness</x:v>
      </x:c>
      <x:c r="J205" s="14" t="str">
        <x:v>None</x:v>
      </x:c>
      <x:c r="K205" s="14" t="str">
        <x:v>No</x:v>
      </x:c>
      <x:c r="L205" s="14" t="str">
        <x:v>&lt;5 years</x:v>
      </x:c>
      <x:c r="M205" s="14" t="n">
        <x:v>0</x:v>
      </x:c>
      <x:c r="N205" s="14" t="n">
        <x:v>12</x:v>
      </x:c>
      <x:c r="O205" s="14" t="str">
        <x:v>Review directness | Evidence gap</x:v>
      </x:c>
      <x:c r="P205" s="14" t="str">
        <x:v>Deforestation</x:v>
      </x:c>
      <x:c r="Q205" s="14" t="str"/>
      <x:c r="R205" s="14" t="str">
        <x:v>Direct — Direct: the action definition explicitly implements a mechanism that changes Deforestation, without requiring another intervention.</x:v>
      </x:c>
      <x:c r="S205" s="14" t="str">
        <x:v>No relevant positive evidence was found in the screened source pages.</x:v>
      </x:c>
      <x:c r="T205" s="14" t="str">
        <x:v>Creation of a First Response Brigade in rural communities to provide them with training and equipment for fire prevention and firefighting.</x:v>
      </x:c>
    </x:row>
    <x:row r="206" ht="52" customHeight="1">
      <x:c r="A206" s="14" t="str">
        <x:v>icare_0180</x:v>
      </x:c>
      <x:c r="B206" s="14" t="str">
        <x:v>Expand urban green-blue networks and corridors</x:v>
      </x:c>
      <x:c r="C206" s="14" t="str">
        <x:v>Health</x:v>
      </x:c>
      <x:c r="D206" s="14" t="str">
        <x:v>American cutaneous leishmaniasis</x:v>
      </x:c>
      <x:c r="E206" s="14" t="str">
        <x:v>Exposure</x:v>
      </x:c>
      <x:c r="F206" s="15" t="str"/>
      <x:c r="G206" s="15" t="str"/>
      <x:c r="H206" s="14" t="str">
        <x:v>Direct</x:v>
      </x:c>
      <x:c r="I206" s="14" t="str">
        <x:v>No demonstrated effectiveness</x:v>
      </x:c>
      <x:c r="J206" s="14" t="str">
        <x:v>None</x:v>
      </x:c>
      <x:c r="K206" s="14" t="str">
        <x:v>No</x:v>
      </x:c>
      <x:c r="L206" s="14" t="str">
        <x:v>&lt;5 years</x:v>
      </x:c>
      <x:c r="M206" s="14" t="n">
        <x:v>0</x:v>
      </x:c>
      <x:c r="N206" s="14" t="n">
        <x:v>12</x:v>
      </x:c>
      <x:c r="O206" s="14" t="str">
        <x:v>Review directness | Evidence gap</x:v>
      </x:c>
      <x:c r="P206" s="14" t="str">
        <x:v>Natural coverage</x:v>
      </x:c>
      <x:c r="Q206" s="14" t="str"/>
      <x:c r="R206" s="14" t="str">
        <x:v>Direct — Direct: the action definition explicitly implements a mechanism that changes Natural coverage, without requiring another intervention.</x:v>
      </x:c>
      <x:c r="S206" s="14" t="str">
        <x:v>No relevant positive evidence was found in the screened source pages.</x:v>
      </x:c>
      <x:c r="T206" s="14"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207" ht="52" customHeight="1">
      <x:c r="A207" s="14" t="str">
        <x:v>icare_0180</x:v>
      </x:c>
      <x:c r="B207" s="14" t="str">
        <x:v>Expand urban green-blue networks and corridors</x:v>
      </x:c>
      <x:c r="C207" s="14" t="str">
        <x:v>Health</x:v>
      </x:c>
      <x:c r="D207" s="14" t="str">
        <x:v>Arboviruses dengue, zika and chikungunya</x:v>
      </x:c>
      <x:c r="E207" s="14" t="str">
        <x:v>Exposure</x:v>
      </x:c>
      <x:c r="F207" s="15" t="str"/>
      <x:c r="G207" s="15" t="str"/>
      <x:c r="H207" s="14" t="str">
        <x:v>Direct</x:v>
      </x:c>
      <x:c r="I207" s="14" t="str">
        <x:v>No demonstrated effectiveness</x:v>
      </x:c>
      <x:c r="J207" s="14" t="str">
        <x:v>None</x:v>
      </x:c>
      <x:c r="K207" s="14" t="str">
        <x:v>No</x:v>
      </x:c>
      <x:c r="L207" s="14" t="str">
        <x:v>&lt;5 years</x:v>
      </x:c>
      <x:c r="M207" s="14" t="n">
        <x:v>0</x:v>
      </x:c>
      <x:c r="N207" s="14" t="n">
        <x:v>12</x:v>
      </x:c>
      <x:c r="O207" s="14" t="str">
        <x:v>Review directness | Evidence gap</x:v>
      </x:c>
      <x:c r="P207" s="14" t="str">
        <x:v>Bodies of water</x:v>
      </x:c>
      <x:c r="Q207" s="14" t="str"/>
      <x:c r="R207" s="14" t="str">
        <x:v>Direct — Direct: the action definition explicitly implements a mechanism that changes Bodies of water, without requiring another intervention.</x:v>
      </x:c>
      <x:c r="S207" s="14" t="str">
        <x:v>No relevant positive evidence was found in the screened source pages.</x:v>
      </x:c>
      <x:c r="T207" s="14"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208" ht="52" customHeight="1">
      <x:c r="A208" s="14" t="str">
        <x:v>icare_0180</x:v>
      </x:c>
      <x:c r="B208" s="14" t="str">
        <x:v>Expand urban green-blue networks and corridors</x:v>
      </x:c>
      <x:c r="C208" s="14" t="str">
        <x:v>Health</x:v>
      </x:c>
      <x:c r="D208" s="14" t="str">
        <x:v>Malaria</x:v>
      </x:c>
      <x:c r="E208" s="14" t="str">
        <x:v>Exposure</x:v>
      </x:c>
      <x:c r="F208" s="15" t="str"/>
      <x:c r="G208" s="15" t="str"/>
      <x:c r="H208" s="14" t="str">
        <x:v>Direct</x:v>
      </x:c>
      <x:c r="I208" s="14" t="str">
        <x:v>No demonstrated effectiveness</x:v>
      </x:c>
      <x:c r="J208" s="14" t="str">
        <x:v>None</x:v>
      </x:c>
      <x:c r="K208" s="14" t="str">
        <x:v>No</x:v>
      </x:c>
      <x:c r="L208" s="14" t="str">
        <x:v>&lt;5 years</x:v>
      </x:c>
      <x:c r="M208" s="14" t="n">
        <x:v>0</x:v>
      </x:c>
      <x:c r="N208" s="14" t="n">
        <x:v>12</x:v>
      </x:c>
      <x:c r="O208" s="14" t="str">
        <x:v>Review directness | Evidence gap</x:v>
      </x:c>
      <x:c r="P208" s="14" t="str">
        <x:v>Bodies of water</x:v>
      </x:c>
      <x:c r="Q208" s="14" t="str"/>
      <x:c r="R208" s="14" t="str">
        <x:v>Direct — Direct: the action definition explicitly implements a mechanism that changes Bodies of water, without requiring another intervention.</x:v>
      </x:c>
      <x:c r="S208" s="14" t="str">
        <x:v>No relevant positive evidence was found in the screened source pages.</x:v>
      </x:c>
      <x:c r="T208" s="14"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209" ht="52" customHeight="1">
      <x:c r="A209" s="14" t="str">
        <x:v>icare_0180</x:v>
      </x:c>
      <x:c r="B209" s="14" t="str">
        <x:v>Expand urban green-blue networks and corridors</x:v>
      </x:c>
      <x:c r="C209" s="14" t="str">
        <x:v>Health</x:v>
      </x:c>
      <x:c r="D209" s="14" t="str">
        <x:v>Visceral leishmaniasis</x:v>
      </x:c>
      <x:c r="E209" s="14" t="str">
        <x:v>Exposure</x:v>
      </x:c>
      <x:c r="F209" s="15" t="str"/>
      <x:c r="G209" s="15" t="str"/>
      <x:c r="H209" s="14" t="str">
        <x:v>Direct</x:v>
      </x:c>
      <x:c r="I209" s="14" t="str">
        <x:v>No demonstrated effectiveness</x:v>
      </x:c>
      <x:c r="J209" s="14" t="str">
        <x:v>None</x:v>
      </x:c>
      <x:c r="K209" s="14" t="str">
        <x:v>No</x:v>
      </x:c>
      <x:c r="L209" s="14" t="str">
        <x:v>&lt;5 years</x:v>
      </x:c>
      <x:c r="M209" s="14" t="n">
        <x:v>0</x:v>
      </x:c>
      <x:c r="N209" s="14" t="n">
        <x:v>12</x:v>
      </x:c>
      <x:c r="O209" s="14" t="str">
        <x:v>Review directness | Evidence gap</x:v>
      </x:c>
      <x:c r="P209" s="14" t="str">
        <x:v>Natural coverage</x:v>
      </x:c>
      <x:c r="Q209" s="14" t="str"/>
      <x:c r="R209" s="14" t="str">
        <x:v>Direct — Direct: the action definition explicitly implements a mechanism that changes Natural coverage, without requiring another intervention.</x:v>
      </x:c>
      <x:c r="S209" s="14" t="str">
        <x:v>No relevant positive evidence was found in the screened source pages.</x:v>
      </x:c>
      <x:c r="T209" s="14"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210" ht="52" customHeight="1">
      <x:c r="A210" s="14" t="str">
        <x:v>ipcc_0102</x:v>
      </x:c>
      <x:c r="B210" s="14" t="str">
        <x:v>Facilitate seasonal and temporary mobility strategies</x:v>
      </x:c>
      <x:c r="C210" s="14" t="str">
        <x:v>Health</x:v>
      </x:c>
      <x:c r="D210" s="14" t="str">
        <x:v>American cutaneous leishmaniasis</x:v>
      </x:c>
      <x:c r="E210" s="14" t="str">
        <x:v>Exposure</x:v>
      </x:c>
      <x:c r="F210" s="15" t="str"/>
      <x:c r="G210" s="15" t="str"/>
      <x:c r="H210" s="14" t="str">
        <x:v>Indirect</x:v>
      </x:c>
      <x:c r="I210" s="14" t="str">
        <x:v>Not assessed</x:v>
      </x:c>
      <x:c r="J210" s="14" t="str">
        <x:v>Not assessed</x:v>
      </x:c>
      <x:c r="K210" s="14" t="str">
        <x:v>No</x:v>
      </x:c>
      <x:c r="L210" s="14" t="str">
        <x:v>5-10 years</x:v>
      </x:c>
      <x:c r="M210" s="14" t="n">
        <x:v>0</x:v>
      </x:c>
      <x:c r="N210" s="14" t="n">
        <x:v>0</x:v>
      </x:c>
      <x:c r="O210" s="14" t="str">
        <x:v>Review directness</x:v>
      </x:c>
      <x:c r="P210" s="14" t="str"/>
      <x:c r="Q210" s="14" t="str">
        <x:v>Settlements | Informal settlements</x:v>
      </x:c>
      <x:c r="R210" s="14" t="str">
        <x:v>Indirect — Indirect: the action can influence Settlements, but the stated mechanism does not directly change this indicator without an additional causal step.
Indirect — Indirect: the action can influence Informal settlements, but the stated mechanism does not directly change this indicator without an additional causal step.</x:v>
      </x:c>
      <x:c r="S210" s="14" t="str">
        <x:v>Effectiveness is not assessed because this relationship is not Direct.</x:v>
      </x:c>
      <x:c r="T210" s="14"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211" ht="52" customHeight="1">
      <x:c r="A211" s="14" t="str">
        <x:v>ipcc_0102</x:v>
      </x:c>
      <x:c r="B211" s="14" t="str">
        <x:v>Facilitate seasonal and temporary mobility strategies</x:v>
      </x:c>
      <x:c r="C211" s="14" t="str">
        <x:v>Health</x:v>
      </x:c>
      <x:c r="D211" s="14" t="str">
        <x:v>American cutaneous leishmaniasis</x:v>
      </x:c>
      <x:c r="E211" s="14" t="str">
        <x:v>Vulnerability</x:v>
      </x:c>
      <x:c r="F211" s="15" t="str"/>
      <x:c r="G211" s="15" t="str"/>
      <x:c r="H211" s="14" t="str">
        <x:v>Direct</x:v>
      </x:c>
      <x:c r="I211" s="14" t="str">
        <x:v>No demonstrated effectiveness</x:v>
      </x:c>
      <x:c r="J211" s="14" t="str">
        <x:v>None</x:v>
      </x:c>
      <x:c r="K211" s="14" t="str">
        <x:v>No</x:v>
      </x:c>
      <x:c r="L211" s="14" t="str">
        <x:v>5-10 years</x:v>
      </x:c>
      <x:c r="M211" s="14" t="n">
        <x:v>0</x:v>
      </x:c>
      <x:c r="N211" s="14" t="n">
        <x:v>12</x:v>
      </x:c>
      <x:c r="O211" s="14" t="str">
        <x:v>Review directness | Evidence gap</x:v>
      </x:c>
      <x:c r="P211" s="14" t="str">
        <x:v>Recent immigration</x:v>
      </x:c>
      <x:c r="Q211" s="14" t="str"/>
      <x:c r="R211" s="14" t="str">
        <x:v>Direct — Direct: the action definition explicitly implements a mechanism that changes Recent immigration, without requiring another intervention.</x:v>
      </x:c>
      <x:c r="S211" s="14" t="str">
        <x:v>No relevant positive evidence was found in the screened source pages.</x:v>
      </x:c>
      <x:c r="T211" s="14"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212" ht="52" customHeight="1">
      <x:c r="A212" s="14" t="str">
        <x:v>ipcc_0102</x:v>
      </x:c>
      <x:c r="B212" s="14" t="str">
        <x:v>Facilitate seasonal and temporary mobility strategies</x:v>
      </x:c>
      <x:c r="C212" s="14" t="str">
        <x:v>Health</x:v>
      </x:c>
      <x:c r="D212" s="14" t="str">
        <x:v>Arboviruses dengue, zika and chikungunya</x:v>
      </x:c>
      <x:c r="E212" s="14" t="str">
        <x:v>Exposure</x:v>
      </x:c>
      <x:c r="F212" s="15" t="str"/>
      <x:c r="G212" s="15" t="str"/>
      <x:c r="H212" s="14" t="str">
        <x:v>Direct</x:v>
      </x:c>
      <x:c r="I212" s="14" t="str">
        <x:v>No demonstrated effectiveness</x:v>
      </x:c>
      <x:c r="J212" s="14" t="str">
        <x:v>None</x:v>
      </x:c>
      <x:c r="K212" s="14" t="str">
        <x:v>No</x:v>
      </x:c>
      <x:c r="L212" s="14" t="str">
        <x:v>5-10 years</x:v>
      </x:c>
      <x:c r="M212" s="14" t="n">
        <x:v>0</x:v>
      </x:c>
      <x:c r="N212" s="14" t="n">
        <x:v>12</x:v>
      </x:c>
      <x:c r="O212" s="14" t="str">
        <x:v>Review directness | Evidence gap</x:v>
      </x:c>
      <x:c r="P212" s="14" t="str">
        <x:v>Population density</x:v>
      </x:c>
      <x:c r="Q212" s="14" t="str">
        <x:v>Informal settlements</x:v>
      </x:c>
      <x:c r="R212" s="14" t="str">
        <x:v>Direct — Direct: the action definition explicitly implements a mechanism that changes Population density, without requiring another intervention.
Indirect — Indirect: the action can influence Informal settlements, but the stated mechanism does not directly change this indicator without an additional causal step.</x:v>
      </x:c>
      <x:c r="S212" s="14" t="str">
        <x:v>No relevant positive evidence was found in the screened source pages.</x:v>
      </x:c>
      <x:c r="T212" s="14"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213" ht="52" customHeight="1">
      <x:c r="A213" s="14" t="str">
        <x:v>ipcc_0102</x:v>
      </x:c>
      <x:c r="B213" s="14" t="str">
        <x:v>Facilitate seasonal and temporary mobility strategies</x:v>
      </x:c>
      <x:c r="C213" s="14" t="str">
        <x:v>Health</x:v>
      </x:c>
      <x:c r="D213" s="14" t="str">
        <x:v>Malaria</x:v>
      </x:c>
      <x:c r="E213" s="14" t="str">
        <x:v>Exposure</x:v>
      </x:c>
      <x:c r="F213" s="15" t="str"/>
      <x:c r="G213" s="15" t="str"/>
      <x:c r="H213" s="14" t="str">
        <x:v>Indirect</x:v>
      </x:c>
      <x:c r="I213" s="14" t="str">
        <x:v>Not assessed</x:v>
      </x:c>
      <x:c r="J213" s="14" t="str">
        <x:v>Not assessed</x:v>
      </x:c>
      <x:c r="K213" s="14" t="str">
        <x:v>No</x:v>
      </x:c>
      <x:c r="L213" s="14" t="str">
        <x:v>5-10 years</x:v>
      </x:c>
      <x:c r="M213" s="14" t="n">
        <x:v>0</x:v>
      </x:c>
      <x:c r="N213" s="14" t="n">
        <x:v>0</x:v>
      </x:c>
      <x:c r="O213" s="14" t="str">
        <x:v>Review directness</x:v>
      </x:c>
      <x:c r="P213" s="14" t="str"/>
      <x:c r="Q213" s="14" t="str">
        <x:v>Settlements | Rural population</x:v>
      </x:c>
      <x:c r="R213" s="14" t="str">
        <x:v>Indirect — Indirect: the action can influence Settlements, but the stated mechanism does not directly change this indicator without an additional causal step.
Indirect — Indirect: the action can influence Rural population, but the stated mechanism does not directly change this indicator without an additional causal step.</x:v>
      </x:c>
      <x:c r="S213" s="14" t="str">
        <x:v>Effectiveness is not assessed because this relationship is not Direct.</x:v>
      </x:c>
      <x:c r="T213" s="14"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214" ht="52" customHeight="1">
      <x:c r="A214" s="14" t="str">
        <x:v>ipcc_0102</x:v>
      </x:c>
      <x:c r="B214" s="14" t="str">
        <x:v>Facilitate seasonal and temporary mobility strategies</x:v>
      </x:c>
      <x:c r="C214" s="14" t="str">
        <x:v>Health</x:v>
      </x:c>
      <x:c r="D214" s="14" t="str">
        <x:v>Malaria</x:v>
      </x:c>
      <x:c r="E214" s="14" t="str">
        <x:v>Vulnerability</x:v>
      </x:c>
      <x:c r="F214" s="15" t="str"/>
      <x:c r="G214" s="15" t="str"/>
      <x:c r="H214" s="14" t="str">
        <x:v>Direct</x:v>
      </x:c>
      <x:c r="I214" s="14" t="str">
        <x:v>No demonstrated effectiveness</x:v>
      </x:c>
      <x:c r="J214" s="14" t="str">
        <x:v>None</x:v>
      </x:c>
      <x:c r="K214" s="14" t="str">
        <x:v>No</x:v>
      </x:c>
      <x:c r="L214" s="14" t="str">
        <x:v>5-10 years</x:v>
      </x:c>
      <x:c r="M214" s="14" t="n">
        <x:v>0</x:v>
      </x:c>
      <x:c r="N214" s="14" t="n">
        <x:v>12</x:v>
      </x:c>
      <x:c r="O214" s="14" t="str">
        <x:v>Review directness | Evidence gap</x:v>
      </x:c>
      <x:c r="P214" s="14" t="str">
        <x:v>Recent immigration</x:v>
      </x:c>
      <x:c r="Q214" s="14" t="str"/>
      <x:c r="R214" s="14" t="str">
        <x:v>Direct — Direct: the action definition explicitly implements a mechanism that changes Recent immigration, without requiring another intervention.</x:v>
      </x:c>
      <x:c r="S214" s="14" t="str">
        <x:v>No relevant positive evidence was found in the screened source pages.</x:v>
      </x:c>
      <x:c r="T214" s="14"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215" ht="52" customHeight="1">
      <x:c r="A215" s="14" t="str">
        <x:v>ipcc_0102</x:v>
      </x:c>
      <x:c r="B215" s="14" t="str">
        <x:v>Facilitate seasonal and temporary mobility strategies</x:v>
      </x:c>
      <x:c r="C215" s="14" t="str">
        <x:v>Health</x:v>
      </x:c>
      <x:c r="D215" s="14" t="str">
        <x:v>Visceral leishmaniasis</x:v>
      </x:c>
      <x:c r="E215" s="14" t="str">
        <x:v>Exposure</x:v>
      </x:c>
      <x:c r="F215" s="15" t="str"/>
      <x:c r="G215" s="15" t="str"/>
      <x:c r="H215" s="14" t="str">
        <x:v>Indirect</x:v>
      </x:c>
      <x:c r="I215" s="14" t="str">
        <x:v>Not assessed</x:v>
      </x:c>
      <x:c r="J215" s="14" t="str">
        <x:v>Not assessed</x:v>
      </x:c>
      <x:c r="K215" s="14" t="str">
        <x:v>No</x:v>
      </x:c>
      <x:c r="L215" s="14" t="str">
        <x:v>5-10 years</x:v>
      </x:c>
      <x:c r="M215" s="14" t="n">
        <x:v>0</x:v>
      </x:c>
      <x:c r="N215" s="14" t="n">
        <x:v>0</x:v>
      </x:c>
      <x:c r="O215" s="14" t="str">
        <x:v>Review directness</x:v>
      </x:c>
      <x:c r="P215" s="14" t="str"/>
      <x:c r="Q215" s="14" t="str">
        <x:v>Settlements</x:v>
      </x:c>
      <x:c r="R215" s="14" t="str">
        <x:v>Indirect — Indirect: the action can influence Settlements, but the stated mechanism does not directly change this indicator without an additional causal step.</x:v>
      </x:c>
      <x:c r="S215" s="14" t="str">
        <x:v>Effectiveness is not assessed because this relationship is not Direct.</x:v>
      </x:c>
      <x:c r="T215" s="14"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216" ht="52" customHeight="1">
      <x:c r="A216" s="14" t="str">
        <x:v>ipcc_0086</x:v>
      </x:c>
      <x:c r="B216" s="14" t="str">
        <x:v>Implement ecosystem‑based adaptation measures</x:v>
      </x:c>
      <x:c r="C216" s="14" t="str">
        <x:v>Health</x:v>
      </x:c>
      <x:c r="D216" s="14" t="str">
        <x:v>American cutaneous leishmaniasis</x:v>
      </x:c>
      <x:c r="E216" s="14" t="str">
        <x:v>Exposure</x:v>
      </x:c>
      <x:c r="F216" s="15" t="str"/>
      <x:c r="G216" s="15" t="str"/>
      <x:c r="H216" s="14" t="str">
        <x:v>Direct</x:v>
      </x:c>
      <x:c r="I216" s="14" t="str">
        <x:v>No demonstrated effectiveness</x:v>
      </x:c>
      <x:c r="J216" s="14" t="str">
        <x:v>None</x:v>
      </x:c>
      <x:c r="K216" s="14" t="str">
        <x:v>No</x:v>
      </x:c>
      <x:c r="L216" s="14" t="str">
        <x:v>5-10 years</x:v>
      </x:c>
      <x:c r="M216" s="14" t="n">
        <x:v>0</x:v>
      </x:c>
      <x:c r="N216" s="14" t="n">
        <x:v>12</x:v>
      </x:c>
      <x:c r="O216" s="14" t="str">
        <x:v>Review directness | Evidence gap</x:v>
      </x:c>
      <x:c r="P216" s="14" t="str">
        <x:v>Natural coverage</x:v>
      </x:c>
      <x:c r="Q216" s="14" t="str"/>
      <x:c r="R216" s="14" t="str">
        <x:v>Direct — Direct: the action definition explicitly implements a mechanism that changes Natural coverage, without requiring another intervention.</x:v>
      </x:c>
      <x:c r="S216" s="14" t="str">
        <x:v>No relevant positive evidence was found in the screened source pages.</x:v>
      </x:c>
      <x:c r="T216" s="14"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217" ht="52" customHeight="1">
      <x:c r="A217" s="14" t="str">
        <x:v>ipcc_0086</x:v>
      </x:c>
      <x:c r="B217" s="14" t="str">
        <x:v>Implement ecosystem‑based adaptation measures</x:v>
      </x:c>
      <x:c r="C217" s="14" t="str">
        <x:v>Health</x:v>
      </x:c>
      <x:c r="D217" s="14" t="str">
        <x:v>Arboviruses dengue, zika and chikungunya</x:v>
      </x:c>
      <x:c r="E217" s="14" t="str">
        <x:v>Exposure</x:v>
      </x:c>
      <x:c r="F217" s="15" t="str"/>
      <x:c r="G217" s="15" t="str"/>
      <x:c r="H217" s="14" t="str">
        <x:v>Direct</x:v>
      </x:c>
      <x:c r="I217" s="14" t="str">
        <x:v>No demonstrated effectiveness</x:v>
      </x:c>
      <x:c r="J217" s="14" t="str">
        <x:v>None</x:v>
      </x:c>
      <x:c r="K217" s="14" t="str">
        <x:v>No</x:v>
      </x:c>
      <x:c r="L217" s="14" t="str">
        <x:v>5-10 years</x:v>
      </x:c>
      <x:c r="M217" s="14" t="n">
        <x:v>0</x:v>
      </x:c>
      <x:c r="N217" s="14" t="n">
        <x:v>12</x:v>
      </x:c>
      <x:c r="O217" s="14" t="str">
        <x:v>Review directness | Evidence gap</x:v>
      </x:c>
      <x:c r="P217" s="14" t="str">
        <x:v>Deforestation | Bodies of water</x:v>
      </x:c>
      <x:c r="Q217" s="14" t="str"/>
      <x:c r="R217" s="14" t="str">
        <x:v>Direct — Direct: the action definition explicitly implements a mechanism that changes Deforestation, without requiring another intervention.
Direct — Direct: the action definition explicitly implements a mechanism that changes Bodies of water, without requiring another intervention.</x:v>
      </x:c>
      <x:c r="S217" s="14" t="str">
        <x:v>No relevant positive evidence was found in the screened source pages.</x:v>
      </x:c>
      <x:c r="T217" s="14"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218" ht="52" customHeight="1">
      <x:c r="A218" s="14" t="str">
        <x:v>ipcc_0086</x:v>
      </x:c>
      <x:c r="B218" s="14" t="str">
        <x:v>Implement ecosystem‑based adaptation measures</x:v>
      </x:c>
      <x:c r="C218" s="14" t="str">
        <x:v>Health</x:v>
      </x:c>
      <x:c r="D218" s="14" t="str">
        <x:v>Malaria</x:v>
      </x:c>
      <x:c r="E218" s="14" t="str">
        <x:v>Exposure</x:v>
      </x:c>
      <x:c r="F218" s="15" t="str"/>
      <x:c r="G218" s="15" t="str"/>
      <x:c r="H218" s="14" t="str">
        <x:v>Direct</x:v>
      </x:c>
      <x:c r="I218" s="14" t="str">
        <x:v>Medium effectiveness</x:v>
      </x:c>
      <x:c r="J218" s="14" t="str">
        <x:v>Single source</x:v>
      </x:c>
      <x:c r="K218" s="14" t="str">
        <x:v>No</x:v>
      </x:c>
      <x:c r="L218" s="14" t="str">
        <x:v>5-10 years</x:v>
      </x:c>
      <x:c r="M218" s="14" t="n">
        <x:v>1</x:v>
      </x:c>
      <x:c r="N218" s="14" t="n">
        <x:v>12</x:v>
      </x:c>
      <x:c r="O218" s="14" t="str">
        <x:v>Review directness</x:v>
      </x:c>
      <x:c r="P218" s="14" t="str">
        <x:v>Deforestation | Bodies of water</x:v>
      </x:c>
      <x:c r="Q218" s="14" t="str"/>
      <x:c r="R218" s="14" t="str">
        <x:v>Direct — Direct: the action definition explicitly implements a mechanism that changes Deforestation, without requiring another intervention.
Direct — Direct: the action definition explicitly implements a mechanism that changes Bodies of water, without requiring another intervention.</x:v>
      </x:c>
      <x:c r="S218" s="14" t="str">
        <x:v>Relevant evidence demonstrates a moderate, conditional, context-dependent or mixed positive outcome.</x:v>
      </x:c>
      <x:c r="T218" s="14"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219" ht="52" customHeight="1">
      <x:c r="A219" s="14" t="str">
        <x:v>ipcc_0086</x:v>
      </x:c>
      <x:c r="B219" s="14" t="str">
        <x:v>Implement ecosystem‑based adaptation measures</x:v>
      </x:c>
      <x:c r="C219" s="14" t="str">
        <x:v>Health</x:v>
      </x:c>
      <x:c r="D219" s="14" t="str">
        <x:v>Visceral leishmaniasis</x:v>
      </x:c>
      <x:c r="E219" s="14" t="str">
        <x:v>Exposure</x:v>
      </x:c>
      <x:c r="F219" s="15" t="str"/>
      <x:c r="G219" s="15" t="str"/>
      <x:c r="H219" s="14" t="str">
        <x:v>Direct</x:v>
      </x:c>
      <x:c r="I219" s="14" t="str">
        <x:v>No demonstrated effectiveness</x:v>
      </x:c>
      <x:c r="J219" s="14" t="str">
        <x:v>None</x:v>
      </x:c>
      <x:c r="K219" s="14" t="str">
        <x:v>No</x:v>
      </x:c>
      <x:c r="L219" s="14" t="str">
        <x:v>5-10 years</x:v>
      </x:c>
      <x:c r="M219" s="14" t="n">
        <x:v>0</x:v>
      </x:c>
      <x:c r="N219" s="14" t="n">
        <x:v>12</x:v>
      </x:c>
      <x:c r="O219" s="14" t="str">
        <x:v>Review directness | Evidence gap</x:v>
      </x:c>
      <x:c r="P219" s="14" t="str">
        <x:v>Natural coverage</x:v>
      </x:c>
      <x:c r="Q219" s="14" t="str"/>
      <x:c r="R219" s="14" t="str">
        <x:v>Direct — Direct: the action definition explicitly implements a mechanism that changes Natural coverage, without requiring another intervention.</x:v>
      </x:c>
      <x:c r="S219" s="14" t="str">
        <x:v>No relevant positive evidence was found in the screened source pages.</x:v>
      </x:c>
      <x:c r="T219" s="14"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220" ht="52" customHeight="1">
      <x:c r="A220" s="14" t="str">
        <x:v>icare_0186</x:v>
      </x:c>
      <x:c r="B220" s="14" t="str">
        <x:v>Implement integrated coastal zone management</x:v>
      </x:c>
      <x:c r="C220" s="14" t="str">
        <x:v>Health</x:v>
      </x:c>
      <x:c r="D220" s="14" t="str">
        <x:v>American cutaneous leishmaniasis</x:v>
      </x:c>
      <x:c r="E220" s="14" t="str">
        <x:v>Exposure</x:v>
      </x:c>
      <x:c r="F220" s="15" t="str"/>
      <x:c r="G220" s="15" t="str"/>
      <x:c r="H220" s="14" t="str">
        <x:v>Indirect</x:v>
      </x:c>
      <x:c r="I220" s="14" t="str">
        <x:v>Not assessed</x:v>
      </x:c>
      <x:c r="J220" s="14" t="str">
        <x:v>Not assessed</x:v>
      </x:c>
      <x:c r="K220" s="14" t="str">
        <x:v>No</x:v>
      </x:c>
      <x:c r="L220" s="14" t="str">
        <x:v>5-10 years</x:v>
      </x:c>
      <x:c r="M220" s="14" t="n">
        <x:v>0</x:v>
      </x:c>
      <x:c r="N220" s="14" t="n">
        <x:v>0</x:v>
      </x:c>
      <x:c r="O220" s="14" t="str">
        <x:v>Review directness</x:v>
      </x:c>
      <x:c r="P220" s="14" t="str"/>
      <x:c r="Q220" s="14" t="str">
        <x:v>Natural coverage</x:v>
      </x:c>
      <x:c r="R220" s="14" t="str">
        <x:v>Indirect — Indirect: the action can influence Natural coverage, but the stated mechanism does not directly change this indicator without an additional causal step.</x:v>
      </x:c>
      <x:c r="S220" s="14" t="str">
        <x:v>Effectiveness is not assessed because this relationship is not Direct.</x:v>
      </x:c>
      <x:c r="T220" s="14"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221" ht="52" customHeight="1">
      <x:c r="A221" s="14" t="str">
        <x:v>icare_0186</x:v>
      </x:c>
      <x:c r="B221" s="14" t="str">
        <x:v>Implement integrated coastal zone management</x:v>
      </x:c>
      <x:c r="C221" s="14" t="str">
        <x:v>Health</x:v>
      </x:c>
      <x:c r="D221" s="14" t="str">
        <x:v>Arboviruses dengue, zika and chikungunya</x:v>
      </x:c>
      <x:c r="E221" s="14" t="str">
        <x:v>Exposure</x:v>
      </x:c>
      <x:c r="F221" s="15" t="str"/>
      <x:c r="G221" s="15" t="str"/>
      <x:c r="H221" s="14" t="str">
        <x:v>Indirect</x:v>
      </x:c>
      <x:c r="I221" s="14" t="str">
        <x:v>Not assessed</x:v>
      </x:c>
      <x:c r="J221" s="14" t="str">
        <x:v>Not assessed</x:v>
      </x:c>
      <x:c r="K221" s="14" t="str">
        <x:v>No</x:v>
      </x:c>
      <x:c r="L221" s="14" t="str">
        <x:v>5-10 years</x:v>
      </x:c>
      <x:c r="M221" s="14" t="n">
        <x:v>0</x:v>
      </x:c>
      <x:c r="N221" s="14" t="n">
        <x:v>0</x:v>
      </x:c>
      <x:c r="O221" s="14" t="str">
        <x:v>Review directness</x:v>
      </x:c>
      <x:c r="P221" s="14" t="str"/>
      <x:c r="Q221" s="14" t="str">
        <x:v>Bodies of water</x:v>
      </x:c>
      <x:c r="R221" s="14" t="str">
        <x:v>Indirect — Indirect: the action can influence Bodies of water, but the stated mechanism does not directly change this indicator without an additional causal step.</x:v>
      </x:c>
      <x:c r="S221" s="14" t="str">
        <x:v>Effectiveness is not assessed because this relationship is not Direct.</x:v>
      </x:c>
      <x:c r="T221" s="14"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222" ht="52" customHeight="1">
      <x:c r="A222" s="14" t="str">
        <x:v>icare_0186</x:v>
      </x:c>
      <x:c r="B222" s="14" t="str">
        <x:v>Implement integrated coastal zone management</x:v>
      </x:c>
      <x:c r="C222" s="14" t="str">
        <x:v>Health</x:v>
      </x:c>
      <x:c r="D222" s="14" t="str">
        <x:v>Malaria</x:v>
      </x:c>
      <x:c r="E222" s="14" t="str">
        <x:v>Exposure</x:v>
      </x:c>
      <x:c r="F222" s="15" t="str"/>
      <x:c r="G222" s="15" t="str"/>
      <x:c r="H222" s="14" t="str">
        <x:v>Indirect</x:v>
      </x:c>
      <x:c r="I222" s="14" t="str">
        <x:v>Not assessed</x:v>
      </x:c>
      <x:c r="J222" s="14" t="str">
        <x:v>Not assessed</x:v>
      </x:c>
      <x:c r="K222" s="14" t="str">
        <x:v>No</x:v>
      </x:c>
      <x:c r="L222" s="14" t="str">
        <x:v>5-10 years</x:v>
      </x:c>
      <x:c r="M222" s="14" t="n">
        <x:v>0</x:v>
      </x:c>
      <x:c r="N222" s="14" t="n">
        <x:v>0</x:v>
      </x:c>
      <x:c r="O222" s="14" t="str">
        <x:v>Review directness</x:v>
      </x:c>
      <x:c r="P222" s="14" t="str"/>
      <x:c r="Q222" s="14" t="str">
        <x:v>Bodies of water</x:v>
      </x:c>
      <x:c r="R222" s="14" t="str">
        <x:v>Indirect — Indirect: the action can influence Bodies of water, but the stated mechanism does not directly change this indicator without an additional causal step.</x:v>
      </x:c>
      <x:c r="S222" s="14" t="str">
        <x:v>Effectiveness is not assessed because this relationship is not Direct.</x:v>
      </x:c>
      <x:c r="T222" s="14"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223" ht="52" customHeight="1">
      <x:c r="A223" s="14" t="str">
        <x:v>icare_0186</x:v>
      </x:c>
      <x:c r="B223" s="14" t="str">
        <x:v>Implement integrated coastal zone management</x:v>
      </x:c>
      <x:c r="C223" s="14" t="str">
        <x:v>Health</x:v>
      </x:c>
      <x:c r="D223" s="14" t="str">
        <x:v>Visceral leishmaniasis</x:v>
      </x:c>
      <x:c r="E223" s="14" t="str">
        <x:v>Exposure</x:v>
      </x:c>
      <x:c r="F223" s="15" t="str"/>
      <x:c r="G223" s="15" t="str"/>
      <x:c r="H223" s="14" t="str">
        <x:v>Indirect</x:v>
      </x:c>
      <x:c r="I223" s="14" t="str">
        <x:v>Not assessed</x:v>
      </x:c>
      <x:c r="J223" s="14" t="str">
        <x:v>Not assessed</x:v>
      </x:c>
      <x:c r="K223" s="14" t="str">
        <x:v>No</x:v>
      </x:c>
      <x:c r="L223" s="14" t="str">
        <x:v>5-10 years</x:v>
      </x:c>
      <x:c r="M223" s="14" t="n">
        <x:v>0</x:v>
      </x:c>
      <x:c r="N223" s="14" t="n">
        <x:v>0</x:v>
      </x:c>
      <x:c r="O223" s="14" t="str">
        <x:v>Review directness</x:v>
      </x:c>
      <x:c r="P223" s="14" t="str"/>
      <x:c r="Q223" s="14" t="str">
        <x:v>Natural coverage</x:v>
      </x:c>
      <x:c r="R223" s="14" t="str">
        <x:v>Indirect — Indirect: the action can influence Natural coverage, but the stated mechanism does not directly change this indicator without an additional causal step.</x:v>
      </x:c>
      <x:c r="S223" s="14" t="str">
        <x:v>Effectiveness is not assessed because this relationship is not Direct.</x:v>
      </x:c>
      <x:c r="T223" s="14"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224" ht="52" customHeight="1">
      <x:c r="A224" s="14" t="str">
        <x:v>icare_0185</x:v>
      </x:c>
      <x:c r="B224" s="14" t="str">
        <x:v>Improve Creation of An Epidemiological Intelligence Center</x:v>
      </x:c>
      <x:c r="C224" s="14" t="str">
        <x:v>Health</x:v>
      </x:c>
      <x:c r="D224" s="14" t="str">
        <x:v>American cutaneous leishmaniasis</x:v>
      </x:c>
      <x:c r="E224" s="14" t="str">
        <x:v>Vulnerability</x:v>
      </x:c>
      <x:c r="F224" s="15" t="str"/>
      <x:c r="G224" s="15" t="str"/>
      <x:c r="H224" s="14" t="str">
        <x:v>Indirect</x:v>
      </x:c>
      <x:c r="I224" s="14" t="str">
        <x:v>Not assessed</x:v>
      </x:c>
      <x:c r="J224" s="14" t="str">
        <x:v>Not assessed</x:v>
      </x:c>
      <x:c r="K224" s="14" t="str">
        <x:v>No</x:v>
      </x:c>
      <x:c r="L224" s="14" t="str">
        <x:v>5-10 years</x:v>
      </x:c>
      <x:c r="M224" s="14" t="n">
        <x:v>0</x:v>
      </x:c>
      <x:c r="N224" s="14" t="n">
        <x:v>0</x:v>
      </x:c>
      <x:c r="O224" s="14" t="str">
        <x:v>Review directness</x:v>
      </x:c>
      <x:c r="P224" s="14" t="str"/>
      <x:c r="Q224" s="14" t="str">
        <x:v>Incidence of American cutaneous leishmaniasis</x:v>
      </x:c>
      <x:c r="R224" s="14" t="str">
        <x:v>Indirect — Indirect: the action can influence Incidence of American cutaneous leishmaniasis, but the stated mechanism does not directly change this indicator without an additional causal step.</x:v>
      </x:c>
      <x:c r="S224" s="14" t="str">
        <x:v>Effectiveness is not assessed because this relationship is not Direct.</x:v>
      </x:c>
      <x:c r="T224" s="14" t="str">
        <x: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x:v>
      </x:c>
    </x:row>
    <x:row r="225" ht="52" customHeight="1">
      <x:c r="A225" s="14" t="str">
        <x:v>icare_0185</x:v>
      </x:c>
      <x:c r="B225" s="14" t="str">
        <x:v>Improve Creation of An Epidemiological Intelligence Center</x:v>
      </x:c>
      <x:c r="C225" s="14" t="str">
        <x:v>Health</x:v>
      </x:c>
      <x:c r="D225" s="14" t="str">
        <x:v>Arboviruses dengue, zika and chikungunya</x:v>
      </x:c>
      <x:c r="E225" s="14" t="str">
        <x:v>Vulnerability</x:v>
      </x:c>
      <x:c r="F225" s="15" t="str"/>
      <x:c r="G225" s="15" t="str"/>
      <x:c r="H225" s="14" t="str">
        <x:v>Indirect</x:v>
      </x:c>
      <x:c r="I225" s="14" t="str">
        <x:v>Not assessed</x:v>
      </x:c>
      <x:c r="J225" s="14" t="str">
        <x:v>Not assessed</x:v>
      </x:c>
      <x:c r="K225" s="14" t="str">
        <x:v>No</x:v>
      </x:c>
      <x:c r="L225" s="14" t="str">
        <x:v>5-10 years</x:v>
      </x:c>
      <x:c r="M225" s="14" t="n">
        <x:v>0</x:v>
      </x:c>
      <x:c r="N225" s="14" t="n">
        <x:v>0</x:v>
      </x:c>
      <x:c r="O225" s="14" t="str">
        <x:v>Review directness</x:v>
      </x:c>
      <x:c r="P225" s="14" t="str"/>
      <x:c r="Q225" s="14" t="str">
        <x:v>Incidence of arboviruses dengue, zika and chikungunya</x:v>
      </x:c>
      <x:c r="R225" s="14" t="str">
        <x:v>Indirect — Indirect: the action can influence Incidence of arboviruses dengue, zika and chikungunya, but the stated mechanism does not directly change this indicator without an additional causal step.</x:v>
      </x:c>
      <x:c r="S225" s="14" t="str">
        <x:v>Effectiveness is not assessed because this relationship is not Direct.</x:v>
      </x:c>
      <x:c r="T225" s="14" t="str">
        <x: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x:v>
      </x:c>
    </x:row>
    <x:row r="226" ht="52" customHeight="1">
      <x:c r="A226" s="14" t="str">
        <x:v>icare_0185</x:v>
      </x:c>
      <x:c r="B226" s="14" t="str">
        <x:v>Improve Creation of An Epidemiological Intelligence Center</x:v>
      </x:c>
      <x:c r="C226" s="14" t="str">
        <x:v>Health</x:v>
      </x:c>
      <x:c r="D226" s="14" t="str">
        <x:v>Malaria</x:v>
      </x:c>
      <x:c r="E226" s="14" t="str">
        <x:v>Vulnerability</x:v>
      </x:c>
      <x:c r="F226" s="15" t="str"/>
      <x:c r="G226" s="15" t="str"/>
      <x:c r="H226" s="14" t="str">
        <x:v>Indirect</x:v>
      </x:c>
      <x:c r="I226" s="14" t="str">
        <x:v>Not assessed</x:v>
      </x:c>
      <x:c r="J226" s="14" t="str">
        <x:v>Not assessed</x:v>
      </x:c>
      <x:c r="K226" s="14" t="str">
        <x:v>No</x:v>
      </x:c>
      <x:c r="L226" s="14" t="str">
        <x:v>5-10 years</x:v>
      </x:c>
      <x:c r="M226" s="14" t="n">
        <x:v>0</x:v>
      </x:c>
      <x:c r="N226" s="14" t="n">
        <x:v>0</x:v>
      </x:c>
      <x:c r="O226" s="14" t="str">
        <x:v>Review directness</x:v>
      </x:c>
      <x:c r="P226" s="14" t="str"/>
      <x:c r="Q226" s="14" t="str">
        <x:v>Ipa | falciparum malaria | Access to diagnosis and treatment</x:v>
      </x:c>
      <x:c r="R226" s="14" t="str">
        <x:v>Indirect — Indirect: the action can influence Ipa, but the stated mechanism does not directly change this indicator without an additional causal step.
Indirect — Indirect: the action can influence falciparum malaria, but the stated mechanism does not directly change this indicator without an additional causal step.
Indirect — Indirect: the action can influence Access to diagnosis and treatment, but the stated mechanism does not directly change this indicator without an additional causal step.</x:v>
      </x:c>
      <x:c r="S226" s="14" t="str">
        <x:v>Effectiveness is not assessed because this relationship is not Direct.</x:v>
      </x:c>
      <x:c r="T226" s="14" t="str">
        <x: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x:v>
      </x:c>
    </x:row>
    <x:row r="227" ht="52" customHeight="1">
      <x:c r="A227" s="14" t="str">
        <x:v>icare_0185</x:v>
      </x:c>
      <x:c r="B227" s="14" t="str">
        <x:v>Improve Creation of An Epidemiological Intelligence Center</x:v>
      </x:c>
      <x:c r="C227" s="14" t="str">
        <x:v>Health</x:v>
      </x:c>
      <x:c r="D227" s="14" t="str">
        <x:v>Visceral leishmaniasis</x:v>
      </x:c>
      <x:c r="E227" s="14" t="str">
        <x:v>Vulnerability</x:v>
      </x:c>
      <x:c r="F227" s="15" t="str"/>
      <x:c r="G227" s="15" t="str"/>
      <x:c r="H227" s="14" t="str">
        <x:v>Indirect</x:v>
      </x:c>
      <x:c r="I227" s="14" t="str">
        <x:v>Not assessed</x:v>
      </x:c>
      <x:c r="J227" s="14" t="str">
        <x:v>Not assessed</x:v>
      </x:c>
      <x:c r="K227" s="14" t="str">
        <x:v>No</x:v>
      </x:c>
      <x:c r="L227" s="14" t="str">
        <x:v>5-10 years</x:v>
      </x:c>
      <x:c r="M227" s="14" t="n">
        <x:v>0</x:v>
      </x:c>
      <x:c r="N227" s="14" t="n">
        <x:v>0</x:v>
      </x:c>
      <x:c r="O227" s="14" t="str">
        <x:v>Review directness</x:v>
      </x:c>
      <x:c r="P227" s="14" t="str"/>
      <x:c r="Q227" s="14" t="str">
        <x:v>Incidence of visceral leishmaniasis</x:v>
      </x:c>
      <x:c r="R227" s="14" t="str">
        <x:v>Indirect — Indirect: the action can influence Incidence of visceral leishmaniasis, but the stated mechanism does not directly change this indicator without an additional causal step.</x:v>
      </x:c>
      <x:c r="S227" s="14" t="str">
        <x:v>Effectiveness is not assessed because this relationship is not Direct.</x:v>
      </x:c>
      <x:c r="T227" s="14" t="str">
        <x: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x:v>
      </x:c>
    </x:row>
    <x:row r="228" ht="52" customHeight="1">
      <x:c r="A228" s="14" t="str">
        <x:v>ipcc_0100</x:v>
      </x:c>
      <x:c r="B228" s="14" t="str">
        <x:v>Improve Efficient water use/demand</x:v>
      </x:c>
      <x:c r="C228" s="14" t="str">
        <x:v>Health</x:v>
      </x:c>
      <x:c r="D228" s="14" t="str">
        <x:v>Arboviruses dengue, zika and chikungunya</x:v>
      </x:c>
      <x:c r="E228" s="14" t="str">
        <x:v>Vulnerability</x:v>
      </x:c>
      <x:c r="F228" s="15" t="str"/>
      <x:c r="G228" s="15" t="str"/>
      <x:c r="H228" s="14" t="str">
        <x:v>Indirect</x:v>
      </x:c>
      <x:c r="I228" s="14" t="str">
        <x:v>Not assessed</x:v>
      </x:c>
      <x:c r="J228" s="14" t="str">
        <x:v>Not assessed</x:v>
      </x:c>
      <x:c r="K228" s="14" t="str">
        <x:v>No</x:v>
      </x:c>
      <x:c r="L228" s="14" t="str">
        <x:v>5-10 years</x:v>
      </x:c>
      <x:c r="M228" s="14" t="n">
        <x:v>0</x:v>
      </x:c>
      <x:c r="N228" s="14" t="n">
        <x:v>0</x:v>
      </x:c>
      <x:c r="O228" s="14" t="str">
        <x:v>Review directness</x:v>
      </x:c>
      <x:c r="P228" s="14" t="str"/>
      <x:c r="Q228" s="14" t="str">
        <x:v>Water supply</x:v>
      </x:c>
      <x:c r="R228" s="14" t="str">
        <x:v>Indirect — Indirect: the action can influence Water supply, but the stated mechanism does not directly change this indicator without an additional causal step.</x:v>
      </x:c>
      <x:c r="S228" s="14" t="str">
        <x:v>Effectiveness is not assessed because this relationship is not Direct.</x:v>
      </x:c>
      <x:c r="T228" s="14"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229" ht="52" customHeight="1">
      <x:c r="A229" s="14" t="str">
        <x:v>ipcc_0101</x:v>
      </x:c>
      <x:c r="B229" s="14" t="str">
        <x:v>Improve urban water management</x:v>
      </x:c>
      <x:c r="C229" s="14" t="str">
        <x:v>Health</x:v>
      </x:c>
      <x:c r="D229" s="14" t="str">
        <x:v>Arboviruses dengue, zika and chikungunya</x:v>
      </x:c>
      <x:c r="E229" s="14" t="str">
        <x:v>Exposure</x:v>
      </x:c>
      <x:c r="F229" s="15" t="str"/>
      <x:c r="G229" s="15" t="str"/>
      <x:c r="H229" s="14" t="str">
        <x:v>Direct</x:v>
      </x:c>
      <x:c r="I229" s="14" t="str">
        <x:v>No demonstrated effectiveness</x:v>
      </x:c>
      <x:c r="J229" s="14" t="str">
        <x:v>None</x:v>
      </x:c>
      <x:c r="K229" s="14" t="str">
        <x:v>No</x:v>
      </x:c>
      <x:c r="L229" s="14" t="str">
        <x:v>5-10 years</x:v>
      </x:c>
      <x:c r="M229" s="14" t="n">
        <x:v>0</x:v>
      </x:c>
      <x:c r="N229" s="14" t="n">
        <x:v>12</x:v>
      </x:c>
      <x:c r="O229" s="14" t="str">
        <x:v>Review directness | Evidence gap</x:v>
      </x:c>
      <x:c r="P229" s="14" t="str">
        <x:v>Bodies of water</x:v>
      </x:c>
      <x:c r="Q229" s="14" t="str"/>
      <x:c r="R229" s="14" t="str">
        <x:v>Direct — Direct: the action definition explicitly implements a mechanism that changes Bodies of water, without requiring another intervention.</x:v>
      </x:c>
      <x:c r="S229" s="14" t="str">
        <x:v>No relevant positive evidence was found in the screened source pages.</x:v>
      </x:c>
      <x:c r="T229" s="14"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230" ht="52" customHeight="1">
      <x:c r="A230" s="14" t="str">
        <x:v>ipcc_0101</x:v>
      </x:c>
      <x:c r="B230" s="14" t="str">
        <x:v>Improve urban water management</x:v>
      </x:c>
      <x:c r="C230" s="14" t="str">
        <x:v>Health</x:v>
      </x:c>
      <x:c r="D230" s="14" t="str">
        <x:v>Arboviruses dengue, zika and chikungunya</x:v>
      </x:c>
      <x:c r="E230" s="14" t="str">
        <x:v>Vulnerability</x:v>
      </x:c>
      <x:c r="F230" s="15" t="str"/>
      <x:c r="G230" s="15" t="str"/>
      <x:c r="H230" s="14" t="str">
        <x:v>Direct</x:v>
      </x:c>
      <x:c r="I230" s="14" t="str">
        <x:v>No demonstrated effectiveness</x:v>
      </x:c>
      <x:c r="J230" s="14" t="str">
        <x:v>None</x:v>
      </x:c>
      <x:c r="K230" s="14" t="str">
        <x:v>No</x:v>
      </x:c>
      <x:c r="L230" s="14" t="str">
        <x:v>5-10 years</x:v>
      </x:c>
      <x:c r="M230" s="14" t="n">
        <x:v>0</x:v>
      </x:c>
      <x:c r="N230" s="14" t="n">
        <x:v>12</x:v>
      </x:c>
      <x:c r="O230" s="14" t="str">
        <x:v>Review directness | Evidence gap</x:v>
      </x:c>
      <x:c r="P230" s="14" t="str">
        <x:v>Water supply</x:v>
      </x:c>
      <x:c r="Q230" s="14" t="str">
        <x:v>Presence of cistern | Incidence of arboviruses dengue, zika and chikungunya</x:v>
      </x:c>
      <x:c r="R230" s="14" t="str">
        <x:v>Direct — Direct: the action definition explicitly implements a mechanism that changes Water supply, without requiring another intervention.
Indirect — Indirect: the action can influence Presence of cistern, but the stated mechanism does not directly change this indicator without an additional causal step.
Indirect — Indirect: the action can influence Incidence of arboviruses dengue, zika and chikungunya, but the stated mechanism does not directly change this indicator without an additional causal step.</x:v>
      </x:c>
      <x:c r="S230" s="14" t="str">
        <x:v>No relevant positive evidence was found in the screened source pages.</x:v>
      </x:c>
      <x:c r="T230" s="14"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231" ht="52" customHeight="1">
      <x:c r="A231" s="14" t="str">
        <x:v>ipcc_0101</x:v>
      </x:c>
      <x:c r="B231" s="14" t="str">
        <x:v>Improve urban water management</x:v>
      </x:c>
      <x:c r="C231" s="14" t="str">
        <x:v>Health</x:v>
      </x:c>
      <x:c r="D231" s="14" t="str">
        <x:v>Malaria</x:v>
      </x:c>
      <x:c r="E231" s="14" t="str">
        <x:v>Exposure</x:v>
      </x:c>
      <x:c r="F231" s="15" t="str"/>
      <x:c r="G231" s="15" t="str"/>
      <x:c r="H231" s="14" t="str">
        <x:v>Direct</x:v>
      </x:c>
      <x:c r="I231" s="14" t="str">
        <x:v>No demonstrated effectiveness</x:v>
      </x:c>
      <x:c r="J231" s="14" t="str">
        <x:v>None</x:v>
      </x:c>
      <x:c r="K231" s="14" t="str">
        <x:v>No</x:v>
      </x:c>
      <x:c r="L231" s="14" t="str">
        <x:v>5-10 years</x:v>
      </x:c>
      <x:c r="M231" s="14" t="n">
        <x:v>0</x:v>
      </x:c>
      <x:c r="N231" s="14" t="n">
        <x:v>12</x:v>
      </x:c>
      <x:c r="O231" s="14" t="str">
        <x:v>Review directness | Evidence gap</x:v>
      </x:c>
      <x:c r="P231" s="14" t="str">
        <x:v>Bodies of water</x:v>
      </x:c>
      <x:c r="Q231" s="14" t="str"/>
      <x:c r="R231" s="14" t="str">
        <x:v>Direct — Direct: the action definition explicitly implements a mechanism that changes Bodies of water, without requiring another intervention.</x:v>
      </x:c>
      <x:c r="S231" s="14" t="str">
        <x:v>No relevant positive evidence was found in the screened source pages.</x:v>
      </x:c>
      <x:c r="T231" s="14"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232" ht="52" customHeight="1">
      <x:c r="A232" s="14" t="str">
        <x:v>ipcc_0101</x:v>
      </x:c>
      <x:c r="B232" s="14" t="str">
        <x:v>Improve urban water management</x:v>
      </x:c>
      <x:c r="C232" s="14" t="str">
        <x:v>Health</x:v>
      </x:c>
      <x:c r="D232" s="14" t="str">
        <x:v>Malaria</x:v>
      </x:c>
      <x:c r="E232" s="14" t="str">
        <x:v>Vulnerability</x:v>
      </x:c>
      <x:c r="F232" s="15" t="str"/>
      <x:c r="G232" s="15" t="str"/>
      <x:c r="H232" s="14" t="str">
        <x:v>Direct</x:v>
      </x:c>
      <x:c r="I232" s="14" t="str">
        <x:v>No demonstrated effectiveness</x:v>
      </x:c>
      <x:c r="J232" s="14" t="str">
        <x:v>None</x:v>
      </x:c>
      <x:c r="K232" s="14" t="str">
        <x:v>No</x:v>
      </x:c>
      <x:c r="L232" s="14" t="str">
        <x:v>5-10 years</x:v>
      </x:c>
      <x:c r="M232" s="14" t="n">
        <x:v>0</x:v>
      </x:c>
      <x:c r="N232" s="14" t="n">
        <x:v>12</x:v>
      </x:c>
      <x:c r="O232" s="14" t="str">
        <x:v>Review directness | Evidence gap</x:v>
      </x:c>
      <x:c r="P232" s="14" t="str">
        <x:v>No access to adequate sanitation</x:v>
      </x:c>
      <x:c r="Q232" s="14" t="str"/>
      <x:c r="R232" s="14" t="str">
        <x:v>Direct — Direct: the action definition explicitly implements a mechanism that changes No access to adequate sanitation, without requiring another intervention.</x:v>
      </x:c>
      <x:c r="S232" s="14" t="str">
        <x:v>No relevant positive evidence was found in the screened source pages.</x:v>
      </x:c>
      <x:c r="T232" s="14"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233" ht="52" customHeight="1">
      <x:c r="A233" s="14" t="str">
        <x:v>c40_0056</x:v>
      </x:c>
      <x:c r="B233" s="14" t="str">
        <x:v>Improve Watershed Protection and Management</x:v>
      </x:c>
      <x:c r="C233" s="14" t="str">
        <x:v>Health</x:v>
      </x:c>
      <x:c r="D233" s="14" t="str">
        <x:v>American cutaneous leishmaniasis</x:v>
      </x:c>
      <x:c r="E233" s="14" t="str">
        <x:v>Exposure</x:v>
      </x:c>
      <x:c r="F233" s="15" t="str"/>
      <x:c r="G233" s="15" t="str"/>
      <x:c r="H233" s="14" t="str">
        <x:v>Direct</x:v>
      </x:c>
      <x:c r="I233" s="14" t="str">
        <x:v>No demonstrated effectiveness</x:v>
      </x:c>
      <x:c r="J233" s="14" t="str">
        <x:v>None</x:v>
      </x:c>
      <x:c r="K233" s="14" t="str">
        <x:v>No</x:v>
      </x:c>
      <x:c r="L233" s="14" t="str">
        <x:v>&lt;5 years</x:v>
      </x:c>
      <x:c r="M233" s="14" t="n">
        <x:v>0</x:v>
      </x:c>
      <x:c r="N233" s="14" t="n">
        <x:v>12</x:v>
      </x:c>
      <x:c r="O233" s="14" t="str">
        <x:v>Review directness | Evidence gap</x:v>
      </x:c>
      <x:c r="P233" s="14" t="str">
        <x:v>Natural coverage</x:v>
      </x:c>
      <x:c r="Q233" s="14" t="str"/>
      <x:c r="R233" s="14" t="str">
        <x:v>Direct — Direct: the action definition explicitly implements a mechanism that changes Natural coverage, without requiring another intervention.</x:v>
      </x:c>
      <x:c r="S233" s="14" t="str">
        <x:v>No relevant positive evidence was found in the screened source pages.</x:v>
      </x:c>
      <x:c r="T233" s="14"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234" ht="52" customHeight="1">
      <x:c r="A234" s="14" t="str">
        <x:v>c40_0056</x:v>
      </x:c>
      <x:c r="B234" s="14" t="str">
        <x:v>Improve Watershed Protection and Management</x:v>
      </x:c>
      <x:c r="C234" s="14" t="str">
        <x:v>Health</x:v>
      </x:c>
      <x:c r="D234" s="14" t="str">
        <x:v>Arboviruses dengue, zika and chikungunya</x:v>
      </x:c>
      <x:c r="E234" s="14" t="str">
        <x:v>Exposure</x:v>
      </x:c>
      <x:c r="F234" s="15" t="str"/>
      <x:c r="G234" s="15" t="str"/>
      <x:c r="H234" s="14" t="str">
        <x:v>Direct</x:v>
      </x:c>
      <x:c r="I234" s="14" t="str">
        <x:v>No demonstrated effectiveness</x:v>
      </x:c>
      <x:c r="J234" s="14" t="str">
        <x:v>None</x:v>
      </x:c>
      <x:c r="K234" s="14" t="str">
        <x:v>No</x:v>
      </x:c>
      <x:c r="L234" s="14" t="str">
        <x:v>&lt;5 years</x:v>
      </x:c>
      <x:c r="M234" s="14" t="n">
        <x:v>0</x:v>
      </x:c>
      <x:c r="N234" s="14" t="n">
        <x:v>12</x:v>
      </x:c>
      <x:c r="O234" s="14" t="str">
        <x:v>Review directness | Evidence gap</x:v>
      </x:c>
      <x:c r="P234" s="14" t="str">
        <x:v>Bodies of water</x:v>
      </x:c>
      <x:c r="Q234" s="14" t="str"/>
      <x:c r="R234" s="14" t="str">
        <x:v>Direct — Direct: the action definition explicitly implements a mechanism that changes Bodies of water, without requiring another intervention.</x:v>
      </x:c>
      <x:c r="S234" s="14" t="str">
        <x:v>No relevant positive evidence was found in the screened source pages.</x:v>
      </x:c>
      <x:c r="T234" s="14"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235" ht="52" customHeight="1">
      <x:c r="A235" s="14" t="str">
        <x:v>c40_0056</x:v>
      </x:c>
      <x:c r="B235" s="14" t="str">
        <x:v>Improve Watershed Protection and Management</x:v>
      </x:c>
      <x:c r="C235" s="14" t="str">
        <x:v>Health</x:v>
      </x:c>
      <x:c r="D235" s="14" t="str">
        <x:v>Arboviruses dengue, zika and chikungunya</x:v>
      </x:c>
      <x:c r="E235" s="14" t="str">
        <x:v>Vulnerability</x:v>
      </x:c>
      <x:c r="F235" s="15" t="str"/>
      <x:c r="G235" s="15" t="str"/>
      <x:c r="H235" s="14" t="str">
        <x:v>Indirect</x:v>
      </x:c>
      <x:c r="I235" s="14" t="str">
        <x:v>Not assessed</x:v>
      </x:c>
      <x:c r="J235" s="14" t="str">
        <x:v>Not assessed</x:v>
      </x:c>
      <x:c r="K235" s="14" t="str">
        <x:v>No</x:v>
      </x:c>
      <x:c r="L235" s="14" t="str">
        <x:v>&lt;5 years</x:v>
      </x:c>
      <x:c r="M235" s="14" t="n">
        <x:v>0</x:v>
      </x:c>
      <x:c r="N235" s="14" t="n">
        <x:v>0</x:v>
      </x:c>
      <x:c r="O235" s="14" t="str">
        <x:v>Review directness</x:v>
      </x:c>
      <x:c r="P235" s="14" t="str"/>
      <x:c r="Q235" s="14" t="str">
        <x:v>Water supply</x:v>
      </x:c>
      <x:c r="R235" s="14" t="str">
        <x:v>Indirect — Indirect: the action can influence Water supply, but the stated mechanism does not directly change this indicator without an additional causal step.</x:v>
      </x:c>
      <x:c r="S235" s="14" t="str">
        <x:v>Effectiveness is not assessed because this relationship is not Direct.</x:v>
      </x:c>
      <x:c r="T235" s="14"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236" ht="52" customHeight="1">
      <x:c r="A236" s="14" t="str">
        <x:v>c40_0056</x:v>
      </x:c>
      <x:c r="B236" s="14" t="str">
        <x:v>Improve Watershed Protection and Management</x:v>
      </x:c>
      <x:c r="C236" s="14" t="str">
        <x:v>Health</x:v>
      </x:c>
      <x:c r="D236" s="14" t="str">
        <x:v>Malaria</x:v>
      </x:c>
      <x:c r="E236" s="14" t="str">
        <x:v>Exposure</x:v>
      </x:c>
      <x:c r="F236" s="15" t="str"/>
      <x:c r="G236" s="15" t="str"/>
      <x:c r="H236" s="14" t="str">
        <x:v>Direct</x:v>
      </x:c>
      <x:c r="I236" s="14" t="str">
        <x:v>No demonstrated effectiveness</x:v>
      </x:c>
      <x:c r="J236" s="14" t="str">
        <x:v>None</x:v>
      </x:c>
      <x:c r="K236" s="14" t="str">
        <x:v>No</x:v>
      </x:c>
      <x:c r="L236" s="14" t="str">
        <x:v>&lt;5 years</x:v>
      </x:c>
      <x:c r="M236" s="14" t="n">
        <x:v>0</x:v>
      </x:c>
      <x:c r="N236" s="14" t="n">
        <x:v>12</x:v>
      </x:c>
      <x:c r="O236" s="14" t="str">
        <x:v>Review directness | Evidence gap</x:v>
      </x:c>
      <x:c r="P236" s="14" t="str">
        <x:v>Bodies of water</x:v>
      </x:c>
      <x:c r="Q236" s="14" t="str"/>
      <x:c r="R236" s="14" t="str">
        <x:v>Direct — Direct: the action definition explicitly implements a mechanism that changes Bodies of water, without requiring another intervention.</x:v>
      </x:c>
      <x:c r="S236" s="14" t="str">
        <x:v>No relevant positive evidence was found in the screened source pages.</x:v>
      </x:c>
      <x:c r="T236" s="14"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237" ht="52" customHeight="1">
      <x:c r="A237" s="14" t="str">
        <x:v>c40_0056</x:v>
      </x:c>
      <x:c r="B237" s="14" t="str">
        <x:v>Improve Watershed Protection and Management</x:v>
      </x:c>
      <x:c r="C237" s="14" t="str">
        <x:v>Health</x:v>
      </x:c>
      <x:c r="D237" s="14" t="str">
        <x:v>Malaria</x:v>
      </x:c>
      <x:c r="E237" s="14" t="str">
        <x:v>Vulnerability</x:v>
      </x:c>
      <x:c r="F237" s="15" t="str"/>
      <x:c r="G237" s="15" t="str"/>
      <x:c r="H237" s="14" t="str">
        <x:v>Indirect</x:v>
      </x:c>
      <x:c r="I237" s="14" t="str">
        <x:v>Not assessed</x:v>
      </x:c>
      <x:c r="J237" s="14" t="str">
        <x:v>Not assessed</x:v>
      </x:c>
      <x:c r="K237" s="14" t="str">
        <x:v>No</x:v>
      </x:c>
      <x:c r="L237" s="14" t="str">
        <x:v>&lt;5 years</x:v>
      </x:c>
      <x:c r="M237" s="14" t="n">
        <x:v>0</x:v>
      </x:c>
      <x:c r="N237" s="14" t="n">
        <x:v>0</x:v>
      </x:c>
      <x:c r="O237" s="14" t="str">
        <x:v>Review directness</x:v>
      </x:c>
      <x:c r="P237" s="14" t="str"/>
      <x:c r="Q237" s="14" t="str">
        <x:v>No access to adequate sanitation</x:v>
      </x:c>
      <x:c r="R237" s="14" t="str">
        <x:v>Indirect — Indirect: the action can influence No access to adequate sanitation, but the stated mechanism does not directly change this indicator without an additional causal step.</x:v>
      </x:c>
      <x:c r="S237" s="14" t="str">
        <x:v>Effectiveness is not assessed because this relationship is not Direct.</x:v>
      </x:c>
      <x:c r="T237" s="14"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238" ht="52" customHeight="1">
      <x:c r="A238" s="14" t="str">
        <x:v>c40_0056</x:v>
      </x:c>
      <x:c r="B238" s="14" t="str">
        <x:v>Improve Watershed Protection and Management</x:v>
      </x:c>
      <x:c r="C238" s="14" t="str">
        <x:v>Health</x:v>
      </x:c>
      <x:c r="D238" s="14" t="str">
        <x:v>Visceral leishmaniasis</x:v>
      </x:c>
      <x:c r="E238" s="14" t="str">
        <x:v>Exposure</x:v>
      </x:c>
      <x:c r="F238" s="15" t="str"/>
      <x:c r="G238" s="15" t="str"/>
      <x:c r="H238" s="14" t="str">
        <x:v>Direct</x:v>
      </x:c>
      <x:c r="I238" s="14" t="str">
        <x:v>No demonstrated effectiveness</x:v>
      </x:c>
      <x:c r="J238" s="14" t="str">
        <x:v>None</x:v>
      </x:c>
      <x:c r="K238" s="14" t="str">
        <x:v>No</x:v>
      </x:c>
      <x:c r="L238" s="14" t="str">
        <x:v>&lt;5 years</x:v>
      </x:c>
      <x:c r="M238" s="14" t="n">
        <x:v>0</x:v>
      </x:c>
      <x:c r="N238" s="14" t="n">
        <x:v>12</x:v>
      </x:c>
      <x:c r="O238" s="14" t="str">
        <x:v>Review directness | Evidence gap</x:v>
      </x:c>
      <x:c r="P238" s="14" t="str">
        <x:v>Natural coverage</x:v>
      </x:c>
      <x:c r="Q238" s="14" t="str"/>
      <x:c r="R238" s="14" t="str">
        <x:v>Direct — Direct: the action definition explicitly implements a mechanism that changes Natural coverage, without requiring another intervention.</x:v>
      </x:c>
      <x:c r="S238" s="14" t="str">
        <x:v>No relevant positive evidence was found in the screened source pages.</x:v>
      </x:c>
      <x:c r="T238" s="14"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239" ht="52" customHeight="1">
      <x:c r="A239" s="14" t="str">
        <x:v>ipcc_0099</x:v>
      </x:c>
      <x:c r="B239" s="14" t="str">
        <x:v>Increase Water Capture and Storage</x:v>
      </x:c>
      <x:c r="C239" s="14" t="str">
        <x:v>Health</x:v>
      </x:c>
      <x:c r="D239" s="14" t="str">
        <x:v>Arboviruses dengue, zika and chikungunya</x:v>
      </x:c>
      <x:c r="E239" s="14" t="str">
        <x:v>Exposure</x:v>
      </x:c>
      <x:c r="F239" s="15" t="str"/>
      <x:c r="G239" s="15" t="str"/>
      <x:c r="H239" s="14" t="str">
        <x:v>Direct</x:v>
      </x:c>
      <x:c r="I239" s="14" t="str">
        <x:v>No demonstrated effectiveness</x:v>
      </x:c>
      <x:c r="J239" s="14" t="str">
        <x:v>None</x:v>
      </x:c>
      <x:c r="K239" s="14" t="str">
        <x:v>No</x:v>
      </x:c>
      <x:c r="L239" s="14" t="str">
        <x:v>5-10 years</x:v>
      </x:c>
      <x:c r="M239" s="14" t="n">
        <x:v>0</x:v>
      </x:c>
      <x:c r="N239" s="14" t="n">
        <x:v>12</x:v>
      </x:c>
      <x:c r="O239" s="14" t="str">
        <x:v>Review directness | Evidence gap</x:v>
      </x:c>
      <x:c r="P239" s="14" t="str">
        <x:v>Bodies of water</x:v>
      </x:c>
      <x:c r="Q239" s="14" t="str"/>
      <x:c r="R239" s="14" t="str">
        <x:v>Direct — Direct: the action definition explicitly implements a mechanism that changes Bodies of water, without requiring another intervention.</x:v>
      </x:c>
      <x:c r="S239" s="14" t="str">
        <x:v>No relevant positive evidence was found in the screened source pages.</x:v>
      </x:c>
      <x:c r="T239" s="14"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240" ht="52" customHeight="1">
      <x:c r="A240" s="14" t="str">
        <x:v>ipcc_0099</x:v>
      </x:c>
      <x:c r="B240" s="14" t="str">
        <x:v>Increase Water Capture and Storage</x:v>
      </x:c>
      <x:c r="C240" s="14" t="str">
        <x:v>Health</x:v>
      </x:c>
      <x:c r="D240" s="14" t="str">
        <x:v>Arboviruses dengue, zika and chikungunya</x:v>
      </x:c>
      <x:c r="E240" s="14" t="str">
        <x:v>Vulnerability</x:v>
      </x:c>
      <x:c r="F240" s="15" t="str"/>
      <x:c r="G240" s="15" t="str"/>
      <x:c r="H240" s="14" t="str">
        <x:v>Direct</x:v>
      </x:c>
      <x:c r="I240" s="14" t="str">
        <x:v>No demonstrated effectiveness</x:v>
      </x:c>
      <x:c r="J240" s="14" t="str">
        <x:v>None</x:v>
      </x:c>
      <x:c r="K240" s="14" t="str">
        <x:v>No</x:v>
      </x:c>
      <x:c r="L240" s="14" t="str">
        <x:v>5-10 years</x:v>
      </x:c>
      <x:c r="M240" s="14" t="n">
        <x:v>0</x:v>
      </x:c>
      <x:c r="N240" s="14" t="n">
        <x:v>12</x:v>
      </x:c>
      <x:c r="O240" s="14" t="str">
        <x:v>Review directness | Evidence gap</x:v>
      </x:c>
      <x:c r="P240" s="14" t="str">
        <x:v>Water supply | Presence of cistern</x:v>
      </x:c>
      <x:c r="Q240" s="14" t="str">
        <x:v>Incidence of arboviruses dengue, zika and chikungunya</x:v>
      </x:c>
      <x:c r="R240" s="14" t="str">
        <x:v>Direct — Direct: the action definition explicitly implements a mechanism that changes Water supply, without requiring another intervention.
Direct — Direct: the action definition explicitly implements a mechanism that changes Presence of cistern, without requiring another intervention.
Indirect — Indirect: the action can influence Incidence of arboviruses dengue, zika and chikungunya, but the stated mechanism does not directly change this indicator without an additional causal step.</x:v>
      </x:c>
      <x:c r="S240" s="14" t="str">
        <x:v>No relevant positive evidence was found in the screened source pages.</x:v>
      </x:c>
      <x:c r="T240" s="14"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241" ht="52" customHeight="1">
      <x:c r="A241" s="14" t="str">
        <x:v>ipcc_0099</x:v>
      </x:c>
      <x:c r="B241" s="14" t="str">
        <x:v>Increase Water Capture and Storage</x:v>
      </x:c>
      <x:c r="C241" s="14" t="str">
        <x:v>Health</x:v>
      </x:c>
      <x:c r="D241" s="14" t="str">
        <x:v>Malaria</x:v>
      </x:c>
      <x:c r="E241" s="14" t="str">
        <x:v>Exposure</x:v>
      </x:c>
      <x:c r="F241" s="15" t="str"/>
      <x:c r="G241" s="15" t="str"/>
      <x:c r="H241" s="14" t="str">
        <x:v>Direct</x:v>
      </x:c>
      <x:c r="I241" s="14" t="str">
        <x:v>No demonstrated effectiveness</x:v>
      </x:c>
      <x:c r="J241" s="14" t="str">
        <x:v>None</x:v>
      </x:c>
      <x:c r="K241" s="14" t="str">
        <x:v>No</x:v>
      </x:c>
      <x:c r="L241" s="14" t="str">
        <x:v>5-10 years</x:v>
      </x:c>
      <x:c r="M241" s="14" t="n">
        <x:v>0</x:v>
      </x:c>
      <x:c r="N241" s="14" t="n">
        <x:v>12</x:v>
      </x:c>
      <x:c r="O241" s="14" t="str">
        <x:v>Review directness | Evidence gap</x:v>
      </x:c>
      <x:c r="P241" s="14" t="str">
        <x:v>Bodies of water</x:v>
      </x:c>
      <x:c r="Q241" s="14" t="str"/>
      <x:c r="R241" s="14" t="str">
        <x:v>Direct — Direct: the action definition explicitly implements a mechanism that changes Bodies of water, without requiring another intervention.</x:v>
      </x:c>
      <x:c r="S241" s="14" t="str">
        <x:v>No relevant positive evidence was found in the screened source pages.</x:v>
      </x:c>
      <x:c r="T241" s="14"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242" ht="52" customHeight="1">
      <x:c r="A242" s="14" t="str">
        <x:v>ipcc_0104</x:v>
      </x:c>
      <x:c r="B242" s="14" t="str">
        <x:v>Plan and support permanent climate‑related migration</x:v>
      </x:c>
      <x:c r="C242" s="14" t="str">
        <x:v>Health</x:v>
      </x:c>
      <x:c r="D242" s="14" t="str">
        <x:v>American cutaneous leishmaniasis</x:v>
      </x:c>
      <x:c r="E242" s="14" t="str">
        <x:v>Exposure</x:v>
      </x:c>
      <x:c r="F242" s="15" t="str"/>
      <x:c r="G242" s="15" t="str"/>
      <x:c r="H242" s="14" t="str">
        <x:v>Direct</x:v>
      </x:c>
      <x:c r="I242" s="14" t="str">
        <x:v>No demonstrated effectiveness</x:v>
      </x:c>
      <x:c r="J242" s="14" t="str">
        <x:v>None</x:v>
      </x:c>
      <x:c r="K242" s="14" t="str">
        <x:v>No</x:v>
      </x:c>
      <x:c r="L242" s="14" t="str">
        <x:v>5-10 years</x:v>
      </x:c>
      <x:c r="M242" s="14" t="n">
        <x:v>0</x:v>
      </x:c>
      <x:c r="N242" s="14" t="n">
        <x:v>12</x:v>
      </x:c>
      <x:c r="O242" s="14" t="str">
        <x:v>Review directness | Evidence gap</x:v>
      </x:c>
      <x:c r="P242" s="14" t="str">
        <x:v>Settlements | Informal settlements</x:v>
      </x:c>
      <x:c r="Q242" s="14" t="str"/>
      <x:c r="R242" s="14" t="str">
        <x:v>Direct — Direct: the action definition explicitly implements a mechanism that changes Settlements, without requiring another intervention.
Direct — Direct: the action definition explicitly implements a mechanism that changes Informal settlements, without requiring another intervention.</x:v>
      </x:c>
      <x:c r="S242" s="14" t="str">
        <x:v>No relevant positive evidence was found in the screened source pages.</x:v>
      </x:c>
      <x:c r="T242" s="14"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243" ht="52" customHeight="1">
      <x:c r="A243" s="14" t="str">
        <x:v>ipcc_0104</x:v>
      </x:c>
      <x:c r="B243" s="14" t="str">
        <x:v>Plan and support permanent climate‑related migration</x:v>
      </x:c>
      <x:c r="C243" s="14" t="str">
        <x:v>Health</x:v>
      </x:c>
      <x:c r="D243" s="14" t="str">
        <x:v>American cutaneous leishmaniasis</x:v>
      </x:c>
      <x:c r="E243" s="14" t="str">
        <x:v>Vulnerability</x:v>
      </x:c>
      <x:c r="F243" s="15" t="str"/>
      <x:c r="G243" s="15" t="str"/>
      <x:c r="H243" s="14" t="str">
        <x:v>Direct</x:v>
      </x:c>
      <x:c r="I243" s="14" t="str">
        <x:v>No demonstrated effectiveness</x:v>
      </x:c>
      <x:c r="J243" s="14" t="str">
        <x:v>None</x:v>
      </x:c>
      <x:c r="K243" s="14" t="str">
        <x:v>No</x:v>
      </x:c>
      <x:c r="L243" s="14" t="str">
        <x:v>5-10 years</x:v>
      </x:c>
      <x:c r="M243" s="14" t="n">
        <x:v>0</x:v>
      </x:c>
      <x:c r="N243" s="14" t="n">
        <x:v>12</x:v>
      </x:c>
      <x:c r="O243" s="14" t="str">
        <x:v>Review directness | Evidence gap</x:v>
      </x:c>
      <x:c r="P243" s="14" t="str">
        <x:v>Recent immigration</x:v>
      </x:c>
      <x:c r="Q243" s="14" t="str"/>
      <x:c r="R243" s="14" t="str">
        <x:v>Direct — Direct: the action definition explicitly implements a mechanism that changes Recent immigration, without requiring another intervention.</x:v>
      </x:c>
      <x:c r="S243" s="14" t="str">
        <x:v>No relevant positive evidence was found in the screened source pages.</x:v>
      </x:c>
      <x:c r="T243" s="14"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244" ht="52" customHeight="1">
      <x:c r="A244" s="14" t="str">
        <x:v>ipcc_0104</x:v>
      </x:c>
      <x:c r="B244" s="14" t="str">
        <x:v>Plan and support permanent climate‑related migration</x:v>
      </x:c>
      <x:c r="C244" s="14" t="str">
        <x:v>Health</x:v>
      </x:c>
      <x:c r="D244" s="14" t="str">
        <x:v>Arboviruses dengue, zika and chikungunya</x:v>
      </x:c>
      <x:c r="E244" s="14" t="str">
        <x:v>Exposure</x:v>
      </x:c>
      <x:c r="F244" s="15" t="str"/>
      <x:c r="G244" s="15" t="str"/>
      <x:c r="H244" s="14" t="str">
        <x:v>Direct</x:v>
      </x:c>
      <x:c r="I244" s="14" t="str">
        <x:v>No demonstrated effectiveness</x:v>
      </x:c>
      <x:c r="J244" s="14" t="str">
        <x:v>None</x:v>
      </x:c>
      <x:c r="K244" s="14" t="str">
        <x:v>No</x:v>
      </x:c>
      <x:c r="L244" s="14" t="str">
        <x:v>5-10 years</x:v>
      </x:c>
      <x:c r="M244" s="14" t="n">
        <x:v>0</x:v>
      </x:c>
      <x:c r="N244" s="14" t="n">
        <x:v>12</x:v>
      </x:c>
      <x:c r="O244" s="14" t="str">
        <x:v>Review directness | Evidence gap</x:v>
      </x:c>
      <x:c r="P244" s="14" t="str">
        <x:v>Population density | Informal settlements</x:v>
      </x:c>
      <x:c r="Q244" s="14" t="str"/>
      <x:c r="R244" s="14" t="str">
        <x:v>Direct — Direct: the action definition explicitly implements a mechanism that changes Population density, without requiring another intervention.
Direct — Direct: the action definition explicitly implements a mechanism that changes Informal settlements, without requiring another intervention.</x:v>
      </x:c>
      <x:c r="S244" s="14" t="str">
        <x:v>No relevant positive evidence was found in the screened source pages.</x:v>
      </x:c>
      <x:c r="T244" s="14"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245" ht="52" customHeight="1">
      <x:c r="A245" s="14" t="str">
        <x:v>ipcc_0104</x:v>
      </x:c>
      <x:c r="B245" s="14" t="str">
        <x:v>Plan and support permanent climate‑related migration</x:v>
      </x:c>
      <x:c r="C245" s="14" t="str">
        <x:v>Health</x:v>
      </x:c>
      <x:c r="D245" s="14" t="str">
        <x:v>Malaria</x:v>
      </x:c>
      <x:c r="E245" s="14" t="str">
        <x:v>Exposure</x:v>
      </x:c>
      <x:c r="F245" s="15" t="str"/>
      <x:c r="G245" s="15" t="str"/>
      <x:c r="H245" s="14" t="str">
        <x:v>Direct</x:v>
      </x:c>
      <x:c r="I245" s="14" t="str">
        <x:v>No demonstrated effectiveness</x:v>
      </x:c>
      <x:c r="J245" s="14" t="str">
        <x:v>None</x:v>
      </x:c>
      <x:c r="K245" s="14" t="str">
        <x:v>No</x:v>
      </x:c>
      <x:c r="L245" s="14" t="str">
        <x:v>5-10 years</x:v>
      </x:c>
      <x:c r="M245" s="14" t="n">
        <x:v>0</x:v>
      </x:c>
      <x:c r="N245" s="14" t="n">
        <x:v>12</x:v>
      </x:c>
      <x:c r="O245" s="14" t="str">
        <x:v>Review directness | Evidence gap</x:v>
      </x:c>
      <x:c r="P245" s="14" t="str">
        <x:v>Settlements | Rural population</x:v>
      </x:c>
      <x:c r="Q245" s="14" t="str"/>
      <x:c r="R245" s="14" t="str">
        <x:v>Direct — Direct: the action definition explicitly implements a mechanism that changes Settlements, without requiring another intervention.
Direct — Direct: the action definition explicitly implements a mechanism that changes Rural population, without requiring another intervention.</x:v>
      </x:c>
      <x:c r="S245" s="14" t="str">
        <x:v>No relevant positive evidence was found in the screened source pages.</x:v>
      </x:c>
      <x:c r="T245" s="14"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246" ht="52" customHeight="1">
      <x:c r="A246" s="14" t="str">
        <x:v>ipcc_0104</x:v>
      </x:c>
      <x:c r="B246" s="14" t="str">
        <x:v>Plan and support permanent climate‑related migration</x:v>
      </x:c>
      <x:c r="C246" s="14" t="str">
        <x:v>Health</x:v>
      </x:c>
      <x:c r="D246" s="14" t="str">
        <x:v>Malaria</x:v>
      </x:c>
      <x:c r="E246" s="14" t="str">
        <x:v>Vulnerability</x:v>
      </x:c>
      <x:c r="F246" s="15" t="str"/>
      <x:c r="G246" s="15" t="str"/>
      <x:c r="H246" s="14" t="str">
        <x:v>Direct</x:v>
      </x:c>
      <x:c r="I246" s="14" t="str">
        <x:v>No demonstrated effectiveness</x:v>
      </x:c>
      <x:c r="J246" s="14" t="str">
        <x:v>None</x:v>
      </x:c>
      <x:c r="K246" s="14" t="str">
        <x:v>No</x:v>
      </x:c>
      <x:c r="L246" s="14" t="str">
        <x:v>5-10 years</x:v>
      </x:c>
      <x:c r="M246" s="14" t="n">
        <x:v>0</x:v>
      </x:c>
      <x:c r="N246" s="14" t="n">
        <x:v>12</x:v>
      </x:c>
      <x:c r="O246" s="14" t="str">
        <x:v>Review directness | Evidence gap</x:v>
      </x:c>
      <x:c r="P246" s="14" t="str">
        <x:v>Recent immigration</x:v>
      </x:c>
      <x:c r="Q246" s="14" t="str"/>
      <x:c r="R246" s="14" t="str">
        <x:v>Direct — Direct: the action definition explicitly implements a mechanism that changes Recent immigration, without requiring another intervention.</x:v>
      </x:c>
      <x:c r="S246" s="14" t="str">
        <x:v>No relevant positive evidence was found in the screened source pages.</x:v>
      </x:c>
      <x:c r="T246" s="14"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247" ht="52" customHeight="1">
      <x:c r="A247" s="14" t="str">
        <x:v>ipcc_0104</x:v>
      </x:c>
      <x:c r="B247" s="14" t="str">
        <x:v>Plan and support permanent climate‑related migration</x:v>
      </x:c>
      <x:c r="C247" s="14" t="str">
        <x:v>Health</x:v>
      </x:c>
      <x:c r="D247" s="14" t="str">
        <x:v>Visceral leishmaniasis</x:v>
      </x:c>
      <x:c r="E247" s="14" t="str">
        <x:v>Exposure</x:v>
      </x:c>
      <x:c r="F247" s="15" t="str"/>
      <x:c r="G247" s="15" t="str"/>
      <x:c r="H247" s="14" t="str">
        <x:v>Direct</x:v>
      </x:c>
      <x:c r="I247" s="14" t="str">
        <x:v>No demonstrated effectiveness</x:v>
      </x:c>
      <x:c r="J247" s="14" t="str">
        <x:v>None</x:v>
      </x:c>
      <x:c r="K247" s="14" t="str">
        <x:v>No</x:v>
      </x:c>
      <x:c r="L247" s="14" t="str">
        <x:v>5-10 years</x:v>
      </x:c>
      <x:c r="M247" s="14" t="n">
        <x:v>0</x:v>
      </x:c>
      <x:c r="N247" s="14" t="n">
        <x:v>12</x:v>
      </x:c>
      <x:c r="O247" s="14" t="str">
        <x:v>Review directness | Evidence gap</x:v>
      </x:c>
      <x:c r="P247" s="14" t="str">
        <x:v>Settlements</x:v>
      </x:c>
      <x:c r="Q247" s="14" t="str"/>
      <x:c r="R247" s="14" t="str">
        <x:v>Direct — Direct: the action definition explicitly implements a mechanism that changes Settlements, without requiring another intervention.</x:v>
      </x:c>
      <x:c r="S247" s="14" t="str">
        <x:v>No relevant positive evidence was found in the screened source pages.</x:v>
      </x:c>
      <x:c r="T247" s="14"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248" ht="52" customHeight="1">
      <x:c r="A248" s="14" t="str">
        <x:v>icare_0173</x:v>
      </x:c>
      <x:c r="B248" s="14" t="str">
        <x:v>Preventive maintenance of drainage systems</x:v>
      </x:c>
      <x:c r="C248" s="14" t="str">
        <x:v>Health</x:v>
      </x:c>
      <x:c r="D248" s="14" t="str">
        <x:v>American cutaneous leishmaniasis</x:v>
      </x:c>
      <x:c r="E248" s="14" t="str">
        <x:v>Vulnerability</x:v>
      </x:c>
      <x:c r="F248" s="15" t="str"/>
      <x:c r="G248" s="15" t="str"/>
      <x:c r="H248" s="14" t="str">
        <x:v>Indirect</x:v>
      </x:c>
      <x:c r="I248" s="14" t="str">
        <x:v>Not assessed</x:v>
      </x:c>
      <x:c r="J248" s="14" t="str">
        <x:v>Not assessed</x:v>
      </x:c>
      <x:c r="K248" s="14" t="str">
        <x:v>No</x:v>
      </x:c>
      <x:c r="L248" s="14" t="str">
        <x:v>5-10 years</x:v>
      </x:c>
      <x:c r="M248" s="14" t="n">
        <x:v>0</x:v>
      </x:c>
      <x:c r="N248" s="14" t="n">
        <x:v>0</x:v>
      </x:c>
      <x:c r="O248" s="14" t="str">
        <x:v>Review directness</x:v>
      </x:c>
      <x:c r="P248" s="14" t="str"/>
      <x:c r="Q248" s="14" t="str">
        <x:v>Households without access to garbage collection</x:v>
      </x:c>
      <x:c r="R248" s="14" t="str">
        <x:v>Indirect — Indirect: the action can influence Households without access to garbage collection, but the stated mechanism does not directly change this indicator without an additional causal step.</x:v>
      </x:c>
      <x:c r="S248" s="14" t="str">
        <x:v>Effectiveness is not assessed because this relationship is not Direct.</x:v>
      </x:c>
      <x:c r="T248" s="14" t="str">
        <x:v>Regular upkeep and cleaning of urban drainage systems, including storm drains, sewers, and retention basins, to ensure efficient water flow and prevent blockages that can lead to flooding during heavy rainfall events.</x:v>
      </x:c>
    </x:row>
    <x:row r="249" ht="52" customHeight="1">
      <x:c r="A249" s="14" t="str">
        <x:v>icare_0173</x:v>
      </x:c>
      <x:c r="B249" s="14" t="str">
        <x:v>Preventive maintenance of drainage systems</x:v>
      </x:c>
      <x:c r="C249" s="14" t="str">
        <x:v>Health</x:v>
      </x:c>
      <x:c r="D249" s="14" t="str">
        <x:v>Arboviruses dengue, zika and chikungunya</x:v>
      </x:c>
      <x:c r="E249" s="14" t="str">
        <x:v>Vulnerability</x:v>
      </x:c>
      <x:c r="F249" s="15" t="str"/>
      <x:c r="G249" s="15" t="str"/>
      <x:c r="H249" s="14" t="str">
        <x:v>Indirect</x:v>
      </x:c>
      <x:c r="I249" s="14" t="str">
        <x:v>Not assessed</x:v>
      </x:c>
      <x:c r="J249" s="14" t="str">
        <x:v>Not assessed</x:v>
      </x:c>
      <x:c r="K249" s="14" t="str">
        <x:v>No</x:v>
      </x:c>
      <x:c r="L249" s="14" t="str">
        <x:v>5-10 years</x:v>
      </x:c>
      <x:c r="M249" s="14" t="n">
        <x:v>0</x:v>
      </x:c>
      <x:c r="N249" s="14" t="n">
        <x:v>0</x:v>
      </x:c>
      <x:c r="O249" s="14" t="str">
        <x:v>Review directness</x:v>
      </x:c>
      <x:c r="P249" s="14" t="str"/>
      <x:c r="Q249" s="14" t="str">
        <x:v>Households without access to garbage collection | Water supply | Incidence of arboviruses dengue, zika and chikungunya</x:v>
      </x:c>
      <x:c r="R249" s="14" t="str">
        <x:v>Indirect — Indirect: the action can influence Households without access to garbage collection, but the stated mechanism does not directly change this indicator without an additional causal step.
Indirect — Indirect: the action can influence Water supply, but the stated mechanism does not directly change this indicator without an additional causal step.
Indirect — Indirect: the action can influence Incidence of arboviruses dengue, zika and chikungunya, but the stated mechanism does not directly change this indicator without an additional causal step.</x:v>
      </x:c>
      <x:c r="S249" s="14" t="str">
        <x:v>Effectiveness is not assessed because this relationship is not Direct.</x:v>
      </x:c>
      <x:c r="T249" s="14" t="str">
        <x:v>Regular upkeep and cleaning of urban drainage systems, including storm drains, sewers, and retention basins, to ensure efficient water flow and prevent blockages that can lead to flooding during heavy rainfall events.</x:v>
      </x:c>
    </x:row>
    <x:row r="250" ht="52" customHeight="1">
      <x:c r="A250" s="14" t="str">
        <x:v>icare_0173</x:v>
      </x:c>
      <x:c r="B250" s="14" t="str">
        <x:v>Preventive maintenance of drainage systems</x:v>
      </x:c>
      <x:c r="C250" s="14" t="str">
        <x:v>Health</x:v>
      </x:c>
      <x:c r="D250" s="14" t="str">
        <x:v>Visceral leishmaniasis</x:v>
      </x:c>
      <x:c r="E250" s="14" t="str">
        <x:v>Vulnerability</x:v>
      </x:c>
      <x:c r="F250" s="15" t="str"/>
      <x:c r="G250" s="15" t="str"/>
      <x:c r="H250" s="14" t="str">
        <x:v>Indirect</x:v>
      </x:c>
      <x:c r="I250" s="14" t="str">
        <x:v>Not assessed</x:v>
      </x:c>
      <x:c r="J250" s="14" t="str">
        <x:v>Not assessed</x:v>
      </x:c>
      <x:c r="K250" s="14" t="str">
        <x:v>No</x:v>
      </x:c>
      <x:c r="L250" s="14" t="str">
        <x:v>5-10 years</x:v>
      </x:c>
      <x:c r="M250" s="14" t="n">
        <x:v>0</x:v>
      </x:c>
      <x:c r="N250" s="14" t="n">
        <x:v>0</x:v>
      </x:c>
      <x:c r="O250" s="14" t="str">
        <x:v>Review directness</x:v>
      </x:c>
      <x:c r="P250" s="14" t="str"/>
      <x:c r="Q250" s="14" t="str">
        <x:v>Households without access to garbage collection</x:v>
      </x:c>
      <x:c r="R250" s="14" t="str">
        <x:v>Indirect — Indirect: the action can influence Households without access to garbage collection, but the stated mechanism does not directly change this indicator without an additional causal step.</x:v>
      </x:c>
      <x:c r="S250" s="14" t="str">
        <x:v>Effectiveness is not assessed because this relationship is not Direct.</x:v>
      </x:c>
      <x:c r="T250" s="14" t="str">
        <x:v>Regular upkeep and cleaning of urban drainage systems, including storm drains, sewers, and retention basins, to ensure efficient water flow and prevent blockages that can lead to flooding during heavy rainfall events.</x:v>
      </x:c>
    </x:row>
    <x:row r="251" ht="52" customHeight="1">
      <x:c r="A251" s="14" t="str">
        <x:v>c40_0053</x:v>
      </x:c>
      <x:c r="B251" s="14" t="str">
        <x:v>Promote water-saving technologies and practices</x:v>
      </x:c>
      <x:c r="C251" s="14" t="str">
        <x:v>Health</x:v>
      </x:c>
      <x:c r="D251" s="14" t="str">
        <x:v>Arboviruses dengue, zika and chikungunya</x:v>
      </x:c>
      <x:c r="E251" s="14" t="str">
        <x:v>Vulnerability</x:v>
      </x:c>
      <x:c r="F251" s="15" t="str"/>
      <x:c r="G251" s="15" t="str"/>
      <x:c r="H251" s="14" t="str">
        <x:v>Direct</x:v>
      </x:c>
      <x:c r="I251" s="14" t="str">
        <x:v>No demonstrated effectiveness</x:v>
      </x:c>
      <x:c r="J251" s="14" t="str">
        <x:v>None</x:v>
      </x:c>
      <x:c r="K251" s="14" t="str">
        <x:v>No</x:v>
      </x:c>
      <x:c r="L251" s="14" t="str">
        <x:v>5-10 years</x:v>
      </x:c>
      <x:c r="M251" s="14" t="n">
        <x:v>0</x:v>
      </x:c>
      <x:c r="N251" s="14" t="n">
        <x:v>12</x:v>
      </x:c>
      <x:c r="O251" s="14" t="str">
        <x:v>Review directness | Evidence gap</x:v>
      </x:c>
      <x:c r="P251" s="14" t="str">
        <x:v>Presence of cistern</x:v>
      </x:c>
      <x:c r="Q251" s="14" t="str">
        <x:v>Water supply</x:v>
      </x:c>
      <x:c r="R251" s="14" t="str">
        <x:v>Indirect — Indirect: the action can influence Water supply, but the stated mechanism does not directly change this indicator without an additional causal step.
Direct — Direct: the action definition explicitly implements a mechanism that changes Presence of cistern, without requiring another intervention.</x:v>
      </x:c>
      <x:c r="S251" s="14" t="str">
        <x:v>No relevant positive evidence was found in the screened source pages.</x:v>
      </x:c>
      <x:c r="T251" s="14" t="str">
        <x: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x:v>
      </x:c>
    </x:row>
    <x:row r="252" ht="52" customHeight="1">
      <x:c r="A252" s="14" t="str">
        <x:v>icare_0178</x:v>
      </x:c>
      <x:c r="B252" s="14" t="str">
        <x:v>Redirect urban development through climate‑risk spatial planning</x:v>
      </x:c>
      <x:c r="C252" s="14" t="str">
        <x:v>Health</x:v>
      </x:c>
      <x:c r="D252" s="14" t="str">
        <x:v>American cutaneous leishmaniasis</x:v>
      </x:c>
      <x:c r="E252" s="14" t="str">
        <x:v>Exposure</x:v>
      </x:c>
      <x:c r="F252" s="15" t="str"/>
      <x:c r="G252" s="15" t="str"/>
      <x:c r="H252" s="14" t="str">
        <x:v>Direct</x:v>
      </x:c>
      <x:c r="I252" s="14" t="str">
        <x:v>No demonstrated effectiveness</x:v>
      </x:c>
      <x:c r="J252" s="14" t="str">
        <x:v>None</x:v>
      </x:c>
      <x:c r="K252" s="14" t="str">
        <x:v>No</x:v>
      </x:c>
      <x:c r="L252" s="14" t="str">
        <x:v>&lt;5 years</x:v>
      </x:c>
      <x:c r="M252" s="14" t="n">
        <x:v>0</x:v>
      </x:c>
      <x:c r="N252" s="14" t="n">
        <x:v>12</x:v>
      </x:c>
      <x:c r="O252" s="14" t="str">
        <x:v>Review directness | Evidence gap</x:v>
      </x:c>
      <x:c r="P252" s="14" t="str">
        <x:v>Settlements | Informal settlements</x:v>
      </x:c>
      <x:c r="Q252" s="14" t="str"/>
      <x:c r="R252" s="14" t="str">
        <x:v>Direct — Direct: the action definition explicitly implements a mechanism that changes Settlements, without requiring another intervention.
Direct — Direct: the action definition explicitly implements a mechanism that changes Informal settlements, without requiring another intervention.</x:v>
      </x:c>
      <x:c r="S252" s="14" t="str">
        <x:v>No relevant positive evidence was found in the screened source pages.</x:v>
      </x:c>
      <x:c r="T252" s="14" t="str">
        <x:v>Mapping of critical flood-prone areas with the aim of revising and harmonizing legislation related to land use, given the intensification of the impacts of extreme weather events.</x:v>
      </x:c>
    </x:row>
    <x:row r="253" ht="52" customHeight="1">
      <x:c r="A253" s="14" t="str">
        <x:v>icare_0178</x:v>
      </x:c>
      <x:c r="B253" s="14" t="str">
        <x:v>Redirect urban development through climate‑risk spatial planning</x:v>
      </x:c>
      <x:c r="C253" s="14" t="str">
        <x:v>Health</x:v>
      </x:c>
      <x:c r="D253" s="14" t="str">
        <x:v>Arboviruses dengue, zika and chikungunya</x:v>
      </x:c>
      <x:c r="E253" s="14" t="str">
        <x:v>Exposure</x:v>
      </x:c>
      <x:c r="F253" s="15" t="str"/>
      <x:c r="G253" s="15" t="str"/>
      <x:c r="H253" s="14" t="str">
        <x:v>Direct</x:v>
      </x:c>
      <x:c r="I253" s="14" t="str">
        <x:v>No demonstrated effectiveness</x:v>
      </x:c>
      <x:c r="J253" s="14" t="str">
        <x:v>None</x:v>
      </x:c>
      <x:c r="K253" s="14" t="str">
        <x:v>No</x:v>
      </x:c>
      <x:c r="L253" s="14" t="str">
        <x:v>&lt;5 years</x:v>
      </x:c>
      <x:c r="M253" s="14" t="n">
        <x:v>0</x:v>
      </x:c>
      <x:c r="N253" s="14" t="n">
        <x:v>12</x:v>
      </x:c>
      <x:c r="O253" s="14" t="str">
        <x:v>Review directness | Evidence gap</x:v>
      </x:c>
      <x:c r="P253" s="14" t="str">
        <x:v>Population density | Informal settlements</x:v>
      </x:c>
      <x:c r="Q253" s="14" t="str"/>
      <x:c r="R253" s="14" t="str">
        <x:v>Direct — Direct: the action definition explicitly implements a mechanism that changes Population density, without requiring another intervention.
Direct — Direct: the action definition explicitly implements a mechanism that changes Informal settlements, without requiring another intervention.</x:v>
      </x:c>
      <x:c r="S253" s="14" t="str">
        <x:v>No relevant positive evidence was found in the screened source pages.</x:v>
      </x:c>
      <x:c r="T253" s="14" t="str">
        <x:v>Mapping of critical flood-prone areas with the aim of revising and harmonizing legislation related to land use, given the intensification of the impacts of extreme weather events.</x:v>
      </x:c>
    </x:row>
    <x:row r="254" ht="52" customHeight="1">
      <x:c r="A254" s="14" t="str">
        <x:v>icare_0178</x:v>
      </x:c>
      <x:c r="B254" s="14" t="str">
        <x:v>Redirect urban development through climate‑risk spatial planning</x:v>
      </x:c>
      <x:c r="C254" s="14" t="str">
        <x:v>Health</x:v>
      </x:c>
      <x:c r="D254" s="14" t="str">
        <x:v>Malaria</x:v>
      </x:c>
      <x:c r="E254" s="14" t="str">
        <x:v>Exposure</x:v>
      </x:c>
      <x:c r="F254" s="15" t="str"/>
      <x:c r="G254" s="15" t="str"/>
      <x:c r="H254" s="14" t="str">
        <x:v>Direct</x:v>
      </x:c>
      <x:c r="I254" s="14" t="str">
        <x:v>No demonstrated effectiveness</x:v>
      </x:c>
      <x:c r="J254" s="14" t="str">
        <x:v>None</x:v>
      </x:c>
      <x:c r="K254" s="14" t="str">
        <x:v>No</x:v>
      </x:c>
      <x:c r="L254" s="14" t="str">
        <x:v>&lt;5 years</x:v>
      </x:c>
      <x:c r="M254" s="14" t="n">
        <x:v>0</x:v>
      </x:c>
      <x:c r="N254" s="14" t="n">
        <x:v>12</x:v>
      </x:c>
      <x:c r="O254" s="14" t="str">
        <x:v>Review directness | Evidence gap</x:v>
      </x:c>
      <x:c r="P254" s="14" t="str">
        <x:v>Settlements</x:v>
      </x:c>
      <x:c r="Q254" s="14" t="str">
        <x:v>Rural population</x:v>
      </x:c>
      <x:c r="R254" s="14" t="str">
        <x:v>Direct — Direct: the action definition explicitly implements a mechanism that changes Settlements, without requiring another intervention.
Indirect — Indirect: the action can influence Rural population, but the stated mechanism does not directly change this indicator without an additional causal step.</x:v>
      </x:c>
      <x:c r="S254" s="14" t="str">
        <x:v>No relevant positive evidence was found in the screened source pages.</x:v>
      </x:c>
      <x:c r="T254" s="14" t="str">
        <x:v>Mapping of critical flood-prone areas with the aim of revising and harmonizing legislation related to land use, given the intensification of the impacts of extreme weather events.</x:v>
      </x:c>
    </x:row>
    <x:row r="255" ht="52" customHeight="1">
      <x:c r="A255" s="14" t="str">
        <x:v>icare_0178</x:v>
      </x:c>
      <x:c r="B255" s="14" t="str">
        <x:v>Redirect urban development through climate‑risk spatial planning</x:v>
      </x:c>
      <x:c r="C255" s="14" t="str">
        <x:v>Health</x:v>
      </x:c>
      <x:c r="D255" s="14" t="str">
        <x:v>Visceral leishmaniasis</x:v>
      </x:c>
      <x:c r="E255" s="14" t="str">
        <x:v>Exposure</x:v>
      </x:c>
      <x:c r="F255" s="15" t="str"/>
      <x:c r="G255" s="15" t="str"/>
      <x:c r="H255" s="14" t="str">
        <x:v>Direct</x:v>
      </x:c>
      <x:c r="I255" s="14" t="str">
        <x:v>No demonstrated effectiveness</x:v>
      </x:c>
      <x:c r="J255" s="14" t="str">
        <x:v>None</x:v>
      </x:c>
      <x:c r="K255" s="14" t="str">
        <x:v>No</x:v>
      </x:c>
      <x:c r="L255" s="14" t="str">
        <x:v>&lt;5 years</x:v>
      </x:c>
      <x:c r="M255" s="14" t="n">
        <x:v>0</x:v>
      </x:c>
      <x:c r="N255" s="14" t="n">
        <x:v>12</x:v>
      </x:c>
      <x:c r="O255" s="14" t="str">
        <x:v>Review directness | Evidence gap</x:v>
      </x:c>
      <x:c r="P255" s="14" t="str">
        <x:v>Settlements</x:v>
      </x:c>
      <x:c r="Q255" s="14" t="str"/>
      <x:c r="R255" s="14" t="str">
        <x:v>Direct — Direct: the action definition explicitly implements a mechanism that changes Settlements, without requiring another intervention.</x:v>
      </x:c>
      <x:c r="S255" s="14" t="str">
        <x:v>No relevant positive evidence was found in the screened source pages.</x:v>
      </x:c>
      <x:c r="T255" s="14" t="str">
        <x:v>Mapping of critical flood-prone areas with the aim of revising and harmonizing legislation related to land use, given the intensification of the impacts of extreme weather events.</x:v>
      </x:c>
    </x:row>
    <x:row r="256" ht="52" customHeight="1">
      <x:c r="A256" s="14" t="str">
        <x:v>ipcc_0085</x:v>
      </x:c>
      <x:c r="B256" s="14" t="str">
        <x:v>Reduce pressures on ecosystems to build resilience</x:v>
      </x:c>
      <x:c r="C256" s="14" t="str">
        <x:v>Health</x:v>
      </x:c>
      <x:c r="D256" s="14" t="str">
        <x:v>American cutaneous leishmaniasis</x:v>
      </x:c>
      <x:c r="E256" s="14" t="str">
        <x:v>Exposure</x:v>
      </x:c>
      <x:c r="F256" s="15" t="str"/>
      <x:c r="G256" s="15" t="str"/>
      <x:c r="H256" s="14" t="str">
        <x:v>Direct</x:v>
      </x:c>
      <x:c r="I256" s="14" t="str">
        <x:v>No demonstrated effectiveness</x:v>
      </x:c>
      <x:c r="J256" s="14" t="str">
        <x:v>None</x:v>
      </x:c>
      <x:c r="K256" s="14" t="str">
        <x:v>No</x:v>
      </x:c>
      <x:c r="L256" s="14" t="str">
        <x:v>5-10 years</x:v>
      </x:c>
      <x:c r="M256" s="14" t="n">
        <x:v>0</x:v>
      </x:c>
      <x:c r="N256" s="14" t="n">
        <x:v>12</x:v>
      </x:c>
      <x:c r="O256" s="14" t="str">
        <x:v>Review directness | Evidence gap</x:v>
      </x:c>
      <x:c r="P256" s="14" t="str">
        <x:v>Natural coverage</x:v>
      </x:c>
      <x:c r="Q256" s="14" t="str"/>
      <x:c r="R256" s="14" t="str">
        <x:v>Direct — Direct: the action definition explicitly implements a mechanism that changes Natural coverage, without requiring another intervention.</x:v>
      </x:c>
      <x:c r="S256" s="14" t="str">
        <x:v>No relevant positive evidence was found in the screened source pages.</x:v>
      </x:c>
      <x:c r="T256" s="14"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257" ht="52" customHeight="1">
      <x:c r="A257" s="14" t="str">
        <x:v>ipcc_0085</x:v>
      </x:c>
      <x:c r="B257" s="14" t="str">
        <x:v>Reduce pressures on ecosystems to build resilience</x:v>
      </x:c>
      <x:c r="C257" s="14" t="str">
        <x:v>Health</x:v>
      </x:c>
      <x:c r="D257" s="14" t="str">
        <x:v>Arboviruses dengue, zika and chikungunya</x:v>
      </x:c>
      <x:c r="E257" s="14" t="str">
        <x:v>Exposure</x:v>
      </x:c>
      <x:c r="F257" s="15" t="str"/>
      <x:c r="G257" s="15" t="str"/>
      <x:c r="H257" s="14" t="str">
        <x:v>Direct</x:v>
      </x:c>
      <x:c r="I257" s="14" t="str">
        <x:v>No demonstrated effectiveness</x:v>
      </x:c>
      <x:c r="J257" s="14" t="str">
        <x:v>None</x:v>
      </x:c>
      <x:c r="K257" s="14" t="str">
        <x:v>No</x:v>
      </x:c>
      <x:c r="L257" s="14" t="str">
        <x:v>5-10 years</x:v>
      </x:c>
      <x:c r="M257" s="14" t="n">
        <x:v>0</x:v>
      </x:c>
      <x:c r="N257" s="14" t="n">
        <x:v>12</x:v>
      </x:c>
      <x:c r="O257" s="14" t="str">
        <x:v>Review directness | Evidence gap</x:v>
      </x:c>
      <x:c r="P257" s="14" t="str">
        <x:v>Deforestation</x:v>
      </x:c>
      <x:c r="Q257" s="14" t="str">
        <x:v>Bodies of water</x:v>
      </x:c>
      <x:c r="R257" s="14" t="str">
        <x:v>Direct — Direct: the action definition explicitly implements a mechanism that changes Deforestation, without requiring another intervention.
Indirect — Indirect: the action can influence Bodies of water, but the stated mechanism does not directly change this indicator without an additional causal step.</x:v>
      </x:c>
      <x:c r="S257" s="14" t="str">
        <x:v>No relevant positive evidence was found in the screened source pages.</x:v>
      </x:c>
      <x:c r="T257" s="14"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258" ht="52" customHeight="1">
      <x:c r="A258" s="14" t="str">
        <x:v>ipcc_0085</x:v>
      </x:c>
      <x:c r="B258" s="14" t="str">
        <x:v>Reduce pressures on ecosystems to build resilience</x:v>
      </x:c>
      <x:c r="C258" s="14" t="str">
        <x:v>Health</x:v>
      </x:c>
      <x:c r="D258" s="14" t="str">
        <x:v>Malaria</x:v>
      </x:c>
      <x:c r="E258" s="14" t="str">
        <x:v>Exposure</x:v>
      </x:c>
      <x:c r="F258" s="15" t="str"/>
      <x:c r="G258" s="15" t="str"/>
      <x:c r="H258" s="14" t="str">
        <x:v>Direct</x:v>
      </x:c>
      <x:c r="I258" s="14" t="str">
        <x:v>No demonstrated effectiveness</x:v>
      </x:c>
      <x:c r="J258" s="14" t="str">
        <x:v>None</x:v>
      </x:c>
      <x:c r="K258" s="14" t="str">
        <x:v>No</x:v>
      </x:c>
      <x:c r="L258" s="14" t="str">
        <x:v>5-10 years</x:v>
      </x:c>
      <x:c r="M258" s="14" t="n">
        <x:v>0</x:v>
      </x:c>
      <x:c r="N258" s="14" t="n">
        <x:v>12</x:v>
      </x:c>
      <x:c r="O258" s="14" t="str">
        <x:v>Review directness | Evidence gap</x:v>
      </x:c>
      <x:c r="P258" s="14" t="str">
        <x:v>Deforestation</x:v>
      </x:c>
      <x:c r="Q258" s="14" t="str">
        <x:v>Bodies of water</x:v>
      </x:c>
      <x:c r="R258" s="14" t="str">
        <x:v>Direct — Direct: the action definition explicitly implements a mechanism that changes Deforestation, without requiring another intervention.
Indirect — Indirect: the action can influence Bodies of water, but the stated mechanism does not directly change this indicator without an additional causal step.</x:v>
      </x:c>
      <x:c r="S258" s="14" t="str">
        <x:v>No relevant positive evidence was found in the screened source pages.</x:v>
      </x:c>
      <x:c r="T258" s="14"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259" ht="52" customHeight="1">
      <x:c r="A259" s="14" t="str">
        <x:v>ipcc_0085</x:v>
      </x:c>
      <x:c r="B259" s="14" t="str">
        <x:v>Reduce pressures on ecosystems to build resilience</x:v>
      </x:c>
      <x:c r="C259" s="14" t="str">
        <x:v>Health</x:v>
      </x:c>
      <x:c r="D259" s="14" t="str">
        <x:v>Visceral leishmaniasis</x:v>
      </x:c>
      <x:c r="E259" s="14" t="str">
        <x:v>Exposure</x:v>
      </x:c>
      <x:c r="F259" s="15" t="str"/>
      <x:c r="G259" s="15" t="str"/>
      <x:c r="H259" s="14" t="str">
        <x:v>Direct</x:v>
      </x:c>
      <x:c r="I259" s="14" t="str">
        <x:v>No demonstrated effectiveness</x:v>
      </x:c>
      <x:c r="J259" s="14" t="str">
        <x:v>None</x:v>
      </x:c>
      <x:c r="K259" s="14" t="str">
        <x:v>No</x:v>
      </x:c>
      <x:c r="L259" s="14" t="str">
        <x:v>5-10 years</x:v>
      </x:c>
      <x:c r="M259" s="14" t="n">
        <x:v>0</x:v>
      </x:c>
      <x:c r="N259" s="14" t="n">
        <x:v>12</x:v>
      </x:c>
      <x:c r="O259" s="14" t="str">
        <x:v>Review directness | Evidence gap</x:v>
      </x:c>
      <x:c r="P259" s="14" t="str">
        <x:v>Natural coverage</x:v>
      </x:c>
      <x:c r="Q259" s="14" t="str"/>
      <x:c r="R259" s="14" t="str">
        <x:v>Direct — Direct: the action definition explicitly implements a mechanism that changes Natural coverage, without requiring another intervention.</x:v>
      </x:c>
      <x:c r="S259" s="14" t="str">
        <x:v>No relevant positive evidence was found in the screened source pages.</x:v>
      </x:c>
      <x:c r="T259" s="14"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260" ht="52" customHeight="1">
      <x:c r="A260" s="14" t="str">
        <x:v>icare_0181</x:v>
      </x:c>
      <x:c r="B260" s="14" t="str">
        <x:v>Restore in Vulnerable Areas</x:v>
      </x:c>
      <x:c r="C260" s="14" t="str">
        <x:v>Health</x:v>
      </x:c>
      <x:c r="D260" s="14" t="str">
        <x:v>American cutaneous leishmaniasis</x:v>
      </x:c>
      <x:c r="E260" s="14" t="str">
        <x:v>Exposure</x:v>
      </x:c>
      <x:c r="F260" s="15" t="str"/>
      <x:c r="G260" s="15" t="str"/>
      <x:c r="H260" s="14" t="str">
        <x:v>Direct</x:v>
      </x:c>
      <x:c r="I260" s="14" t="str">
        <x:v>No demonstrated effectiveness</x:v>
      </x:c>
      <x:c r="J260" s="14" t="str">
        <x:v>None</x:v>
      </x:c>
      <x:c r="K260" s="14" t="str">
        <x:v>No</x:v>
      </x:c>
      <x:c r="L260" s="14" t="str">
        <x:v>5-10 years</x:v>
      </x:c>
      <x:c r="M260" s="14" t="n">
        <x:v>0</x:v>
      </x:c>
      <x:c r="N260" s="14" t="n">
        <x:v>12</x:v>
      </x:c>
      <x:c r="O260" s="14" t="str">
        <x:v>Review directness | Evidence gap</x:v>
      </x:c>
      <x:c r="P260" s="14" t="str">
        <x:v>Settlements | Informal settlements</x:v>
      </x:c>
      <x:c r="Q260" s="14" t="str"/>
      <x:c r="R260" s="14" t="str">
        <x:v>Direct — Direct: the action definition explicitly implements a mechanism that changes Settlements, without requiring another intervention.
Direct — Direct: the action definition explicitly implements a mechanism that changes Informal settlements, without requiring another intervention.</x:v>
      </x:c>
      <x:c r="S260" s="14" t="str">
        <x:v>No relevant positive evidence was found in the screened source pages.</x:v>
      </x:c>
      <x:c r="T260" s="14" t="str">
        <x:v>A comprehensive project addressing the socio-environmental vulnerability of an informal settlement. It includes relocating residents from flood-prone areas, restoring the environment, and providing infrastructure and social services.</x:v>
      </x:c>
    </x:row>
    <x:row r="261" ht="52" customHeight="1">
      <x:c r="A261" s="14" t="str">
        <x:v>icare_0181</x:v>
      </x:c>
      <x:c r="B261" s="14" t="str">
        <x:v>Restore in Vulnerable Areas</x:v>
      </x:c>
      <x:c r="C261" s="14" t="str">
        <x:v>Health</x:v>
      </x:c>
      <x:c r="D261" s="14" t="str">
        <x:v>American cutaneous leishmaniasis</x:v>
      </x:c>
      <x:c r="E261" s="14" t="str">
        <x:v>Vulnerability</x:v>
      </x:c>
      <x:c r="F261" s="15" t="str"/>
      <x:c r="G261" s="15" t="str"/>
      <x:c r="H261" s="14" t="str">
        <x:v>Indirect</x:v>
      </x:c>
      <x:c r="I261" s="14" t="str">
        <x:v>Not assessed</x:v>
      </x:c>
      <x:c r="J261" s="14" t="str">
        <x:v>Not assessed</x:v>
      </x:c>
      <x:c r="K261" s="14" t="str">
        <x:v>No</x:v>
      </x:c>
      <x:c r="L261" s="14" t="str">
        <x:v>5-10 years</x:v>
      </x:c>
      <x:c r="M261" s="14" t="n">
        <x:v>0</x:v>
      </x:c>
      <x:c r="N261" s="14" t="n">
        <x:v>0</x:v>
      </x:c>
      <x:c r="O261" s="14" t="str">
        <x:v>Review directness</x:v>
      </x:c>
      <x:c r="P261" s="14" t="str"/>
      <x:c r="Q261" s="14" t="str">
        <x:v>Households without access to garbage collection</x:v>
      </x:c>
      <x:c r="R261" s="14" t="str">
        <x:v>Indirect — Indirect: the action can influence Households without access to garbage collection, but the stated mechanism does not directly change this indicator without an additional causal step.</x:v>
      </x:c>
      <x:c r="S261" s="14" t="str">
        <x:v>Effectiveness is not assessed because this relationship is not Direct.</x:v>
      </x:c>
      <x:c r="T261" s="14" t="str">
        <x:v>A comprehensive project addressing the socio-environmental vulnerability of an informal settlement. It includes relocating residents from flood-prone areas, restoring the environment, and providing infrastructure and social services.</x:v>
      </x:c>
    </x:row>
    <x:row r="262" ht="52" customHeight="1">
      <x:c r="A262" s="14" t="str">
        <x:v>icare_0181</x:v>
      </x:c>
      <x:c r="B262" s="14" t="str">
        <x:v>Restore in Vulnerable Areas</x:v>
      </x:c>
      <x:c r="C262" s="14" t="str">
        <x:v>Health</x:v>
      </x:c>
      <x:c r="D262" s="14" t="str">
        <x:v>Arboviruses dengue, zika and chikungunya</x:v>
      </x:c>
      <x:c r="E262" s="14" t="str">
        <x:v>Exposure</x:v>
      </x:c>
      <x:c r="F262" s="15" t="str"/>
      <x:c r="G262" s="15" t="str"/>
      <x:c r="H262" s="14" t="str">
        <x:v>Direct</x:v>
      </x:c>
      <x:c r="I262" s="14" t="str">
        <x:v>No demonstrated effectiveness</x:v>
      </x:c>
      <x:c r="J262" s="14" t="str">
        <x:v>None</x:v>
      </x:c>
      <x:c r="K262" s="14" t="str">
        <x:v>No</x:v>
      </x:c>
      <x:c r="L262" s="14" t="str">
        <x:v>5-10 years</x:v>
      </x:c>
      <x:c r="M262" s="14" t="n">
        <x:v>0</x:v>
      </x:c>
      <x:c r="N262" s="14" t="n">
        <x:v>12</x:v>
      </x:c>
      <x:c r="O262" s="14" t="str">
        <x:v>Review directness | Evidence gap</x:v>
      </x:c>
      <x:c r="P262" s="14" t="str">
        <x:v>Population density | Informal settlements</x:v>
      </x:c>
      <x:c r="Q262" s="14" t="str"/>
      <x:c r="R262" s="14" t="str">
        <x:v>Direct — Direct: the action definition explicitly implements a mechanism that changes Population density, without requiring another intervention.
Direct — Direct: the action definition explicitly implements a mechanism that changes Informal settlements, without requiring another intervention.</x:v>
      </x:c>
      <x:c r="S262" s="14" t="str">
        <x:v>No relevant positive evidence was found in the screened source pages.</x:v>
      </x:c>
      <x:c r="T262" s="14" t="str">
        <x:v>A comprehensive project addressing the socio-environmental vulnerability of an informal settlement. It includes relocating residents from flood-prone areas, restoring the environment, and providing infrastructure and social services.</x:v>
      </x:c>
    </x:row>
    <x:row r="263" ht="52" customHeight="1">
      <x:c r="A263" s="14" t="str">
        <x:v>icare_0181</x:v>
      </x:c>
      <x:c r="B263" s="14" t="str">
        <x:v>Restore in Vulnerable Areas</x:v>
      </x:c>
      <x:c r="C263" s="14" t="str">
        <x:v>Health</x:v>
      </x:c>
      <x:c r="D263" s="14" t="str">
        <x:v>Arboviruses dengue, zika and chikungunya</x:v>
      </x:c>
      <x:c r="E263" s="14" t="str">
        <x:v>Vulnerability</x:v>
      </x:c>
      <x:c r="F263" s="15" t="str"/>
      <x:c r="G263" s="15" t="str"/>
      <x:c r="H263" s="14" t="str">
        <x:v>Indirect</x:v>
      </x:c>
      <x:c r="I263" s="14" t="str">
        <x:v>Not assessed</x:v>
      </x:c>
      <x:c r="J263" s="14" t="str">
        <x:v>Not assessed</x:v>
      </x:c>
      <x:c r="K263" s="14" t="str">
        <x:v>No</x:v>
      </x:c>
      <x:c r="L263" s="14" t="str">
        <x:v>5-10 years</x:v>
      </x:c>
      <x:c r="M263" s="14" t="n">
        <x:v>0</x:v>
      </x:c>
      <x:c r="N263" s="14" t="n">
        <x:v>0</x:v>
      </x:c>
      <x:c r="O263" s="14" t="str">
        <x:v>Review directness</x:v>
      </x:c>
      <x:c r="P263" s="14" t="str"/>
      <x:c r="Q263" s="14" t="str">
        <x:v>Households without access to garbage collection | Water supply</x:v>
      </x:c>
      <x:c r="R263" s="14" t="str">
        <x:v>Indirect — Indirect: the action can influence Households without access to garbage collection, but the stated mechanism does not directly change this indicator without an additional causal step.
Indirect — Indirect: the action can influence Water supply, but the stated mechanism does not directly change this indicator without an additional causal step.</x:v>
      </x:c>
      <x:c r="S263" s="14" t="str">
        <x:v>Effectiveness is not assessed because this relationship is not Direct.</x:v>
      </x:c>
      <x:c r="T263" s="14" t="str">
        <x:v>A comprehensive project addressing the socio-environmental vulnerability of an informal settlement. It includes relocating residents from flood-prone areas, restoring the environment, and providing infrastructure and social services.</x:v>
      </x:c>
    </x:row>
    <x:row r="264" ht="52" customHeight="1">
      <x:c r="A264" s="14" t="str">
        <x:v>icare_0181</x:v>
      </x:c>
      <x:c r="B264" s="14" t="str">
        <x:v>Restore in Vulnerable Areas</x:v>
      </x:c>
      <x:c r="C264" s="14" t="str">
        <x:v>Health</x:v>
      </x:c>
      <x:c r="D264" s="14" t="str">
        <x:v>Malaria</x:v>
      </x:c>
      <x:c r="E264" s="14" t="str">
        <x:v>Exposure</x:v>
      </x:c>
      <x:c r="F264" s="15" t="str"/>
      <x:c r="G264" s="15" t="str"/>
      <x:c r="H264" s="14" t="str">
        <x:v>Direct</x:v>
      </x:c>
      <x:c r="I264" s="14" t="str">
        <x:v>No demonstrated effectiveness</x:v>
      </x:c>
      <x:c r="J264" s="14" t="str">
        <x:v>None</x:v>
      </x:c>
      <x:c r="K264" s="14" t="str">
        <x:v>No</x:v>
      </x:c>
      <x:c r="L264" s="14" t="str">
        <x:v>5-10 years</x:v>
      </x:c>
      <x:c r="M264" s="14" t="n">
        <x:v>0</x:v>
      </x:c>
      <x:c r="N264" s="14" t="n">
        <x:v>12</x:v>
      </x:c>
      <x:c r="O264" s="14" t="str">
        <x:v>Review directness | Evidence gap</x:v>
      </x:c>
      <x:c r="P264" s="14" t="str">
        <x:v>Settlements</x:v>
      </x:c>
      <x:c r="Q264" s="14" t="str">
        <x:v>Rural population</x:v>
      </x:c>
      <x:c r="R264" s="14" t="str">
        <x:v>Direct — Direct: the action definition explicitly implements a mechanism that changes Settlements, without requiring another intervention.
Indirect — Indirect: the action can influence Rural population, but the stated mechanism does not directly change this indicator without an additional causal step.</x:v>
      </x:c>
      <x:c r="S264" s="14" t="str">
        <x:v>No relevant positive evidence was found in the screened source pages.</x:v>
      </x:c>
      <x:c r="T264" s="14" t="str">
        <x:v>A comprehensive project addressing the socio-environmental vulnerability of an informal settlement. It includes relocating residents from flood-prone areas, restoring the environment, and providing infrastructure and social services.</x:v>
      </x:c>
    </x:row>
    <x:row r="265" ht="52" customHeight="1">
      <x:c r="A265" s="14" t="str">
        <x:v>icare_0181</x:v>
      </x:c>
      <x:c r="B265" s="14" t="str">
        <x:v>Restore in Vulnerable Areas</x:v>
      </x:c>
      <x:c r="C265" s="14" t="str">
        <x:v>Health</x:v>
      </x:c>
      <x:c r="D265" s="14" t="str">
        <x:v>Malaria</x:v>
      </x:c>
      <x:c r="E265" s="14" t="str">
        <x:v>Vulnerability</x:v>
      </x:c>
      <x:c r="F265" s="15" t="str"/>
      <x:c r="G265" s="15" t="str"/>
      <x:c r="H265" s="14" t="str">
        <x:v>Indirect</x:v>
      </x:c>
      <x:c r="I265" s="14" t="str">
        <x:v>Not assessed</x:v>
      </x:c>
      <x:c r="J265" s="14" t="str">
        <x:v>Not assessed</x:v>
      </x:c>
      <x:c r="K265" s="14" t="str">
        <x:v>No</x:v>
      </x:c>
      <x:c r="L265" s="14" t="str">
        <x:v>5-10 years</x:v>
      </x:c>
      <x:c r="M265" s="14" t="n">
        <x:v>0</x:v>
      </x:c>
      <x:c r="N265" s="14" t="n">
        <x:v>0</x:v>
      </x:c>
      <x:c r="O265" s="14" t="str">
        <x:v>Review directness</x:v>
      </x:c>
      <x:c r="P265" s="14" t="str"/>
      <x:c r="Q265" s="14" t="str">
        <x:v>No access to adequate sanitation</x:v>
      </x:c>
      <x:c r="R265" s="14" t="str">
        <x:v>Indirect — Indirect: the action can influence No access to adequate sanitation, but the stated mechanism does not directly change this indicator without an additional causal step.</x:v>
      </x:c>
      <x:c r="S265" s="14" t="str">
        <x:v>Effectiveness is not assessed because this relationship is not Direct.</x:v>
      </x:c>
      <x:c r="T265" s="14" t="str">
        <x:v>A comprehensive project addressing the socio-environmental vulnerability of an informal settlement. It includes relocating residents from flood-prone areas, restoring the environment, and providing infrastructure and social services.</x:v>
      </x:c>
    </x:row>
    <x:row r="266" ht="52" customHeight="1">
      <x:c r="A266" s="14" t="str">
        <x:v>icare_0181</x:v>
      </x:c>
      <x:c r="B266" s="14" t="str">
        <x:v>Restore in Vulnerable Areas</x:v>
      </x:c>
      <x:c r="C266" s="14" t="str">
        <x:v>Health</x:v>
      </x:c>
      <x:c r="D266" s="14" t="str">
        <x:v>Visceral leishmaniasis</x:v>
      </x:c>
      <x:c r="E266" s="14" t="str">
        <x:v>Exposure</x:v>
      </x:c>
      <x:c r="F266" s="15" t="str"/>
      <x:c r="G266" s="15" t="str"/>
      <x:c r="H266" s="14" t="str">
        <x:v>Direct</x:v>
      </x:c>
      <x:c r="I266" s="14" t="str">
        <x:v>No demonstrated effectiveness</x:v>
      </x:c>
      <x:c r="J266" s="14" t="str">
        <x:v>None</x:v>
      </x:c>
      <x:c r="K266" s="14" t="str">
        <x:v>No</x:v>
      </x:c>
      <x:c r="L266" s="14" t="str">
        <x:v>5-10 years</x:v>
      </x:c>
      <x:c r="M266" s="14" t="n">
        <x:v>0</x:v>
      </x:c>
      <x:c r="N266" s="14" t="n">
        <x:v>12</x:v>
      </x:c>
      <x:c r="O266" s="14" t="str">
        <x:v>Review directness | Evidence gap</x:v>
      </x:c>
      <x:c r="P266" s="14" t="str">
        <x:v>Settlements</x:v>
      </x:c>
      <x:c r="Q266" s="14" t="str"/>
      <x:c r="R266" s="14" t="str">
        <x:v>Direct — Direct: the action definition explicitly implements a mechanism that changes Settlements, without requiring another intervention.</x:v>
      </x:c>
      <x:c r="S266" s="14" t="str">
        <x:v>No relevant positive evidence was found in the screened source pages.</x:v>
      </x:c>
      <x:c r="T266" s="14" t="str">
        <x:v>A comprehensive project addressing the socio-environmental vulnerability of an informal settlement. It includes relocating residents from flood-prone areas, restoring the environment, and providing infrastructure and social services.</x:v>
      </x:c>
    </x:row>
    <x:row r="267" ht="52" customHeight="1">
      <x:c r="A267" s="14" t="str">
        <x:v>icare_0181</x:v>
      </x:c>
      <x:c r="B267" s="14" t="str">
        <x:v>Restore in Vulnerable Areas</x:v>
      </x:c>
      <x:c r="C267" s="14" t="str">
        <x:v>Health</x:v>
      </x:c>
      <x:c r="D267" s="14" t="str">
        <x:v>Visceral leishmaniasis</x:v>
      </x:c>
      <x:c r="E267" s="14" t="str">
        <x:v>Vulnerability</x:v>
      </x:c>
      <x:c r="F267" s="15" t="str"/>
      <x:c r="G267" s="15" t="str"/>
      <x:c r="H267" s="14" t="str">
        <x:v>Indirect</x:v>
      </x:c>
      <x:c r="I267" s="14" t="str">
        <x:v>Not assessed</x:v>
      </x:c>
      <x:c r="J267" s="14" t="str">
        <x:v>Not assessed</x:v>
      </x:c>
      <x:c r="K267" s="14" t="str">
        <x:v>No</x:v>
      </x:c>
      <x:c r="L267" s="14" t="str">
        <x:v>5-10 years</x:v>
      </x:c>
      <x:c r="M267" s="14" t="n">
        <x:v>0</x:v>
      </x:c>
      <x:c r="N267" s="14" t="n">
        <x:v>0</x:v>
      </x:c>
      <x:c r="O267" s="14" t="str">
        <x:v>Review directness</x:v>
      </x:c>
      <x:c r="P267" s="14" t="str"/>
      <x:c r="Q267" s="14" t="str">
        <x:v>Households without access to garbage collection</x:v>
      </x:c>
      <x:c r="R267" s="14" t="str">
        <x:v>Indirect — Indirect: the action can influence Households without access to garbage collection, but the stated mechanism does not directly change this indicator without an additional causal step.</x:v>
      </x:c>
      <x:c r="S267" s="14" t="str">
        <x:v>Effectiveness is not assessed because this relationship is not Direct.</x:v>
      </x:c>
      <x:c r="T267" s="14" t="str">
        <x:v>A comprehensive project addressing the socio-environmental vulnerability of an informal settlement. It includes relocating residents from flood-prone areas, restoring the environment, and providing infrastructure and social services.</x:v>
      </x:c>
    </x:row>
    <x:row r="268" ht="52" customHeight="1">
      <x:c r="A268" s="14" t="str">
        <x:v>ipcc_0084</x:v>
      </x:c>
      <x:c r="B268" s="14" t="str">
        <x:v>Restore/create natural areas</x:v>
      </x:c>
      <x:c r="C268" s="14" t="str">
        <x:v>Health</x:v>
      </x:c>
      <x:c r="D268" s="14" t="str">
        <x:v>American cutaneous leishmaniasis</x:v>
      </x:c>
      <x:c r="E268" s="14" t="str">
        <x:v>Exposure</x:v>
      </x:c>
      <x:c r="F268" s="15" t="str"/>
      <x:c r="G268" s="15" t="str"/>
      <x:c r="H268" s="14" t="str">
        <x:v>Direct</x:v>
      </x:c>
      <x:c r="I268" s="14" t="str">
        <x:v>No demonstrated effectiveness</x:v>
      </x:c>
      <x:c r="J268" s="14" t="str">
        <x:v>None</x:v>
      </x:c>
      <x:c r="K268" s="14" t="str">
        <x:v>No</x:v>
      </x:c>
      <x:c r="L268" s="14" t="str">
        <x:v>5-10 years</x:v>
      </x:c>
      <x:c r="M268" s="14" t="n">
        <x:v>0</x:v>
      </x:c>
      <x:c r="N268" s="14" t="n">
        <x:v>12</x:v>
      </x:c>
      <x:c r="O268" s="14" t="str">
        <x:v>Review directness | Evidence gap</x:v>
      </x:c>
      <x:c r="P268" s="14" t="str">
        <x:v>Natural coverage</x:v>
      </x:c>
      <x:c r="Q268" s="14" t="str"/>
      <x:c r="R268" s="14" t="str">
        <x:v>Direct — Direct: the action definition explicitly implements a mechanism that changes Natural coverage, without requiring another intervention.</x:v>
      </x:c>
      <x:c r="S268" s="14" t="str">
        <x:v>No relevant positive evidence was found in the screened source pages.</x:v>
      </x:c>
      <x:c r="T268" s="14"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269" ht="52" customHeight="1">
      <x:c r="A269" s="14" t="str">
        <x:v>ipcc_0084</x:v>
      </x:c>
      <x:c r="B269" s="14" t="str">
        <x:v>Restore/create natural areas</x:v>
      </x:c>
      <x:c r="C269" s="14" t="str">
        <x:v>Health</x:v>
      </x:c>
      <x:c r="D269" s="14" t="str">
        <x:v>Arboviruses dengue, zika and chikungunya</x:v>
      </x:c>
      <x:c r="E269" s="14" t="str">
        <x:v>Exposure</x:v>
      </x:c>
      <x:c r="F269" s="15" t="str"/>
      <x:c r="G269" s="15" t="str"/>
      <x:c r="H269" s="14" t="str">
        <x:v>Direct</x:v>
      </x:c>
      <x:c r="I269" s="14" t="str">
        <x:v>No demonstrated effectiveness</x:v>
      </x:c>
      <x:c r="J269" s="14" t="str">
        <x:v>None</x:v>
      </x:c>
      <x:c r="K269" s="14" t="str">
        <x:v>No</x:v>
      </x:c>
      <x:c r="L269" s="14" t="str">
        <x:v>5-10 years</x:v>
      </x:c>
      <x:c r="M269" s="14" t="n">
        <x:v>0</x:v>
      </x:c>
      <x:c r="N269" s="14" t="n">
        <x:v>12</x:v>
      </x:c>
      <x:c r="O269" s="14" t="str">
        <x:v>Review directness | Evidence gap</x:v>
      </x:c>
      <x:c r="P269" s="14" t="str">
        <x:v>Deforestation | Bodies of water</x:v>
      </x:c>
      <x:c r="Q269" s="14" t="str"/>
      <x:c r="R269" s="14" t="str">
        <x:v>Direct — Direct: the action definition explicitly implements a mechanism that changes Deforestation, without requiring another intervention.
Direct — Direct: the action definition explicitly implements a mechanism that changes Bodies of water, without requiring another intervention.</x:v>
      </x:c>
      <x:c r="S269" s="14" t="str">
        <x:v>No relevant positive evidence was found in the screened source pages.</x:v>
      </x:c>
      <x:c r="T269" s="14"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270" ht="52" customHeight="1">
      <x:c r="A270" s="14" t="str">
        <x:v>ipcc_0084</x:v>
      </x:c>
      <x:c r="B270" s="14" t="str">
        <x:v>Restore/create natural areas</x:v>
      </x:c>
      <x:c r="C270" s="14" t="str">
        <x:v>Health</x:v>
      </x:c>
      <x:c r="D270" s="14" t="str">
        <x:v>Malaria</x:v>
      </x:c>
      <x:c r="E270" s="14" t="str">
        <x:v>Exposure</x:v>
      </x:c>
      <x:c r="F270" s="15" t="str"/>
      <x:c r="G270" s="15" t="str"/>
      <x:c r="H270" s="14" t="str">
        <x:v>Direct</x:v>
      </x:c>
      <x:c r="I270" s="14" t="str">
        <x:v>Medium effectiveness</x:v>
      </x:c>
      <x:c r="J270" s="14" t="str">
        <x:v>Single source</x:v>
      </x:c>
      <x:c r="K270" s="14" t="str">
        <x:v>No</x:v>
      </x:c>
      <x:c r="L270" s="14" t="str">
        <x:v>5-10 years</x:v>
      </x:c>
      <x:c r="M270" s="14" t="n">
        <x:v>1</x:v>
      </x:c>
      <x:c r="N270" s="14" t="n">
        <x:v>12</x:v>
      </x:c>
      <x:c r="O270" s="14" t="str">
        <x:v>Review directness</x:v>
      </x:c>
      <x:c r="P270" s="14" t="str">
        <x:v>Deforestation | Bodies of water</x:v>
      </x:c>
      <x:c r="Q270" s="14" t="str"/>
      <x:c r="R270" s="14" t="str">
        <x:v>Direct — Direct: the action definition explicitly implements a mechanism that changes Deforestation, without requiring another intervention.
Direct — Direct: the action definition explicitly implements a mechanism that changes Bodies of water, without requiring another intervention.</x:v>
      </x:c>
      <x:c r="S270" s="14" t="str">
        <x:v>Relevant evidence demonstrates a moderate, conditional, context-dependent or mixed positive outcome.</x:v>
      </x:c>
      <x:c r="T270" s="14"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271" ht="52" customHeight="1">
      <x:c r="A271" s="14" t="str">
        <x:v>ipcc_0084</x:v>
      </x:c>
      <x:c r="B271" s="14" t="str">
        <x:v>Restore/create natural areas</x:v>
      </x:c>
      <x:c r="C271" s="14" t="str">
        <x:v>Health</x:v>
      </x:c>
      <x:c r="D271" s="14" t="str">
        <x:v>Visceral leishmaniasis</x:v>
      </x:c>
      <x:c r="E271" s="14" t="str">
        <x:v>Exposure</x:v>
      </x:c>
      <x:c r="F271" s="15" t="str"/>
      <x:c r="G271" s="15" t="str"/>
      <x:c r="H271" s="14" t="str">
        <x:v>Direct</x:v>
      </x:c>
      <x:c r="I271" s="14" t="str">
        <x:v>No demonstrated effectiveness</x:v>
      </x:c>
      <x:c r="J271" s="14" t="str">
        <x:v>None</x:v>
      </x:c>
      <x:c r="K271" s="14" t="str">
        <x:v>No</x:v>
      </x:c>
      <x:c r="L271" s="14" t="str">
        <x:v>5-10 years</x:v>
      </x:c>
      <x:c r="M271" s="14" t="n">
        <x:v>0</x:v>
      </x:c>
      <x:c r="N271" s="14" t="n">
        <x:v>12</x:v>
      </x:c>
      <x:c r="O271" s="14" t="str">
        <x:v>Review directness | Evidence gap</x:v>
      </x:c>
      <x:c r="P271" s="14" t="str">
        <x:v>Natural coverage</x:v>
      </x:c>
      <x:c r="Q271" s="14" t="str"/>
      <x:c r="R271" s="14" t="str">
        <x:v>Direct — Direct: the action definition explicitly implements a mechanism that changes Natural coverage, without requiring another intervention.</x:v>
      </x:c>
      <x:c r="S271" s="14" t="str">
        <x:v>No relevant positive evidence was found in the screened source pages.</x:v>
      </x:c>
      <x:c r="T271" s="14"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272" ht="52" customHeight="1">
      <x:c r="A272" s="14" t="str">
        <x:v>ipcc_0089</x:v>
      </x:c>
      <x:c r="B272" s="14" t="str">
        <x:v>Spatially redirect development</x:v>
      </x:c>
      <x:c r="C272" s="14" t="str">
        <x:v>Health</x:v>
      </x:c>
      <x:c r="D272" s="14" t="str">
        <x:v>American cutaneous leishmaniasis</x:v>
      </x:c>
      <x:c r="E272" s="14" t="str">
        <x:v>Exposure</x:v>
      </x:c>
      <x:c r="F272" s="15" t="str"/>
      <x:c r="G272" s="15" t="str"/>
      <x:c r="H272" s="14" t="str">
        <x:v>Direct</x:v>
      </x:c>
      <x:c r="I272" s="14" t="str">
        <x:v>No demonstrated effectiveness</x:v>
      </x:c>
      <x:c r="J272" s="14" t="str">
        <x:v>None</x:v>
      </x:c>
      <x:c r="K272" s="14" t="str">
        <x:v>No</x:v>
      </x:c>
      <x:c r="L272" s="14" t="str">
        <x:v>5-10 years</x:v>
      </x:c>
      <x:c r="M272" s="14" t="n">
        <x:v>0</x:v>
      </x:c>
      <x:c r="N272" s="14" t="n">
        <x:v>12</x:v>
      </x:c>
      <x:c r="O272" s="14" t="str">
        <x:v>Review directness | Evidence gap</x:v>
      </x:c>
      <x:c r="P272" s="14" t="str">
        <x:v>Settlements | Informal settlements | Natural coverage</x:v>
      </x:c>
      <x:c r="Q272" s="14" t="str"/>
      <x:c r="R272" s="14" t="str">
        <x:v>Direct — Direct: the action definition explicitly implements a mechanism that changes Settlements, without requiring another intervention.
Direct — Direct: the action definition explicitly implements a mechanism that changes Informal settlements, without requiring another intervention.
Direct — Direct: the action definition explicitly implements a mechanism that changes Natural coverage, without requiring another intervention.</x:v>
      </x:c>
      <x:c r="S272" s="14" t="str">
        <x:v>No relevant positive evidence was found in the screened source pages.</x:v>
      </x:c>
      <x:c r="T272" s="14"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273" ht="52" customHeight="1">
      <x:c r="A273" s="14" t="str">
        <x:v>ipcc_0089</x:v>
      </x:c>
      <x:c r="B273" s="14" t="str">
        <x:v>Spatially redirect development</x:v>
      </x:c>
      <x:c r="C273" s="14" t="str">
        <x:v>Health</x:v>
      </x:c>
      <x:c r="D273" s="14" t="str">
        <x:v>Arboviruses dengue, zika and chikungunya</x:v>
      </x:c>
      <x:c r="E273" s="14" t="str">
        <x:v>Exposure</x:v>
      </x:c>
      <x:c r="F273" s="15" t="str"/>
      <x:c r="G273" s="15" t="str"/>
      <x:c r="H273" s="14" t="str">
        <x:v>Direct</x:v>
      </x:c>
      <x:c r="I273" s="14" t="str">
        <x:v>No demonstrated effectiveness</x:v>
      </x:c>
      <x:c r="J273" s="14" t="str">
        <x:v>None</x:v>
      </x:c>
      <x:c r="K273" s="14" t="str">
        <x:v>No</x:v>
      </x:c>
      <x:c r="L273" s="14" t="str">
        <x:v>5-10 years</x:v>
      </x:c>
      <x:c r="M273" s="14" t="n">
        <x:v>0</x:v>
      </x:c>
      <x:c r="N273" s="14" t="n">
        <x:v>12</x:v>
      </x:c>
      <x:c r="O273" s="14" t="str">
        <x:v>Review directness | Evidence gap</x:v>
      </x:c>
      <x:c r="P273" s="14" t="str">
        <x:v>Population density | Informal settlements | Deforestation</x:v>
      </x:c>
      <x:c r="Q273" s="14" t="str"/>
      <x:c r="R273" s="14" t="str">
        <x:v>Direct — Direct: the action definition explicitly implements a mechanism that changes Population density, without requiring another intervention.
Direct — Direct: the action definition explicitly implements a mechanism that changes Informal settlements, without requiring another intervention.
Direct — Direct: the action definition explicitly implements a mechanism that changes Deforestation, without requiring another intervention.</x:v>
      </x:c>
      <x:c r="S273" s="14" t="str">
        <x:v>No relevant positive evidence was found in the screened source pages.</x:v>
      </x:c>
      <x:c r="T273" s="14"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274" ht="52" customHeight="1">
      <x:c r="A274" s="14" t="str">
        <x:v>ipcc_0089</x:v>
      </x:c>
      <x:c r="B274" s="14" t="str">
        <x:v>Spatially redirect development</x:v>
      </x:c>
      <x:c r="C274" s="14" t="str">
        <x:v>Health</x:v>
      </x:c>
      <x:c r="D274" s="14" t="str">
        <x:v>Malaria</x:v>
      </x:c>
      <x:c r="E274" s="14" t="str">
        <x:v>Exposure</x:v>
      </x:c>
      <x:c r="F274" s="15" t="str"/>
      <x:c r="G274" s="15" t="str"/>
      <x:c r="H274" s="14" t="str">
        <x:v>Direct</x:v>
      </x:c>
      <x:c r="I274" s="14" t="str">
        <x:v>No demonstrated effectiveness</x:v>
      </x:c>
      <x:c r="J274" s="14" t="str">
        <x:v>None</x:v>
      </x:c>
      <x:c r="K274" s="14" t="str">
        <x:v>No</x:v>
      </x:c>
      <x:c r="L274" s="14" t="str">
        <x:v>5-10 years</x:v>
      </x:c>
      <x:c r="M274" s="14" t="n">
        <x:v>0</x:v>
      </x:c>
      <x:c r="N274" s="14" t="n">
        <x:v>12</x:v>
      </x:c>
      <x:c r="O274" s="14" t="str">
        <x:v>Review directness | Evidence gap</x:v>
      </x:c>
      <x:c r="P274" s="14" t="str">
        <x:v>Settlements | Deforestation</x:v>
      </x:c>
      <x:c r="Q274" s="14" t="str"/>
      <x:c r="R274" s="14" t="str">
        <x:v>Direct — Direct: the action definition explicitly implements a mechanism that changes Settlements, without requiring another intervention.
Direct — Direct: the action definition explicitly implements a mechanism that changes Deforestation, without requiring another intervention.</x:v>
      </x:c>
      <x:c r="S274" s="14" t="str">
        <x:v>No relevant positive evidence was found in the screened source pages.</x:v>
      </x:c>
      <x:c r="T274" s="14"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275" ht="52" customHeight="1">
      <x:c r="A275" s="14" t="str">
        <x:v>ipcc_0089</x:v>
      </x:c>
      <x:c r="B275" s="14" t="str">
        <x:v>Spatially redirect development</x:v>
      </x:c>
      <x:c r="C275" s="14" t="str">
        <x:v>Health</x:v>
      </x:c>
      <x:c r="D275" s="14" t="str">
        <x:v>Visceral leishmaniasis</x:v>
      </x:c>
      <x:c r="E275" s="14" t="str">
        <x:v>Exposure</x:v>
      </x:c>
      <x:c r="F275" s="15" t="str"/>
      <x:c r="G275" s="15" t="str"/>
      <x:c r="H275" s="14" t="str">
        <x:v>Direct</x:v>
      </x:c>
      <x:c r="I275" s="14" t="str">
        <x:v>No demonstrated effectiveness</x:v>
      </x:c>
      <x:c r="J275" s="14" t="str">
        <x:v>None</x:v>
      </x:c>
      <x:c r="K275" s="14" t="str">
        <x:v>No</x:v>
      </x:c>
      <x:c r="L275" s="14" t="str">
        <x:v>5-10 years</x:v>
      </x:c>
      <x:c r="M275" s="14" t="n">
        <x:v>0</x:v>
      </x:c>
      <x:c r="N275" s="14" t="n">
        <x:v>12</x:v>
      </x:c>
      <x:c r="O275" s="14" t="str">
        <x:v>Review directness | Evidence gap</x:v>
      </x:c>
      <x:c r="P275" s="14" t="str">
        <x:v>Settlements | Natural coverage</x:v>
      </x:c>
      <x:c r="Q275" s="14" t="str"/>
      <x:c r="R275" s="14" t="str">
        <x:v>Direct — Direct: the action definition explicitly implements a mechanism that changes Settlements, without requiring another intervention.
Direct — Direct: the action definition explicitly implements a mechanism that changes Natural coverage, without requiring another intervention.</x:v>
      </x:c>
      <x:c r="S275" s="14" t="str">
        <x:v>No relevant positive evidence was found in the screened source pages.</x:v>
      </x:c>
      <x:c r="T275" s="14"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276" ht="52" customHeight="1">
      <x:c r="A276" s="14" t="str">
        <x:v>ipcc_0096</x:v>
      </x:c>
      <x:c r="B276" s="14" t="str">
        <x:v>Strengthen climate resilience in farming and fisheries</x:v>
      </x:c>
      <x:c r="C276" s="14" t="str">
        <x:v>Health</x:v>
      </x:c>
      <x:c r="D276" s="14" t="str">
        <x:v>American cutaneous leishmaniasis</x:v>
      </x:c>
      <x:c r="E276" s="14" t="str">
        <x:v>Exposure</x:v>
      </x:c>
      <x:c r="F276" s="15" t="str"/>
      <x:c r="G276" s="15" t="str"/>
      <x:c r="H276" s="14" t="str">
        <x:v>Indirect</x:v>
      </x:c>
      <x:c r="I276" s="14" t="str">
        <x:v>Not assessed</x:v>
      </x:c>
      <x:c r="J276" s="14" t="str">
        <x:v>Not assessed</x:v>
      </x:c>
      <x:c r="K276" s="14" t="str">
        <x:v>No</x:v>
      </x:c>
      <x:c r="L276" s="14" t="str">
        <x:v>5-10 years</x:v>
      </x:c>
      <x:c r="M276" s="14" t="n">
        <x:v>0</x:v>
      </x:c>
      <x:c r="N276" s="14" t="n">
        <x:v>0</x:v>
      </x:c>
      <x:c r="O276" s="14" t="str">
        <x:v>Review directness</x:v>
      </x:c>
      <x:c r="P276" s="14" t="str"/>
      <x:c r="Q276" s="14" t="str">
        <x:v>Agricultural coverage</x:v>
      </x:c>
      <x:c r="R276" s="14" t="str">
        <x:v>Indirect — Indirect: the action can influence Agricultural coverage, but the stated mechanism does not directly change this indicator without an additional causal step.</x:v>
      </x:c>
      <x:c r="S276" s="14" t="str">
        <x:v>Effectiveness is not assessed because this relationship is not Direct.</x:v>
      </x:c>
      <x:c r="T276" s="14" t="str">
        <x: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x:v>
      </x:c>
    </x:row>
    <x:row r="277" ht="52" customHeight="1">
      <x:c r="A277" s="14" t="str">
        <x:v>ipcc_0094</x:v>
      </x:c>
      <x:c r="B277" s="14" t="str">
        <x:v>Strengthen climate‑resilient health services</x:v>
      </x:c>
      <x:c r="C277" s="14" t="str">
        <x:v>Health</x:v>
      </x:c>
      <x:c r="D277" s="14" t="str">
        <x:v>American cutaneous leishmaniasis</x:v>
      </x:c>
      <x:c r="E277" s="14" t="str">
        <x:v>Vulnerability</x:v>
      </x:c>
      <x:c r="F277" s="15" t="str"/>
      <x:c r="G277" s="15" t="str"/>
      <x:c r="H277" s="14" t="str">
        <x:v>Direct</x:v>
      </x:c>
      <x:c r="I277" s="14" t="str">
        <x:v>Medium effectiveness</x:v>
      </x:c>
      <x:c r="J277" s="14" t="str">
        <x:v>Multiple sources</x:v>
      </x:c>
      <x:c r="K277" s="14" t="str">
        <x:v>No</x:v>
      </x:c>
      <x:c r="L277" s="14" t="str">
        <x:v>5-10 years</x:v>
      </x:c>
      <x:c r="M277" s="14" t="n">
        <x:v>3</x:v>
      </x:c>
      <x:c r="N277" s="14" t="n">
        <x:v>12</x:v>
      </x:c>
      <x:c r="O277" s="14" t="str">
        <x:v>Review directness</x:v>
      </x:c>
      <x:c r="P277" s="14" t="str">
        <x:v>Basic care coverage</x:v>
      </x:c>
      <x:c r="Q277" s="14" t="str"/>
      <x:c r="R277" s="14" t="str">
        <x:v>Direct — Direct: the action definition explicitly implements a mechanism that changes Basic care coverage, without requiring another intervention.</x:v>
      </x:c>
      <x:c r="S277" s="14" t="str">
        <x:v>Relevant evidence demonstrates a moderate, conditional, context-dependent or mixed positive outcome.</x:v>
      </x:c>
      <x:c r="T277" s="14"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278" ht="52" customHeight="1">
      <x:c r="A278" s="14" t="str">
        <x:v>ipcc_0094</x:v>
      </x:c>
      <x:c r="B278" s="14" t="str">
        <x:v>Strengthen climate‑resilient health services</x:v>
      </x:c>
      <x:c r="C278" s="14" t="str">
        <x:v>Health</x:v>
      </x:c>
      <x:c r="D278" s="14" t="str">
        <x:v>Arboviruses dengue, zika and chikungunya</x:v>
      </x:c>
      <x:c r="E278" s="14" t="str">
        <x:v>Vulnerability</x:v>
      </x:c>
      <x:c r="F278" s="15" t="str"/>
      <x:c r="G278" s="15" t="str"/>
      <x:c r="H278" s="14" t="str">
        <x:v>Direct</x:v>
      </x:c>
      <x:c r="I278" s="14" t="str">
        <x:v>Medium effectiveness</x:v>
      </x:c>
      <x:c r="J278" s="14" t="str">
        <x:v>Multiple sources</x:v>
      </x:c>
      <x:c r="K278" s="14" t="str">
        <x:v>No</x:v>
      </x:c>
      <x:c r="L278" s="14" t="str">
        <x:v>5-10 years</x:v>
      </x:c>
      <x:c r="M278" s="14" t="n">
        <x:v>3</x:v>
      </x:c>
      <x:c r="N278" s="14" t="n">
        <x:v>12</x:v>
      </x:c>
      <x:c r="O278" s="14" t="str">
        <x:v>Review directness</x:v>
      </x:c>
      <x:c r="P278" s="14" t="str">
        <x:v>Basic care coverage</x:v>
      </x:c>
      <x:c r="Q278" s="14" t="str"/>
      <x:c r="R278" s="14" t="str">
        <x:v>Direct — Direct: the action definition explicitly implements a mechanism that changes Basic care coverage, without requiring another intervention.</x:v>
      </x:c>
      <x:c r="S278" s="14" t="str">
        <x:v>Relevant evidence demonstrates a moderate, conditional, context-dependent or mixed positive outcome.</x:v>
      </x:c>
      <x:c r="T278" s="14"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279" ht="52" customHeight="1">
      <x:c r="A279" s="14" t="str">
        <x:v>ipcc_0094</x:v>
      </x:c>
      <x:c r="B279" s="14" t="str">
        <x:v>Strengthen climate‑resilient health services</x:v>
      </x:c>
      <x:c r="C279" s="14" t="str">
        <x:v>Health</x:v>
      </x:c>
      <x:c r="D279" s="14" t="str">
        <x:v>Malaria</x:v>
      </x:c>
      <x:c r="E279" s="14" t="str">
        <x:v>Vulnerability</x:v>
      </x:c>
      <x:c r="F279" s="15" t="str"/>
      <x:c r="G279" s="15" t="str"/>
      <x:c r="H279" s="14" t="str">
        <x:v>Direct</x:v>
      </x:c>
      <x:c r="I279" s="14" t="str">
        <x:v>Medium effectiveness</x:v>
      </x:c>
      <x:c r="J279" s="14" t="str">
        <x:v>Multiple sources</x:v>
      </x:c>
      <x:c r="K279" s="14" t="str">
        <x:v>No</x:v>
      </x:c>
      <x:c r="L279" s="14" t="str">
        <x:v>5-10 years</x:v>
      </x:c>
      <x:c r="M279" s="14" t="n">
        <x:v>3</x:v>
      </x:c>
      <x:c r="N279" s="14" t="n">
        <x:v>12</x:v>
      </x:c>
      <x:c r="O279" s="14" t="str">
        <x:v>Review directness</x:v>
      </x:c>
      <x:c r="P279" s="14" t="str">
        <x:v>Basic care coverage | Access to diagnosis and treatment</x:v>
      </x:c>
      <x:c r="Q279" s="14" t="str"/>
      <x:c r="R279" s="14" t="str">
        <x:v>Direct — Direct: the action definition explicitly implements a mechanism that changes Basic care coverage, without requiring another intervention.
Direct — Direct: the action definition explicitly implements a mechanism that changes Access to diagnosis and treatment, without requiring another intervention.</x:v>
      </x:c>
      <x:c r="S279" s="14" t="str">
        <x:v>Relevant evidence demonstrates a moderate, conditional, context-dependent or mixed positive outcome.</x:v>
      </x:c>
      <x:c r="T279" s="14"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280" ht="52" customHeight="1">
      <x:c r="A280" s="14" t="str">
        <x:v>ipcc_0094</x:v>
      </x:c>
      <x:c r="B280" s="14" t="str">
        <x:v>Strengthen climate‑resilient health services</x:v>
      </x:c>
      <x:c r="C280" s="14" t="str">
        <x:v>Health</x:v>
      </x:c>
      <x:c r="D280" s="14" t="str">
        <x:v>Visceral leishmaniasis</x:v>
      </x:c>
      <x:c r="E280" s="14" t="str">
        <x:v>Vulnerability</x:v>
      </x:c>
      <x:c r="F280" s="15" t="str"/>
      <x:c r="G280" s="15" t="str"/>
      <x:c r="H280" s="14" t="str">
        <x:v>Direct</x:v>
      </x:c>
      <x:c r="I280" s="14" t="str">
        <x:v>Medium effectiveness</x:v>
      </x:c>
      <x:c r="J280" s="14" t="str">
        <x:v>Multiple sources</x:v>
      </x:c>
      <x:c r="K280" s="14" t="str">
        <x:v>No</x:v>
      </x:c>
      <x:c r="L280" s="14" t="str">
        <x:v>5-10 years</x:v>
      </x:c>
      <x:c r="M280" s="14" t="n">
        <x:v>3</x:v>
      </x:c>
      <x:c r="N280" s="14" t="n">
        <x:v>12</x:v>
      </x:c>
      <x:c r="O280" s="14" t="str">
        <x:v>Review directness</x:v>
      </x:c>
      <x:c r="P280" s="14" t="str">
        <x:v>Basic care coverage</x:v>
      </x:c>
      <x:c r="Q280" s="14" t="str"/>
      <x:c r="R280" s="14" t="str">
        <x:v>Direct — Direct: the action definition explicitly implements a mechanism that changes Basic care coverage, without requiring another intervention.</x:v>
      </x:c>
      <x:c r="S280" s="14" t="str">
        <x:v>Relevant evidence demonstrates a moderate, conditional, context-dependent or mixed positive outcome.</x:v>
      </x:c>
      <x:c r="T280" s="14"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281" ht="52" customHeight="1">
      <x:c r="A281" s="14" t="str">
        <x:v>icare_0162</x:v>
      </x:c>
      <x:c r="B281" s="14" t="str">
        <x:v>Strengthen programs for control and conservation of protected areas</x:v>
      </x:c>
      <x:c r="C281" s="14" t="str">
        <x:v>Health</x:v>
      </x:c>
      <x:c r="D281" s="14" t="str">
        <x:v>American cutaneous leishmaniasis</x:v>
      </x:c>
      <x:c r="E281" s="14" t="str">
        <x:v>Exposure</x:v>
      </x:c>
      <x:c r="F281" s="15" t="str"/>
      <x:c r="G281" s="15" t="str"/>
      <x:c r="H281" s="14" t="str">
        <x:v>Direct</x:v>
      </x:c>
      <x:c r="I281" s="14" t="str">
        <x:v>No demonstrated effectiveness</x:v>
      </x:c>
      <x:c r="J281" s="14" t="str">
        <x:v>None</x:v>
      </x:c>
      <x:c r="K281" s="14" t="str">
        <x:v>No</x:v>
      </x:c>
      <x:c r="L281" s="14" t="str">
        <x:v>5-10 years</x:v>
      </x:c>
      <x:c r="M281" s="14" t="n">
        <x:v>0</x:v>
      </x:c>
      <x:c r="N281" s="14" t="n">
        <x:v>12</x:v>
      </x:c>
      <x:c r="O281" s="14" t="str">
        <x:v>Review directness | Evidence gap</x:v>
      </x:c>
      <x:c r="P281" s="14" t="str">
        <x:v>Natural coverage</x:v>
      </x:c>
      <x:c r="Q281" s="14" t="str"/>
      <x:c r="R281" s="14" t="str">
        <x:v>Direct — Direct: the action definition explicitly implements a mechanism that changes Natural coverage, without requiring another intervention.</x:v>
      </x:c>
      <x:c r="S281" s="14" t="str">
        <x:v>No relevant positive evidence was found in the screened source pages.</x:v>
      </x:c>
      <x:c r="T281" s="14"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282" ht="52" customHeight="1">
      <x:c r="A282" s="14" t="str">
        <x:v>icare_0162</x:v>
      </x:c>
      <x:c r="B282" s="14" t="str">
        <x:v>Strengthen programs for control and conservation of protected areas</x:v>
      </x:c>
      <x:c r="C282" s="14" t="str">
        <x:v>Health</x:v>
      </x:c>
      <x:c r="D282" s="14" t="str">
        <x:v>Arboviruses dengue, zika and chikungunya</x:v>
      </x:c>
      <x:c r="E282" s="14" t="str">
        <x:v>Exposure</x:v>
      </x:c>
      <x:c r="F282" s="15" t="str"/>
      <x:c r="G282" s="15" t="str"/>
      <x:c r="H282" s="14" t="str">
        <x:v>Direct</x:v>
      </x:c>
      <x:c r="I282" s="14" t="str">
        <x:v>No demonstrated effectiveness</x:v>
      </x:c>
      <x:c r="J282" s="14" t="str">
        <x:v>None</x:v>
      </x:c>
      <x:c r="K282" s="14" t="str">
        <x:v>No</x:v>
      </x:c>
      <x:c r="L282" s="14" t="str">
        <x:v>5-10 years</x:v>
      </x:c>
      <x:c r="M282" s="14" t="n">
        <x:v>0</x:v>
      </x:c>
      <x:c r="N282" s="14" t="n">
        <x:v>12</x:v>
      </x:c>
      <x:c r="O282" s="14" t="str">
        <x:v>Review directness | Evidence gap</x:v>
      </x:c>
      <x:c r="P282" s="14" t="str">
        <x:v>Deforestation</x:v>
      </x:c>
      <x:c r="Q282" s="14" t="str"/>
      <x:c r="R282" s="14" t="str">
        <x:v>Direct — Direct: the action definition explicitly implements a mechanism that changes Deforestation, without requiring another intervention.</x:v>
      </x:c>
      <x:c r="S282" s="14" t="str">
        <x:v>No relevant positive evidence was found in the screened source pages.</x:v>
      </x:c>
      <x:c r="T282" s="14"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283" ht="52" customHeight="1">
      <x:c r="A283" s="14" t="str">
        <x:v>icare_0162</x:v>
      </x:c>
      <x:c r="B283" s="14" t="str">
        <x:v>Strengthen programs for control and conservation of protected areas</x:v>
      </x:c>
      <x:c r="C283" s="14" t="str">
        <x:v>Health</x:v>
      </x:c>
      <x:c r="D283" s="14" t="str">
        <x:v>Malaria</x:v>
      </x:c>
      <x:c r="E283" s="14" t="str">
        <x:v>Exposure</x:v>
      </x:c>
      <x:c r="F283" s="15" t="str"/>
      <x:c r="G283" s="15" t="str"/>
      <x:c r="H283" s="14" t="str">
        <x:v>Direct</x:v>
      </x:c>
      <x:c r="I283" s="14" t="str">
        <x:v>Medium effectiveness</x:v>
      </x:c>
      <x:c r="J283" s="14" t="str">
        <x:v>Single source</x:v>
      </x:c>
      <x:c r="K283" s="14" t="str">
        <x:v>No</x:v>
      </x:c>
      <x:c r="L283" s="14" t="str">
        <x:v>5-10 years</x:v>
      </x:c>
      <x:c r="M283" s="14" t="n">
        <x:v>1</x:v>
      </x:c>
      <x:c r="N283" s="14" t="n">
        <x:v>12</x:v>
      </x:c>
      <x:c r="O283" s="14" t="str">
        <x:v>Review directness</x:v>
      </x:c>
      <x:c r="P283" s="14" t="str">
        <x:v>Deforestation</x:v>
      </x:c>
      <x:c r="Q283" s="14" t="str"/>
      <x:c r="R283" s="14" t="str">
        <x:v>Direct — Direct: the action definition explicitly implements a mechanism that changes Deforestation, without requiring another intervention.</x:v>
      </x:c>
      <x:c r="S283" s="14" t="str">
        <x:v>Relevant evidence demonstrates a moderate, conditional, context-dependent or mixed positive outcome.</x:v>
      </x:c>
      <x:c r="T283" s="14"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284" ht="52" customHeight="1">
      <x:c r="A284" s="14" t="str">
        <x:v>icare_0162</x:v>
      </x:c>
      <x:c r="B284" s="14" t="str">
        <x:v>Strengthen programs for control and conservation of protected areas</x:v>
      </x:c>
      <x:c r="C284" s="14" t="str">
        <x:v>Health</x:v>
      </x:c>
      <x:c r="D284" s="14" t="str">
        <x:v>Visceral leishmaniasis</x:v>
      </x:c>
      <x:c r="E284" s="14" t="str">
        <x:v>Exposure</x:v>
      </x:c>
      <x:c r="F284" s="15" t="str"/>
      <x:c r="G284" s="15" t="str"/>
      <x:c r="H284" s="14" t="str">
        <x:v>Direct</x:v>
      </x:c>
      <x:c r="I284" s="14" t="str">
        <x:v>No demonstrated effectiveness</x:v>
      </x:c>
      <x:c r="J284" s="14" t="str">
        <x:v>None</x:v>
      </x:c>
      <x:c r="K284" s="14" t="str">
        <x:v>No</x:v>
      </x:c>
      <x:c r="L284" s="14" t="str">
        <x:v>5-10 years</x:v>
      </x:c>
      <x:c r="M284" s="14" t="n">
        <x:v>0</x:v>
      </x:c>
      <x:c r="N284" s="14" t="n">
        <x:v>12</x:v>
      </x:c>
      <x:c r="O284" s="14" t="str">
        <x:v>Review directness | Evidence gap</x:v>
      </x:c>
      <x:c r="P284" s="14" t="str">
        <x:v>Natural coverage</x:v>
      </x:c>
      <x:c r="Q284" s="14" t="str"/>
      <x:c r="R284" s="14" t="str">
        <x:v>Direct — Direct: the action definition explicitly implements a mechanism that changes Natural coverage, without requiring another intervention.</x:v>
      </x:c>
      <x:c r="S284" s="14" t="str">
        <x:v>No relevant positive evidence was found in the screened source pages.</x:v>
      </x:c>
      <x:c r="T284" s="14"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285" ht="52" customHeight="1">
      <x:c r="A285" s="14" t="str">
        <x:v>icare_0145</x:v>
      </x:c>
      <x:c r="B285" s="14" t="str">
        <x:v>Strengthen the healthcare system to respond effectively to extreme events</x:v>
      </x:c>
      <x:c r="C285" s="14" t="str">
        <x:v>Health</x:v>
      </x:c>
      <x:c r="D285" s="14" t="str">
        <x:v>American cutaneous leishmaniasis</x:v>
      </x:c>
      <x:c r="E285" s="14" t="str">
        <x:v>Vulnerability</x:v>
      </x:c>
      <x:c r="F285" s="15" t="str"/>
      <x:c r="G285" s="15" t="str"/>
      <x:c r="H285" s="14" t="str">
        <x:v>Direct</x:v>
      </x:c>
      <x:c r="I285" s="14" t="str">
        <x:v>No demonstrated effectiveness</x:v>
      </x:c>
      <x:c r="J285" s="14" t="str">
        <x:v>Multiple sources</x:v>
      </x:c>
      <x:c r="K285" s="14" t="str">
        <x:v>No</x:v>
      </x:c>
      <x:c r="L285" s="14" t="str">
        <x:v>&gt;10 years</x:v>
      </x:c>
      <x:c r="M285" s="14" t="n">
        <x:v>2</x:v>
      </x:c>
      <x:c r="N285" s="14" t="n">
        <x:v>12</x:v>
      </x:c>
      <x:c r="O285" s="14" t="str">
        <x:v>Review directness | Evidence gap</x:v>
      </x:c>
      <x:c r="P285" s="14" t="str">
        <x:v>Basic care coverage</x:v>
      </x:c>
      <x:c r="Q285" s="14" t="str"/>
      <x:c r="R285" s="14" t="str">
        <x:v>Direct — Direct: the action definition explicitly implements a mechanism that changes Basic care coverage, without requiring another intervention.</x:v>
      </x:c>
      <x:c r="S285" s="14" t="str">
        <x:v>Relevant evidence supports the direction of effect but does not demonstrate its effectiveness level.</x:v>
      </x:c>
      <x:c r="T285" s="14"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286" ht="52" customHeight="1">
      <x:c r="A286" s="14" t="str">
        <x:v>icare_0145</x:v>
      </x:c>
      <x:c r="B286" s="14" t="str">
        <x:v>Strengthen the healthcare system to respond effectively to extreme events</x:v>
      </x:c>
      <x:c r="C286" s="14" t="str">
        <x:v>Health</x:v>
      </x:c>
      <x:c r="D286" s="14" t="str">
        <x:v>Arboviruses dengue, zika and chikungunya</x:v>
      </x:c>
      <x:c r="E286" s="14" t="str">
        <x:v>Vulnerability</x:v>
      </x:c>
      <x:c r="F286" s="15" t="str"/>
      <x:c r="G286" s="15" t="str"/>
      <x:c r="H286" s="14" t="str">
        <x:v>Direct</x:v>
      </x:c>
      <x:c r="I286" s="14" t="str">
        <x:v>No demonstrated effectiveness</x:v>
      </x:c>
      <x:c r="J286" s="14" t="str">
        <x:v>Multiple sources</x:v>
      </x:c>
      <x:c r="K286" s="14" t="str">
        <x:v>No</x:v>
      </x:c>
      <x:c r="L286" s="14" t="str">
        <x:v>&gt;10 years</x:v>
      </x:c>
      <x:c r="M286" s="14" t="n">
        <x:v>2</x:v>
      </x:c>
      <x:c r="N286" s="14" t="n">
        <x:v>12</x:v>
      </x:c>
      <x:c r="O286" s="14" t="str">
        <x:v>Review directness | Evidence gap</x:v>
      </x:c>
      <x:c r="P286" s="14" t="str">
        <x:v>Basic care coverage</x:v>
      </x:c>
      <x:c r="Q286" s="14" t="str"/>
      <x:c r="R286" s="14" t="str">
        <x:v>Direct — Direct: the action definition explicitly implements a mechanism that changes Basic care coverage, without requiring another intervention.</x:v>
      </x:c>
      <x:c r="S286" s="14" t="str">
        <x:v>Relevant evidence supports the direction of effect but does not demonstrate its effectiveness level.</x:v>
      </x:c>
      <x:c r="T286" s="14"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287" ht="52" customHeight="1">
      <x:c r="A287" s="14" t="str">
        <x:v>icare_0145</x:v>
      </x:c>
      <x:c r="B287" s="14" t="str">
        <x:v>Strengthen the healthcare system to respond effectively to extreme events</x:v>
      </x:c>
      <x:c r="C287" s="14" t="str">
        <x:v>Health</x:v>
      </x:c>
      <x:c r="D287" s="14" t="str">
        <x:v>Malaria</x:v>
      </x:c>
      <x:c r="E287" s="14" t="str">
        <x:v>Vulnerability</x:v>
      </x:c>
      <x:c r="F287" s="15" t="str"/>
      <x:c r="G287" s="15" t="str"/>
      <x:c r="H287" s="14" t="str">
        <x:v>Direct</x:v>
      </x:c>
      <x:c r="I287" s="14" t="str">
        <x:v>No demonstrated effectiveness</x:v>
      </x:c>
      <x:c r="J287" s="14" t="str">
        <x:v>Multiple sources</x:v>
      </x:c>
      <x:c r="K287" s="14" t="str">
        <x:v>No</x:v>
      </x:c>
      <x:c r="L287" s="14" t="str">
        <x:v>&gt;10 years</x:v>
      </x:c>
      <x:c r="M287" s="14" t="n">
        <x:v>2</x:v>
      </x:c>
      <x:c r="N287" s="14" t="n">
        <x:v>12</x:v>
      </x:c>
      <x:c r="O287" s="14" t="str">
        <x:v>Review directness | Evidence gap</x:v>
      </x:c>
      <x:c r="P287" s="14" t="str">
        <x:v>Basic care coverage | Access to diagnosis and treatment</x:v>
      </x:c>
      <x:c r="Q287" s="14" t="str"/>
      <x:c r="R287" s="14" t="str">
        <x:v>Direct — Direct: the action definition explicitly implements a mechanism that changes Basic care coverage, without requiring another intervention.
Direct — Direct: the action definition explicitly implements a mechanism that changes Access to diagnosis and treatment, without requiring another intervention.</x:v>
      </x:c>
      <x:c r="S287" s="14" t="str">
        <x:v>Relevant evidence supports the direction of effect but does not demonstrate its effectiveness level.</x:v>
      </x:c>
      <x:c r="T287" s="14"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288" ht="52" customHeight="1">
      <x:c r="A288" s="14" t="str">
        <x:v>icare_0145</x:v>
      </x:c>
      <x:c r="B288" s="14" t="str">
        <x:v>Strengthen the healthcare system to respond effectively to extreme events</x:v>
      </x:c>
      <x:c r="C288" s="14" t="str">
        <x:v>Health</x:v>
      </x:c>
      <x:c r="D288" s="14" t="str">
        <x:v>Visceral leishmaniasis</x:v>
      </x:c>
      <x:c r="E288" s="14" t="str">
        <x:v>Vulnerability</x:v>
      </x:c>
      <x:c r="F288" s="15" t="str"/>
      <x:c r="G288" s="15" t="str"/>
      <x:c r="H288" s="14" t="str">
        <x:v>Direct</x:v>
      </x:c>
      <x:c r="I288" s="14" t="str">
        <x:v>No demonstrated effectiveness</x:v>
      </x:c>
      <x:c r="J288" s="14" t="str">
        <x:v>Multiple sources</x:v>
      </x:c>
      <x:c r="K288" s="14" t="str">
        <x:v>No</x:v>
      </x:c>
      <x:c r="L288" s="14" t="str">
        <x:v>&gt;10 years</x:v>
      </x:c>
      <x:c r="M288" s="14" t="n">
        <x:v>2</x:v>
      </x:c>
      <x:c r="N288" s="14" t="n">
        <x:v>12</x:v>
      </x:c>
      <x:c r="O288" s="14" t="str">
        <x:v>Review directness | Evidence gap</x:v>
      </x:c>
      <x:c r="P288" s="14" t="str">
        <x:v>Basic care coverage</x:v>
      </x:c>
      <x:c r="Q288" s="14" t="str"/>
      <x:c r="R288" s="14" t="str">
        <x:v>Direct — Direct: the action definition explicitly implements a mechanism that changes Basic care coverage, without requiring another intervention.</x:v>
      </x:c>
      <x:c r="S288" s="14" t="str">
        <x:v>Relevant evidence supports the direction of effect but does not demonstrate its effectiveness level.</x:v>
      </x:c>
      <x:c r="T288" s="14" t="str">
        <x: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x:v>
      </x:c>
    </x:row>
    <x:row r="289" ht="52" customHeight="1">
      <x:c r="A289" s="14" t="str">
        <x:v>c40_0048</x:v>
      </x:c>
      <x:c r="B289" s="14" t="str">
        <x:v>Upgrade urban drainage systems</x:v>
      </x:c>
      <x:c r="C289" s="14" t="str">
        <x:v>Health</x:v>
      </x:c>
      <x:c r="D289" s="14" t="str">
        <x:v>Arboviruses dengue, zika and chikungunya</x:v>
      </x:c>
      <x:c r="E289" s="14" t="str">
        <x:v>Vulnerability</x:v>
      </x:c>
      <x:c r="F289" s="15" t="str"/>
      <x:c r="G289" s="15" t="str"/>
      <x:c r="H289" s="14" t="str">
        <x:v>Indirect</x:v>
      </x:c>
      <x:c r="I289" s="14" t="str">
        <x:v>Not assessed</x:v>
      </x:c>
      <x:c r="J289" s="14" t="str">
        <x:v>Not assessed</x:v>
      </x:c>
      <x:c r="K289" s="14" t="str">
        <x:v>No</x:v>
      </x:c>
      <x:c r="L289" s="14" t="str">
        <x:v>5-10 years</x:v>
      </x:c>
      <x:c r="M289" s="14" t="n">
        <x:v>0</x:v>
      </x:c>
      <x:c r="N289" s="14" t="n">
        <x:v>0</x:v>
      </x:c>
      <x:c r="O289" s="14" t="str">
        <x:v>Review directness</x:v>
      </x:c>
      <x:c r="P289" s="14" t="str"/>
      <x:c r="Q289" s="14" t="str">
        <x:v>Water supply | Incidence of arboviruses dengue, zika and chikungunya</x:v>
      </x:c>
      <x:c r="R289" s="14" t="str">
        <x:v>Indirect — Indirect: the action can influence Water supply, but the stated mechanism does not directly change this indicator without an additional causal step.
Indirect — Indirect: the action can influence Incidence of arboviruses dengue, zika and chikungunya, but the stated mechanism does not directly change this indicator without an additional causal step.</x:v>
      </x:c>
      <x:c r="S289" s="14" t="str">
        <x:v>Effectiveness is not assessed because this relationship is not Direct.</x:v>
      </x:c>
      <x:c r="T289" s="14" t="str">
        <x:v>"Upgrade urban drainage systems" involves eco-engineering solutions to enhance drainage systems, through capacity upgrade and network expansion. This adaptation measure aims to improve urban resilience by minimizing the impact of extreme weather events such as flooding.</x:v>
      </x:c>
    </x:row>
    <x:row r="290" ht="52" customHeight="1">
      <x:c r="A290" s="14" t="str">
        <x:v>c40_0048</x:v>
      </x:c>
      <x:c r="B290" s="14" t="str">
        <x:v>Upgrade urban drainage systems</x:v>
      </x:c>
      <x:c r="C290" s="14" t="str">
        <x:v>Health</x:v>
      </x:c>
      <x:c r="D290" s="14" t="str">
        <x:v>Malaria</x:v>
      </x:c>
      <x:c r="E290" s="14" t="str">
        <x:v>Vulnerability</x:v>
      </x:c>
      <x:c r="F290" s="15" t="str"/>
      <x:c r="G290" s="15" t="str"/>
      <x:c r="H290" s="14" t="str">
        <x:v>Direct</x:v>
      </x:c>
      <x:c r="I290" s="14" t="str">
        <x:v>No demonstrated effectiveness</x:v>
      </x:c>
      <x:c r="J290" s="14" t="str">
        <x:v>None</x:v>
      </x:c>
      <x:c r="K290" s="14" t="str">
        <x:v>No</x:v>
      </x:c>
      <x:c r="L290" s="14" t="str">
        <x:v>5-10 years</x:v>
      </x:c>
      <x:c r="M290" s="14" t="n">
        <x:v>0</x:v>
      </x:c>
      <x:c r="N290" s="14" t="n">
        <x:v>12</x:v>
      </x:c>
      <x:c r="O290" s="14" t="str">
        <x:v>Review directness | Evidence gap</x:v>
      </x:c>
      <x:c r="P290" s="14" t="str">
        <x:v>No access to adequate sanitation</x:v>
      </x:c>
      <x:c r="Q290" s="14" t="str"/>
      <x:c r="R290" s="14" t="str">
        <x:v>Direct — Direct: the action definition explicitly implements a mechanism that changes No access to adequate sanitation, without requiring another intervention.</x:v>
      </x:c>
      <x:c r="S290" s="14" t="str">
        <x:v>No relevant positive evidence was found in the screened source pages.</x:v>
      </x:c>
      <x:c r="T290" s="14" t="str">
        <x:v>"Upgrade urban drainage systems" involves eco-engineering solutions to enhance drainage systems, through capacity upgrade and network expansion. This adaptation measure aims to improve urban resilience by minimizing the impact of extreme weather events such as flooding.</x:v>
      </x:c>
    </x:row>
    <x:row r="291" ht="52" customHeight="1">
      <x:c r="A291" s="14" t="str">
        <x:v>icare_0170</x:v>
      </x:c>
      <x:c r="B291" s="14" t="str">
        <x:v>Build safe housing and implement urban rehabilitation projects for populations living in high-risk areas</x:v>
      </x:c>
      <x:c r="C291" s="14" t="str">
        <x:v>Water Resources</x:v>
      </x:c>
      <x:c r="D291" s="14" t="str">
        <x:v>Risk of water stress</x:v>
      </x:c>
      <x:c r="E291" s="14" t="str">
        <x:v>Exposure</x:v>
      </x:c>
      <x:c r="F291" s="15" t="str"/>
      <x:c r="G291" s="15" t="str"/>
      <x:c r="H291" s="14" t="str">
        <x:v>Direct</x:v>
      </x:c>
      <x:c r="I291" s="14" t="str">
        <x:v>No demonstrated effectiveness</x:v>
      </x:c>
      <x:c r="J291" s="14" t="str">
        <x:v>None</x:v>
      </x:c>
      <x:c r="K291" s="14" t="str">
        <x:v>No</x:v>
      </x:c>
      <x:c r="L291" s="14" t="str">
        <x:v>&gt;10 years</x:v>
      </x:c>
      <x:c r="M291" s="14" t="n">
        <x:v>0</x:v>
      </x:c>
      <x:c r="N291" s="14" t="n">
        <x:v>13</x:v>
      </x:c>
      <x:c r="O291" s="14" t="str">
        <x:v>Review directness | Evidence gap</x:v>
      </x:c>
      <x:c r="P291" s="14" t="str">
        <x:v>Population density | Urban users exposed | Exposed rural users</x:v>
      </x:c>
      <x:c r="Q291" s="14" t="str"/>
      <x:c r="R291" s="14" t="str">
        <x:v>Direct — Direct: the action definition explicitly implements a mechanism that changes Population density, without requiring another intervention.
Direct — Direct: the action definition explicitly implements a mechanism that changes Urban users exposed, without requiring another intervention.
Direct — Direct: the action definition explicitly implements a mechanism that changes Exposed rural users, without requiring another intervention.</x:v>
      </x:c>
      <x:c r="S291" s="14" t="str">
        <x:v>No relevant positive evidence was found in the screened source pages.</x:v>
      </x:c>
      <x:c r="T291" s="14"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292" ht="52" customHeight="1">
      <x:c r="A292" s="14" t="str">
        <x:v>icare_0170</x:v>
      </x:c>
      <x:c r="B292" s="14" t="str">
        <x:v>Build safe housing and implement urban rehabilitation projects for populations living in high-risk areas</x:v>
      </x:c>
      <x:c r="C292" s="14" t="str">
        <x:v>Water Resources</x:v>
      </x:c>
      <x:c r="D292" s="14" t="str">
        <x:v>Risk of water stress</x:v>
      </x:c>
      <x:c r="E292" s="14" t="str">
        <x:v>Vulnerability</x:v>
      </x:c>
      <x:c r="F292" s="15" t="str"/>
      <x:c r="G292" s="15" t="str"/>
      <x:c r="H292" s="14" t="str">
        <x:v>Indirect</x:v>
      </x:c>
      <x:c r="I292" s="14" t="str">
        <x:v>Not assessed</x:v>
      </x:c>
      <x:c r="J292" s="14" t="str">
        <x:v>Not assessed</x:v>
      </x:c>
      <x:c r="K292" s="14" t="str">
        <x:v>No</x:v>
      </x:c>
      <x:c r="L292" s="14" t="str">
        <x:v>&gt;10 years</x:v>
      </x:c>
      <x:c r="M292" s="14" t="n">
        <x:v>0</x:v>
      </x:c>
      <x:c r="N292" s="14" t="n">
        <x:v>0</x:v>
      </x:c>
      <x:c r="O292" s="14" t="str">
        <x:v>Review directness</x:v>
      </x:c>
      <x:c r="P292" s="14" t="str"/>
      <x:c r="Q292" s="14" t="str">
        <x:v>Diseases due to inadequate sanitation | Water quality | Municipal basic sanitation plan</x:v>
      </x:c>
      <x:c r="R292" s="14" t="str">
        <x:v>Indirect — Indirect: the action can influence Diseases due to inadequate sanitation, but the stated mechanism does not directly change this indicator without an additional causal step.
Indirect — Indirect: the action can influence Water quality, but the stated mechanism does not directly change this indicator without an additional causal step.
Indirect — Indirect: the action can influence Municipal basic sanitation plan, but the stated mechanism does not directly change this indicator without an additional causal step.</x:v>
      </x:c>
      <x:c r="S292" s="14" t="str">
        <x:v>Effectiveness is not assessed because this relationship is not Direct.</x:v>
      </x:c>
      <x:c r="T292" s="14" t="str">
        <x: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x:v>
      </x:c>
    </x:row>
    <x:row r="293" ht="52" customHeight="1">
      <x:c r="A293" s="14" t="str">
        <x:v>icare_0154</x:v>
      </x:c>
      <x:c r="B293" s="14" t="str">
        <x:v>Clean and unclog drainage channels and install eco-barriers</x:v>
      </x:c>
      <x:c r="C293" s="14" t="str">
        <x:v>Water Resources</x:v>
      </x:c>
      <x:c r="D293" s="14" t="str">
        <x:v>Risk of water stress</x:v>
      </x:c>
      <x:c r="E293" s="14" t="str">
        <x:v>Vulnerability</x:v>
      </x:c>
      <x:c r="F293" s="15" t="str"/>
      <x:c r="G293" s="15" t="str"/>
      <x:c r="H293" s="14" t="str">
        <x:v>Direct</x:v>
      </x:c>
      <x:c r="I293" s="14" t="str">
        <x:v>No demonstrated effectiveness</x:v>
      </x:c>
      <x:c r="J293" s="14" t="str">
        <x:v>None</x:v>
      </x:c>
      <x:c r="K293" s="14" t="str">
        <x:v>No</x:v>
      </x:c>
      <x:c r="L293" s="14" t="str">
        <x:v>&lt;5 years</x:v>
      </x:c>
      <x:c r="M293" s="14" t="n">
        <x:v>0</x:v>
      </x:c>
      <x:c r="N293" s="14" t="n">
        <x:v>13</x:v>
      </x:c>
      <x:c r="O293" s="14" t="str">
        <x:v>Review directness | Evidence gap</x:v>
      </x:c>
      <x:c r="P293" s="14" t="str">
        <x:v>Water quality</x:v>
      </x:c>
      <x:c r="Q293" s="14" t="str">
        <x:v>Diseases due to inadequate sanitation</x:v>
      </x:c>
      <x:c r="R293" s="14" t="str">
        <x:v>Indirect — Indirect: the action can influence Diseases due to inadequate sanitation, but the stated mechanism does not directly change this indicator without an additional causal step.
Direct — Direct: the action definition explicitly implements a mechanism that changes Water quality, without requiring another intervention.</x:v>
      </x:c>
      <x:c r="S293" s="14" t="str">
        <x:v>No relevant positive evidence was found in the screened source pages.</x:v>
      </x:c>
      <x:c r="T293" s="14" t="str">
        <x:v>Cleaning and unclogging channels in the city to reduce the risk of flooding caused by extreme rainfall events. Installation of eco-barriers to assist in cleaning efforts and raise awareness about solid waste.</x:v>
      </x:c>
    </x:row>
    <x:row r="294" ht="52" customHeight="1">
      <x:c r="A294" s="14" t="str">
        <x:v>icare_0188</x:v>
      </x:c>
      <x:c r="B294" s="14" t="str">
        <x:v>Create an Environmental Health Surveillance Program related to Populations Exposed to Air Pollution, Noise Pollution, Water Pollution, and Soil Pollution.</x:v>
      </x:c>
      <x:c r="C294" s="14" t="str">
        <x:v>Water Resources</x:v>
      </x:c>
      <x:c r="D294" s="14" t="str">
        <x:v>Risk of water stress</x:v>
      </x:c>
      <x:c r="E294" s="14" t="str">
        <x:v>Vulnerability</x:v>
      </x:c>
      <x:c r="F294" s="15" t="str"/>
      <x:c r="G294" s="15" t="str"/>
      <x:c r="H294" s="14" t="str">
        <x:v>Indirect</x:v>
      </x:c>
      <x:c r="I294" s="14" t="str">
        <x:v>Not assessed</x:v>
      </x:c>
      <x:c r="J294" s="14" t="str">
        <x:v>Not assessed</x:v>
      </x:c>
      <x:c r="K294" s="14" t="str">
        <x:v>No</x:v>
      </x:c>
      <x:c r="L294" s="14" t="str">
        <x:v>5-10 years</x:v>
      </x:c>
      <x:c r="M294" s="14" t="n">
        <x:v>0</x:v>
      </x:c>
      <x:c r="N294" s="14" t="n">
        <x:v>0</x:v>
      </x:c>
      <x:c r="O294" s="14" t="str">
        <x:v>Review directness</x:v>
      </x:c>
      <x:c r="P294" s="14" t="str"/>
      <x:c r="Q294" s="14" t="str">
        <x:v>Diseases due to inadequate sanitation | Water quality</x:v>
      </x:c>
      <x:c r="R294" s="14" t="str">
        <x:v>Indirect — Indirect: the action can influence Diseases due to inadequate sanitation, but the stated mechanism does not directly change this indicator without an additional causal step.
Indirect — Indirect: the action can influence Water quality, but the stated mechanism does not directly change this indicator without an additional causal step.</x:v>
      </x:c>
      <x:c r="S294" s="14" t="str">
        <x:v>Effectiveness is not assessed because this relationship is not Direct.</x:v>
      </x:c>
      <x:c r="T294" s="14" t="str">
        <x: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x:v>
      </x:c>
    </x:row>
    <x:row r="295" ht="52" customHeight="1">
      <x:c r="A295" s="14" t="str">
        <x:v>icare_0176</x:v>
      </x:c>
      <x:c r="B295" s="14" t="str">
        <x:v>Develop a Climate Action Plan</x:v>
      </x:c>
      <x:c r="C295" s="14" t="str">
        <x:v>Water Resources</x:v>
      </x:c>
      <x:c r="D295" s="14" t="str">
        <x:v>Risk of water stress</x:v>
      </x:c>
      <x:c r="E295" s="14" t="str">
        <x:v>Vulnerability</x:v>
      </x:c>
      <x:c r="F295" s="15" t="str"/>
      <x:c r="G295" s="15" t="str"/>
      <x:c r="H295" s="14" t="str">
        <x:v>Indirect</x:v>
      </x:c>
      <x:c r="I295" s="14" t="str">
        <x:v>Not assessed</x:v>
      </x:c>
      <x:c r="J295" s="14" t="str">
        <x:v>Not assessed</x:v>
      </x:c>
      <x:c r="K295" s="14" t="str">
        <x:v>No</x:v>
      </x:c>
      <x:c r="L295" s="14" t="str">
        <x:v>&lt;5 years</x:v>
      </x:c>
      <x:c r="M295" s="14" t="n">
        <x:v>0</x:v>
      </x:c>
      <x:c r="N295" s="14" t="n">
        <x:v>0</x:v>
      </x:c>
      <x:c r="O295" s="14" t="str">
        <x:v>Review directness</x:v>
      </x:c>
      <x:c r="P295" s="14" t="str"/>
      <x:c r="Q295" s="14" t="str">
        <x:v>Investments in adaptation policies | Resilient cities program</x:v>
      </x:c>
      <x:c r="R295" s="14" t="str">
        <x:v>Indirect — Indirect: the action can influence Investments in adaptation policies, but the stated mechanism does not directly change this indicator without an additional causal step.
Indirect — Indirect: the action can influence Resilient cities program, but the stated mechanism does not directly change this indicator without an additional causal step.</x:v>
      </x:c>
      <x:c r="S295" s="14" t="str">
        <x:v>Effectiveness is not assessed because this relationship is not Direct.</x:v>
      </x:c>
      <x:c r="T295" s="14" t="str">
        <x: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x:v>
      </x:c>
    </x:row>
    <x:row r="296" ht="52" customHeight="1">
      <x:c r="A296" s="14" t="str">
        <x:v>icare_0182</x:v>
      </x:c>
      <x:c r="B296" s="14" t="str">
        <x:v>Develop an Urban Afforestation Plan</x:v>
      </x:c>
      <x:c r="C296" s="14" t="str">
        <x:v>Water Resources</x:v>
      </x:c>
      <x:c r="D296" s="14" t="str">
        <x:v>Risk of water stress</x:v>
      </x:c>
      <x:c r="E296" s="14" t="str">
        <x:v>Vulnerability</x:v>
      </x:c>
      <x:c r="F296" s="15" t="str"/>
      <x:c r="G296" s="15" t="str"/>
      <x:c r="H296" s="14" t="str">
        <x:v>Direct</x:v>
      </x:c>
      <x:c r="I296" s="14" t="str">
        <x:v>No demonstrated effectiveness</x:v>
      </x:c>
      <x:c r="J296" s="14" t="str">
        <x:v>None</x:v>
      </x:c>
      <x:c r="K296" s="14" t="str">
        <x:v>No</x:v>
      </x:c>
      <x:c r="L296" s="14" t="str">
        <x:v>5-10 years</x:v>
      </x:c>
      <x:c r="M296" s="14" t="n">
        <x:v>0</x:v>
      </x:c>
      <x:c r="N296" s="14" t="n">
        <x:v>13</x:v>
      </x:c>
      <x:c r="O296" s="14" t="str">
        <x:v>Review directness | Evidence gap</x:v>
      </x:c>
      <x:c r="P296" s="14" t="str">
        <x:v>Water quality | Degraded and/or deforested areas | Areas with soils susceptible to erosion | Ecological flow for ecosystem uses</x:v>
      </x:c>
      <x:c r="Q296" s="14" t="str">
        <x:v>Nature reserve</x:v>
      </x:c>
      <x:c r="R296" s="14" t="str">
        <x:v>Direct — Direct: the action definition explicitly implements a mechanism that changes Water quality, without requiring another intervention.
Direct — Direct: the action definition explicitly implements a mechanism that changes Degraded and/or deforested areas, without requiring another intervention.
Direct — Direct: the action definition explicitly implements a mechanism that changes Areas with soils susceptible to erosion, without requiring another intervention.
Direct — Direct: the action definition explicitly implements a mechanism that changes Ecological flow for ecosystem uses, without requiring another intervention.
Indirect — Indirect: the action can influence Nature reserve, but the stated mechanism does not directly change this indicator without an additional causal step.</x:v>
      </x:c>
      <x:c r="S296" s="14" t="str">
        <x:v>No relevant positive evidence was found in the screened source pages.</x:v>
      </x:c>
      <x:c r="T296" s="14" t="str">
        <x:v>This action focuses on expanding green areas in the city through urban afforestation. This includes planting trees in sidewalks, squares, public buildings, and schools, as well as creating ecological parks to revitalize watercourses and/or restore forests.</x:v>
      </x:c>
    </x:row>
    <x:row r="297" ht="52" customHeight="1">
      <x:c r="A297" s="14" t="str">
        <x:v>icare_0172</x:v>
      </x:c>
      <x:c r="B297" s="14" t="str">
        <x:v>Develop and implement the Municipal Risk Reduction Plan (PMRR) and identify population groups vulnerable to climate risks.</x:v>
      </x:c>
      <x:c r="C297" s="14" t="str">
        <x:v>Water Resources</x:v>
      </x:c>
      <x:c r="D297" s="14" t="str">
        <x:v>Risk of water stress</x:v>
      </x:c>
      <x:c r="E297" s="14" t="str">
        <x:v>Vulnerability</x:v>
      </x:c>
      <x:c r="F297" s="15" t="str"/>
      <x:c r="G297" s="15" t="str"/>
      <x:c r="H297" s="14" t="str">
        <x:v>Indirect</x:v>
      </x:c>
      <x:c r="I297" s="14" t="str">
        <x:v>Not assessed</x:v>
      </x:c>
      <x:c r="J297" s="14" t="str">
        <x:v>Not assessed</x:v>
      </x:c>
      <x:c r="K297" s="14" t="str">
        <x:v>No</x:v>
      </x:c>
      <x:c r="L297" s="14" t="str">
        <x:v>&lt;5 years</x:v>
      </x:c>
      <x:c r="M297" s="14" t="n">
        <x:v>0</x:v>
      </x:c>
      <x:c r="N297" s="14" t="n">
        <x:v>0</x:v>
      </x:c>
      <x:c r="O297" s="14" t="str">
        <x:v>Review directness</x:v>
      </x:c>
      <x:c r="P297" s="14" t="str"/>
      <x:c r="Q297" s="14" t="str">
        <x:v>Drought-related prevention actions | Investments in adaptation policies | Resilient cities program</x:v>
      </x:c>
      <x:c r="R297" s="14" t="str">
        <x:v>Indirect — Indirect: the action can influence Drought-related prevention actions, but the stated mechanism does not directly change this indicator without an additional causal step.
Indirect — Indirect: the action can influence Investments in adaptation policies, but the stated mechanism does not directly change this indicator without an additional causal step.
Indirect — Indirect: the action can influence Resilient cities program, but the stated mechanism does not directly change this indicator without an additional causal step.</x:v>
      </x:c>
      <x:c r="S297" s="14" t="str">
        <x:v>Effectiveness is not assessed because this relationship is not Direct.</x:v>
      </x:c>
      <x:c r="T297" s="14" t="str">
        <x:v>This action aims to strengthen the development of the Municipal Risk Reduction Plan (PMRR) in the municipality, as it is a highly relevant tool for managing climate risks, especially river floods and landslides.</x:v>
      </x:c>
    </x:row>
    <x:row r="298" ht="52" customHeight="1">
      <x:c r="A298" s="14" t="str">
        <x:v>icare_0144</x:v>
      </x:c>
      <x:c r="B298" s="14" t="str">
        <x:v>Establish a financial support program for extreme weather events</x:v>
      </x:c>
      <x:c r="C298" s="14" t="str">
        <x:v>Water Resources</x:v>
      </x:c>
      <x:c r="D298" s="14" t="str">
        <x:v>Risk of water stress</x:v>
      </x:c>
      <x:c r="E298" s="14" t="str">
        <x:v>Vulnerability</x:v>
      </x:c>
      <x:c r="F298" s="15" t="str"/>
      <x:c r="G298" s="15" t="str"/>
      <x:c r="H298" s="14" t="str">
        <x:v>Indirect</x:v>
      </x:c>
      <x:c r="I298" s="14" t="str">
        <x:v>Not assessed</x:v>
      </x:c>
      <x:c r="J298" s="14" t="str">
        <x:v>Not assessed</x:v>
      </x:c>
      <x:c r="K298" s="14" t="str">
        <x:v>No</x:v>
      </x:c>
      <x:c r="L298" s="14" t="str">
        <x:v>&lt;5 years</x:v>
      </x:c>
      <x:c r="M298" s="14" t="n">
        <x:v>0</x:v>
      </x:c>
      <x:c r="N298" s="14" t="n">
        <x:v>0</x:v>
      </x:c>
      <x:c r="O298" s="14" t="str">
        <x:v>Review directness</x:v>
      </x:c>
      <x:c r="P298" s="14" t="str"/>
      <x:c r="Q298" s="14" t="str">
        <x:v>Investments in adaptation policies | Income not affected by water prices | Income greater than two minimum wages</x:v>
      </x:c>
      <x:c r="R298" s="14" t="str">
        <x:v>Indirect — Indirect: the action can influence Investments in adaptation policies, but the stated mechanism does not directly change this indicator without an additional causal step.
Indirect — Indirect: the action can influence Income not affected by water prices, but the stated mechanism does not directly change this indicator without an additional causal step.
Indirect — Indirect: the action can influence Income greater than two minimum wages, but the stated mechanism does not directly change this indicator without an additional causal step.</x:v>
      </x:c>
      <x:c r="S298" s="14" t="str">
        <x:v>Effectiveness is not assessed because this relationship is not Direct.</x:v>
      </x:c>
      <x:c r="T298" s="14" t="str">
        <x: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x:v>
      </x:c>
    </x:row>
    <x:row r="299" ht="52" customHeight="1">
      <x:c r="A299" s="14" t="str">
        <x:v>icare_0163</x:v>
      </x:c>
      <x:c r="B299" s="14" t="str">
        <x:v>Establish a first‑response firefighting brigade</x:v>
      </x:c>
      <x:c r="C299" s="14" t="str">
        <x:v>Water Resources</x:v>
      </x:c>
      <x:c r="D299" s="14" t="str">
        <x:v>Risk of water stress</x:v>
      </x:c>
      <x:c r="E299" s="14" t="str">
        <x:v>Vulnerability</x:v>
      </x:c>
      <x:c r="F299" s="15" t="str"/>
      <x:c r="G299" s="15" t="str"/>
      <x:c r="H299" s="14" t="str">
        <x:v>Direct</x:v>
      </x:c>
      <x:c r="I299" s="14" t="str">
        <x:v>No demonstrated effectiveness</x:v>
      </x:c>
      <x:c r="J299" s="14" t="str">
        <x:v>None</x:v>
      </x:c>
      <x:c r="K299" s="14" t="str">
        <x:v>No</x:v>
      </x:c>
      <x:c r="L299" s="14" t="str">
        <x:v>&lt;5 years</x:v>
      </x:c>
      <x:c r="M299" s="14" t="n">
        <x:v>0</x:v>
      </x:c>
      <x:c r="N299" s="14" t="n">
        <x:v>13</x:v>
      </x:c>
      <x:c r="O299" s="14" t="str">
        <x:v>Review directness | Evidence gap</x:v>
      </x:c>
      <x:c r="P299" s="14" t="str">
        <x:v>Degraded and/or deforested areas</x:v>
      </x:c>
      <x:c r="Q299" s="14" t="str"/>
      <x:c r="R299" s="14" t="str">
        <x:v>Direct — Direct: the action definition explicitly implements a mechanism that changes Degraded and/or deforested areas, without requiring another intervention.</x:v>
      </x:c>
      <x:c r="S299" s="14" t="str">
        <x:v>No relevant positive evidence was found in the screened source pages.</x:v>
      </x:c>
      <x:c r="T299" s="14" t="str">
        <x:v>Creation of a First Response Brigade in rural communities to provide them with training and equipment for fire prevention and firefighting.</x:v>
      </x:c>
    </x:row>
    <x:row r="300" ht="52" customHeight="1">
      <x:c r="A300" s="14" t="str">
        <x:v>icare_0169</x:v>
      </x:c>
      <x:c r="B300" s="14" t="str">
        <x:v>Establish a Plan for Preparation and Emergency Response Measures in the event of extreme weather events</x:v>
      </x:c>
      <x:c r="C300" s="14" t="str">
        <x:v>Water Resources</x:v>
      </x:c>
      <x:c r="D300" s="14" t="str">
        <x:v>Risk of water stress</x:v>
      </x:c>
      <x:c r="E300" s="14" t="str">
        <x:v>Vulnerability</x:v>
      </x:c>
      <x:c r="F300" s="15" t="str"/>
      <x:c r="G300" s="15" t="str"/>
      <x:c r="H300" s="14" t="str">
        <x:v>Direct</x:v>
      </x:c>
      <x:c r="I300" s="14" t="str">
        <x:v>No demonstrated effectiveness</x:v>
      </x:c>
      <x:c r="J300" s="14" t="str">
        <x:v>Single source</x:v>
      </x:c>
      <x:c r="K300" s="14" t="str">
        <x:v>No</x:v>
      </x:c>
      <x:c r="L300" s="14" t="str">
        <x:v>5-10 years</x:v>
      </x:c>
      <x:c r="M300" s="14" t="n">
        <x:v>1</x:v>
      </x:c>
      <x:c r="N300" s="14" t="n">
        <x:v>13</x:v>
      </x:c>
      <x:c r="O300" s="14" t="str">
        <x:v>Review directness | Evidence gap</x:v>
      </x:c>
      <x:c r="P300" s="14" t="str">
        <x:v>Drought-related prevention actions</x:v>
      </x:c>
      <x:c r="Q300" s="14" t="str">
        <x:v>Resilient cities program</x:v>
      </x:c>
      <x:c r="R300" s="14" t="str">
        <x:v>Direct — Direct: the action definition explicitly implements a mechanism that changes Drought-related prevention actions, without requiring another intervention.
Indirect — Indirect: the action can influence Resilient cities program, but the stated mechanism does not directly change this indicator without an additional causal step.</x:v>
      </x:c>
      <x:c r="S300" s="14" t="str">
        <x:v>Relevant evidence supports the direction of effect but does not demonstrate its effectiveness level.</x:v>
      </x:c>
      <x:c r="T300" s="14" t="str">
        <x:v>This action focuses on preparing the municipality to respond to extreme events, aiming to provide a rapid response that minimizes the impacts on the population.</x:v>
      </x:c>
    </x:row>
    <x:row r="301" ht="52" customHeight="1">
      <x:c r="A301" s="14" t="str">
        <x:v>icare_0160</x:v>
      </x:c>
      <x:c r="B301" s="14" t="str">
        <x:v>Establish mechanisms for intersectoral coordination and public participation in climate policy</x:v>
      </x:c>
      <x:c r="C301" s="14" t="str">
        <x:v>Water Resources</x:v>
      </x:c>
      <x:c r="D301" s="14" t="str">
        <x:v>Risk of water stress</x:v>
      </x:c>
      <x:c r="E301" s="14" t="str">
        <x:v>Vulnerability</x:v>
      </x:c>
      <x:c r="F301" s="15" t="str"/>
      <x:c r="G301" s="15" t="str"/>
      <x:c r="H301" s="14" t="str">
        <x:v>Indirect</x:v>
      </x:c>
      <x:c r="I301" s="14" t="str">
        <x:v>Not assessed</x:v>
      </x:c>
      <x:c r="J301" s="14" t="str">
        <x:v>Not assessed</x:v>
      </x:c>
      <x:c r="K301" s="14" t="str">
        <x:v>No</x:v>
      </x:c>
      <x:c r="L301" s="14" t="str">
        <x:v>&lt;5 years</x:v>
      </x:c>
      <x:c r="M301" s="14" t="n">
        <x:v>0</x:v>
      </x:c>
      <x:c r="N301" s="14" t="n">
        <x:v>0</x:v>
      </x:c>
      <x:c r="O301" s="14" t="str">
        <x:v>Review directness</x:v>
      </x:c>
      <x:c r="P301" s="14" t="str"/>
      <x:c r="Q301" s="14" t="str">
        <x:v>Level of activity in basin committees | Investments in adaptation policies | Resilient cities program</x:v>
      </x:c>
      <x:c r="R301" s="14" t="str">
        <x:v>Indirect — Indirect: the action can influence Level of activity in basin committees, but the stated mechanism does not directly change this indicator without an additional causal step.
Indirect — Indirect: the action can influence Investments in adaptation policies, but the stated mechanism does not directly change this indicator without an additional causal step.
Indirect — Indirect: the action can influence Resilient cities program, but the stated mechanism does not directly change this indicator without an additional causal step.</x:v>
      </x:c>
      <x:c r="S301" s="14" t="str">
        <x:v>Effectiveness is not assessed because this relationship is not Direct.</x:v>
      </x:c>
      <x:c r="T301" s="14" t="str">
        <x:v>Establish more mechanisms that enable better intersectoral coordination and public participation in climate policy, including the creation of working groups with neighboring municipalities to discuss a common climate agenda.</x:v>
      </x:c>
    </x:row>
    <x:row r="302" ht="52" customHeight="1">
      <x:c r="A302" s="14" t="str">
        <x:v>ipcc_0090</x:v>
      </x:c>
      <x:c r="B302" s="14" t="str">
        <x:v>Expand climate risk insurance coverage</x:v>
      </x:c>
      <x:c r="C302" s="14" t="str">
        <x:v>Water Resources</x:v>
      </x:c>
      <x:c r="D302" s="14" t="str">
        <x:v>Risk of water stress</x:v>
      </x:c>
      <x:c r="E302" s="14" t="str">
        <x:v>Vulnerability</x:v>
      </x:c>
      <x:c r="F302" s="15" t="str"/>
      <x:c r="G302" s="15" t="str"/>
      <x:c r="H302" s="14" t="str">
        <x:v>Indirect</x:v>
      </x:c>
      <x:c r="I302" s="14" t="str">
        <x:v>Not assessed</x:v>
      </x:c>
      <x:c r="J302" s="14" t="str">
        <x:v>Not assessed</x:v>
      </x:c>
      <x:c r="K302" s="14" t="str">
        <x:v>No</x:v>
      </x:c>
      <x:c r="L302" s="14" t="str">
        <x:v>&lt;5 years</x:v>
      </x:c>
      <x:c r="M302" s="14" t="n">
        <x:v>0</x:v>
      </x:c>
      <x:c r="N302" s="14" t="n">
        <x:v>0</x:v>
      </x:c>
      <x:c r="O302" s="14" t="str">
        <x:v>Review directness</x:v>
      </x:c>
      <x:c r="P302" s="14" t="str"/>
      <x:c r="Q302" s="14" t="str">
        <x:v>Investments in adaptation policies | Agricultural participation in GDP | Industrial participation in GDP | Income not affected by water prices | Income greater than two minimum wages</x:v>
      </x:c>
      <x:c r="R302" s="14" t="str">
        <x:v>Indirect — Indirect: the action can influence Investments in adaptation policies, but the stated mechanism does not directly change this indicator without an additional causal step.
Indirect — Indirect: the action can influence Agricultural participation in GDP, but the stated mechanism does not directly change this indicator without an additional causal step.
Indirect — Indirect: the action can influence Industrial participation in GDP, but the stated mechanism does not directly change this indicator without an additional causal step.
Indirect — Indirect: the action can influence Income not affected by water prices, but the stated mechanism does not directly change this indicator without an additional causal step.
Indirect — Indirect: the action can influence Income greater than two minimum wages, but the stated mechanism does not directly change this indicator without an additional causal step.</x:v>
      </x:c>
      <x:c r="S302" s="14" t="str">
        <x:v>Effectiveness is not assessed because this relationship is not Direct.</x:v>
      </x:c>
      <x:c r="T302" s="14" t="str">
        <x:v>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x:v>
      </x:c>
    </x:row>
    <x:row r="303" ht="52" customHeight="1">
      <x:c r="A303" s="14" t="str">
        <x:v>ipcc_0092</x:v>
      </x:c>
      <x:c r="B303" s="14" t="str">
        <x:v>Expand climate‑responsive social safety nets</x:v>
      </x:c>
      <x:c r="C303" s="14" t="str">
        <x:v>Water Resources</x:v>
      </x:c>
      <x:c r="D303" s="14" t="str">
        <x:v>Risk of water stress</x:v>
      </x:c>
      <x:c r="E303" s="14" t="str">
        <x:v>Vulnerability</x:v>
      </x:c>
      <x:c r="F303" s="15" t="str"/>
      <x:c r="G303" s="15" t="str"/>
      <x:c r="H303" s="14" t="str">
        <x:v>Indirect</x:v>
      </x:c>
      <x:c r="I303" s="14" t="str">
        <x:v>Not assessed</x:v>
      </x:c>
      <x:c r="J303" s="14" t="str">
        <x:v>Not assessed</x:v>
      </x:c>
      <x:c r="K303" s="14" t="str">
        <x:v>No</x:v>
      </x:c>
      <x:c r="L303" s="14" t="str">
        <x:v>5-10 years</x:v>
      </x:c>
      <x:c r="M303" s="14" t="n">
        <x:v>0</x:v>
      </x:c>
      <x:c r="N303" s="14" t="n">
        <x:v>0</x:v>
      </x:c>
      <x:c r="O303" s="14" t="str">
        <x:v>Review directness</x:v>
      </x:c>
      <x:c r="P303" s="14" t="str"/>
      <x:c r="Q303" s="14" t="str">
        <x:v>Income not affected by water prices | Income greater than two minimum wages</x:v>
      </x:c>
      <x:c r="R303" s="14" t="str">
        <x:v>Indirect — Indirect: the action can influence Income not affected by water prices, but the stated mechanism does not directly change this indicator without an additional causal step.
Indirect — Indirect: the action can influence Income greater than two minimum wages, but the stated mechanism does not directly change this indicator without an additional causal step.</x:v>
      </x:c>
      <x:c r="S303" s="14" t="str">
        <x:v>Effectiveness is not assessed because this relationship is not Direct.</x:v>
      </x:c>
      <x:c r="T303" s="14" t="str">
        <x: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x:v>
      </x:c>
    </x:row>
    <x:row r="304" ht="52" customHeight="1">
      <x:c r="A304" s="14" t="str">
        <x:v>icare_0180</x:v>
      </x:c>
      <x:c r="B304" s="14" t="str">
        <x:v>Expand urban green-blue networks and corridors</x:v>
      </x:c>
      <x:c r="C304" s="14" t="str">
        <x:v>Water Resources</x:v>
      </x:c>
      <x:c r="D304" s="14" t="str">
        <x:v>Risk of water stress</x:v>
      </x:c>
      <x:c r="E304" s="14" t="str">
        <x:v>Vulnerability</x:v>
      </x:c>
      <x:c r="F304" s="15" t="str"/>
      <x:c r="G304" s="15" t="str"/>
      <x:c r="H304" s="14" t="str">
        <x:v>Direct</x:v>
      </x:c>
      <x:c r="I304" s="14" t="str">
        <x:v>Medium effectiveness</x:v>
      </x:c>
      <x:c r="J304" s="14" t="str">
        <x:v>Multiple sources</x:v>
      </x:c>
      <x:c r="K304" s="14" t="str">
        <x:v>No</x:v>
      </x:c>
      <x:c r="L304" s="14" t="str">
        <x:v>&lt;5 years</x:v>
      </x:c>
      <x:c r="M304" s="14" t="n">
        <x:v>2</x:v>
      </x:c>
      <x:c r="N304" s="14" t="n">
        <x:v>13</x:v>
      </x:c>
      <x:c r="O304" s="14" t="str">
        <x:v>Review directness</x:v>
      </x:c>
      <x:c r="P304" s="14" t="str">
        <x:v>Water quality | Degraded and/or deforested areas</x:v>
      </x:c>
      <x:c r="Q304" s="14" t="str">
        <x:v>Areas with soils susceptible to erosion | Ecological flow for ecosystem uses | Nature reserve</x:v>
      </x:c>
      <x:c r="R304" s="14" t="str">
        <x:v>Direct — Direct: the action definition explicitly implements a mechanism that changes Water quality, without requiring another intervention.
Direct — Direct: the action definition explicitly implements a mechanism that changes Degraded and/or deforested areas, without requiring another intervention.
Indirect — Indirect: the action can influence Areas with soils susceptible to erosion, but the stated mechanism does not directly change this indicator without an additional causal step.
Indirect — Indirect: the action can influence Ecological flow for ecosystem uses, but the stated mechanism does not directly change this indicator without an additional causal step.
Indirect — Indirect: the action can influence Nature reserve, but the stated mechanism does not directly change this indicator without an additional causal step.</x:v>
      </x:c>
      <x:c r="S304" s="14" t="str">
        <x:v>Relevant evidence demonstrates a moderate, conditional, context-dependent or mixed positive outcome.</x:v>
      </x:c>
      <x:c r="T304" s="14" t="str">
        <x: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x:v>
      </x:c>
    </x:row>
    <x:row r="305" ht="52" customHeight="1">
      <x:c r="A305" s="14" t="str">
        <x:v>ipcc_0102</x:v>
      </x:c>
      <x:c r="B305" s="14" t="str">
        <x:v>Facilitate seasonal and temporary mobility strategies</x:v>
      </x:c>
      <x:c r="C305" s="14" t="str">
        <x:v>Water Resources</x:v>
      </x:c>
      <x:c r="D305" s="14" t="str">
        <x:v>Risk of water stress</x:v>
      </x:c>
      <x:c r="E305" s="14" t="str">
        <x:v>Exposure</x:v>
      </x:c>
      <x:c r="F305" s="15" t="str"/>
      <x:c r="G305" s="15" t="str"/>
      <x:c r="H305" s="14" t="str">
        <x:v>Direct</x:v>
      </x:c>
      <x:c r="I305" s="14" t="str">
        <x:v>No demonstrated effectiveness</x:v>
      </x:c>
      <x:c r="J305" s="14" t="str">
        <x:v>None</x:v>
      </x:c>
      <x:c r="K305" s="14" t="str">
        <x:v>No</x:v>
      </x:c>
      <x:c r="L305" s="14" t="str">
        <x:v>5-10 years</x:v>
      </x:c>
      <x:c r="M305" s="14" t="n">
        <x:v>0</x:v>
      </x:c>
      <x:c r="N305" s="14" t="n">
        <x:v>13</x:v>
      </x:c>
      <x:c r="O305" s="14" t="str">
        <x:v>Review directness | Evidence gap</x:v>
      </x:c>
      <x:c r="P305" s="14" t="str">
        <x:v>Population density | Urban users exposed | Exposed rural users</x:v>
      </x:c>
      <x:c r="Q305" s="14" t="str"/>
      <x:c r="R305" s="14" t="str">
        <x:v>Direct — Direct: the action definition explicitly implements a mechanism that changes Population density, without requiring another intervention.
Direct — Direct: the action definition explicitly implements a mechanism that changes Urban users exposed, without requiring another intervention.
Direct — Direct: the action definition explicitly implements a mechanism that changes Exposed rural users, without requiring another intervention.</x:v>
      </x:c>
      <x:c r="S305" s="14" t="str">
        <x:v>No relevant positive evidence was found in the screened source pages.</x:v>
      </x:c>
      <x:c r="T305" s="14" t="str">
        <x: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x:v>
      </x:c>
    </x:row>
    <x:row r="306" ht="52" customHeight="1">
      <x:c r="A306" s="14" t="str">
        <x:v>ipcc_0086</x:v>
      </x:c>
      <x:c r="B306" s="14" t="str">
        <x:v>Implement ecosystem‑based adaptation measures</x:v>
      </x:c>
      <x:c r="C306" s="14" t="str">
        <x:v>Water Resources</x:v>
      </x:c>
      <x:c r="D306" s="14" t="str">
        <x:v>Risk of water stress</x:v>
      </x:c>
      <x:c r="E306" s="14" t="str">
        <x:v>Vulnerability</x:v>
      </x:c>
      <x:c r="F306" s="15" t="str"/>
      <x:c r="G306" s="15" t="str"/>
      <x:c r="H306" s="14" t="str">
        <x:v>Direct</x:v>
      </x:c>
      <x:c r="I306" s="14" t="str">
        <x:v>Medium effectiveness</x:v>
      </x:c>
      <x:c r="J306" s="14" t="str">
        <x:v>Multiple sources</x:v>
      </x:c>
      <x:c r="K306" s="14" t="str">
        <x:v>No</x:v>
      </x:c>
      <x:c r="L306" s="14" t="str">
        <x:v>5-10 years</x:v>
      </x:c>
      <x:c r="M306" s="14" t="n">
        <x:v>3</x:v>
      </x:c>
      <x:c r="N306" s="14" t="n">
        <x:v>13</x:v>
      </x:c>
      <x:c r="O306" s="14" t="str">
        <x:v>Review directness</x:v>
      </x:c>
      <x:c r="P306" s="14" t="str">
        <x:v>Water quality | Degraded and/or deforested areas | Areas with soils susceptible to erosion | Ecological flow for ecosystem uses</x:v>
      </x:c>
      <x:c r="Q306" s="14" t="str">
        <x:v>Nature reserve</x:v>
      </x:c>
      <x:c r="R306" s="14" t="str">
        <x:v>Direct — Direct: the action definition explicitly implements a mechanism that changes Water quality, without requiring another intervention.
Direct — Direct: the action definition explicitly implements a mechanism that changes Degraded and/or deforested areas, without requiring another intervention.
Direct — Direct: the action definition explicitly implements a mechanism that changes Areas with soils susceptible to erosion, without requiring another intervention.
Direct — Direct: the action definition explicitly implements a mechanism that changes Ecological flow for ecosystem uses, without requiring another intervention.
Indirect — Indirect: the action can influence Nature reserve, but the stated mechanism does not directly change this indicator without an additional causal step.</x:v>
      </x:c>
      <x:c r="S306" s="14" t="str">
        <x:v>Relevant evidence demonstrates a moderate, conditional, context-dependent or mixed positive outcome.</x:v>
      </x:c>
      <x:c r="T306" s="14" t="str">
        <x: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x:v>
      </x:c>
    </x:row>
    <x:row r="307" ht="52" customHeight="1">
      <x:c r="A307" s="14" t="str">
        <x:v>ipcc_0078</x:v>
      </x:c>
      <x:c r="B307" s="14" t="str">
        <x:v>Implement green roofs and walls</x:v>
      </x:c>
      <x:c r="C307" s="14" t="str">
        <x:v>Water Resources</x:v>
      </x:c>
      <x:c r="D307" s="14" t="str">
        <x:v>Risk of water stress</x:v>
      </x:c>
      <x:c r="E307" s="14" t="str">
        <x:v>Vulnerability</x:v>
      </x:c>
      <x:c r="F307" s="15" t="str"/>
      <x:c r="G307" s="15" t="str"/>
      <x:c r="H307" s="14" t="str">
        <x:v>Indirect</x:v>
      </x:c>
      <x:c r="I307" s="14" t="str">
        <x:v>Not assessed</x:v>
      </x:c>
      <x:c r="J307" s="14" t="str">
        <x:v>Not assessed</x:v>
      </x:c>
      <x:c r="K307" s="14" t="str">
        <x:v>No</x:v>
      </x:c>
      <x:c r="L307" s="14" t="str">
        <x:v>5-10 years</x:v>
      </x:c>
      <x:c r="M307" s="14" t="n">
        <x:v>0</x:v>
      </x:c>
      <x:c r="N307" s="14" t="n">
        <x:v>0</x:v>
      </x:c>
      <x:c r="O307" s="14" t="str">
        <x:v>Review directness</x:v>
      </x:c>
      <x:c r="P307" s="14" t="str"/>
      <x:c r="Q307" s="14" t="str">
        <x:v>Water quality | Ecological flow for ecosystem uses | Nature reserve</x:v>
      </x:c>
      <x:c r="R307" s="14" t="str">
        <x:v>Indirect — Indirect: the action can influence Water quality, but the stated mechanism does not directly change this indicator without an additional causal step.
Indirect — Indirect: the action can influence Ecological flow for ecosystem uses, but the stated mechanism does not directly change this indicator without an additional causal step.
Indirect — Indirect: the action can influence Nature reserve, but the stated mechanism does not directly change this indicator without an additional causal step.</x:v>
      </x:c>
      <x:c r="S307" s="14" t="str">
        <x:v>Effectiveness is not assessed because this relationship is not Direct.</x:v>
      </x:c>
      <x:c r="T307" s="14" t="str">
        <x:v>The implementation of green roofs and green walls mitigates urban heat island effects, improves thermal comfort, reduces energy demand in buildings, manages stormwater, and enhances urban livability and biodiversity.</x:v>
      </x:c>
    </x:row>
    <x:row r="308" ht="52" customHeight="1">
      <x:c r="A308" s="14" t="str">
        <x:v>icare_0186</x:v>
      </x:c>
      <x:c r="B308" s="14" t="str">
        <x:v>Implement integrated coastal zone management</x:v>
      </x:c>
      <x:c r="C308" s="14" t="str">
        <x:v>Water Resources</x:v>
      </x:c>
      <x:c r="D308" s="14" t="str">
        <x:v>Risk of water stress</x:v>
      </x:c>
      <x:c r="E308" s="14" t="str">
        <x:v>Vulnerability</x:v>
      </x:c>
      <x:c r="F308" s="15" t="str"/>
      <x:c r="G308" s="15" t="str"/>
      <x:c r="H308" s="14" t="str">
        <x:v>Direct</x:v>
      </x:c>
      <x:c r="I308" s="14" t="str">
        <x:v>No demonstrated effectiveness</x:v>
      </x:c>
      <x:c r="J308" s="14" t="str">
        <x:v>None</x:v>
      </x:c>
      <x:c r="K308" s="14" t="str">
        <x:v>No</x:v>
      </x:c>
      <x:c r="L308" s="14" t="str">
        <x:v>5-10 years</x:v>
      </x:c>
      <x:c r="M308" s="14" t="n">
        <x:v>0</x:v>
      </x:c>
      <x:c r="N308" s="14" t="n">
        <x:v>13</x:v>
      </x:c>
      <x:c r="O308" s="14" t="str">
        <x:v>Review directness | Evidence gap</x:v>
      </x:c>
      <x:c r="P308" s="14" t="str">
        <x:v>Areas with soils susceptible to erosion</x:v>
      </x:c>
      <x:c r="Q308" s="14" t="str">
        <x:v>Water quality | Degraded and/or deforested areas | Ecological flow for ecosystem uses | Nature reserve</x:v>
      </x:c>
      <x:c r="R308" s="14" t="str">
        <x:v>Indirect — Indirect: the action can influence Water quality, but the stated mechanism does not directly change this indicator without an additional causal step.
Indirect — Indirect: the action can influence Degraded and/or deforested areas, but the stated mechanism does not directly change this indicator without an additional causal step.
Direct — Direct: the action definition explicitly implements a mechanism that changes Areas with soils susceptible to erosion, without requiring another intervention.
Indirect — Indirect: the action can influence Ecological flow for ecosystem uses, but the stated mechanism does not directly change this indicator without an additional causal step.
Indirect — Indirect: the action can influence Nature reserve, but the stated mechanism does not directly change this indicator without an additional causal step.</x:v>
      </x:c>
      <x:c r="S308" s="14" t="str">
        <x:v>No relevant positive evidence was found in the screened source pages.</x:v>
      </x:c>
      <x:c r="T308" s="14" t="str">
        <x:v>This action describes the implementation of an integrated coastal zone management plan to promote sustainable development and address the impacts of climate change in coastal areas. It includes measures to mitigate the impacts of sea-level rise and coastal erosion.</x:v>
      </x:c>
    </x:row>
    <x:row r="309" ht="52" customHeight="1">
      <x:c r="A309" s="14" t="str">
        <x:v>icare_0183</x:v>
      </x:c>
      <x:c r="B309" s="14" t="str">
        <x:v>Implement Multi-hazard Early Warning Systems (MH-EWS)</x:v>
      </x:c>
      <x:c r="C309" s="14" t="str">
        <x:v>Water Resources</x:v>
      </x:c>
      <x:c r="D309" s="14" t="str">
        <x:v>Risk of water stress</x:v>
      </x:c>
      <x:c r="E309" s="14" t="str">
        <x:v>Vulnerability</x:v>
      </x:c>
      <x:c r="F309" s="15" t="str"/>
      <x:c r="G309" s="15" t="str"/>
      <x:c r="H309" s="14" t="str">
        <x:v>Indirect</x:v>
      </x:c>
      <x:c r="I309" s="14" t="str">
        <x:v>Not assessed</x:v>
      </x:c>
      <x:c r="J309" s="14" t="str">
        <x:v>Not assessed</x:v>
      </x:c>
      <x:c r="K309" s="14" t="str">
        <x:v>No</x:v>
      </x:c>
      <x:c r="L309" s="14" t="str">
        <x:v>5-10 years</x:v>
      </x:c>
      <x:c r="M309" s="14" t="n">
        <x:v>0</x:v>
      </x:c>
      <x:c r="N309" s="14" t="n">
        <x:v>0</x:v>
      </x:c>
      <x:c r="O309" s="14" t="str">
        <x:v>Review directness</x:v>
      </x:c>
      <x:c r="P309" s="14" t="str"/>
      <x:c r="Q309" s="14" t="str">
        <x:v>Drought-related prevention actions | Resilient cities program</x:v>
      </x:c>
      <x:c r="R309" s="14" t="str">
        <x:v>Indirect — Indirect: the action can influence Drought-related prevention actions, but the stated mechanism does not directly change this indicator without an additional causal step.
Indirect — Indirect: the action can influence Resilient cities program, but the stated mechanism does not directly change this indicator without an additional causal step.</x:v>
      </x:c>
      <x:c r="S309" s="14" t="str">
        <x:v>Effectiveness is not assessed because this relationship is not Direct.</x:v>
      </x:c>
      <x:c r="T309" s="14" t="str">
        <x: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x:v>
      </x:c>
    </x:row>
    <x:row r="310" ht="52" customHeight="1">
      <x:c r="A310" s="14" t="str">
        <x:v>icare_0185</x:v>
      </x:c>
      <x:c r="B310" s="14" t="str">
        <x:v>Improve Creation of An Epidemiological Intelligence Center</x:v>
      </x:c>
      <x:c r="C310" s="14" t="str">
        <x:v>Water Resources</x:v>
      </x:c>
      <x:c r="D310" s="14" t="str">
        <x:v>Risk of water stress</x:v>
      </x:c>
      <x:c r="E310" s="14" t="str">
        <x:v>Vulnerability</x:v>
      </x:c>
      <x:c r="F310" s="15" t="str"/>
      <x:c r="G310" s="15" t="str"/>
      <x:c r="H310" s="14" t="str">
        <x:v>Indirect</x:v>
      </x:c>
      <x:c r="I310" s="14" t="str">
        <x:v>Not assessed</x:v>
      </x:c>
      <x:c r="J310" s="14" t="str">
        <x:v>Not assessed</x:v>
      </x:c>
      <x:c r="K310" s="14" t="str">
        <x:v>No</x:v>
      </x:c>
      <x:c r="L310" s="14" t="str">
        <x:v>5-10 years</x:v>
      </x:c>
      <x:c r="M310" s="14" t="n">
        <x:v>0</x:v>
      </x:c>
      <x:c r="N310" s="14" t="n">
        <x:v>0</x:v>
      </x:c>
      <x:c r="O310" s="14" t="str">
        <x:v>Review directness</x:v>
      </x:c>
      <x:c r="P310" s="14" t="str"/>
      <x:c r="Q310" s="14" t="str">
        <x:v>Diseases due to inadequate sanitation</x:v>
      </x:c>
      <x:c r="R310" s="14" t="str">
        <x:v>Indirect — Indirect: the action can influence Diseases due to inadequate sanitation, but the stated mechanism does not directly change this indicator without an additional causal step.</x:v>
      </x:c>
      <x:c r="S310" s="14" t="str">
        <x:v>Effectiveness is not assessed because this relationship is not Direct.</x:v>
      </x:c>
      <x:c r="T310" s="14" t="str">
        <x: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x:v>
      </x:c>
    </x:row>
    <x:row r="311" ht="52" customHeight="1">
      <x:c r="A311" s="14" t="str">
        <x:v>ipcc_0100</x:v>
      </x:c>
      <x:c r="B311" s="14" t="str">
        <x:v>Improve Efficient water use/demand</x:v>
      </x:c>
      <x:c r="C311" s="14" t="str">
        <x:v>Water Resources</x:v>
      </x:c>
      <x:c r="D311" s="14" t="str">
        <x:v>Risk of water stress</x:v>
      </x:c>
      <x:c r="E311" s="14" t="str">
        <x:v>Vulnerability</x:v>
      </x:c>
      <x:c r="F311" s="15" t="str"/>
      <x:c r="G311" s="15" t="str"/>
      <x:c r="H311" s="14" t="str">
        <x:v>Direct</x:v>
      </x:c>
      <x:c r="I311" s="14" t="str">
        <x:v>Medium effectiveness</x:v>
      </x:c>
      <x:c r="J311" s="14" t="str">
        <x:v>Single source</x:v>
      </x:c>
      <x:c r="K311" s="14" t="str">
        <x:v>No</x:v>
      </x:c>
      <x:c r="L311" s="14" t="str">
        <x:v>5-10 years</x:v>
      </x:c>
      <x:c r="M311" s="14" t="n">
        <x:v>1</x:v>
      </x:c>
      <x:c r="N311" s="14" t="n">
        <x:v>13</x:v>
      </x:c>
      <x:c r="O311" s="14" t="str">
        <x:v>Review directness</x:v>
      </x:c>
      <x:c r="P311" s="14" t="str">
        <x:v>Inefficiency in water distribution | Average per capita water consumption | Water balance for agriculture | Alternatives to water supply | Underground storage potential</x:v>
      </x:c>
      <x:c r="Q311" s="14" t="str">
        <x:v>Water balance for industry</x:v>
      </x:c>
      <x:c r="R311" s="14" t="str">
        <x:v>Direct — Direct: the action definition explicitly implements a mechanism that changes Inefficiency in water distribution, without requiring another intervention.
Direct — Direct: the action definition explicitly implements a mechanism that changes Average per capita water consumption, without requiring another intervention.
Direct — Direct: the action definition explicitly implements a mechanism that changes Water balance for agriculture, without requiring another intervention.
Indirect — Indirect: the action can influence Water balance for industry, but the stated mechanism does not directly change this indicator without an additional causal step.
Direct — Direct: the action definition explicitly implements a mechanism that changes Alternatives to water supply, without requiring another intervention.
Direct — Direct: the action definition explicitly implements a mechanism that changes Underground storage potential, without requiring another intervention.</x:v>
      </x:c>
      <x:c r="S311" s="14" t="str">
        <x:v>Relevant evidence demonstrates a moderate, conditional, context-dependent or mixed positive outcome.</x:v>
      </x:c>
      <x:c r="T311" s="14" t="str">
        <x: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x:v>
      </x:c>
    </x:row>
    <x:row r="312" ht="52" customHeight="1">
      <x:c r="A312" s="14" t="str">
        <x:v>icare_0164</x:v>
      </x:c>
      <x:c r="B312" s="14" t="str">
        <x:v>Improve Hydrological Monitoring System with Telemetry Stations</x:v>
      </x:c>
      <x:c r="C312" s="14" t="str">
        <x:v>Water Resources</x:v>
      </x:c>
      <x:c r="D312" s="14" t="str">
        <x:v>Risk of water stress</x:v>
      </x:c>
      <x:c r="E312" s="14" t="str">
        <x:v>Vulnerability</x:v>
      </x:c>
      <x:c r="F312" s="15" t="str"/>
      <x:c r="G312" s="15" t="str"/>
      <x:c r="H312" s="14" t="str">
        <x:v>Direct</x:v>
      </x:c>
      <x:c r="I312" s="14" t="str">
        <x:v>No demonstrated effectiveness</x:v>
      </x:c>
      <x:c r="J312" s="14" t="str">
        <x:v>Single source</x:v>
      </x:c>
      <x:c r="K312" s="14" t="str">
        <x:v>No</x:v>
      </x:c>
      <x:c r="L312" s="14" t="str">
        <x:v>&lt;5 years</x:v>
      </x:c>
      <x:c r="M312" s="14" t="n">
        <x:v>1</x:v>
      </x:c>
      <x:c r="N312" s="14" t="n">
        <x:v>13</x:v>
      </x:c>
      <x:c r="O312" s="14" t="str">
        <x:v>Review directness | Evidence gap</x:v>
      </x:c>
      <x:c r="P312" s="14" t="str">
        <x:v>Drought-related prevention actions</x:v>
      </x:c>
      <x:c r="Q312" s="14" t="str"/>
      <x:c r="R312" s="14" t="str">
        <x:v>Direct — Direct: the action definition explicitly implements a mechanism that changes Drought-related prevention actions, without requiring another intervention.</x:v>
      </x:c>
      <x:c r="S312" s="14" t="str">
        <x:v>Relevant evidence supports the direction of effect but does not demonstrate its effectiveness level.</x:v>
      </x:c>
      <x:c r="T312" s="14" t="str">
        <x:v>Implementation of a hydrological monitoring system with telemetry stations to monitor rainfall, water levels, and meteorological variables in real-time.</x:v>
      </x:c>
    </x:row>
    <x:row r="313" ht="52" customHeight="1">
      <x:c r="A313" s="14" t="str">
        <x:v>ipcc_0087</x:v>
      </x:c>
      <x:c r="B313" s="14" t="str">
        <x:v>Improve Infrastructure retrofitting</x:v>
      </x:c>
      <x:c r="C313" s="14" t="str">
        <x:v>Water Resources</x:v>
      </x:c>
      <x:c r="D313" s="14" t="str">
        <x:v>Risk of water stress</x:v>
      </x:c>
      <x:c r="E313" s="14" t="str">
        <x:v>Vulnerability</x:v>
      </x:c>
      <x:c r="F313" s="15" t="str"/>
      <x:c r="G313" s="15" t="str"/>
      <x:c r="H313" s="14" t="str">
        <x:v>Indirect</x:v>
      </x:c>
      <x:c r="I313" s="14" t="str">
        <x:v>Not assessed</x:v>
      </x:c>
      <x:c r="J313" s="14" t="str">
        <x:v>Not assessed</x:v>
      </x:c>
      <x:c r="K313" s="14" t="str">
        <x:v>No</x:v>
      </x:c>
      <x:c r="L313" s="14" t="str">
        <x:v>5-10 years</x:v>
      </x:c>
      <x:c r="M313" s="14" t="n">
        <x:v>0</x:v>
      </x:c>
      <x:c r="N313" s="14" t="n">
        <x:v>0</x:v>
      </x:c>
      <x:c r="O313" s="14" t="str">
        <x:v>Review directness</x:v>
      </x:c>
      <x:c r="P313" s="14" t="str"/>
      <x:c r="Q313" s="14" t="str">
        <x:v>Inefficiency in water production | Inefficiency in water distribution | Dam and mining safety</x:v>
      </x:c>
      <x:c r="R313" s="14" t="str">
        <x:v>Indirect — Indirect: the action can influence Inefficiency in water production, but the stated mechanism does not directly change this indicator without an additional causal step.
Indirect — Indirect: the action can influence Inefficiency in water distribution, but the stated mechanism does not directly change this indicator without an additional causal step.
Indirect — Indirect: the action can influence Dam and mining safety, but the stated mechanism does not directly change this indicator without an additional causal step.</x:v>
      </x:c>
      <x:c r="S313" s="14" t="str">
        <x:v>Effectiveness is not assessed because this relationship is not Direct.</x:v>
      </x:c>
      <x:c r="T313" s="14" t="str">
        <x: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x:v>
      </x:c>
    </x:row>
    <x:row r="314" ht="52" customHeight="1">
      <x:c r="A314" s="14" t="str">
        <x:v>icare_0171</x:v>
      </x:c>
      <x:c r="B314" s="14" t="str">
        <x:v>Improve the hydrometeorological forecasting, monitoring, and alert system for climate risks</x:v>
      </x:c>
      <x:c r="C314" s="14" t="str">
        <x:v>Water Resources</x:v>
      </x:c>
      <x:c r="D314" s="14" t="str">
        <x:v>Risk of water stress</x:v>
      </x:c>
      <x:c r="E314" s="14" t="str">
        <x:v>Vulnerability</x:v>
      </x:c>
      <x:c r="F314" s="15" t="str"/>
      <x:c r="G314" s="15" t="str"/>
      <x:c r="H314" s="14" t="str">
        <x:v>Direct</x:v>
      </x:c>
      <x:c r="I314" s="14" t="str">
        <x:v>No demonstrated effectiveness</x:v>
      </x:c>
      <x:c r="J314" s="14" t="str">
        <x:v>Single source</x:v>
      </x:c>
      <x:c r="K314" s="14" t="str">
        <x:v>No</x:v>
      </x:c>
      <x:c r="L314" s="14" t="str">
        <x:v>5-10 years</x:v>
      </x:c>
      <x:c r="M314" s="14" t="n">
        <x:v>1</x:v>
      </x:c>
      <x:c r="N314" s="14" t="n">
        <x:v>13</x:v>
      </x:c>
      <x:c r="O314" s="14" t="str">
        <x:v>Review directness | Evidence gap</x:v>
      </x:c>
      <x:c r="P314" s="14" t="str">
        <x:v>Drought-related prevention actions</x:v>
      </x:c>
      <x:c r="Q314" s="14" t="str">
        <x:v>Resilient cities program</x:v>
      </x:c>
      <x:c r="R314" s="14" t="str">
        <x:v>Direct — Direct: the action definition explicitly implements a mechanism that changes Drought-related prevention actions, without requiring another intervention.
Indirect — Indirect: the action can influence Resilient cities program, but the stated mechanism does not directly change this indicator without an additional causal step.</x:v>
      </x:c>
      <x:c r="S314" s="14" t="str">
        <x:v>Relevant evidence supports the direction of effect but does not demonstrate its effectiveness level.</x:v>
      </x:c>
      <x:c r="T314" s="14" t="str">
        <x:v>This action aims to expand the procedures related to the existing climate risk forecasting, monitoring, and alert system in the municipality.</x:v>
      </x:c>
    </x:row>
    <x:row r="315" ht="52" customHeight="1">
      <x:c r="A315" s="14" t="str">
        <x:v>ipcc_0101</x:v>
      </x:c>
      <x:c r="B315" s="14" t="str">
        <x:v>Improve urban water management</x:v>
      </x:c>
      <x:c r="C315" s="14" t="str">
        <x:v>Water Resources</x:v>
      </x:c>
      <x:c r="D315" s="14" t="str">
        <x:v>Risk of water stress</x:v>
      </x:c>
      <x:c r="E315" s="14" t="str">
        <x:v>Vulnerability</x:v>
      </x:c>
      <x:c r="F315" s="15" t="str"/>
      <x:c r="G315" s="15" t="str"/>
      <x:c r="H315" s="14" t="str">
        <x:v>Direct</x:v>
      </x:c>
      <x:c r="I315" s="14" t="str">
        <x:v>Medium effectiveness</x:v>
      </x:c>
      <x:c r="J315" s="14" t="str">
        <x:v>Multiple sources</x:v>
      </x:c>
      <x:c r="K315" s="14" t="str">
        <x:v>No</x:v>
      </x:c>
      <x:c r="L315" s="14" t="str">
        <x:v>5-10 years</x:v>
      </x:c>
      <x:c r="M315" s="14" t="n">
        <x:v>2</x:v>
      </x:c>
      <x:c r="N315" s="14" t="n">
        <x:v>13</x:v>
      </x:c>
      <x:c r="O315" s="14" t="str">
        <x:v>Review directness</x:v>
      </x:c>
      <x:c r="P315" s="14" t="str">
        <x:v>Inefficiency in water production | Inefficiency in water distribution | Diseases due to inadequate sanitation | Water quality | Alternatives to water supply | Artificial reserve | Underground storage potential</x:v>
      </x:c>
      <x:c r="Q315" s="14" t="str">
        <x:v>Average per capita water consumption | Municipal basic sanitation plan</x:v>
      </x:c>
      <x:c r="R315" s="14" t="str">
        <x:v>Direct — Direct: the action definition explicitly implements a mechanism that changes Inefficiency in water production, without requiring another intervention.
Direct — Direct: the action definition explicitly implements a mechanism that changes Inefficiency in water distribution, without requiring another intervention.
Indirect — Indirect: the action can influence Average per capita water consumption, but the stated mechanism does not directly change this indicator without an additional causal step.
Direct — Direct: the action definition explicitly implements a mechanism that changes Diseases due to inadequate sanitation, without requiring another intervention.
Direct — Direct: the action definition explicitly implements a mechanism that changes Water quality, without requiring another intervention.
Indirect — Indirect: the action can influence Municipal basic sanitation plan, but the stated mechanism does not directly change this indicator without an additional causal step.
Direct — Direct: the action definition explicitly implements a mechanism that changes Alternatives to water supply, without requiring another intervention.
Direct — Direct: the action definition explicitly implements a mechanism that changes Artificial reserve, without requiring another intervention.
Direct — Direct: the action definition explicitly implements a mechanism that changes Underground storage potential, without requiring another intervention.</x:v>
      </x:c>
      <x:c r="S315" s="14" t="str">
        <x:v>Relevant evidence demonstrates a moderate, conditional, context-dependent or mixed positive outcome.</x:v>
      </x:c>
      <x:c r="T315" s="14" t="str">
        <x: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x:v>
      </x:c>
    </x:row>
    <x:row r="316" ht="52" customHeight="1">
      <x:c r="A316" s="14" t="str">
        <x:v>c40_0056</x:v>
      </x:c>
      <x:c r="B316" s="14" t="str">
        <x:v>Improve Watershed Protection and Management</x:v>
      </x:c>
      <x:c r="C316" s="14" t="str">
        <x:v>Water Resources</x:v>
      </x:c>
      <x:c r="D316" s="14" t="str">
        <x:v>Risk of water stress</x:v>
      </x:c>
      <x:c r="E316" s="14" t="str">
        <x:v>Vulnerability</x:v>
      </x:c>
      <x:c r="F316" s="15" t="str"/>
      <x:c r="G316" s="15" t="str"/>
      <x:c r="H316" s="14" t="str">
        <x:v>Direct</x:v>
      </x:c>
      <x:c r="I316" s="14" t="str">
        <x:v>Medium effectiveness</x:v>
      </x:c>
      <x:c r="J316" s="14" t="str">
        <x:v>Multiple sources</x:v>
      </x:c>
      <x:c r="K316" s="14" t="str">
        <x:v>No</x:v>
      </x:c>
      <x:c r="L316" s="14" t="str">
        <x:v>&lt;5 years</x:v>
      </x:c>
      <x:c r="M316" s="14" t="n">
        <x:v>4</x:v>
      </x:c>
      <x:c r="N316" s="14" t="n">
        <x:v>13</x:v>
      </x:c>
      <x:c r="O316" s="14" t="str">
        <x:v>Review directness</x:v>
      </x:c>
      <x:c r="P316" s="14" t="str">
        <x:v>Water quality | Degraded and/or deforested areas | Areas with soils susceptible to erosion | Ecological flow for ecosystem uses</x:v>
      </x:c>
      <x:c r="Q316" s="14" t="str">
        <x:v>Nature reserve</x:v>
      </x:c>
      <x:c r="R316" s="14" t="str">
        <x:v>Direct — Direct: the action definition explicitly implements a mechanism that changes Water quality, without requiring another intervention.
Direct — Direct: the action definition explicitly implements a mechanism that changes Degraded and/or deforested areas, without requiring another intervention.
Direct — Direct: the action definition explicitly implements a mechanism that changes Areas with soils susceptible to erosion, without requiring another intervention.
Direct — Direct: the action definition explicitly implements a mechanism that changes Ecological flow for ecosystem uses, without requiring another intervention.
Indirect — Indirect: the action can influence Nature reserve, but the stated mechanism does not directly change this indicator without an additional causal step.</x:v>
      </x:c>
      <x:c r="S316" s="14" t="str">
        <x:v>Relevant evidence demonstrates a moderate, conditional, context-dependent or mixed positive outcome.</x:v>
      </x:c>
      <x:c r="T316" s="14" t="str">
        <x: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x:v>
      </x:c>
    </x:row>
    <x:row r="317" ht="52" customHeight="1">
      <x:c r="A317" s="14" t="str">
        <x:v>ipcc_0098</x:v>
      </x:c>
      <x:c r="B317" s="14" t="str">
        <x:v>Increase resilience by improving access to food, improving livelihoods and promoting dietary shifts and food waste reduction</x:v>
      </x:c>
      <x:c r="C317" s="14" t="str">
        <x:v>Water Resources</x:v>
      </x:c>
      <x:c r="D317" s="14" t="str">
        <x:v>Risk of water stress</x:v>
      </x:c>
      <x:c r="E317" s="14" t="str">
        <x:v>Vulnerability</x:v>
      </x:c>
      <x:c r="F317" s="15" t="str"/>
      <x:c r="G317" s="15" t="str"/>
      <x:c r="H317" s="14" t="str">
        <x:v>Direct</x:v>
      </x:c>
      <x:c r="I317" s="14" t="str">
        <x:v>No demonstrated effectiveness</x:v>
      </x:c>
      <x:c r="J317" s="14" t="str">
        <x:v>None</x:v>
      </x:c>
      <x:c r="K317" s="14" t="str">
        <x:v>No</x:v>
      </x:c>
      <x:c r="L317" s="14" t="str">
        <x:v>5-10 years</x:v>
      </x:c>
      <x:c r="M317" s="14" t="n">
        <x:v>0</x:v>
      </x:c>
      <x:c r="N317" s="14" t="n">
        <x:v>13</x:v>
      </x:c>
      <x:c r="O317" s="14" t="str">
        <x:v>Review directness | Evidence gap</x:v>
      </x:c>
      <x:c r="P317" s="14" t="str">
        <x:v>Average per capita water consumption | Water balance for agriculture</x:v>
      </x:c>
      <x:c r="Q317" s="14" t="str">
        <x:v>Agricultural participation in GDP | Income not affected by water prices | Income greater than two minimum wages</x:v>
      </x:c>
      <x:c r="R317" s="14" t="str">
        <x:v>Direct — Direct: the action definition explicitly implements a mechanism that changes Average per capita water consumption, without requiring another intervention.
Direct — Direct: the action definition explicitly implements a mechanism that changes Water balance for agriculture, without requiring another intervention.
Indirect — Indirect: the action can influence Agricultural participation in GDP, but the stated mechanism does not directly change this indicator without an additional causal step.
Indirect — Indirect: the action can influence Income not affected by water prices, but the stated mechanism does not directly change this indicator without an additional causal step.
Indirect — Indirect: the action can influence Income greater than two minimum wages, but the stated mechanism does not directly change this indicator without an additional causal step.</x:v>
      </x:c>
      <x:c r="S317" s="14" t="str">
        <x:v>No relevant positive evidence was found in the screened source pages.</x:v>
      </x:c>
      <x:c r="T317" s="14" t="str">
        <x: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x:v>
      </x:c>
    </x:row>
    <x:row r="318" ht="52" customHeight="1">
      <x:c r="A318" s="14" t="str">
        <x:v>ipcc_0099</x:v>
      </x:c>
      <x:c r="B318" s="14" t="str">
        <x:v>Increase Water Capture and Storage</x:v>
      </x:c>
      <x:c r="C318" s="14" t="str">
        <x:v>Water Resources</x:v>
      </x:c>
      <x:c r="D318" s="14" t="str">
        <x:v>Risk of water stress</x:v>
      </x:c>
      <x:c r="E318" s="14" t="str">
        <x:v>Vulnerability</x:v>
      </x:c>
      <x:c r="F318" s="15" t="str"/>
      <x:c r="G318" s="15" t="str"/>
      <x:c r="H318" s="14" t="str">
        <x:v>Direct</x:v>
      </x:c>
      <x:c r="I318" s="14" t="str">
        <x:v>Medium effectiveness</x:v>
      </x:c>
      <x:c r="J318" s="14" t="str">
        <x:v>Multiple sources</x:v>
      </x:c>
      <x:c r="K318" s="14" t="str">
        <x:v>No</x:v>
      </x:c>
      <x:c r="L318" s="14" t="str">
        <x:v>5-10 years</x:v>
      </x:c>
      <x:c r="M318" s="14" t="n">
        <x:v>3</x:v>
      </x:c>
      <x:c r="N318" s="14" t="n">
        <x:v>13</x:v>
      </x:c>
      <x:c r="O318" s="14" t="str">
        <x:v>Review directness</x:v>
      </x:c>
      <x:c r="P318" s="14" t="str">
        <x:v>Alternatives to water supply | Cisterns program: water for consumption | Artificial reserve | Underground storage potential</x:v>
      </x:c>
      <x:c r="Q318" s="14" t="str"/>
      <x:c r="R318" s="14" t="str">
        <x:v>Direct — Direct: the action definition explicitly implements a mechanism that changes Alternatives to water supply, without requiring another intervention.
Direct — Direct: the action definition explicitly implements a mechanism that changes Cisterns program: water for consumption, without requiring another intervention.
Direct — Direct: the action definition explicitly implements a mechanism that changes Artificial reserve, without requiring another intervention.
Direct — Direct: the action definition explicitly implements a mechanism that changes Underground storage potential, without requiring another intervention.</x:v>
      </x:c>
      <x:c r="S318" s="14" t="str">
        <x:v>Relevant evidence demonstrates a moderate, conditional, context-dependent or mixed positive outcome.</x:v>
      </x:c>
      <x:c r="T318" s="14" t="str">
        <x: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x:v>
      </x:c>
    </x:row>
    <x:row r="319" ht="52" customHeight="1">
      <x:c r="A319" s="14" t="str">
        <x:v>ipcc_0104</x:v>
      </x:c>
      <x:c r="B319" s="14" t="str">
        <x:v>Plan and support permanent climate‑related migration</x:v>
      </x:c>
      <x:c r="C319" s="14" t="str">
        <x:v>Water Resources</x:v>
      </x:c>
      <x:c r="D319" s="14" t="str">
        <x:v>Risk of water stress</x:v>
      </x:c>
      <x:c r="E319" s="14" t="str">
        <x:v>Exposure</x:v>
      </x:c>
      <x:c r="F319" s="15" t="str"/>
      <x:c r="G319" s="15" t="str"/>
      <x:c r="H319" s="14" t="str">
        <x:v>Direct</x:v>
      </x:c>
      <x:c r="I319" s="14" t="str">
        <x:v>No demonstrated effectiveness</x:v>
      </x:c>
      <x:c r="J319" s="14" t="str">
        <x:v>None</x:v>
      </x:c>
      <x:c r="K319" s="14" t="str">
        <x:v>Yes</x:v>
      </x:c>
      <x:c r="L319" s="14" t="str">
        <x:v>5-10 years</x:v>
      </x:c>
      <x:c r="M319" s="14" t="n">
        <x:v>1</x:v>
      </x:c>
      <x:c r="N319" s="14" t="n">
        <x:v>13</x:v>
      </x:c>
      <x:c r="O319" s="14" t="str">
        <x:v>Review directness | Evidence gap</x:v>
      </x:c>
      <x:c r="P319" s="14" t="str">
        <x:v>Population density | Urban users exposed | Exposed rural users</x:v>
      </x:c>
      <x:c r="Q319" s="14" t="str"/>
      <x:c r="R319" s="14" t="str">
        <x:v>Direct — Direct: the action definition explicitly implements a mechanism that changes Population density, without requiring another intervention.
Direct — Direct: the action definition explicitly implements a mechanism that changes Urban users exposed, without requiring another intervention.
Direct — Direct: the action definition explicitly implements a mechanism that changes Exposed rural users, without requiring another intervention.</x:v>
      </x:c>
      <x:c r="S319" s="14" t="str">
        <x:v>The available evidence contradicts the expected effect.</x:v>
      </x:c>
      <x:c r="T319" s="14" t="str">
        <x: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x:v>
      </x:c>
    </x:row>
    <x:row r="320" ht="52" customHeight="1">
      <x:c r="A320" s="14" t="str">
        <x:v>ipcc_0083</x:v>
      </x:c>
      <x:c r="B320" s="14" t="str">
        <x:v>Plan strategic coastal retreat for vulnerable communities</x:v>
      </x:c>
      <x:c r="C320" s="14" t="str">
        <x:v>Water Resources</x:v>
      </x:c>
      <x:c r="D320" s="14" t="str">
        <x:v>Risk of water stress</x:v>
      </x:c>
      <x:c r="E320" s="14" t="str">
        <x:v>Exposure</x:v>
      </x:c>
      <x:c r="F320" s="15" t="str"/>
      <x:c r="G320" s="15" t="str"/>
      <x:c r="H320" s="14" t="str">
        <x:v>Direct</x:v>
      </x:c>
      <x:c r="I320" s="14" t="str">
        <x:v>No demonstrated effectiveness</x:v>
      </x:c>
      <x:c r="J320" s="14" t="str">
        <x:v>None</x:v>
      </x:c>
      <x:c r="K320" s="14" t="str">
        <x:v>No</x:v>
      </x:c>
      <x:c r="L320" s="14" t="str">
        <x:v>&gt;10 years</x:v>
      </x:c>
      <x:c r="M320" s="14" t="n">
        <x:v>0</x:v>
      </x:c>
      <x:c r="N320" s="14" t="n">
        <x:v>13</x:v>
      </x:c>
      <x:c r="O320" s="14" t="str">
        <x:v>Review directness | Evidence gap</x:v>
      </x:c>
      <x:c r="P320" s="14" t="str">
        <x:v>Population density | Urban users exposed | Exposed rural users</x:v>
      </x:c>
      <x:c r="Q320" s="14" t="str"/>
      <x:c r="R320" s="14" t="str">
        <x:v>Direct — Direct: the action definition explicitly implements a mechanism that changes Population density, without requiring another intervention.
Direct — Direct: the action definition explicitly implements a mechanism that changes Urban users exposed, without requiring another intervention.
Direct — Direct: the action definition explicitly implements a mechanism that changes Exposed rural users, without requiring another intervention.</x:v>
      </x:c>
      <x:c r="S320" s="14" t="str">
        <x:v>No relevant positive evidence was found in the screened source pages.</x:v>
      </x:c>
      <x:c r="T320" s="14" t="str">
        <x:v>Planned relocation and retreat of people, assets, and activities from coastal hazard zones to reduce exposure and risks caused by sea-level rise and associated coastal hazards.</x:v>
      </x:c>
    </x:row>
    <x:row r="321" ht="52" customHeight="1">
      <x:c r="A321" s="14" t="str">
        <x:v>icare_0173</x:v>
      </x:c>
      <x:c r="B321" s="14" t="str">
        <x:v>Preventive maintenance of drainage systems</x:v>
      </x:c>
      <x:c r="C321" s="14" t="str">
        <x:v>Water Resources</x:v>
      </x:c>
      <x:c r="D321" s="14" t="str">
        <x:v>Risk of water stress</x:v>
      </x:c>
      <x:c r="E321" s="14" t="str">
        <x:v>Vulnerability</x:v>
      </x:c>
      <x:c r="F321" s="15" t="str"/>
      <x:c r="G321" s="15" t="str"/>
      <x:c r="H321" s="14" t="str">
        <x:v>Indirect</x:v>
      </x:c>
      <x:c r="I321" s="14" t="str">
        <x:v>Not assessed</x:v>
      </x:c>
      <x:c r="J321" s="14" t="str">
        <x:v>Not assessed</x:v>
      </x:c>
      <x:c r="K321" s="14" t="str">
        <x:v>No</x:v>
      </x:c>
      <x:c r="L321" s="14" t="str">
        <x:v>5-10 years</x:v>
      </x:c>
      <x:c r="M321" s="14" t="n">
        <x:v>0</x:v>
      </x:c>
      <x:c r="N321" s="14" t="n">
        <x:v>0</x:v>
      </x:c>
      <x:c r="O321" s="14" t="str">
        <x:v>Review directness</x:v>
      </x:c>
      <x:c r="P321" s="14" t="str"/>
      <x:c r="Q321" s="14" t="str">
        <x:v>Diseases due to inadequate sanitation | Water quality | Municipal basic sanitation plan</x:v>
      </x:c>
      <x:c r="R321" s="14" t="str">
        <x:v>Indirect — Indirect: the action can influence Diseases due to inadequate sanitation, but the stated mechanism does not directly change this indicator without an additional causal step.
Indirect — Indirect: the action can influence Water quality, but the stated mechanism does not directly change this indicator without an additional causal step.
Indirect — Indirect: the action can influence Municipal basic sanitation plan, but the stated mechanism does not directly change this indicator without an additional causal step.</x:v>
      </x:c>
      <x:c r="S321" s="14" t="str">
        <x:v>Effectiveness is not assessed because this relationship is not Direct.</x:v>
      </x:c>
      <x:c r="T321" s="14" t="str">
        <x:v>Regular upkeep and cleaning of urban drainage systems, including storm drains, sewers, and retention basins, to ensure efficient water flow and prevent blockages that can lead to flooding during heavy rainfall events.</x:v>
      </x:c>
    </x:row>
    <x:row r="322" ht="52" customHeight="1">
      <x:c r="A322" s="14" t="str">
        <x:v>c40_0053</x:v>
      </x:c>
      <x:c r="B322" s="14" t="str">
        <x:v>Promote water-saving technologies and practices</x:v>
      </x:c>
      <x:c r="C322" s="14" t="str">
        <x:v>Water Resources</x:v>
      </x:c>
      <x:c r="D322" s="14" t="str">
        <x:v>Risk of water stress</x:v>
      </x:c>
      <x:c r="E322" s="14" t="str">
        <x:v>Vulnerability</x:v>
      </x:c>
      <x:c r="F322" s="15" t="str"/>
      <x:c r="G322" s="15" t="str"/>
      <x:c r="H322" s="14" t="str">
        <x:v>Direct</x:v>
      </x:c>
      <x:c r="I322" s="14" t="str">
        <x:v>Medium effectiveness</x:v>
      </x:c>
      <x:c r="J322" s="14" t="str">
        <x:v>Multiple sources</x:v>
      </x:c>
      <x:c r="K322" s="14" t="str">
        <x:v>No</x:v>
      </x:c>
      <x:c r="L322" s="14" t="str">
        <x:v>5-10 years</x:v>
      </x:c>
      <x:c r="M322" s="14" t="n">
        <x:v>2</x:v>
      </x:c>
      <x:c r="N322" s="14" t="n">
        <x:v>13</x:v>
      </x:c>
      <x:c r="O322" s="14" t="str">
        <x:v>Review directness</x:v>
      </x:c>
      <x:c r="P322" s="14" t="str">
        <x:v>Inefficiency in water distribution | Average per capita water consumption</x:v>
      </x:c>
      <x:c r="Q322" s="14" t="str">
        <x:v>Water balance for agriculture | Water balance for industry</x:v>
      </x:c>
      <x:c r="R322" s="14" t="str">
        <x:v>Direct — Direct: the action definition explicitly implements a mechanism that changes Inefficiency in water distribution, without requiring another intervention.
Direct — Direct: the action definition explicitly implements a mechanism that changes Average per capita water consumption, without requiring another intervention.
Indirect — Indirect: the action can influence Water balance for agriculture, but the stated mechanism does not directly change this indicator without an additional causal step.
Indirect — Indirect: the action can influence Water balance for industry, but the stated mechanism does not directly change this indicator without an additional causal step.</x:v>
      </x:c>
      <x:c r="S322" s="14" t="str">
        <x:v>Relevant evidence demonstrates a moderate, conditional, context-dependent or mixed positive outcome.</x:v>
      </x:c>
      <x:c r="T322" s="14" t="str">
        <x: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x:v>
      </x:c>
    </x:row>
    <x:row r="323" ht="52" customHeight="1">
      <x:c r="A323" s="14" t="str">
        <x:v>icare_0178</x:v>
      </x:c>
      <x:c r="B323" s="14" t="str">
        <x:v>Redirect urban development through climate‑risk spatial planning</x:v>
      </x:c>
      <x:c r="C323" s="14" t="str">
        <x:v>Water Resources</x:v>
      </x:c>
      <x:c r="D323" s="14" t="str">
        <x:v>Risk of water stress</x:v>
      </x:c>
      <x:c r="E323" s="14" t="str">
        <x:v>Exposure</x:v>
      </x:c>
      <x:c r="F323" s="15" t="str"/>
      <x:c r="G323" s="15" t="str"/>
      <x:c r="H323" s="14" t="str">
        <x:v>Direct</x:v>
      </x:c>
      <x:c r="I323" s="14" t="str">
        <x:v>No demonstrated effectiveness</x:v>
      </x:c>
      <x:c r="J323" s="14" t="str">
        <x:v>None</x:v>
      </x:c>
      <x:c r="K323" s="14" t="str">
        <x:v>No</x:v>
      </x:c>
      <x:c r="L323" s="14" t="str">
        <x:v>&lt;5 years</x:v>
      </x:c>
      <x:c r="M323" s="14" t="n">
        <x:v>0</x:v>
      </x:c>
      <x:c r="N323" s="14" t="n">
        <x:v>13</x:v>
      </x:c>
      <x:c r="O323" s="14" t="str">
        <x:v>Review directness | Evidence gap</x:v>
      </x:c>
      <x:c r="P323" s="14" t="str">
        <x:v>Population density | Urban users exposed | Exposed rural users</x:v>
      </x:c>
      <x:c r="Q323" s="14" t="str"/>
      <x:c r="R323" s="14" t="str">
        <x:v>Direct — Direct: the action definition explicitly implements a mechanism that changes Population density, without requiring another intervention.
Direct — Direct: the action definition explicitly implements a mechanism that changes Urban users exposed, without requiring another intervention.
Direct — Direct: the action definition explicitly implements a mechanism that changes Exposed rural users, without requiring another intervention.</x:v>
      </x:c>
      <x:c r="S323" s="14" t="str">
        <x:v>No relevant positive evidence was found in the screened source pages.</x:v>
      </x:c>
      <x:c r="T323" s="14" t="str">
        <x:v>Mapping of critical flood-prone areas with the aim of revising and harmonizing legislation related to land use, given the intensification of the impacts of extreme weather events.</x:v>
      </x:c>
    </x:row>
    <x:row r="324" ht="52" customHeight="1">
      <x:c r="A324" s="14" t="str">
        <x:v>icare_0178</x:v>
      </x:c>
      <x:c r="B324" s="14" t="str">
        <x:v>Redirect urban development through climate‑risk spatial planning</x:v>
      </x:c>
      <x:c r="C324" s="14" t="str">
        <x:v>Water Resources</x:v>
      </x:c>
      <x:c r="D324" s="14" t="str">
        <x:v>Risk of water stress</x:v>
      </x:c>
      <x:c r="E324" s="14" t="str">
        <x:v>Vulnerability</x:v>
      </x:c>
      <x:c r="F324" s="15" t="str"/>
      <x:c r="G324" s="15" t="str"/>
      <x:c r="H324" s="14" t="str">
        <x:v>Indirect</x:v>
      </x:c>
      <x:c r="I324" s="14" t="str">
        <x:v>Not assessed</x:v>
      </x:c>
      <x:c r="J324" s="14" t="str">
        <x:v>Not assessed</x:v>
      </x:c>
      <x:c r="K324" s="14" t="str">
        <x:v>No</x:v>
      </x:c>
      <x:c r="L324" s="14" t="str">
        <x:v>&lt;5 years</x:v>
      </x:c>
      <x:c r="M324" s="14" t="n">
        <x:v>0</x:v>
      </x:c>
      <x:c r="N324" s="14" t="n">
        <x:v>0</x:v>
      </x:c>
      <x:c r="O324" s="14" t="str">
        <x:v>Review directness</x:v>
      </x:c>
      <x:c r="P324" s="14" t="str"/>
      <x:c r="Q324" s="14" t="str">
        <x:v>Investments in adaptation policies | Resilient cities program</x:v>
      </x:c>
      <x:c r="R324" s="14" t="str">
        <x:v>Indirect — Indirect: the action can influence Investments in adaptation policies, but the stated mechanism does not directly change this indicator without an additional causal step.
Indirect — Indirect: the action can influence Resilient cities program, but the stated mechanism does not directly change this indicator without an additional causal step.</x:v>
      </x:c>
      <x:c r="S324" s="14" t="str">
        <x:v>Effectiveness is not assessed because this relationship is not Direct.</x:v>
      </x:c>
      <x:c r="T324" s="14" t="str">
        <x:v>Mapping of critical flood-prone areas with the aim of revising and harmonizing legislation related to land use, given the intensification of the impacts of extreme weather events.</x:v>
      </x:c>
    </x:row>
    <x:row r="325" ht="52" customHeight="1">
      <x:c r="A325" s="14" t="str">
        <x:v>ipcc_0085</x:v>
      </x:c>
      <x:c r="B325" s="14" t="str">
        <x:v>Reduce pressures on ecosystems to build resilience</x:v>
      </x:c>
      <x:c r="C325" s="14" t="str">
        <x:v>Water Resources</x:v>
      </x:c>
      <x:c r="D325" s="14" t="str">
        <x:v>Risk of water stress</x:v>
      </x:c>
      <x:c r="E325" s="14" t="str">
        <x:v>Vulnerability</x:v>
      </x:c>
      <x:c r="F325" s="15" t="str"/>
      <x:c r="G325" s="15" t="str"/>
      <x:c r="H325" s="14" t="str">
        <x:v>Direct</x:v>
      </x:c>
      <x:c r="I325" s="14" t="str">
        <x:v>Medium effectiveness</x:v>
      </x:c>
      <x:c r="J325" s="14" t="str">
        <x:v>Multiple sources</x:v>
      </x:c>
      <x:c r="K325" s="14" t="str">
        <x:v>No</x:v>
      </x:c>
      <x:c r="L325" s="14" t="str">
        <x:v>5-10 years</x:v>
      </x:c>
      <x:c r="M325" s="14" t="n">
        <x:v>3</x:v>
      </x:c>
      <x:c r="N325" s="14" t="n">
        <x:v>13</x:v>
      </x:c>
      <x:c r="O325" s="14" t="str">
        <x:v>Review directness</x:v>
      </x:c>
      <x:c r="P325" s="14" t="str">
        <x:v>Water quality | Degraded and/or deforested areas</x:v>
      </x:c>
      <x:c r="Q325" s="14" t="str">
        <x:v>Areas with soils susceptible to erosion | Ecological flow for ecosystem uses | Nature reserve</x:v>
      </x:c>
      <x:c r="R325" s="14" t="str">
        <x:v>Direct — Direct: the action definition explicitly implements a mechanism that changes Water quality, without requiring another intervention.
Direct — Direct: the action definition explicitly implements a mechanism that changes Degraded and/or deforested areas, without requiring another intervention.
Indirect — Indirect: the action can influence Areas with soils susceptible to erosion, but the stated mechanism does not directly change this indicator without an additional causal step.
Indirect — Indirect: the action can influence Ecological flow for ecosystem uses, but the stated mechanism does not directly change this indicator without an additional causal step.
Indirect — Indirect: the action can influence Nature reserve, but the stated mechanism does not directly change this indicator without an additional causal step.</x:v>
      </x:c>
      <x:c r="S325" s="14" t="str">
        <x:v>Relevant evidence demonstrates a moderate, conditional, context-dependent or mixed positive outcome.</x:v>
      </x:c>
      <x:c r="T325" s="14" t="str">
        <x: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x:v>
      </x:c>
    </x:row>
    <x:row r="326" ht="52" customHeight="1">
      <x:c r="A326" s="14" t="str">
        <x:v>c40_0062</x:v>
      </x:c>
      <x:c r="B326" s="14" t="str">
        <x:v>Reform water tariffs to support efficiency and equity</x:v>
      </x:c>
      <x:c r="C326" s="14" t="str">
        <x:v>Water Resources</x:v>
      </x:c>
      <x:c r="D326" s="14" t="str">
        <x:v>Risk of water stress</x:v>
      </x:c>
      <x:c r="E326" s="14" t="str">
        <x:v>Vulnerability</x:v>
      </x:c>
      <x:c r="F326" s="15" t="str"/>
      <x:c r="G326" s="15" t="str"/>
      <x:c r="H326" s="14" t="str">
        <x:v>Direct</x:v>
      </x:c>
      <x:c r="I326" s="14" t="str">
        <x:v>Medium effectiveness</x:v>
      </x:c>
      <x:c r="J326" s="14" t="str">
        <x:v>Single source</x:v>
      </x:c>
      <x:c r="K326" s="14" t="str">
        <x:v>No</x:v>
      </x:c>
      <x:c r="L326" s="14" t="str">
        <x:v>5-10 years</x:v>
      </x:c>
      <x:c r="M326" s="14" t="n">
        <x:v>1</x:v>
      </x:c>
      <x:c r="N326" s="14" t="n">
        <x:v>13</x:v>
      </x:c>
      <x:c r="O326" s="14" t="str">
        <x:v>Review directness</x:v>
      </x:c>
      <x:c r="P326" s="14" t="str">
        <x:v>Average per capita water consumption | Income not affected by water prices</x:v>
      </x:c>
      <x:c r="Q326" s="14" t="str"/>
      <x:c r="R326" s="14" t="str">
        <x:v>Direct — Direct: the action definition explicitly implements a mechanism that changes Average per capita water consumption, without requiring another intervention.
Direct — Direct: the action definition explicitly implements a mechanism that changes Income not affected by water prices, without requiring another intervention.</x:v>
      </x:c>
      <x:c r="S326" s="14" t="str">
        <x:v>Relevant evidence demonstrates a moderate, conditional, context-dependent or mixed positive outcome.</x:v>
      </x:c>
      <x:c r="T326" s="14" t="str">
        <x:v>"Reform water tariffs to support efficiency and equity" involve pricing structures for water use, encouraging conservation and efficient use of water resources. This initiative aims to promote responsible water consumption and contribute to sustainable water management.</x:v>
      </x:c>
    </x:row>
    <x:row r="327" ht="52" customHeight="1">
      <x:c r="A327" s="14" t="str">
        <x:v>icare_0181</x:v>
      </x:c>
      <x:c r="B327" s="14" t="str">
        <x:v>Restore in Vulnerable Areas</x:v>
      </x:c>
      <x:c r="C327" s="14" t="str">
        <x:v>Water Resources</x:v>
      </x:c>
      <x:c r="D327" s="14" t="str">
        <x:v>Risk of water stress</x:v>
      </x:c>
      <x:c r="E327" s="14" t="str">
        <x:v>Exposure</x:v>
      </x:c>
      <x:c r="F327" s="15" t="str"/>
      <x:c r="G327" s="15" t="str"/>
      <x:c r="H327" s="14" t="str">
        <x:v>Direct</x:v>
      </x:c>
      <x:c r="I327" s="14" t="str">
        <x:v>No demonstrated effectiveness</x:v>
      </x:c>
      <x:c r="J327" s="14" t="str">
        <x:v>None</x:v>
      </x:c>
      <x:c r="K327" s="14" t="str">
        <x:v>No</x:v>
      </x:c>
      <x:c r="L327" s="14" t="str">
        <x:v>5-10 years</x:v>
      </x:c>
      <x:c r="M327" s="14" t="n">
        <x:v>0</x:v>
      </x:c>
      <x:c r="N327" s="14" t="n">
        <x:v>13</x:v>
      </x:c>
      <x:c r="O327" s="14" t="str">
        <x:v>Review directness | Evidence gap</x:v>
      </x:c>
      <x:c r="P327" s="14" t="str">
        <x:v>Population density | Urban users exposed | Exposed rural users</x:v>
      </x:c>
      <x:c r="Q327" s="14" t="str"/>
      <x:c r="R327" s="14" t="str">
        <x:v>Direct — Direct: the action definition explicitly implements a mechanism that changes Population density, without requiring another intervention.
Direct — Direct: the action definition explicitly implements a mechanism that changes Urban users exposed, without requiring another intervention.
Direct — Direct: the action definition explicitly implements a mechanism that changes Exposed rural users, without requiring another intervention.</x:v>
      </x:c>
      <x:c r="S327" s="14" t="str">
        <x:v>No relevant positive evidence was found in the screened source pages.</x:v>
      </x:c>
      <x:c r="T327" s="14" t="str">
        <x:v>A comprehensive project addressing the socio-environmental vulnerability of an informal settlement. It includes relocating residents from flood-prone areas, restoring the environment, and providing infrastructure and social services.</x:v>
      </x:c>
    </x:row>
    <x:row r="328" ht="52" customHeight="1">
      <x:c r="A328" s="14" t="str">
        <x:v>icare_0181</x:v>
      </x:c>
      <x:c r="B328" s="14" t="str">
        <x:v>Restore in Vulnerable Areas</x:v>
      </x:c>
      <x:c r="C328" s="14" t="str">
        <x:v>Water Resources</x:v>
      </x:c>
      <x:c r="D328" s="14" t="str">
        <x:v>Risk of water stress</x:v>
      </x:c>
      <x:c r="E328" s="14" t="str">
        <x:v>Vulnerability</x:v>
      </x:c>
      <x:c r="F328" s="15" t="str"/>
      <x:c r="G328" s="15" t="str"/>
      <x:c r="H328" s="14" t="str">
        <x:v>Direct</x:v>
      </x:c>
      <x:c r="I328" s="14" t="str">
        <x:v>Medium effectiveness</x:v>
      </x:c>
      <x:c r="J328" s="14" t="str">
        <x:v>Multiple sources</x:v>
      </x:c>
      <x:c r="K328" s="14" t="str">
        <x:v>No</x:v>
      </x:c>
      <x:c r="L328" s="14" t="str">
        <x:v>5-10 years</x:v>
      </x:c>
      <x:c r="M328" s="14" t="n">
        <x:v>2</x:v>
      </x:c>
      <x:c r="N328" s="14" t="n">
        <x:v>13</x:v>
      </x:c>
      <x:c r="O328" s="14" t="str">
        <x:v>Review directness</x:v>
      </x:c>
      <x:c r="P328" s="14" t="str">
        <x:v>Water quality | Degraded and/or deforested areas</x:v>
      </x:c>
      <x:c r="Q328" s="14" t="str">
        <x:v>Diseases due to inadequate sanitation | Municipal basic sanitation plan</x:v>
      </x:c>
      <x:c r="R328" s="14" t="str">
        <x:v>Indirect — Indirect: the action can influence Diseases due to inadequate sanitation, but the stated mechanism does not directly change this indicator without an additional causal step.
Direct — Direct: the action definition explicitly implements a mechanism that changes Water quality, without requiring another intervention.
Direct — Direct: the action definition explicitly implements a mechanism that changes Degraded and/or deforested areas, without requiring another intervention.
Indirect — Indirect: the action can influence Municipal basic sanitation plan, but the stated mechanism does not directly change this indicator without an additional causal step.</x:v>
      </x:c>
      <x:c r="S328" s="14" t="str">
        <x:v>Relevant evidence demonstrates a moderate, conditional, context-dependent or mixed positive outcome.</x:v>
      </x:c>
      <x:c r="T328" s="14" t="str">
        <x:v>A comprehensive project addressing the socio-environmental vulnerability of an informal settlement. It includes relocating residents from flood-prone areas, restoring the environment, and providing infrastructure and social services.</x:v>
      </x:c>
    </x:row>
    <x:row r="329" ht="52" customHeight="1">
      <x:c r="A329" s="14" t="str">
        <x:v>ipcc_0084</x:v>
      </x:c>
      <x:c r="B329" s="14" t="str">
        <x:v>Restore/create natural areas</x:v>
      </x:c>
      <x:c r="C329" s="14" t="str">
        <x:v>Water Resources</x:v>
      </x:c>
      <x:c r="D329" s="14" t="str">
        <x:v>Risk of water stress</x:v>
      </x:c>
      <x:c r="E329" s="14" t="str">
        <x:v>Vulnerability</x:v>
      </x:c>
      <x:c r="F329" s="15" t="str"/>
      <x:c r="G329" s="15" t="str"/>
      <x:c r="H329" s="14" t="str">
        <x:v>Direct</x:v>
      </x:c>
      <x:c r="I329" s="14" t="str">
        <x:v>Medium effectiveness</x:v>
      </x:c>
      <x:c r="J329" s="14" t="str">
        <x:v>Multiple sources</x:v>
      </x:c>
      <x:c r="K329" s="14" t="str">
        <x:v>No</x:v>
      </x:c>
      <x:c r="L329" s="14" t="str">
        <x:v>5-10 years</x:v>
      </x:c>
      <x:c r="M329" s="14" t="n">
        <x:v>3</x:v>
      </x:c>
      <x:c r="N329" s="14" t="n">
        <x:v>13</x:v>
      </x:c>
      <x:c r="O329" s="14" t="str">
        <x:v>Review directness</x:v>
      </x:c>
      <x:c r="P329" s="14" t="str">
        <x:v>Water quality | Degraded and/or deforested areas | Areas with soils susceptible to erosion | Ecological flow for ecosystem uses | Nature reserve</x:v>
      </x:c>
      <x:c r="Q329" s="14" t="str"/>
      <x:c r="R329" s="14" t="str">
        <x:v>Direct — Direct: the action definition explicitly implements a mechanism that changes Water quality, without requiring another intervention.
Direct — Direct: the action definition explicitly implements a mechanism that changes Degraded and/or deforested areas, without requiring another intervention.
Direct — Direct: the action definition explicitly implements a mechanism that changes Areas with soils susceptible to erosion, without requiring another intervention.
Direct — Direct: the action definition explicitly implements a mechanism that changes Ecological flow for ecosystem uses, without requiring another intervention.
Direct — Direct: the action definition explicitly implements a mechanism that changes Nature reserve, without requiring another intervention.</x:v>
      </x:c>
      <x:c r="S329" s="14" t="str">
        <x:v>Relevant evidence demonstrates a moderate, conditional, context-dependent or mixed positive outcome.</x:v>
      </x:c>
      <x:c r="T329" s="14" t="str">
        <x: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x:v>
      </x:c>
    </x:row>
    <x:row r="330" ht="52" customHeight="1">
      <x:c r="A330" s="14" t="str">
        <x:v>ipcc_0089</x:v>
      </x:c>
      <x:c r="B330" s="14" t="str">
        <x:v>Spatially redirect development</x:v>
      </x:c>
      <x:c r="C330" s="14" t="str">
        <x:v>Water Resources</x:v>
      </x:c>
      <x:c r="D330" s="14" t="str">
        <x:v>Risk of water stress</x:v>
      </x:c>
      <x:c r="E330" s="14" t="str">
        <x:v>Exposure</x:v>
      </x:c>
      <x:c r="F330" s="15" t="str"/>
      <x:c r="G330" s="15" t="str"/>
      <x:c r="H330" s="14" t="str">
        <x:v>Direct</x:v>
      </x:c>
      <x:c r="I330" s="14" t="str">
        <x:v>No demonstrated effectiveness</x:v>
      </x:c>
      <x:c r="J330" s="14" t="str">
        <x:v>None</x:v>
      </x:c>
      <x:c r="K330" s="14" t="str">
        <x:v>No</x:v>
      </x:c>
      <x:c r="L330" s="14" t="str">
        <x:v>5-10 years</x:v>
      </x:c>
      <x:c r="M330" s="14" t="n">
        <x:v>0</x:v>
      </x:c>
      <x:c r="N330" s="14" t="n">
        <x:v>13</x:v>
      </x:c>
      <x:c r="O330" s="14" t="str">
        <x:v>Review directness | Evidence gap</x:v>
      </x:c>
      <x:c r="P330" s="14" t="str">
        <x:v>Population density | Urban users exposed | Exposed rural users</x:v>
      </x:c>
      <x:c r="Q330" s="14" t="str"/>
      <x:c r="R330" s="14" t="str">
        <x:v>Direct — Direct: the action definition explicitly implements a mechanism that changes Population density, without requiring another intervention.
Direct — Direct: the action definition explicitly implements a mechanism that changes Urban users exposed, without requiring another intervention.
Direct — Direct: the action definition explicitly implements a mechanism that changes Exposed rural users, without requiring another intervention.</x:v>
      </x:c>
      <x:c r="S330" s="14" t="str">
        <x:v>No relevant positive evidence was found in the screened source pages.</x:v>
      </x:c>
      <x:c r="T330" s="14"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331" ht="52" customHeight="1">
      <x:c r="A331" s="14" t="str">
        <x:v>ipcc_0089</x:v>
      </x:c>
      <x:c r="B331" s="14" t="str">
        <x:v>Spatially redirect development</x:v>
      </x:c>
      <x:c r="C331" s="14" t="str">
        <x:v>Water Resources</x:v>
      </x:c>
      <x:c r="D331" s="14" t="str">
        <x:v>Risk of water stress</x:v>
      </x:c>
      <x:c r="E331" s="14" t="str">
        <x:v>Vulnerability</x:v>
      </x:c>
      <x:c r="F331" s="15" t="str"/>
      <x:c r="G331" s="15" t="str"/>
      <x:c r="H331" s="14" t="str">
        <x:v>Indirect</x:v>
      </x:c>
      <x:c r="I331" s="14" t="str">
        <x:v>Not assessed</x:v>
      </x:c>
      <x:c r="J331" s="14" t="str">
        <x:v>Not assessed</x:v>
      </x:c>
      <x:c r="K331" s="14" t="str">
        <x:v>No</x:v>
      </x:c>
      <x:c r="L331" s="14" t="str">
        <x:v>5-10 years</x:v>
      </x:c>
      <x:c r="M331" s="14" t="n">
        <x:v>0</x:v>
      </x:c>
      <x:c r="N331" s="14" t="n">
        <x:v>0</x:v>
      </x:c>
      <x:c r="O331" s="14" t="str">
        <x:v>Review directness</x:v>
      </x:c>
      <x:c r="P331" s="14" t="str"/>
      <x:c r="Q331" s="14" t="str">
        <x:v>Investments in adaptation policies | Resilient cities program</x:v>
      </x:c>
      <x:c r="R331" s="14" t="str">
        <x:v>Indirect — Indirect: the action can influence Investments in adaptation policies, but the stated mechanism does not directly change this indicator without an additional causal step.
Indirect — Indirect: the action can influence Resilient cities program, but the stated mechanism does not directly change this indicator without an additional causal step.</x:v>
      </x:c>
      <x:c r="S331" s="14" t="str">
        <x:v>Effectiveness is not assessed because this relationship is not Direct.</x:v>
      </x:c>
      <x:c r="T331" s="14" t="str">
        <x: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x:v>
      </x:c>
    </x:row>
    <x:row r="332" ht="52" customHeight="1">
      <x:c r="A332" s="14" t="str">
        <x:v>ipcc_0096</x:v>
      </x:c>
      <x:c r="B332" s="14" t="str">
        <x:v>Strengthen climate resilience in farming and fisheries</x:v>
      </x:c>
      <x:c r="C332" s="14" t="str">
        <x:v>Water Resources</x:v>
      </x:c>
      <x:c r="D332" s="14" t="str">
        <x:v>Risk of water stress</x:v>
      </x:c>
      <x:c r="E332" s="14" t="str">
        <x:v>Vulnerability</x:v>
      </x:c>
      <x:c r="F332" s="15" t="str"/>
      <x:c r="G332" s="15" t="str"/>
      <x:c r="H332" s="14" t="str">
        <x:v>Direct</x:v>
      </x:c>
      <x:c r="I332" s="14" t="str">
        <x:v>No demonstrated effectiveness</x:v>
      </x:c>
      <x:c r="J332" s="14" t="str">
        <x:v>Single source</x:v>
      </x:c>
      <x:c r="K332" s="14" t="str">
        <x:v>No</x:v>
      </x:c>
      <x:c r="L332" s="14" t="str">
        <x:v>5-10 years</x:v>
      </x:c>
      <x:c r="M332" s="14" t="n">
        <x:v>1</x:v>
      </x:c>
      <x:c r="N332" s="14" t="n">
        <x:v>13</x:v>
      </x:c>
      <x:c r="O332" s="14" t="str">
        <x:v>Review directness | Evidence gap</x:v>
      </x:c>
      <x:c r="P332" s="14" t="str">
        <x:v>Water balance for agriculture | Drought-related prevention actions</x:v>
      </x:c>
      <x:c r="Q332" s="14" t="str"/>
      <x:c r="R332" s="14" t="str">
        <x:v>Direct — Direct: the action definition explicitly implements a mechanism that changes Water balance for agriculture, without requiring another intervention.
Direct — Direct: the action definition explicitly implements a mechanism that changes Drought-related prevention actions, without requiring another intervention.</x:v>
      </x:c>
      <x:c r="S332" s="14" t="str">
        <x:v>Relevant evidence supports the direction of effect but does not demonstrate its effectiveness level.</x:v>
      </x:c>
      <x:c r="T332" s="14" t="str">
        <x: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x:v>
      </x:c>
    </x:row>
    <x:row r="333" ht="52" customHeight="1">
      <x:c r="A333" s="14" t="str">
        <x:v>ipcc_0094</x:v>
      </x:c>
      <x:c r="B333" s="14" t="str">
        <x:v>Strengthen climate‑resilient health services</x:v>
      </x:c>
      <x:c r="C333" s="14" t="str">
        <x:v>Water Resources</x:v>
      </x:c>
      <x:c r="D333" s="14" t="str">
        <x:v>Risk of water stress</x:v>
      </x:c>
      <x:c r="E333" s="14" t="str">
        <x:v>Vulnerability</x:v>
      </x:c>
      <x:c r="F333" s="15" t="str"/>
      <x:c r="G333" s="15" t="str"/>
      <x:c r="H333" s="14" t="str">
        <x:v>Direct</x:v>
      </x:c>
      <x:c r="I333" s="14" t="str">
        <x:v>No demonstrated effectiveness</x:v>
      </x:c>
      <x:c r="J333" s="14" t="str">
        <x:v>None</x:v>
      </x:c>
      <x:c r="K333" s="14" t="str">
        <x:v>No</x:v>
      </x:c>
      <x:c r="L333" s="14" t="str">
        <x:v>5-10 years</x:v>
      </x:c>
      <x:c r="M333" s="14" t="n">
        <x:v>0</x:v>
      </x:c>
      <x:c r="N333" s="14" t="n">
        <x:v>13</x:v>
      </x:c>
      <x:c r="O333" s="14" t="str">
        <x:v>Review directness | Evidence gap</x:v>
      </x:c>
      <x:c r="P333" s="14" t="str">
        <x:v>Diseases due to inadequate sanitation</x:v>
      </x:c>
      <x:c r="Q333" s="14" t="str"/>
      <x:c r="R333" s="14" t="str">
        <x:v>Direct — Direct: the action definition explicitly implements a mechanism that changes Diseases due to inadequate sanitation, without requiring another intervention.</x:v>
      </x:c>
      <x:c r="S333" s="14" t="str">
        <x:v>No relevant positive evidence was found in the screened source pages.</x:v>
      </x:c>
      <x:c r="T333" s="14" t="str">
        <x: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x:v>
      </x:c>
    </x:row>
    <x:row r="334" ht="52" customHeight="1">
      <x:c r="A334" s="14" t="str">
        <x:v>ipcc_0103</x:v>
      </x:c>
      <x:c r="B334" s="14" t="str">
        <x:v>Strengthen cooperative climate governance</x:v>
      </x:c>
      <x:c r="C334" s="14" t="str">
        <x:v>Water Resources</x:v>
      </x:c>
      <x:c r="D334" s="14" t="str">
        <x:v>Risk of water stress</x:v>
      </x:c>
      <x:c r="E334" s="14" t="str">
        <x:v>Vulnerability</x:v>
      </x:c>
      <x:c r="F334" s="15" t="str"/>
      <x:c r="G334" s="15" t="str"/>
      <x:c r="H334" s="14" t="str">
        <x:v>Direct</x:v>
      </x:c>
      <x:c r="I334" s="14" t="str">
        <x:v>Medium effectiveness</x:v>
      </x:c>
      <x:c r="J334" s="14" t="str">
        <x:v>Single source</x:v>
      </x:c>
      <x:c r="K334" s="14" t="str">
        <x:v>No</x:v>
      </x:c>
      <x:c r="L334" s="14" t="str">
        <x:v>5-10 years</x:v>
      </x:c>
      <x:c r="M334" s="14" t="n">
        <x:v>1</x:v>
      </x:c>
      <x:c r="N334" s="14" t="n">
        <x:v>13</x:v>
      </x:c>
      <x:c r="O334" s="14" t="str">
        <x:v>Review directness</x:v>
      </x:c>
      <x:c r="P334" s="14" t="str">
        <x:v>Level of activity in basin committees | Drought-related prevention actions</x:v>
      </x:c>
      <x:c r="Q334" s="14" t="str">
        <x:v>Investments in water resources | Investments in adaptation policies | Resilient cities program</x:v>
      </x:c>
      <x:c r="R334" s="14" t="str">
        <x:v>Direct — Direct: the action definition explicitly implements a mechanism that changes Level of activity in basin committees, without requiring another intervention.
Direct — Direct: the action definition explicitly implements a mechanism that changes Drought-related prevention actions, without requiring another intervention.
Indirect — Indirect: the action can influence Investments in water resources, but the stated mechanism does not directly change this indicator without an additional causal step.
Indirect — Indirect: the action can influence Investments in adaptation policies, but the stated mechanism does not directly change this indicator without an additional causal step.
Indirect — Indirect: the action can influence Resilient cities program, but the stated mechanism does not directly change this indicator without an additional causal step.</x:v>
      </x:c>
      <x:c r="S334" s="14" t="str">
        <x:v>Relevant evidence demonstrates a moderate, conditional, context-dependent or mixed positive outcome.</x:v>
      </x:c>
      <x:c r="T334" s="14" t="str">
        <x: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x:v>
      </x:c>
    </x:row>
    <x:row r="335" ht="52" customHeight="1">
      <x:c r="A335" s="14" t="str">
        <x:v>icare_0162</x:v>
      </x:c>
      <x:c r="B335" s="14" t="str">
        <x:v>Strengthen programs for control and conservation of protected areas</x:v>
      </x:c>
      <x:c r="C335" s="14" t="str">
        <x:v>Water Resources</x:v>
      </x:c>
      <x:c r="D335" s="14" t="str">
        <x:v>Risk of water stress</x:v>
      </x:c>
      <x:c r="E335" s="14" t="str">
        <x:v>Vulnerability</x:v>
      </x:c>
      <x:c r="F335" s="15" t="str"/>
      <x:c r="G335" s="15" t="str"/>
      <x:c r="H335" s="14" t="str">
        <x:v>Direct</x:v>
      </x:c>
      <x:c r="I335" s="14" t="str">
        <x:v>No demonstrated effectiveness</x:v>
      </x:c>
      <x:c r="J335" s="14" t="str">
        <x:v>Single source</x:v>
      </x:c>
      <x:c r="K335" s="14" t="str">
        <x:v>No</x:v>
      </x:c>
      <x:c r="L335" s="14" t="str">
        <x:v>5-10 years</x:v>
      </x:c>
      <x:c r="M335" s="14" t="n">
        <x:v>1</x:v>
      </x:c>
      <x:c r="N335" s="14" t="n">
        <x:v>13</x:v>
      </x:c>
      <x:c r="O335" s="14" t="str">
        <x:v>Review directness | Evidence gap</x:v>
      </x:c>
      <x:c r="P335" s="14" t="str">
        <x:v>Degraded and/or deforested areas | Nature reserve</x:v>
      </x:c>
      <x:c r="Q335" s="14" t="str">
        <x:v>Ecological flow for ecosystem uses</x:v>
      </x:c>
      <x:c r="R335" s="14" t="str">
        <x:v>Direct — Direct: the action definition explicitly implements a mechanism that changes Degraded and/or deforested areas, without requiring another intervention.
Indirect — Indirect: the action can influence Ecological flow for ecosystem uses, but the stated mechanism does not directly change this indicator without an additional causal step.
Direct — Direct: the action definition explicitly implements a mechanism that changes Nature reserve, without requiring another intervention.</x:v>
      </x:c>
      <x:c r="S335" s="14" t="str">
        <x:v>Relevant evidence supports the direction of effect but does not demonstrate its effectiveness level.</x:v>
      </x:c>
      <x:c r="T335" s="14" t="str">
        <x: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x:v>
      </x:c>
    </x:row>
    <x:row r="336" ht="52" customHeight="1">
      <x:c r="A336" s="14" t="str">
        <x:v>ipcc_0091</x:v>
      </x:c>
      <x:c r="B336" s="14" t="str">
        <x:v>Support livelihood diversification for climate resilience</x:v>
      </x:c>
      <x:c r="C336" s="14" t="str">
        <x:v>Water Resources</x:v>
      </x:c>
      <x:c r="D336" s="14" t="str">
        <x:v>Risk of water stress</x:v>
      </x:c>
      <x:c r="E336" s="14" t="str">
        <x:v>Vulnerability</x:v>
      </x:c>
      <x:c r="F336" s="15" t="str"/>
      <x:c r="G336" s="15" t="str"/>
      <x:c r="H336" s="14" t="str">
        <x:v>Indirect</x:v>
      </x:c>
      <x:c r="I336" s="14" t="str">
        <x:v>Not assessed</x:v>
      </x:c>
      <x:c r="J336" s="14" t="str">
        <x:v>Not assessed</x:v>
      </x:c>
      <x:c r="K336" s="14" t="str">
        <x:v>No</x:v>
      </x:c>
      <x:c r="L336" s="14" t="str">
        <x:v>&lt;5 years</x:v>
      </x:c>
      <x:c r="M336" s="14" t="n">
        <x:v>0</x:v>
      </x:c>
      <x:c r="N336" s="14" t="n">
        <x:v>0</x:v>
      </x:c>
      <x:c r="O336" s="14" t="str">
        <x:v>Review directness</x:v>
      </x:c>
      <x:c r="P336" s="14" t="str"/>
      <x:c r="Q336" s="14" t="str">
        <x:v>Agricultural participation in GDP | Industrial participation in GDP | Income not affected by water prices | Income greater than two minimum wages</x:v>
      </x:c>
      <x:c r="R336" s="14" t="str">
        <x:v>Indirect — Indirect: the action can influence Agricultural participation in GDP, but the stated mechanism does not directly change this indicator without an additional causal step.
Indirect — Indirect: the action can influence Industrial participation in GDP, but the stated mechanism does not directly change this indicator without an additional causal step.
Indirect — Indirect: the action can influence Income not affected by water prices, but the stated mechanism does not directly change this indicator without an additional causal step.
Indirect — Indirect: the action can influence Income greater than two minimum wages, but the stated mechanism does not directly change this indicator without an additional causal step.</x:v>
      </x:c>
      <x:c r="S336" s="14" t="str">
        <x:v>Effectiveness is not assessed because this relationship is not Direct.</x:v>
      </x:c>
      <x:c r="T336" s="14" t="str">
        <x: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x:v>
      </x:c>
    </x:row>
    <x:row r="337" ht="52" customHeight="1">
      <x:c r="A337" s="14" t="str">
        <x:v>ipcc_0088</x:v>
      </x:c>
      <x:c r="B337" s="14" t="str">
        <x:v>Update and enforce climate‑resilient building codes</x:v>
      </x:c>
      <x:c r="C337" s="14" t="str">
        <x:v>Water Resources</x:v>
      </x:c>
      <x:c r="D337" s="14" t="str">
        <x:v>Risk of water stress</x:v>
      </x:c>
      <x:c r="E337" s="14" t="str">
        <x:v>Vulnerability</x:v>
      </x:c>
      <x:c r="F337" s="15" t="str"/>
      <x:c r="G337" s="15" t="str"/>
      <x:c r="H337" s="14" t="str">
        <x:v>Indirect</x:v>
      </x:c>
      <x:c r="I337" s="14" t="str">
        <x:v>Not assessed</x:v>
      </x:c>
      <x:c r="J337" s="14" t="str">
        <x:v>Not assessed</x:v>
      </x:c>
      <x:c r="K337" s="14" t="str">
        <x:v>No</x:v>
      </x:c>
      <x:c r="L337" s="14" t="str">
        <x:v>5-10 years</x:v>
      </x:c>
      <x:c r="M337" s="14" t="n">
        <x:v>0</x:v>
      </x:c>
      <x:c r="N337" s="14" t="n">
        <x:v>0</x:v>
      </x:c>
      <x:c r="O337" s="14" t="str">
        <x:v>Review directness</x:v>
      </x:c>
      <x:c r="P337" s="14" t="str"/>
      <x:c r="Q337" s="14" t="str">
        <x:v>Dam and mining safety | Municipal basic sanitation plan | Investments in adaptation policies | Resilient cities program</x:v>
      </x:c>
      <x:c r="R337" s="14" t="str">
        <x:v>Indirect — Indirect: the action can influence Dam and mining safety, but the stated mechanism does not directly change this indicator without an additional causal step.
Indirect — Indirect: the action can influence Municipal basic sanitation plan, but the stated mechanism does not directly change this indicator without an additional causal step.
Indirect — Indirect: the action can influence Investments in adaptation policies, but the stated mechanism does not directly change this indicator without an additional causal step.
Indirect — Indirect: the action can influence Resilient cities program, but the stated mechanism does not directly change this indicator without an additional causal step.</x:v>
      </x:c>
      <x:c r="S337" s="14" t="str">
        <x:v>Effectiveness is not assessed because this relationship is not Direct.</x:v>
      </x:c>
      <x:c r="T337" s="14" t="str">
        <x: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x:v>
      </x:c>
    </x:row>
    <x:row r="338" ht="52" customHeight="1">
      <x:c r="A338" s="14" t="str">
        <x:v>icare_0184</x:v>
      </x:c>
      <x:c r="B338" s="14" t="str">
        <x:v>Upgrade Slope stabilization and drainage</x:v>
      </x:c>
      <x:c r="C338" s="14" t="str">
        <x:v>Water Resources</x:v>
      </x:c>
      <x:c r="D338" s="14" t="str">
        <x:v>Risk of water stress</x:v>
      </x:c>
      <x:c r="E338" s="14" t="str">
        <x:v>Vulnerability</x:v>
      </x:c>
      <x:c r="F338" s="15" t="str"/>
      <x:c r="G338" s="15" t="str"/>
      <x:c r="H338" s="14" t="str">
        <x:v>Direct</x:v>
      </x:c>
      <x:c r="I338" s="14" t="str">
        <x:v>No demonstrated effectiveness</x:v>
      </x:c>
      <x:c r="J338" s="14" t="str">
        <x:v>None</x:v>
      </x:c>
      <x:c r="K338" s="14" t="str">
        <x:v>No</x:v>
      </x:c>
      <x:c r="L338" s="14" t="str">
        <x:v>5-10 years</x:v>
      </x:c>
      <x:c r="M338" s="14" t="n">
        <x:v>0</x:v>
      </x:c>
      <x:c r="N338" s="14" t="n">
        <x:v>13</x:v>
      </x:c>
      <x:c r="O338" s="14" t="str">
        <x:v>Review directness | Evidence gap</x:v>
      </x:c>
      <x:c r="P338" s="14" t="str">
        <x:v>Areas with soils susceptible to erosion</x:v>
      </x:c>
      <x:c r="Q338" s="14" t="str">
        <x:v>Water quality | Municipal basic sanitation plan</x:v>
      </x:c>
      <x:c r="R338" s="14" t="str">
        <x:v>Indirect — Indirect: the action can influence Water quality, but the stated mechanism does not directly change this indicator without an additional causal step.
Direct — Direct: the action definition explicitly implements a mechanism that changes Areas with soils susceptible to erosion, without requiring another intervention.
Indirect — Indirect: the action can influence Municipal basic sanitation plan, but the stated mechanism does not directly change this indicator without an additional causal step.</x:v>
      </x:c>
      <x:c r="S338" s="14" t="str">
        <x:v>No relevant positive evidence was found in the screened source pages.</x:v>
      </x:c>
      <x:c r="T338" s="14" t="str">
        <x:v>This action involves stabilizing slopes and maintaining or restoring drainage systems in hillside areas. This helps to prevent landslides and erosion, reducing the risk of disasters.</x:v>
      </x:c>
    </x:row>
    <x:row r="339" ht="52" customHeight="1">
      <x:c r="A339" s="14" t="str">
        <x:v>c40_0048</x:v>
      </x:c>
      <x:c r="B339" s="14" t="str">
        <x:v>Upgrade urban drainage systems</x:v>
      </x:c>
      <x:c r="C339" s="14" t="str">
        <x:v>Water Resources</x:v>
      </x:c>
      <x:c r="D339" s="14" t="str">
        <x:v>Risk of water stress</x:v>
      </x:c>
      <x:c r="E339" s="14" t="str">
        <x:v>Vulnerability</x:v>
      </x:c>
      <x:c r="F339" s="15" t="str"/>
      <x:c r="G339" s="15" t="str"/>
      <x:c r="H339" s="14" t="str">
        <x:v>Indirect</x:v>
      </x:c>
      <x:c r="I339" s="14" t="str">
        <x:v>Not assessed</x:v>
      </x:c>
      <x:c r="J339" s="14" t="str">
        <x:v>Not assessed</x:v>
      </x:c>
      <x:c r="K339" s="14" t="str">
        <x:v>No</x:v>
      </x:c>
      <x:c r="L339" s="14" t="str">
        <x:v>5-10 years</x:v>
      </x:c>
      <x:c r="M339" s="14" t="n">
        <x:v>0</x:v>
      </x:c>
      <x:c r="N339" s="14" t="n">
        <x:v>0</x:v>
      </x:c>
      <x:c r="O339" s="14" t="str">
        <x:v>Review directness</x:v>
      </x:c>
      <x:c r="P339" s="14" t="str"/>
      <x:c r="Q339" s="14" t="str">
        <x:v>Diseases due to inadequate sanitation | Water quality</x:v>
      </x:c>
      <x:c r="R339" s="14" t="str">
        <x:v>Indirect — Indirect: the action can influence Diseases due to inadequate sanitation, but the stated mechanism does not directly change this indicator without an additional causal step.
Indirect — Indirect: the action can influence Water quality, but the stated mechanism does not directly change this indicator without an additional causal step.</x:v>
      </x:c>
      <x:c r="S339" s="14" t="str">
        <x:v>Effectiveness is not assessed because this relationship is not Direct.</x:v>
      </x:c>
      <x:c r="T339" s="14" t="str">
        <x:v>"Upgrade urban drainage systems" involves eco-engineering solutions to enhance drainage systems, through capacity upgrade and network expansion. This adaptation measure aims to improve urban resilience by minimizing the impact of extreme weather events such as flooding.</x:v>
      </x:c>
    </x:row>
  </x:sheetData>
  <x:mergeCells>
    <x:mergeCell ref="A1:T1"/>
    <x:mergeCell ref="A2:T2"/>
  </x:mergeCells>
  <x:conditionalFormatting sqref="I5:I339">
    <x:cfRule type="containsText" dxfId="0" priority="1" operator="containsText" text="High effectiveness"/>
    <x:cfRule type="containsText" dxfId="2" priority="2" operator="containsText" text="Medium effectiveness"/>
    <x:cfRule type="containsText" dxfId="4" priority="3" operator="containsText" text="Low effectiveness"/>
    <x:cfRule type="containsText" dxfId="6" priority="4" operator="containsText" text="No demonstrated effectiveness"/>
  </x:conditionalFormatting>
  <x:conditionalFormatting sqref="O5:O339">
    <x:cfRule type="containsText" dxfId="8" priority="5" operator="containsText" text="Evidence gap"/>
  </x:conditionalFormatting>
  <x:dataValidations count="1">
    <x:dataValidation type="list" sqref="F5:F339">
      <x:formula1>"Accept,Needs change,Discuss"</x:formula1>
    </x:dataValidation>
  </x:dataValidations>
  <x:pageMargins left="0.7" right="0.7" top="0.75" bottom="0.75" header="0.3" footer="0.3"/>
  <x:tableParts count="1">
    <x:tablePart xmlns:r="http://schemas.openxmlformats.org/officeDocument/2006/relationships" r:id="R29c361b4c89a46b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22" hidden="0" customWidth="1"/>
    <x:col min="4" max="4" width="26" hidden="0" customWidth="1"/>
    <x:col min="5" max="5" width="17" hidden="0" customWidth="1"/>
    <x:col min="6" max="6" width="17" hidden="0" customWidth="1"/>
    <x:col min="7" max="7" width="30" hidden="0" customWidth="1"/>
    <x:col min="8" max="8" width="45" hidden="0" customWidth="1"/>
    <x:col min="9" max="9" width="48" hidden="0" customWidth="1"/>
    <x:col min="10" max="10" width="10" hidden="0" customWidth="1"/>
    <x:col min="11" max="11" width="11" hidden="0" customWidth="1"/>
    <x:col min="12" max="12" width="16" hidden="0" customWidth="1"/>
    <x:col min="13" max="13" width="36" hidden="0" customWidth="1"/>
    <x:col min="14" max="14" width="13" hidden="0" customWidth="1"/>
    <x:col min="15" max="15" width="16" hidden="0" customWidth="1"/>
    <x:col min="16" max="16" width="16" hidden="0" customWidth="1"/>
    <x:col min="17" max="17" width="40" hidden="0" customWidth="1"/>
    <x:col min="18" max="18" width="78" hidden="0" customWidth="1"/>
    <x:col min="19" max="19" width="28" hidden="0" customWidth="1"/>
    <x:col min="20" max="20" width="25" hidden="0" customWidth="1"/>
  </x:cols>
  <x:sheetData>
    <x:row r="1" ht="28" customHeight="1">
      <x:c r="A1" s="3" t="str">
        <x:v>Evidence review</x:v>
      </x:c>
      <x:c r="B1" s="3"/>
      <x:c r="C1" s="3"/>
      <x:c r="D1" s="3"/>
      <x:c r="E1" s="3"/>
      <x:c r="F1" s="3"/>
      <x:c r="G1" s="3"/>
      <x:c r="H1" s="3"/>
      <x:c r="I1" s="3"/>
      <x:c r="J1" s="3"/>
      <x:c r="K1" s="3"/>
      <x:c r="L1" s="3"/>
      <x:c r="M1" s="3"/>
      <x:c r="N1" s="3"/>
      <x:c r="O1" s="3"/>
      <x:c r="P1" s="3"/>
      <x:c r="Q1" s="3"/>
      <x:c r="R1" s="3"/>
      <x:c r="S1" s="3"/>
      <x:c r="T1" s="3"/>
    </x:row>
    <x:row r="2" ht="36" customHeight="1">
      <x:c r="A2" s="7" t="str">
        <x:v>One row per retained page-located evidence quote for a Direct assessment. Review the exact context, outcome signal and proposed component effectiveness.</x:v>
      </x:c>
      <x:c r="B2" s="7"/>
      <x:c r="C2" s="7"/>
      <x:c r="D2" s="7"/>
      <x:c r="E2" s="7"/>
      <x:c r="F2" s="7"/>
      <x:c r="G2" s="7"/>
      <x:c r="H2" s="7"/>
      <x:c r="I2" s="7"/>
      <x:c r="J2" s="7"/>
      <x:c r="K2" s="7"/>
      <x:c r="L2" s="7"/>
      <x:c r="M2" s="7"/>
      <x:c r="N2" s="7"/>
      <x:c r="O2" s="7"/>
      <x:c r="P2" s="7"/>
      <x:c r="Q2" s="7"/>
      <x:c r="R2" s="7"/>
      <x:c r="S2" s="7"/>
      <x:c r="T2" s="7"/>
    </x:row>
    <x:row r="4" ht="34" customHeight="1">
      <x:c r="A4" s="11" t="str">
        <x:v>Action ID</x:v>
      </x:c>
      <x:c r="B4" s="11" t="str">
        <x:v>Action</x:v>
      </x:c>
      <x:c r="C4" s="11" t="str">
        <x:v>Sector</x:v>
      </x:c>
      <x:c r="D4" s="11" t="str">
        <x:v>Risk</x:v>
      </x:c>
      <x:c r="E4" s="11" t="str">
        <x:v>Component</x:v>
      </x:c>
      <x:c r="F4" s="11" t="str">
        <x:v>ICare decision</x:v>
      </x:c>
      <x:c r="G4" s="11" t="str">
        <x:v>ICare feedback</x:v>
      </x:c>
      <x:c r="H4" s="11" t="str">
        <x:v>Evidence source</x:v>
      </x:c>
      <x:c r="I4" s="11" t="str">
        <x:v>Source URL</x:v>
      </x:c>
      <x:c r="J4" s="11" t="str">
        <x:v>PDF page</x:v>
      </x:c>
      <x:c r="K4" s="11" t="str">
        <x:v>Printed page</x:v>
      </x:c>
      <x:c r="L4" s="11" t="str">
        <x:v>Grounding</x:v>
      </x:c>
      <x:c r="M4" s="11" t="str">
        <x:v>Grounding note</x:v>
      </x:c>
      <x:c r="N4" s="11" t="str">
        <x:v>Direction</x:v>
      </x:c>
      <x:c r="O4" s="11" t="str">
        <x:v>Coverage scope</x:v>
      </x:c>
      <x:c r="P4" s="11" t="str">
        <x:v>Maladaptation signal</x:v>
      </x:c>
      <x:c r="Q4" s="11" t="str">
        <x:v>Indicators addressed</x:v>
      </x:c>
      <x:c r="R4" s="11" t="str">
        <x:v>Evidence quote</x:v>
      </x:c>
      <x:c r="S4" s="11" t="str">
        <x:v>Outcome signal</x:v>
      </x:c>
      <x:c r="T4" s="11" t="str">
        <x:v>Proposed effectiveness</x:v>
      </x:c>
    </x:row>
    <x:row r="5" ht="76" customHeight="1">
      <x:c r="A5" s="14" t="str">
        <x:v>icare_0182</x:v>
      </x:c>
      <x:c r="B5" s="14" t="str">
        <x:v>Develop an Urban Afforestation Plan</x:v>
      </x:c>
      <x:c r="C5" s="14" t="str">
        <x:v>Biodiversity</x:v>
      </x:c>
      <x:c r="D5" s="14" t="str">
        <x:v>Biome integrity</x:v>
      </x:c>
      <x:c r="E5" s="14" t="str">
        <x:v>Exposure</x:v>
      </x:c>
      <x:c r="F5" s="15" t="str"/>
      <x:c r="G5" s="15" t="str"/>
      <x:c r="H5" s="14" t="str">
        <x:v>Climate Change 2022: Impacts, Adaptation and Vulnerability - Chapter 2: Terrestrial and Freshwater Ecosystems and their Services</x:v>
      </x:c>
      <x:c r="I5" s="14" t="str">
        <x:v>https://www.ipcc.ch/report/ar6/wg2/downloads/report/IPCC_AR6_WGII_Chapter02.pdf</x:v>
      </x:c>
      <x:c r="J5" s="14" t="n">
        <x:v>7</x:v>
      </x:c>
      <x:c r="K5" s="14" t="str">
        <x:v>203</x:v>
      </x:c>
      <x:c r="L5" s="14" t="str">
        <x:v>Verified ordered</x:v>
      </x:c>
      <x:c r="M5" s="14" t="str">
        <x:v>Ordered token coverage on the cited PDF page is 100.0%.</x:v>
      </x:c>
      <x:c r="N5" s="14" t="str">
        <x:v>Supports</x:v>
      </x:c>
      <x:c r="O5" s="14" t="str">
        <x:v>Whole action</x:v>
      </x:c>
      <x:c r="P5" s="14" t="str">
        <x:v>No</x:v>
      </x:c>
      <x:c r="Q5" s="14" t="str">
        <x:v>Natural coverage | Area for conservation</x:v>
      </x:c>
      <x:c r="R5" s="14"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S5" s="14" t="str">
        <x:v>Strength not demonstrated</x:v>
      </x:c>
      <x:c r="T5" s="14" t="str">
        <x:v>No demonstrated effectiveness</x:v>
      </x:c>
    </x:row>
    <x:row r="6" ht="76" customHeight="1">
      <x:c r="A6" s="14" t="str">
        <x:v>icare_0182</x:v>
      </x:c>
      <x:c r="B6" s="14" t="str">
        <x:v>Develop an Urban Afforestation Plan</x:v>
      </x:c>
      <x:c r="C6" s="14" t="str">
        <x:v>Biodiversity</x:v>
      </x:c>
      <x:c r="D6" s="14" t="str">
        <x:v>Biome integrity</x:v>
      </x:c>
      <x:c r="E6" s="14" t="str">
        <x:v>Vulnerability</x:v>
      </x:c>
      <x:c r="F6" s="15" t="str"/>
      <x:c r="G6" s="15" t="str"/>
      <x:c r="H6" s="14" t="str">
        <x:v>Climate Change 2022: Impacts, Adaptation and Vulnerability - Chapter 2: Terrestrial and Freshwater Ecosystems and their Services</x:v>
      </x:c>
      <x:c r="I6" s="14" t="str">
        <x:v>https://www.ipcc.ch/report/ar6/wg2/downloads/report/IPCC_AR6_WGII_Chapter02.pdf</x:v>
      </x:c>
      <x:c r="J6" s="14" t="n">
        <x:v>7</x:v>
      </x:c>
      <x:c r="K6" s="14" t="str">
        <x:v>203</x:v>
      </x:c>
      <x:c r="L6" s="14" t="str">
        <x:v>Verified ordered</x:v>
      </x:c>
      <x:c r="M6" s="14" t="str">
        <x:v>Ordered token coverage on the cited PDF page is 100.0%.</x:v>
      </x:c>
      <x:c r="N6" s="14" t="str">
        <x:v>Supports</x:v>
      </x:c>
      <x:c r="O6" s="14" t="str">
        <x:v>Whole action</x:v>
      </x:c>
      <x:c r="P6" s="14" t="str">
        <x:v>No</x:v>
      </x:c>
      <x:c r="Q6" s="14" t="str">
        <x:v>Vegetation loss</x:v>
      </x:c>
      <x:c r="R6" s="14"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S6" s="14" t="str">
        <x:v>Strength not demonstrated</x:v>
      </x:c>
      <x:c r="T6" s="14" t="str">
        <x:v>No demonstrated effectiveness</x:v>
      </x:c>
    </x:row>
    <x:row r="7" ht="76" customHeight="1">
      <x:c r="A7" s="14" t="str">
        <x:v>icare_0182</x:v>
      </x:c>
      <x:c r="B7" s="14" t="str">
        <x:v>Develop an Urban Afforestation Plan</x:v>
      </x:c>
      <x:c r="C7" s="14" t="str">
        <x:v>Biodiversity</x:v>
      </x:c>
      <x:c r="D7" s="14" t="str">
        <x:v>Biome integrity</x:v>
      </x:c>
      <x:c r="E7" s="14" t="str">
        <x:v>Exposure</x:v>
      </x:c>
      <x:c r="F7" s="15" t="str"/>
      <x:c r="G7" s="15" t="str"/>
      <x:c r="H7" s="14" t="str">
        <x:v>Harnessing Nature to Build Climate Resilience: Scaling Up the Use of Ecosystem-based Adaptation</x:v>
      </x:c>
      <x:c r="I7" s="14" t="str">
        <x:v>https://globalebafund.org/wp-content/uploads/2022/07/Harnessing-nature-for-climate-resilience-Full-Report-V7-Web.pdf</x:v>
      </x:c>
      <x:c r="J7" s="14" t="n">
        <x:v>10</x:v>
      </x:c>
      <x:c r="K7" s="14" t="str">
        <x:v>8</x:v>
      </x:c>
      <x:c r="L7" s="14" t="str">
        <x:v>Verified ordered</x:v>
      </x:c>
      <x:c r="M7" s="14" t="str">
        <x:v>Ordered token coverage on the cited PDF page is 100.0%.</x:v>
      </x:c>
      <x:c r="N7" s="14" t="str">
        <x:v>Supports</x:v>
      </x:c>
      <x:c r="O7" s="14" t="str">
        <x:v>Part of action</x:v>
      </x:c>
      <x:c r="P7" s="14" t="str">
        <x:v>No</x:v>
      </x:c>
      <x:c r="Q7" s="14" t="str">
        <x:v>Natural coverage | Area for conservation</x:v>
      </x:c>
      <x:c r="R7" s="14"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S7" s="14" t="str">
        <x:v>Strength not demonstrated</x:v>
      </x:c>
      <x:c r="T7" s="14" t="str">
        <x:v>No demonstrated effectiveness</x:v>
      </x:c>
    </x:row>
    <x:row r="8" ht="76" customHeight="1">
      <x:c r="A8" s="14" t="str">
        <x:v>icare_0180</x:v>
      </x:c>
      <x:c r="B8" s="14" t="str">
        <x:v>Expand urban green-blue networks and corridors</x:v>
      </x:c>
      <x:c r="C8" s="14" t="str">
        <x:v>Biodiversity</x:v>
      </x:c>
      <x:c r="D8" s="14" t="str">
        <x:v>Biome integrity</x:v>
      </x:c>
      <x:c r="E8" s="14" t="str">
        <x:v>Exposure</x:v>
      </x:c>
      <x:c r="F8" s="15" t="str"/>
      <x:c r="G8" s="15" t="str"/>
      <x:c r="H8" s="14" t="str">
        <x:v>Climate Change 2022: Impacts, Adaptation and Vulnerability - Chapter 2: Terrestrial and Freshwater Ecosystems and their Services</x:v>
      </x:c>
      <x:c r="I8" s="14" t="str">
        <x:v>https://www.ipcc.ch/report/ar6/wg2/downloads/report/IPCC_AR6_WGII_Chapter02.pdf</x:v>
      </x:c>
      <x:c r="J8" s="14" t="n">
        <x:v>7</x:v>
      </x:c>
      <x:c r="K8" s="14" t="str">
        <x:v>203</x:v>
      </x:c>
      <x:c r="L8" s="14" t="str">
        <x:v>Verified ordered</x:v>
      </x:c>
      <x:c r="M8" s="14" t="str">
        <x:v>Ordered token coverage on the cited PDF page is 100.0%.</x:v>
      </x:c>
      <x:c r="N8" s="14" t="str">
        <x:v>Supports</x:v>
      </x:c>
      <x:c r="O8" s="14" t="str">
        <x:v>Whole action</x:v>
      </x:c>
      <x:c r="P8" s="14" t="str">
        <x:v>No</x:v>
      </x:c>
      <x:c r="Q8" s="14" t="str">
        <x:v>Natural coverage</x:v>
      </x:c>
      <x:c r="R8" s="14"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S8" s="14" t="str">
        <x:v>Strength not demonstrated</x:v>
      </x:c>
      <x:c r="T8" s="14" t="str">
        <x:v>No demonstrated effectiveness</x:v>
      </x:c>
    </x:row>
    <x:row r="9" ht="76" customHeight="1">
      <x:c r="A9" s="14" t="str">
        <x:v>icare_0180</x:v>
      </x:c>
      <x:c r="B9" s="14" t="str">
        <x:v>Expand urban green-blue networks and corridors</x:v>
      </x:c>
      <x:c r="C9" s="14" t="str">
        <x:v>Biodiversity</x:v>
      </x:c>
      <x:c r="D9" s="14" t="str">
        <x:v>Biome integrity</x:v>
      </x:c>
      <x:c r="E9" s="14" t="str">
        <x:v>Exposure</x:v>
      </x:c>
      <x:c r="F9" s="15" t="str"/>
      <x:c r="G9" s="15" t="str"/>
      <x:c r="H9" s="14" t="str">
        <x:v>Harnessing Nature to Build Climate Resilience: Scaling Up the Use of Ecosystem-based Adaptation</x:v>
      </x:c>
      <x:c r="I9" s="14" t="str">
        <x:v>https://globalebafund.org/wp-content/uploads/2022/07/Harnessing-nature-for-climate-resilience-Full-Report-V7-Web.pdf</x:v>
      </x:c>
      <x:c r="J9" s="14" t="n">
        <x:v>10</x:v>
      </x:c>
      <x:c r="K9" s="14" t="str">
        <x:v>8</x:v>
      </x:c>
      <x:c r="L9" s="14" t="str">
        <x:v>Verified ordered</x:v>
      </x:c>
      <x:c r="M9" s="14" t="str">
        <x:v>Ordered token coverage on the cited PDF page is 100.0%.</x:v>
      </x:c>
      <x:c r="N9" s="14" t="str">
        <x:v>Supports</x:v>
      </x:c>
      <x:c r="O9" s="14" t="str">
        <x:v>Part of action</x:v>
      </x:c>
      <x:c r="P9" s="14" t="str">
        <x:v>No</x:v>
      </x:c>
      <x:c r="Q9" s="14" t="str">
        <x:v>Natural coverage</x:v>
      </x:c>
      <x:c r="R9" s="14"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S9" s="14" t="str">
        <x:v>Strength not demonstrated</x:v>
      </x:c>
      <x:c r="T9" s="14" t="str">
        <x:v>No demonstrated effectiveness</x:v>
      </x:c>
    </x:row>
    <x:row r="10" ht="76" customHeight="1">
      <x:c r="A10" s="14" t="str">
        <x:v>ipcc_0086</x:v>
      </x:c>
      <x:c r="B10" s="14" t="str">
        <x:v>Implement ecosystem‑based adaptation measures</x:v>
      </x:c>
      <x:c r="C10" s="14" t="str">
        <x:v>Biodiversity</x:v>
      </x:c>
      <x:c r="D10" s="14" t="str">
        <x:v>Biome integrity</x:v>
      </x:c>
      <x:c r="E10" s="14" t="str">
        <x:v>Exposure</x:v>
      </x:c>
      <x:c r="F10" s="15" t="str"/>
      <x:c r="G10" s="15" t="str"/>
      <x:c r="H10" s="14" t="str">
        <x:v>Climate Change 2022: Impacts, Adaptation and Vulnerability - Chapter 2: Terrestrial and Freshwater Ecosystems and their Services</x:v>
      </x:c>
      <x:c r="I10" s="14" t="str">
        <x:v>https://www.ipcc.ch/report/ar6/wg2/downloads/report/IPCC_AR6_WGII_Chapter02.pdf</x:v>
      </x:c>
      <x:c r="J10" s="14" t="n">
        <x:v>7</x:v>
      </x:c>
      <x:c r="K10" s="14" t="str">
        <x:v>203</x:v>
      </x:c>
      <x:c r="L10" s="14" t="str">
        <x:v>Verified ordered</x:v>
      </x:c>
      <x:c r="M10" s="14" t="str">
        <x:v>Ordered token coverage on the cited PDF page is 100.0%.</x:v>
      </x:c>
      <x:c r="N10" s="14" t="str">
        <x:v>Supports</x:v>
      </x:c>
      <x:c r="O10" s="14" t="str">
        <x:v>Whole action</x:v>
      </x:c>
      <x:c r="P10" s="14" t="str">
        <x:v>No</x:v>
      </x:c>
      <x:c r="Q10" s="14" t="str">
        <x:v>Natural coverage | Area for conservation</x:v>
      </x:c>
      <x:c r="R10" s="14"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S10" s="14" t="str">
        <x:v>Strength not demonstrated</x:v>
      </x:c>
      <x:c r="T10" s="14" t="str">
        <x:v>No demonstrated effectiveness</x:v>
      </x:c>
    </x:row>
    <x:row r="11" ht="76" customHeight="1">
      <x:c r="A11" s="14" t="str">
        <x:v>ipcc_0086</x:v>
      </x:c>
      <x:c r="B11" s="14" t="str">
        <x:v>Implement ecosystem‑based adaptation measures</x:v>
      </x:c>
      <x:c r="C11" s="14" t="str">
        <x:v>Biodiversity</x:v>
      </x:c>
      <x:c r="D11" s="14" t="str">
        <x:v>Biome integrity</x:v>
      </x:c>
      <x:c r="E11" s="14" t="str">
        <x:v>Vulnerability</x:v>
      </x:c>
      <x:c r="F11" s="15" t="str"/>
      <x:c r="G11" s="15" t="str"/>
      <x:c r="H11" s="14" t="str">
        <x:v>Climate Change 2022: Impacts, Adaptation and Vulnerability - Chapter 2: Terrestrial and Freshwater Ecosystems and their Services</x:v>
      </x:c>
      <x:c r="I11" s="14" t="str">
        <x:v>https://www.ipcc.ch/report/ar6/wg2/downloads/report/IPCC_AR6_WGII_Chapter02.pdf</x:v>
      </x:c>
      <x:c r="J11" s="14" t="n">
        <x:v>7</x:v>
      </x:c>
      <x:c r="K11" s="14" t="str">
        <x:v>203</x:v>
      </x:c>
      <x:c r="L11" s="14" t="str">
        <x:v>Verified ordered</x:v>
      </x:c>
      <x:c r="M11" s="14" t="str">
        <x:v>Ordered token coverage on the cited PDF page is 100.0%.</x:v>
      </x:c>
      <x:c r="N11" s="14" t="str">
        <x:v>Supports</x:v>
      </x:c>
      <x:c r="O11" s="14" t="str">
        <x:v>Whole action</x:v>
      </x:c>
      <x:c r="P11" s="14" t="str">
        <x:v>No</x:v>
      </x:c>
      <x:c r="Q11" s="14" t="str">
        <x:v>Vegetation loss</x:v>
      </x:c>
      <x:c r="R11" s="14"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S11" s="14" t="str">
        <x:v>Strength not demonstrated</x:v>
      </x:c>
      <x:c r="T11" s="14" t="str">
        <x:v>No demonstrated effectiveness</x:v>
      </x:c>
    </x:row>
    <x:row r="12" ht="76" customHeight="1">
      <x:c r="A12" s="14" t="str">
        <x:v>ipcc_0086</x:v>
      </x:c>
      <x:c r="B12" s="14" t="str">
        <x:v>Implement ecosystem‑based adaptation measures</x:v>
      </x:c>
      <x:c r="C12" s="14" t="str">
        <x:v>Biodiversity</x:v>
      </x:c>
      <x:c r="D12" s="14" t="str">
        <x:v>Biome integrity</x:v>
      </x:c>
      <x:c r="E12" s="14" t="str">
        <x:v>Exposure</x:v>
      </x:c>
      <x:c r="F12" s="15" t="str"/>
      <x:c r="G12" s="15" t="str"/>
      <x:c r="H12" s="14" t="str">
        <x:v>Harnessing Nature to Build Climate Resilience: Scaling Up the Use of Ecosystem-based Adaptation</x:v>
      </x:c>
      <x:c r="I12" s="14" t="str">
        <x:v>https://globalebafund.org/wp-content/uploads/2022/07/Harnessing-nature-for-climate-resilience-Full-Report-V7-Web.pdf</x:v>
      </x:c>
      <x:c r="J12" s="14" t="n">
        <x:v>10</x:v>
      </x:c>
      <x:c r="K12" s="14" t="str">
        <x:v>8</x:v>
      </x:c>
      <x:c r="L12" s="14" t="str">
        <x:v>Verified ordered</x:v>
      </x:c>
      <x:c r="M12" s="14" t="str">
        <x:v>Ordered token coverage on the cited PDF page is 100.0%.</x:v>
      </x:c>
      <x:c r="N12" s="14" t="str">
        <x:v>Supports</x:v>
      </x:c>
      <x:c r="O12" s="14" t="str">
        <x:v>Part of action</x:v>
      </x:c>
      <x:c r="P12" s="14" t="str">
        <x:v>No</x:v>
      </x:c>
      <x:c r="Q12" s="14" t="str">
        <x:v>Natural coverage | Area for conservation</x:v>
      </x:c>
      <x:c r="R12" s="14"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S12" s="14" t="str">
        <x:v>Strength not demonstrated</x:v>
      </x:c>
      <x:c r="T12" s="14" t="str">
        <x:v>No demonstrated effectiveness</x:v>
      </x:c>
    </x:row>
    <x:row r="13" ht="76" customHeight="1">
      <x:c r="A13" s="14" t="str">
        <x:v>ipcc_0086</x:v>
      </x:c>
      <x:c r="B13" s="14" t="str">
        <x:v>Implement ecosystem‑based adaptation measures</x:v>
      </x:c>
      <x:c r="C13" s="14" t="str">
        <x:v>Biodiversity</x:v>
      </x:c>
      <x:c r="D13" s="14" t="str">
        <x:v>Biome integrity</x:v>
      </x:c>
      <x:c r="E13" s="14" t="str">
        <x:v>Vulnerability</x:v>
      </x:c>
      <x:c r="F13" s="15" t="str"/>
      <x:c r="G13" s="15" t="str"/>
      <x:c r="H13" s="14" t="str">
        <x:v>Harnessing Nature to Build Climate Resilience: Scaling Up the Use of Ecosystem-based Adaptation</x:v>
      </x:c>
      <x:c r="I13" s="14" t="str">
        <x:v>https://globalebafund.org/wp-content/uploads/2022/07/Harnessing-nature-for-climate-resilience-Full-Report-V7-Web.pdf</x:v>
      </x:c>
      <x:c r="J13" s="14" t="n">
        <x:v>10</x:v>
      </x:c>
      <x:c r="K13" s="14" t="str">
        <x:v>8</x:v>
      </x:c>
      <x:c r="L13" s="14" t="str">
        <x:v>Verified ordered</x:v>
      </x:c>
      <x:c r="M13" s="14" t="str">
        <x:v>Ordered token coverage on the cited PDF page is 100.0%.</x:v>
      </x:c>
      <x:c r="N13" s="14" t="str">
        <x:v>Supports</x:v>
      </x:c>
      <x:c r="O13" s="14" t="str">
        <x:v>Part of action</x:v>
      </x:c>
      <x:c r="P13" s="14" t="str">
        <x:v>No</x:v>
      </x:c>
      <x:c r="Q13" s="14" t="str">
        <x:v>Vegetation loss</x:v>
      </x:c>
      <x:c r="R13" s="14"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S13" s="14" t="str">
        <x:v>Strength not demonstrated</x:v>
      </x:c>
      <x:c r="T13" s="14" t="str">
        <x:v>No demonstrated effectiveness</x:v>
      </x:c>
    </x:row>
    <x:row r="14" ht="76" customHeight="1">
      <x:c r="A14" s="14" t="str">
        <x:v>c40_0056</x:v>
      </x:c>
      <x:c r="B14" s="14" t="str">
        <x:v>Improve Watershed Protection and Management</x:v>
      </x:c>
      <x:c r="C14" s="14" t="str">
        <x:v>Biodiversity</x:v>
      </x:c>
      <x:c r="D14" s="14" t="str">
        <x:v>Biome integrity</x:v>
      </x:c>
      <x:c r="E14" s="14" t="str">
        <x:v>Exposure</x:v>
      </x:c>
      <x:c r="F14" s="15" t="str"/>
      <x:c r="G14" s="15" t="str"/>
      <x:c r="H14" s="14" t="str">
        <x:v>Climate Change 2022: Impacts, Adaptation and Vulnerability - Chapter 2: Terrestrial and Freshwater Ecosystems and their Services</x:v>
      </x:c>
      <x:c r="I14" s="14" t="str">
        <x:v>https://www.ipcc.ch/report/ar6/wg2/downloads/report/IPCC_AR6_WGII_Chapter02.pdf</x:v>
      </x:c>
      <x:c r="J14" s="14" t="n">
        <x:v>7</x:v>
      </x:c>
      <x:c r="K14" s="14" t="str">
        <x:v>203</x:v>
      </x:c>
      <x:c r="L14" s="14" t="str">
        <x:v>Verified ordered</x:v>
      </x:c>
      <x:c r="M14" s="14" t="str">
        <x:v>Ordered token coverage on the cited PDF page is 100.0%.</x:v>
      </x:c>
      <x:c r="N14" s="14" t="str">
        <x:v>Supports</x:v>
      </x:c>
      <x:c r="O14" s="14" t="str">
        <x:v>Whole action</x:v>
      </x:c>
      <x:c r="P14" s="14" t="str">
        <x:v>No</x:v>
      </x:c>
      <x:c r="Q14" s="14" t="str">
        <x:v>Natural coverage | Area for conservation</x:v>
      </x:c>
      <x:c r="R14" s="14"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S14" s="14" t="str">
        <x:v>Strength not demonstrated</x:v>
      </x:c>
      <x:c r="T14" s="14" t="str">
        <x:v>No demonstrated effectiveness</x:v>
      </x:c>
    </x:row>
    <x:row r="15" ht="76" customHeight="1">
      <x:c r="A15" s="14" t="str">
        <x:v>c40_0056</x:v>
      </x:c>
      <x:c r="B15" s="14" t="str">
        <x:v>Improve Watershed Protection and Management</x:v>
      </x:c>
      <x:c r="C15" s="14" t="str">
        <x:v>Biodiversity</x:v>
      </x:c>
      <x:c r="D15" s="14" t="str">
        <x:v>Biome integrity</x:v>
      </x:c>
      <x:c r="E15" s="14" t="str">
        <x:v>Vulnerability</x:v>
      </x:c>
      <x:c r="F15" s="15" t="str"/>
      <x:c r="G15" s="15" t="str"/>
      <x:c r="H15" s="14" t="str">
        <x:v>Climate Change 2022: Impacts, Adaptation and Vulnerability - Chapter 2: Terrestrial and Freshwater Ecosystems and their Services</x:v>
      </x:c>
      <x:c r="I15" s="14" t="str">
        <x:v>https://www.ipcc.ch/report/ar6/wg2/downloads/report/IPCC_AR6_WGII_Chapter02.pdf</x:v>
      </x:c>
      <x:c r="J15" s="14" t="n">
        <x:v>7</x:v>
      </x:c>
      <x:c r="K15" s="14" t="str">
        <x:v>203</x:v>
      </x:c>
      <x:c r="L15" s="14" t="str">
        <x:v>Verified ordered</x:v>
      </x:c>
      <x:c r="M15" s="14" t="str">
        <x:v>Ordered token coverage on the cited PDF page is 100.0%.</x:v>
      </x:c>
      <x:c r="N15" s="14" t="str">
        <x:v>Supports</x:v>
      </x:c>
      <x:c r="O15" s="14" t="str">
        <x:v>Whole action</x:v>
      </x:c>
      <x:c r="P15" s="14" t="str">
        <x:v>No</x:v>
      </x:c>
      <x:c r="Q15" s="14" t="str">
        <x:v>Vegetation loss</x:v>
      </x:c>
      <x:c r="R15" s="14"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S15" s="14" t="str">
        <x:v>Strength not demonstrated</x:v>
      </x:c>
      <x:c r="T15" s="14" t="str">
        <x:v>No demonstrated effectiveness</x:v>
      </x:c>
    </x:row>
    <x:row r="16" ht="76" customHeight="1">
      <x:c r="A16" s="14" t="str">
        <x:v>c40_0056</x:v>
      </x:c>
      <x:c r="B16" s="14" t="str">
        <x:v>Improve Watershed Protection and Management</x:v>
      </x:c>
      <x:c r="C16" s="14" t="str">
        <x:v>Biodiversity</x:v>
      </x:c>
      <x:c r="D16" s="14" t="str">
        <x:v>Biome integrity</x:v>
      </x:c>
      <x:c r="E16" s="14" t="str">
        <x:v>Exposure</x:v>
      </x:c>
      <x:c r="F16" s="15" t="str"/>
      <x:c r="G16" s="15" t="str"/>
      <x:c r="H16" s="14" t="str">
        <x:v>Harnessing Nature to Build Climate Resilience: Scaling Up the Use of Ecosystem-based Adaptation</x:v>
      </x:c>
      <x:c r="I16" s="14" t="str">
        <x:v>https://globalebafund.org/wp-content/uploads/2022/07/Harnessing-nature-for-climate-resilience-Full-Report-V7-Web.pdf</x:v>
      </x:c>
      <x:c r="J16" s="14" t="n">
        <x:v>10</x:v>
      </x:c>
      <x:c r="K16" s="14" t="str">
        <x:v>8</x:v>
      </x:c>
      <x:c r="L16" s="14" t="str">
        <x:v>Verified ordered</x:v>
      </x:c>
      <x:c r="M16" s="14" t="str">
        <x:v>Ordered token coverage on the cited PDF page is 100.0%.</x:v>
      </x:c>
      <x:c r="N16" s="14" t="str">
        <x:v>Supports</x:v>
      </x:c>
      <x:c r="O16" s="14" t="str">
        <x:v>Part of action</x:v>
      </x:c>
      <x:c r="P16" s="14" t="str">
        <x:v>No</x:v>
      </x:c>
      <x:c r="Q16" s="14" t="str">
        <x:v>Natural coverage | Area for conservation</x:v>
      </x:c>
      <x:c r="R16" s="14"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S16" s="14" t="str">
        <x:v>Strength not demonstrated</x:v>
      </x:c>
      <x:c r="T16" s="14" t="str">
        <x:v>No demonstrated effectiveness</x:v>
      </x:c>
    </x:row>
    <x:row r="17" ht="76" customHeight="1">
      <x:c r="A17" s="14" t="str">
        <x:v>c40_0056</x:v>
      </x:c>
      <x:c r="B17" s="14" t="str">
        <x:v>Improve Watershed Protection and Management</x:v>
      </x:c>
      <x:c r="C17" s="14" t="str">
        <x:v>Biodiversity</x:v>
      </x:c>
      <x:c r="D17" s="14" t="str">
        <x:v>Biome integrity</x:v>
      </x:c>
      <x:c r="E17" s="14" t="str">
        <x:v>Vulnerability</x:v>
      </x:c>
      <x:c r="F17" s="15" t="str"/>
      <x:c r="G17" s="15" t="str"/>
      <x:c r="H17" s="14" t="str">
        <x:v>Harnessing Nature to Build Climate Resilience: Scaling Up the Use of Ecosystem-based Adaptation</x:v>
      </x:c>
      <x:c r="I17" s="14" t="str">
        <x:v>https://globalebafund.org/wp-content/uploads/2022/07/Harnessing-nature-for-climate-resilience-Full-Report-V7-Web.pdf</x:v>
      </x:c>
      <x:c r="J17" s="14" t="n">
        <x:v>10</x:v>
      </x:c>
      <x:c r="K17" s="14" t="str">
        <x:v>8</x:v>
      </x:c>
      <x:c r="L17" s="14" t="str">
        <x:v>Verified ordered</x:v>
      </x:c>
      <x:c r="M17" s="14" t="str">
        <x:v>Ordered token coverage on the cited PDF page is 100.0%.</x:v>
      </x:c>
      <x:c r="N17" s="14" t="str">
        <x:v>Supports</x:v>
      </x:c>
      <x:c r="O17" s="14" t="str">
        <x:v>Part of action</x:v>
      </x:c>
      <x:c r="P17" s="14" t="str">
        <x:v>No</x:v>
      </x:c>
      <x:c r="Q17" s="14" t="str">
        <x:v>Vegetation loss</x:v>
      </x:c>
      <x:c r="R17" s="14"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S17" s="14" t="str">
        <x:v>Strength not demonstrated</x:v>
      </x:c>
      <x:c r="T17" s="14" t="str">
        <x:v>No demonstrated effectiveness</x:v>
      </x:c>
    </x:row>
    <x:row r="18" ht="76" customHeight="1">
      <x:c r="A18" s="14" t="str">
        <x:v>ipcc_0085</x:v>
      </x:c>
      <x:c r="B18" s="14" t="str">
        <x:v>Reduce pressures on ecosystems to build resilience</x:v>
      </x:c>
      <x:c r="C18" s="14" t="str">
        <x:v>Biodiversity</x:v>
      </x:c>
      <x:c r="D18" s="14" t="str">
        <x:v>Biome integrity</x:v>
      </x:c>
      <x:c r="E18" s="14" t="str">
        <x:v>Exposure</x:v>
      </x:c>
      <x:c r="F18" s="15" t="str"/>
      <x:c r="G18" s="15" t="str"/>
      <x:c r="H18" s="14" t="str">
        <x:v>Climate Change 2022: Impacts, Adaptation and Vulnerability - Chapter 2: Terrestrial and Freshwater Ecosystems and their Services</x:v>
      </x:c>
      <x:c r="I18" s="14" t="str">
        <x:v>https://www.ipcc.ch/report/ar6/wg2/downloads/report/IPCC_AR6_WGII_Chapter02.pdf</x:v>
      </x:c>
      <x:c r="J18" s="14" t="n">
        <x:v>7</x:v>
      </x:c>
      <x:c r="K18" s="14" t="str">
        <x:v>203</x:v>
      </x:c>
      <x:c r="L18" s="14" t="str">
        <x:v>Verified ordered</x:v>
      </x:c>
      <x:c r="M18" s="14" t="str">
        <x:v>Ordered token coverage on the cited PDF page is 100.0%.</x:v>
      </x:c>
      <x:c r="N18" s="14" t="str">
        <x:v>Supports</x:v>
      </x:c>
      <x:c r="O18" s="14" t="str">
        <x:v>Part of action</x:v>
      </x:c>
      <x:c r="P18" s="14" t="str">
        <x:v>No</x:v>
      </x:c>
      <x:c r="Q18" s="14" t="str">
        <x:v>Natural coverage | Area for conservation</x:v>
      </x:c>
      <x:c r="R18" s="14"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S18" s="14" t="str">
        <x:v>Strength not demonstrated</x:v>
      </x:c>
      <x:c r="T18" s="14" t="str">
        <x:v>No demonstrated effectiveness</x:v>
      </x:c>
    </x:row>
    <x:row r="19" ht="76" customHeight="1">
      <x:c r="A19" s="14" t="str">
        <x:v>ipcc_0085</x:v>
      </x:c>
      <x:c r="B19" s="14" t="str">
        <x:v>Reduce pressures on ecosystems to build resilience</x:v>
      </x:c>
      <x:c r="C19" s="14" t="str">
        <x:v>Biodiversity</x:v>
      </x:c>
      <x:c r="D19" s="14" t="str">
        <x:v>Biome integrity</x:v>
      </x:c>
      <x:c r="E19" s="14" t="str">
        <x:v>Vulnerability</x:v>
      </x:c>
      <x:c r="F19" s="15" t="str"/>
      <x:c r="G19" s="15" t="str"/>
      <x:c r="H19" s="14" t="str">
        <x:v>Climate Change 2022: Impacts, Adaptation and Vulnerability - Chapter 2: Terrestrial and Freshwater Ecosystems and their Services</x:v>
      </x:c>
      <x:c r="I19" s="14" t="str">
        <x:v>https://www.ipcc.ch/report/ar6/wg2/downloads/report/IPCC_AR6_WGII_Chapter02.pdf</x:v>
      </x:c>
      <x:c r="J19" s="14" t="n">
        <x:v>7</x:v>
      </x:c>
      <x:c r="K19" s="14" t="str">
        <x:v>203</x:v>
      </x:c>
      <x:c r="L19" s="14" t="str">
        <x:v>Verified ordered</x:v>
      </x:c>
      <x:c r="M19" s="14" t="str">
        <x:v>Ordered token coverage on the cited PDF page is 100.0%.</x:v>
      </x:c>
      <x:c r="N19" s="14" t="str">
        <x:v>Supports</x:v>
      </x:c>
      <x:c r="O19" s="14" t="str">
        <x:v>Part of action</x:v>
      </x:c>
      <x:c r="P19" s="14" t="str">
        <x:v>No</x:v>
      </x:c>
      <x:c r="Q19" s="14" t="str">
        <x:v>Vegetation loss</x:v>
      </x:c>
      <x:c r="R19" s="14"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S19" s="14" t="str">
        <x:v>Strength not demonstrated</x:v>
      </x:c>
      <x:c r="T19" s="14" t="str">
        <x:v>No demonstrated effectiveness</x:v>
      </x:c>
    </x:row>
    <x:row r="20" ht="76" customHeight="1">
      <x:c r="A20" s="14" t="str">
        <x:v>ipcc_0085</x:v>
      </x:c>
      <x:c r="B20" s="14" t="str">
        <x:v>Reduce pressures on ecosystems to build resilience</x:v>
      </x:c>
      <x:c r="C20" s="14" t="str">
        <x:v>Biodiversity</x:v>
      </x:c>
      <x:c r="D20" s="14" t="str">
        <x:v>Biome integrity</x:v>
      </x:c>
      <x:c r="E20" s="14" t="str">
        <x:v>Exposure</x:v>
      </x:c>
      <x:c r="F20" s="15" t="str"/>
      <x:c r="G20" s="15" t="str"/>
      <x:c r="H20" s="14" t="str">
        <x:v>Plano Nacional de Adaptação à Mudança do Clima</x:v>
      </x:c>
      <x:c r="I20" s="14" t="str">
        <x:v>https://unfccc.int/sites/default/files/resource/NAP_Brazil_2016_PR.pdf</x:v>
      </x:c>
      <x:c r="J20" s="14" t="n">
        <x:v>139</x:v>
      </x:c>
      <x:c r="K20" s="14" t="str">
        <x:v>121</x:v>
      </x:c>
      <x:c r="L20" s="14" t="str">
        <x:v>Verified exact</x:v>
      </x:c>
      <x:c r="M20" s="14" t="str">
        <x:v>Normalized quote occurs on the cited PDF page.</x:v>
      </x:c>
      <x:c r="N20" s="14" t="str">
        <x:v>Supports</x:v>
      </x:c>
      <x:c r="O20" s="14" t="str">
        <x:v>Part of action</x:v>
      </x:c>
      <x:c r="P20" s="14" t="str">
        <x:v>No</x:v>
      </x:c>
      <x:c r="Q20" s="14" t="str">
        <x:v>Natural coverage | Area for conservation</x:v>
      </x:c>
      <x:c r="R20" s="14" t="str">
        <x:v>Fortalecer as medidas de conservação, recuperação e uso sustentável da biodiversidade visando o aumento da conectividade entre remanescentes dos ecossistemas e a consolidação de Unidades de Conservação, refletindo a gestão florestal integrada da paisagem e propiciando a redução da vulnerabilidade da biodiversidade.</x:v>
      </x:c>
      <x:c r="S20" s="14" t="str">
        <x:v>Strength not demonstrated</x:v>
      </x:c>
      <x:c r="T20" s="14" t="str">
        <x:v>No demonstrated effectiveness</x:v>
      </x:c>
    </x:row>
    <x:row r="21" ht="76" customHeight="1">
      <x:c r="A21" s="14" t="str">
        <x:v>ipcc_0085</x:v>
      </x:c>
      <x:c r="B21" s="14" t="str">
        <x:v>Reduce pressures on ecosystems to build resilience</x:v>
      </x:c>
      <x:c r="C21" s="14" t="str">
        <x:v>Biodiversity</x:v>
      </x:c>
      <x:c r="D21" s="14" t="str">
        <x:v>Biome integrity</x:v>
      </x:c>
      <x:c r="E21" s="14" t="str">
        <x:v>Vulnerability</x:v>
      </x:c>
      <x:c r="F21" s="15" t="str"/>
      <x:c r="G21" s="15" t="str"/>
      <x:c r="H21" s="14" t="str">
        <x:v>Plano Nacional de Adaptação à Mudança do Clima</x:v>
      </x:c>
      <x:c r="I21" s="14" t="str">
        <x:v>https://unfccc.int/sites/default/files/resource/NAP_Brazil_2016_PR.pdf</x:v>
      </x:c>
      <x:c r="J21" s="14" t="n">
        <x:v>139</x:v>
      </x:c>
      <x:c r="K21" s="14" t="str">
        <x:v>121</x:v>
      </x:c>
      <x:c r="L21" s="14" t="str">
        <x:v>Verified exact</x:v>
      </x:c>
      <x:c r="M21" s="14" t="str">
        <x:v>Normalized quote occurs on the cited PDF page.</x:v>
      </x:c>
      <x:c r="N21" s="14" t="str">
        <x:v>Supports</x:v>
      </x:c>
      <x:c r="O21" s="14" t="str">
        <x:v>Part of action</x:v>
      </x:c>
      <x:c r="P21" s="14" t="str">
        <x:v>No</x:v>
      </x:c>
      <x:c r="Q21" s="14" t="str">
        <x:v>Vegetation loss</x:v>
      </x:c>
      <x:c r="R21" s="14" t="str">
        <x:v>Fortalecer as medidas de conservação, recuperação e uso sustentável da biodiversidade visando o aumento da conectividade entre remanescentes dos ecossistemas e a consolidação de Unidades de Conservação, refletindo a gestão florestal integrada da paisagem e propiciando a redução da vulnerabilidade da biodiversidade.</x:v>
      </x:c>
      <x:c r="S21" s="14" t="str">
        <x:v>Strength not demonstrated</x:v>
      </x:c>
      <x:c r="T21" s="14" t="str">
        <x:v>No demonstrated effectiveness</x:v>
      </x:c>
    </x:row>
    <x:row r="22" ht="76" customHeight="1">
      <x:c r="A22" s="14" t="str">
        <x:v>ipcc_0084</x:v>
      </x:c>
      <x:c r="B22" s="14" t="str">
        <x:v>Restore/create natural areas</x:v>
      </x:c>
      <x:c r="C22" s="14" t="str">
        <x:v>Biodiversity</x:v>
      </x:c>
      <x:c r="D22" s="14" t="str">
        <x:v>Biome integrity</x:v>
      </x:c>
      <x:c r="E22" s="14" t="str">
        <x:v>Exposure</x:v>
      </x:c>
      <x:c r="F22" s="15" t="str"/>
      <x:c r="G22" s="15" t="str"/>
      <x:c r="H22" s="14" t="str">
        <x:v>Climate Change 2022: Impacts, Adaptation and Vulnerability - Chapter 2: Terrestrial and Freshwater Ecosystems and their Services</x:v>
      </x:c>
      <x:c r="I22" s="14" t="str">
        <x:v>https://www.ipcc.ch/report/ar6/wg2/downloads/report/IPCC_AR6_WGII_Chapter02.pdf</x:v>
      </x:c>
      <x:c r="J22" s="14" t="n">
        <x:v>7</x:v>
      </x:c>
      <x:c r="K22" s="14" t="str">
        <x:v>203</x:v>
      </x:c>
      <x:c r="L22" s="14" t="str">
        <x:v>Verified ordered</x:v>
      </x:c>
      <x:c r="M22" s="14" t="str">
        <x:v>Ordered token coverage on the cited PDF page is 100.0%.</x:v>
      </x:c>
      <x:c r="N22" s="14" t="str">
        <x:v>Supports</x:v>
      </x:c>
      <x:c r="O22" s="14" t="str">
        <x:v>Whole action</x:v>
      </x:c>
      <x:c r="P22" s="14" t="str">
        <x:v>No</x:v>
      </x:c>
      <x:c r="Q22" s="14" t="str">
        <x:v>Natural coverage | Protected area | Area for conservation</x:v>
      </x:c>
      <x:c r="R22" s="14"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S22" s="14" t="str">
        <x:v>Strength not demonstrated</x:v>
      </x:c>
      <x:c r="T22" s="14" t="str">
        <x:v>No demonstrated effectiveness</x:v>
      </x:c>
    </x:row>
    <x:row r="23" ht="76" customHeight="1">
      <x:c r="A23" s="14" t="str">
        <x:v>ipcc_0084</x:v>
      </x:c>
      <x:c r="B23" s="14" t="str">
        <x:v>Restore/create natural areas</x:v>
      </x:c>
      <x:c r="C23" s="14" t="str">
        <x:v>Biodiversity</x:v>
      </x:c>
      <x:c r="D23" s="14" t="str">
        <x:v>Biome integrity</x:v>
      </x:c>
      <x:c r="E23" s="14" t="str">
        <x:v>Vulnerability</x:v>
      </x:c>
      <x:c r="F23" s="15" t="str"/>
      <x:c r="G23" s="15" t="str"/>
      <x:c r="H23" s="14" t="str">
        <x:v>Climate Change 2022: Impacts, Adaptation and Vulnerability - Chapter 2: Terrestrial and Freshwater Ecosystems and their Services</x:v>
      </x:c>
      <x:c r="I23" s="14" t="str">
        <x:v>https://www.ipcc.ch/report/ar6/wg2/downloads/report/IPCC_AR6_WGII_Chapter02.pdf</x:v>
      </x:c>
      <x:c r="J23" s="14" t="n">
        <x:v>7</x:v>
      </x:c>
      <x:c r="K23" s="14" t="str">
        <x:v>203</x:v>
      </x:c>
      <x:c r="L23" s="14" t="str">
        <x:v>Verified ordered</x:v>
      </x:c>
      <x:c r="M23" s="14" t="str">
        <x:v>Ordered token coverage on the cited PDF page is 100.0%.</x:v>
      </x:c>
      <x:c r="N23" s="14" t="str">
        <x:v>Supports</x:v>
      </x:c>
      <x:c r="O23" s="14" t="str">
        <x:v>Whole action</x:v>
      </x:c>
      <x:c r="P23" s="14" t="str">
        <x:v>No</x:v>
      </x:c>
      <x:c r="Q23" s="14" t="str">
        <x:v>Vegetation loss</x:v>
      </x:c>
      <x:c r="R23" s="14"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S23" s="14" t="str">
        <x:v>Strength not demonstrated</x:v>
      </x:c>
      <x:c r="T23" s="14" t="str">
        <x:v>No demonstrated effectiveness</x:v>
      </x:c>
    </x:row>
    <x:row r="24" ht="76" customHeight="1">
      <x:c r="A24" s="14" t="str">
        <x:v>ipcc_0084</x:v>
      </x:c>
      <x:c r="B24" s="14" t="str">
        <x:v>Restore/create natural areas</x:v>
      </x:c>
      <x:c r="C24" s="14" t="str">
        <x:v>Biodiversity</x:v>
      </x:c>
      <x:c r="D24" s="14" t="str">
        <x:v>Biome integrity</x:v>
      </x:c>
      <x:c r="E24" s="14" t="str">
        <x:v>Exposure</x:v>
      </x:c>
      <x:c r="F24" s="15" t="str"/>
      <x:c r="G24" s="15" t="str"/>
      <x:c r="H24" s="14" t="str">
        <x:v>Harnessing Nature to Build Climate Resilience: Scaling Up the Use of Ecosystem-based Adaptation</x:v>
      </x:c>
      <x:c r="I24" s="14" t="str">
        <x:v>https://globalebafund.org/wp-content/uploads/2022/07/Harnessing-nature-for-climate-resilience-Full-Report-V7-Web.pdf</x:v>
      </x:c>
      <x:c r="J24" s="14" t="n">
        <x:v>10</x:v>
      </x:c>
      <x:c r="K24" s="14" t="str">
        <x:v>8</x:v>
      </x:c>
      <x:c r="L24" s="14" t="str">
        <x:v>Verified ordered</x:v>
      </x:c>
      <x:c r="M24" s="14" t="str">
        <x:v>Ordered token coverage on the cited PDF page is 100.0%.</x:v>
      </x:c>
      <x:c r="N24" s="14" t="str">
        <x:v>Supports</x:v>
      </x:c>
      <x:c r="O24" s="14" t="str">
        <x:v>Part of action</x:v>
      </x:c>
      <x:c r="P24" s="14" t="str">
        <x:v>No</x:v>
      </x:c>
      <x:c r="Q24" s="14" t="str">
        <x:v>Natural coverage | Area for conservation</x:v>
      </x:c>
      <x:c r="R24" s="14"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S24" s="14" t="str">
        <x:v>Strength not demonstrated</x:v>
      </x:c>
      <x:c r="T24" s="14" t="str">
        <x:v>No demonstrated effectiveness</x:v>
      </x:c>
    </x:row>
    <x:row r="25" ht="76" customHeight="1">
      <x:c r="A25" s="14" t="str">
        <x:v>ipcc_0084</x:v>
      </x:c>
      <x:c r="B25" s="14" t="str">
        <x:v>Restore/create natural areas</x:v>
      </x:c>
      <x:c r="C25" s="14" t="str">
        <x:v>Biodiversity</x:v>
      </x:c>
      <x:c r="D25" s="14" t="str">
        <x:v>Biome integrity</x:v>
      </x:c>
      <x:c r="E25" s="14" t="str">
        <x:v>Vulnerability</x:v>
      </x:c>
      <x:c r="F25" s="15" t="str"/>
      <x:c r="G25" s="15" t="str"/>
      <x:c r="H25" s="14" t="str">
        <x:v>Harnessing Nature to Build Climate Resilience: Scaling Up the Use of Ecosystem-based Adaptation</x:v>
      </x:c>
      <x:c r="I25" s="14" t="str">
        <x:v>https://globalebafund.org/wp-content/uploads/2022/07/Harnessing-nature-for-climate-resilience-Full-Report-V7-Web.pdf</x:v>
      </x:c>
      <x:c r="J25" s="14" t="n">
        <x:v>10</x:v>
      </x:c>
      <x:c r="K25" s="14" t="str">
        <x:v>8</x:v>
      </x:c>
      <x:c r="L25" s="14" t="str">
        <x:v>Verified ordered</x:v>
      </x:c>
      <x:c r="M25" s="14" t="str">
        <x:v>Ordered token coverage on the cited PDF page is 100.0%.</x:v>
      </x:c>
      <x:c r="N25" s="14" t="str">
        <x:v>Supports</x:v>
      </x:c>
      <x:c r="O25" s="14" t="str">
        <x:v>Part of action</x:v>
      </x:c>
      <x:c r="P25" s="14" t="str">
        <x:v>No</x:v>
      </x:c>
      <x:c r="Q25" s="14" t="str">
        <x:v>Vegetation loss</x:v>
      </x:c>
      <x:c r="R25" s="14" t="str">
        <x:v>Common examples of EbA measures include the conservation or restoration of mangroves to protect coastal communities from storm surges and sea level rise, the establishment of green roofs, street trees and urban parks to reduce the risks of heatwaves and flooding in cities, and the conservation of upslope forests to prevent landslides and downstream flooding under extreme weather events.</x:v>
      </x:c>
      <x:c r="S25" s="14" t="str">
        <x:v>Strength not demonstrated</x:v>
      </x:c>
      <x:c r="T25" s="14" t="str">
        <x:v>No demonstrated effectiveness</x:v>
      </x:c>
    </x:row>
    <x:row r="26" ht="76" customHeight="1">
      <x:c r="A26" s="14" t="str">
        <x:v>ipcc_0084</x:v>
      </x:c>
      <x:c r="B26" s="14" t="str">
        <x:v>Restore/create natural areas</x:v>
      </x:c>
      <x:c r="C26" s="14" t="str">
        <x:v>Biodiversity</x:v>
      </x:c>
      <x:c r="D26" s="14" t="str">
        <x:v>Biome integrity</x:v>
      </x:c>
      <x:c r="E26" s="14" t="str">
        <x:v>Exposure</x:v>
      </x:c>
      <x:c r="F26" s="15" t="str"/>
      <x:c r="G26" s="15" t="str"/>
      <x:c r="H26" s="14" t="str">
        <x:v>Plano Nacional de Adaptação à Mudança do Clima</x:v>
      </x:c>
      <x:c r="I26" s="14" t="str">
        <x:v>https://unfccc.int/sites/default/files/resource/NAP_Brazil_2016_PR.pdf</x:v>
      </x:c>
      <x:c r="J26" s="14" t="n">
        <x:v>139</x:v>
      </x:c>
      <x:c r="K26" s="14" t="str">
        <x:v>121</x:v>
      </x:c>
      <x:c r="L26" s="14" t="str">
        <x:v>Verified exact</x:v>
      </x:c>
      <x:c r="M26" s="14" t="str">
        <x:v>Normalized quote occurs on the cited PDF page.</x:v>
      </x:c>
      <x:c r="N26" s="14" t="str">
        <x:v>Supports</x:v>
      </x:c>
      <x:c r="O26" s="14" t="str">
        <x:v>Whole action</x:v>
      </x:c>
      <x:c r="P26" s="14" t="str">
        <x:v>No</x:v>
      </x:c>
      <x:c r="Q26" s="14" t="str">
        <x:v>Natural coverage | Protected area | Area for conservation</x:v>
      </x:c>
      <x:c r="R26" s="14" t="str">
        <x:v>Fortalecer as medidas de conservação, recuperação e uso sustentável da biodiversidade visando o aumento da conectividade entre remanescentes dos ecossistemas e a consolidação de Unidades de Conservação, refletindo a gestão florestal integrada da paisagem e propiciando a redução da vulnerabilidade da biodiversidade.</x:v>
      </x:c>
      <x:c r="S26" s="14" t="str">
        <x:v>Strength not demonstrated</x:v>
      </x:c>
      <x:c r="T26" s="14" t="str">
        <x:v>No demonstrated effectiveness</x:v>
      </x:c>
    </x:row>
    <x:row r="27" ht="76" customHeight="1">
      <x:c r="A27" s="14" t="str">
        <x:v>ipcc_0084</x:v>
      </x:c>
      <x:c r="B27" s="14" t="str">
        <x:v>Restore/create natural areas</x:v>
      </x:c>
      <x:c r="C27" s="14" t="str">
        <x:v>Biodiversity</x:v>
      </x:c>
      <x:c r="D27" s="14" t="str">
        <x:v>Biome integrity</x:v>
      </x:c>
      <x:c r="E27" s="14" t="str">
        <x:v>Vulnerability</x:v>
      </x:c>
      <x:c r="F27" s="15" t="str"/>
      <x:c r="G27" s="15" t="str"/>
      <x:c r="H27" s="14" t="str">
        <x:v>Plano Nacional de Adaptação à Mudança do Clima</x:v>
      </x:c>
      <x:c r="I27" s="14" t="str">
        <x:v>https://unfccc.int/sites/default/files/resource/NAP_Brazil_2016_PR.pdf</x:v>
      </x:c>
      <x:c r="J27" s="14" t="n">
        <x:v>139</x:v>
      </x:c>
      <x:c r="K27" s="14" t="str">
        <x:v>121</x:v>
      </x:c>
      <x:c r="L27" s="14" t="str">
        <x:v>Verified exact</x:v>
      </x:c>
      <x:c r="M27" s="14" t="str">
        <x:v>Normalized quote occurs on the cited PDF page.</x:v>
      </x:c>
      <x:c r="N27" s="14" t="str">
        <x:v>Supports</x:v>
      </x:c>
      <x:c r="O27" s="14" t="str">
        <x:v>Whole action</x:v>
      </x:c>
      <x:c r="P27" s="14" t="str">
        <x:v>No</x:v>
      </x:c>
      <x:c r="Q27" s="14" t="str">
        <x:v>Vegetation loss</x:v>
      </x:c>
      <x:c r="R27" s="14" t="str">
        <x:v>Fortalecer as medidas de conservação, recuperação e uso sustentável da biodiversidade visando o aumento da conectividade entre remanescentes dos ecossistemas e a consolidação de Unidades de Conservação, refletindo a gestão florestal integrada da paisagem e propiciando a redução da vulnerabilidade da biodiversidade.</x:v>
      </x:c>
      <x:c r="S27" s="14" t="str">
        <x:v>Strength not demonstrated</x:v>
      </x:c>
      <x:c r="T27" s="14" t="str">
        <x:v>No demonstrated effectiveness</x:v>
      </x:c>
    </x:row>
    <x:row r="28" ht="76" customHeight="1">
      <x:c r="A28" s="14" t="str">
        <x:v>ipcc_0089</x:v>
      </x:c>
      <x:c r="B28" s="14" t="str">
        <x:v>Spatially redirect development</x:v>
      </x:c>
      <x:c r="C28" s="14" t="str">
        <x:v>Biodiversity</x:v>
      </x:c>
      <x:c r="D28" s="14" t="str">
        <x:v>Biome integrity</x:v>
      </x:c>
      <x:c r="E28" s="14" t="str">
        <x:v>Exposure</x:v>
      </x:c>
      <x:c r="F28" s="15" t="str"/>
      <x:c r="G28" s="15" t="str"/>
      <x:c r="H28" s="14" t="str">
        <x:v>Harnessing Nature to Build Climate Resilience: Scaling Up the Use of Ecosystem-based Adaptation</x:v>
      </x:c>
      <x:c r="I28" s="14" t="str">
        <x:v>https://globalebafund.org/wp-content/uploads/2022/07/Harnessing-nature-for-climate-resilience-Full-Report-V7-Web.pdf</x:v>
      </x:c>
      <x:c r="J28" s="14" t="n">
        <x:v>15</x:v>
      </x:c>
      <x:c r="K28" s="14" t="str">
        <x:v>13</x:v>
      </x:c>
      <x:c r="L28" s="14" t="str">
        <x:v>Verified ordered</x:v>
      </x:c>
      <x:c r="M28" s="14" t="str">
        <x:v>Ordered token coverage on the cited PDF page is 100.0%.</x:v>
      </x:c>
      <x:c r="N28" s="14" t="str">
        <x:v>Supports</x:v>
      </x:c>
      <x:c r="O28" s="14" t="str">
        <x:v>Whole action</x:v>
      </x:c>
      <x:c r="P28" s="14" t="str">
        <x:v>No</x:v>
      </x:c>
      <x:c r="Q28" s="14" t="str">
        <x:v>Natural coverage | Area for conservation</x:v>
      </x:c>
      <x:c r="R28" s="14" t="str">
        <x:v>Building codes and zoning regulations can be used to promote the conservation, management and restoration of ecosystems for climate change adaptation. Governments can also revise and improve land and coastal zoning regulations so that they protect ecosystems that are critical for adaptation, for example, prohibiting development of vulnerable coastal ecosystems or floodplains that provide valuable flood protection services.</x:v>
      </x:c>
      <x:c r="S28" s="14" t="str">
        <x:v>Strength not demonstrated</x:v>
      </x:c>
      <x:c r="T28" s="14" t="str">
        <x:v>No demonstrated effectiveness</x:v>
      </x:c>
    </x:row>
    <x:row r="29" ht="76" customHeight="1">
      <x:c r="A29" s="14" t="str">
        <x:v>ipcc_0089</x:v>
      </x:c>
      <x:c r="B29" s="14" t="str">
        <x:v>Spatially redirect development</x:v>
      </x:c>
      <x:c r="C29" s="14" t="str">
        <x:v>Biodiversity</x:v>
      </x:c>
      <x:c r="D29" s="14" t="str">
        <x:v>Biome integrity</x:v>
      </x:c>
      <x:c r="E29" s="14" t="str">
        <x:v>Vulnerability</x:v>
      </x:c>
      <x:c r="F29" s="15" t="str"/>
      <x:c r="G29" s="15" t="str"/>
      <x:c r="H29" s="14" t="str">
        <x:v>Harnessing Nature to Build Climate Resilience: Scaling Up the Use of Ecosystem-based Adaptation</x:v>
      </x:c>
      <x:c r="I29" s="14" t="str">
        <x:v>https://globalebafund.org/wp-content/uploads/2022/07/Harnessing-nature-for-climate-resilience-Full-Report-V7-Web.pdf</x:v>
      </x:c>
      <x:c r="J29" s="14" t="n">
        <x:v>15</x:v>
      </x:c>
      <x:c r="K29" s="14" t="str">
        <x:v>13</x:v>
      </x:c>
      <x:c r="L29" s="14" t="str">
        <x:v>Verified ordered</x:v>
      </x:c>
      <x:c r="M29" s="14" t="str">
        <x:v>Ordered token coverage on the cited PDF page is 100.0%.</x:v>
      </x:c>
      <x:c r="N29" s="14" t="str">
        <x:v>Supports</x:v>
      </x:c>
      <x:c r="O29" s="14" t="str">
        <x:v>Whole action</x:v>
      </x:c>
      <x:c r="P29" s="14" t="str">
        <x:v>No</x:v>
      </x:c>
      <x:c r="Q29" s="14" t="str">
        <x:v>Vegetation loss</x:v>
      </x:c>
      <x:c r="R29" s="14" t="str">
        <x:v>Building codes and zoning regulations can be used to promote the conservation, management and restoration of ecosystems for climate change adaptation. Governments can also revise and improve land and coastal zoning regulations so that they protect ecosystems that are critical for adaptation, for example, prohibiting development of vulnerable coastal ecosystems or floodplains that provide valuable flood protection services.</x:v>
      </x:c>
      <x:c r="S29" s="14" t="str">
        <x:v>Strength not demonstrated</x:v>
      </x:c>
      <x:c r="T29" s="14" t="str">
        <x:v>No demonstrated effectiveness</x:v>
      </x:c>
    </x:row>
    <x:row r="30" ht="76" customHeight="1">
      <x:c r="A30" s="14" t="str">
        <x:v>ipcc_0096</x:v>
      </x:c>
      <x:c r="B30" s="14" t="str">
        <x:v>Strengthen climate resilience in farming and fisheries</x:v>
      </x:c>
      <x:c r="C30" s="14" t="str">
        <x:v>Biodiversity</x:v>
      </x:c>
      <x:c r="D30" s="14" t="str">
        <x:v>Biome integrity</x:v>
      </x:c>
      <x:c r="E30" s="14" t="str">
        <x:v>Vulnerability</x:v>
      </x:c>
      <x:c r="F30" s="15" t="str"/>
      <x:c r="G30" s="15" t="str"/>
      <x:c r="H30" s="14" t="str">
        <x:v>Climate Change 2022: Impacts Adaptation and Vulnerability — Chapter 12: Central and South America</x:v>
      </x:c>
      <x:c r="I30" s="14" t="str">
        <x:v>https://www.ipcc.ch/report/ar6/wg2/downloads/report/IPCC_AR6_WGII_Chapter12.pdf</x:v>
      </x:c>
      <x:c r="J30" s="14" t="n">
        <x:v>81</x:v>
      </x:c>
      <x:c r="K30" s="14" t="str"/>
      <x:c r="L30" s="14" t="str">
        <x:v>Verified ordered</x:v>
      </x:c>
      <x:c r="M30" s="14" t="str">
        <x:v>Ordered token coverage is 100.0%.</x:v>
      </x:c>
      <x:c r="N30" s="14" t="str">
        <x:v>Supports</x:v>
      </x:c>
      <x:c r="O30" s="14" t="str">
        <x:v>Part of action</x:v>
      </x:c>
      <x:c r="P30" s="14" t="str">
        <x:v>No</x:v>
      </x:c>
      <x:c r="Q30" s="14" t="str">
        <x:v>No sustainable agricultural practice</x:v>
      </x:c>
      <x:c r="R30" s="14" t="str">
        <x:v>Agroforestry and so-called silvopastoral systems, which incorporate trees into crop and livestock systems, have been shown to have a dramatic impact on the maintenance and restoration of long-term productivity in agricultural landscapes, including degraded and abandoned land. Agroforestry systems can provide major benefits through enhanced food security, stronger local economies and increased ecosystem services such as carbon storage, regulation of climate and water cycles, control of pests and diseases and maintenance of soil fertility.</x:v>
      </x:c>
      <x:c r="S30" s="14" t="str">
        <x:v>Moderate or conditional outcome</x:v>
      </x:c>
      <x:c r="T30" s="14" t="str">
        <x:v>Medium effectiveness</x:v>
      </x:c>
    </x:row>
    <x:row r="31" ht="76" customHeight="1">
      <x:c r="A31" s="14" t="str">
        <x:v>icare_0162</x:v>
      </x:c>
      <x:c r="B31" s="14" t="str">
        <x:v>Strengthen programs for control and conservation of protected areas</x:v>
      </x:c>
      <x:c r="C31" s="14" t="str">
        <x:v>Biodiversity</x:v>
      </x:c>
      <x:c r="D31" s="14" t="str">
        <x:v>Biome integrity</x:v>
      </x:c>
      <x:c r="E31" s="14" t="str">
        <x:v>Exposure</x:v>
      </x:c>
      <x:c r="F31" s="15" t="str"/>
      <x:c r="G31" s="15" t="str"/>
      <x:c r="H31" s="14" t="str">
        <x:v>Climate Change 2022: Impacts, Adaptation and Vulnerability - Chapter 2: Terrestrial and Freshwater Ecosystems and their Services</x:v>
      </x:c>
      <x:c r="I31" s="14" t="str">
        <x:v>https://www.ipcc.ch/report/ar6/wg2/downloads/report/IPCC_AR6_WGII_Chapter02.pdf</x:v>
      </x:c>
      <x:c r="J31" s="14" t="n">
        <x:v>7</x:v>
      </x:c>
      <x:c r="K31" s="14" t="str">
        <x:v>203</x:v>
      </x:c>
      <x:c r="L31" s="14" t="str">
        <x:v>Verified ordered</x:v>
      </x:c>
      <x:c r="M31" s="14" t="str">
        <x:v>Ordered token coverage on the cited PDF page is 100.0%.</x:v>
      </x:c>
      <x:c r="N31" s="14" t="str">
        <x:v>Supports</x:v>
      </x:c>
      <x:c r="O31" s="14" t="str">
        <x:v>Whole action</x:v>
      </x:c>
      <x:c r="P31" s="14" t="str">
        <x:v>No</x:v>
      </x:c>
      <x:c r="Q31" s="14" t="str">
        <x:v>Natural coverage | Protected area | Area for conservation</x:v>
      </x:c>
      <x:c r="R31" s="14"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S31" s="14" t="str">
        <x:v>Strength not demonstrated</x:v>
      </x:c>
      <x:c r="T31" s="14" t="str">
        <x:v>No demonstrated effectiveness</x:v>
      </x:c>
    </x:row>
    <x:row r="32" ht="76" customHeight="1">
      <x:c r="A32" s="14" t="str">
        <x:v>icare_0162</x:v>
      </x:c>
      <x:c r="B32" s="14" t="str">
        <x:v>Strengthen programs for control and conservation of protected areas</x:v>
      </x:c>
      <x:c r="C32" s="14" t="str">
        <x:v>Biodiversity</x:v>
      </x:c>
      <x:c r="D32" s="14" t="str">
        <x:v>Biome integrity</x:v>
      </x:c>
      <x:c r="E32" s="14" t="str">
        <x:v>Vulnerability</x:v>
      </x:c>
      <x:c r="F32" s="15" t="str"/>
      <x:c r="G32" s="15" t="str"/>
      <x:c r="H32" s="14" t="str">
        <x:v>Climate Change 2022: Impacts, Adaptation and Vulnerability - Chapter 2: Terrestrial and Freshwater Ecosystems and their Services</x:v>
      </x:c>
      <x:c r="I32" s="14" t="str">
        <x:v>https://www.ipcc.ch/report/ar6/wg2/downloads/report/IPCC_AR6_WGII_Chapter02.pdf</x:v>
      </x:c>
      <x:c r="J32" s="14" t="n">
        <x:v>7</x:v>
      </x:c>
      <x:c r="K32" s="14" t="str">
        <x:v>203</x:v>
      </x:c>
      <x:c r="L32" s="14" t="str">
        <x:v>Verified ordered</x:v>
      </x:c>
      <x:c r="M32" s="14" t="str">
        <x:v>Ordered token coverage on the cited PDF page is 100.0%.</x:v>
      </x:c>
      <x:c r="N32" s="14" t="str">
        <x:v>Supports</x:v>
      </x:c>
      <x:c r="O32" s="14" t="str">
        <x:v>Whole action</x:v>
      </x:c>
      <x:c r="P32" s="14" t="str">
        <x:v>No</x:v>
      </x:c>
      <x:c r="Q32" s="14" t="str">
        <x:v>Vegetation loss</x:v>
      </x:c>
      <x:c r="R32" s="14" t="str">
        <x:v>The resilience of biodiversity and ecosystem services to climate change can be increased by human adaptation actions including ecosystem protection and restoration (high confidence). Ecological theory and observations show that a wide range of actions can reduce risks to species and ecosystem integrity. This includes minimising additional stresses or disturbances; reducing fragmentation; increasing natural habitat extent, connectivity and heterogeneity; maintaining taxonomic, phylogenetic, and functional diversity and redundancy; and protecting small-scale refugia where micro-climate conditions can allow species to persist (high confidence).</x:v>
      </x:c>
      <x:c r="S32" s="14" t="str">
        <x:v>Strength not demonstrated</x:v>
      </x:c>
      <x:c r="T32" s="14" t="str">
        <x:v>No demonstrated effectiveness</x:v>
      </x:c>
    </x:row>
    <x:row r="33" ht="76" customHeight="1">
      <x:c r="A33" s="14" t="str">
        <x:v>icare_0162</x:v>
      </x:c>
      <x:c r="B33" s="14" t="str">
        <x:v>Strengthen programs for control and conservation of protected areas</x:v>
      </x:c>
      <x:c r="C33" s="14" t="str">
        <x:v>Biodiversity</x:v>
      </x:c>
      <x:c r="D33" s="14" t="str">
        <x:v>Biome integrity</x:v>
      </x:c>
      <x:c r="E33" s="14" t="str">
        <x:v>Exposure</x:v>
      </x:c>
      <x:c r="F33" s="15" t="str"/>
      <x:c r="G33" s="15" t="str"/>
      <x:c r="H33" s="14" t="str">
        <x:v>Plano Nacional de Adaptação à Mudança do Clima</x:v>
      </x:c>
      <x:c r="I33" s="14" t="str">
        <x:v>https://unfccc.int/sites/default/files/resource/NAP_Brazil_2016_PR.pdf</x:v>
      </x:c>
      <x:c r="J33" s="14" t="n">
        <x:v>139</x:v>
      </x:c>
      <x:c r="K33" s="14" t="str">
        <x:v>121</x:v>
      </x:c>
      <x:c r="L33" s="14" t="str">
        <x:v>Verified exact</x:v>
      </x:c>
      <x:c r="M33" s="14" t="str">
        <x:v>Normalized quote occurs on the cited PDF page.</x:v>
      </x:c>
      <x:c r="N33" s="14" t="str">
        <x:v>Supports</x:v>
      </x:c>
      <x:c r="O33" s="14" t="str">
        <x:v>Whole action</x:v>
      </x:c>
      <x:c r="P33" s="14" t="str">
        <x:v>No</x:v>
      </x:c>
      <x:c r="Q33" s="14" t="str">
        <x:v>Natural coverage | Protected area | Area for conservation</x:v>
      </x:c>
      <x:c r="R33" s="14" t="str">
        <x:v>Fortalecer as medidas de conservação, recuperação e uso sustentável da biodiversidade visando o aumento da conectividade entre remanescentes dos ecossistemas e a consolidação de Unidades de Conservação, refletindo a gestão florestal integrada da paisagem e propiciando a redução da vulnerabilidade da biodiversidade.</x:v>
      </x:c>
      <x:c r="S33" s="14" t="str">
        <x:v>Strength not demonstrated</x:v>
      </x:c>
      <x:c r="T33" s="14" t="str">
        <x:v>No demonstrated effectiveness</x:v>
      </x:c>
    </x:row>
    <x:row r="34" ht="76" customHeight="1">
      <x:c r="A34" s="14" t="str">
        <x:v>icare_0162</x:v>
      </x:c>
      <x:c r="B34" s="14" t="str">
        <x:v>Strengthen programs for control and conservation of protected areas</x:v>
      </x:c>
      <x:c r="C34" s="14" t="str">
        <x:v>Biodiversity</x:v>
      </x:c>
      <x:c r="D34" s="14" t="str">
        <x:v>Biome integrity</x:v>
      </x:c>
      <x:c r="E34" s="14" t="str">
        <x:v>Vulnerability</x:v>
      </x:c>
      <x:c r="F34" s="15" t="str"/>
      <x:c r="G34" s="15" t="str"/>
      <x:c r="H34" s="14" t="str">
        <x:v>Plano Nacional de Adaptação à Mudança do Clima</x:v>
      </x:c>
      <x:c r="I34" s="14" t="str">
        <x:v>https://unfccc.int/sites/default/files/resource/NAP_Brazil_2016_PR.pdf</x:v>
      </x:c>
      <x:c r="J34" s="14" t="n">
        <x:v>139</x:v>
      </x:c>
      <x:c r="K34" s="14" t="str">
        <x:v>121</x:v>
      </x:c>
      <x:c r="L34" s="14" t="str">
        <x:v>Verified exact</x:v>
      </x:c>
      <x:c r="M34" s="14" t="str">
        <x:v>Normalized quote occurs on the cited PDF page.</x:v>
      </x:c>
      <x:c r="N34" s="14" t="str">
        <x:v>Supports</x:v>
      </x:c>
      <x:c r="O34" s="14" t="str">
        <x:v>Whole action</x:v>
      </x:c>
      <x:c r="P34" s="14" t="str">
        <x:v>No</x:v>
      </x:c>
      <x:c r="Q34" s="14" t="str">
        <x:v>Vegetation loss</x:v>
      </x:c>
      <x:c r="R34" s="14" t="str">
        <x:v>Fortalecer as medidas de conservação, recuperação e uso sustentável da biodiversidade visando o aumento da conectividade entre remanescentes dos ecossistemas e a consolidação de Unidades de Conservação, refletindo a gestão florestal integrada da paisagem e propiciando a redução da vulnerabilidade da biodiversidade.</x:v>
      </x:c>
      <x:c r="S34" s="14" t="str">
        <x:v>Strength not demonstrated</x:v>
      </x:c>
      <x:c r="T34" s="14" t="str">
        <x:v>No demonstrated effectiveness</x:v>
      </x:c>
    </x:row>
    <x:row r="35" ht="76" customHeight="1">
      <x:c r="A35" s="14" t="str">
        <x:v>c40_0052</x:v>
      </x:c>
      <x:c r="B35" s="14" t="str">
        <x:v>Deploy cool pavements and cool roofs on heat‑exposed streets and buildings</x:v>
      </x:c>
      <x:c r="C35" s="14" t="str">
        <x:v>Energy Security</x:v>
      </x:c>
      <x:c r="D35" s="14" t="str">
        <x:v>Access</x:v>
      </x:c>
      <x:c r="E35" s="14" t="str">
        <x:v>Vulnerability</x:v>
      </x:c>
      <x:c r="F35" s="15" t="str"/>
      <x:c r="G35" s="15" t="str"/>
      <x:c r="H35" s="14" t="str">
        <x:v>Climate Resilience: Part of Electricity Security 2021</x:v>
      </x:c>
      <x:c r="I35" s="14" t="str">
        <x:v>https://iea.blob.core.windows.net/assets/62c056f7-deed-4e3a-9a1f-a3ca8cc83813/Climate_Resilience.pdf</x:v>
      </x:c>
      <x:c r="J35" s="14" t="n">
        <x:v>22</x:v>
      </x:c>
      <x:c r="K35" s="14" t="str">
        <x:v>20</x:v>
      </x:c>
      <x:c r="L35" s="14" t="str">
        <x:v>Verified exact</x:v>
      </x:c>
      <x:c r="M35" s="14" t="str">
        <x:v>Normalized quote occurs on the cited PDF page.</x:v>
      </x:c>
      <x:c r="N35" s="14" t="str">
        <x:v>Supports</x:v>
      </x:c>
      <x:c r="O35" s="14" t="str">
        <x:v>Part of action</x:v>
      </x:c>
      <x:c r="P35" s="14" t="str">
        <x:v>No</x:v>
      </x:c>
      <x:c r="Q35" s="14" t="str">
        <x:v>Residential electrical consumption | Electrical energy intensity</x:v>
      </x:c>
      <x:c r="R35" s="14" t="str">
        <x:v>However, the level of increased demand can be mitigated by higher levels of energy efficiency in both cooling devices and building envelopes. Compared to 2018, global energy consumption for residential space cooling could increase by as much as 65% in 2030 (Figure 3). However, through a combination of more efficient devices, more resilient buildings and increased flexibility, this could be cut by one-fifth in the SDS, with the majority of these savings in non-OECD countries.</x:v>
      </x:c>
      <x:c r="S35" s="14" t="str">
        <x:v>Strong or quantified outcome</x:v>
      </x:c>
      <x:c r="T35" s="14" t="str">
        <x:v>Medium effectiveness</x:v>
      </x:c>
    </x:row>
    <x:row r="36" ht="76" customHeight="1">
      <x:c r="A36" s="14" t="str">
        <x:v>c40_0052</x:v>
      </x:c>
      <x:c r="B36" s="14" t="str">
        <x:v>Deploy cool pavements and cool roofs on heat‑exposed streets and buildings</x:v>
      </x:c>
      <x:c r="C36" s="14" t="str">
        <x:v>Energy Security</x:v>
      </x:c>
      <x:c r="D36" s="14" t="str">
        <x:v>Access</x:v>
      </x:c>
      <x:c r="E36" s="14" t="str">
        <x:v>Vulnerability</x:v>
      </x:c>
      <x:c r="F36" s="15" t="str"/>
      <x:c r="G36" s="15" t="str"/>
      <x:c r="H36" s="14" t="str">
        <x:v>Brazil 2025 Energy Policy Review</x:v>
      </x:c>
      <x:c r="I36" s="14" t="str">
        <x:v>https://iea.blob.core.windows.net/assets/6ea1af14-d51f-47f5-8fe7-76bfd55b0ea0/Brazil2025-EnergyPolicyReview.pdf</x:v>
      </x:c>
      <x:c r="J36" s="14" t="n">
        <x:v>61</x:v>
      </x:c>
      <x:c r="K36" s="14" t="str">
        <x:v>61</x:v>
      </x:c>
      <x:c r="L36" s="14" t="str">
        <x:v>Verified exact</x:v>
      </x:c>
      <x:c r="M36" s="14" t="str">
        <x:v>Normalized quote occurs on the cited PDF page.</x:v>
      </x:c>
      <x:c r="N36" s="14" t="str">
        <x:v>Supports</x:v>
      </x:c>
      <x:c r="O36" s="14" t="str">
        <x:v>Part of action</x:v>
      </x:c>
      <x:c r="P36" s="14" t="str">
        <x:v>No</x:v>
      </x:c>
      <x:c r="Q36" s="14" t="str">
        <x:v>Residential electrical consumption | Electrical energy intensity</x:v>
      </x:c>
      <x:c r="R36" s="14" t="str">
        <x:v>From a policy perspective, integrating clear energy efficiency requirements, such as passive cooling strategies, within MCMV will maximise the impact of solar PV deployment, reducing unnecessary energy consumption.</x:v>
      </x:c>
      <x:c r="S36" s="14" t="str">
        <x:v>Strength not demonstrated</x:v>
      </x:c>
      <x:c r="T36" s="14" t="str">
        <x:v>Medium effectiveness</x:v>
      </x:c>
    </x:row>
    <x:row r="37" ht="76" customHeight="1">
      <x:c r="A37" s="14" t="str">
        <x:v>c40_0052</x:v>
      </x:c>
      <x:c r="B37" s="14" t="str">
        <x:v>Deploy cool pavements and cool roofs on heat‑exposed streets and buildings</x:v>
      </x:c>
      <x:c r="C37" s="14" t="str">
        <x:v>Energy Security</x:v>
      </x:c>
      <x:c r="D37" s="14" t="str">
        <x:v>Access</x:v>
      </x:c>
      <x:c r="E37" s="14" t="str">
        <x:v>Vulnerability</x:v>
      </x:c>
      <x:c r="F37" s="15" t="str"/>
      <x:c r="G37" s="15" t="str"/>
      <x:c r="H37" s="14" t="str">
        <x:v>Climate Change 2022: Impacts, Adaptation and Vulnerability</x:v>
      </x:c>
      <x:c r="I37" s="14" t="str">
        <x:v>https://www.ipcc.ch/report/ar6/wg2/downloads/report/IPCC_AR6_WGII_FullReport.pdf</x:v>
      </x:c>
      <x:c r="J37" s="14" t="n">
        <x:v>2452</x:v>
      </x:c>
      <x:c r="K37" s="14" t="str">
        <x:v>2440</x:v>
      </x:c>
      <x:c r="L37" s="14" t="str">
        <x:v>Check layout</x:v>
      </x:c>
      <x:c r="M37" s="14" t="str">
        <x:v>Quote text is present but PDF columns or tables changed its extraction order; ordered coverage is 72.4% and token coverage is 100.0%. Confirm visually during evidence review.</x:v>
      </x:c>
      <x:c r="N37" s="14" t="str">
        <x:v>Supports</x:v>
      </x:c>
      <x:c r="O37" s="14" t="str">
        <x:v>Whole action</x:v>
      </x:c>
      <x:c r="P37" s="14" t="str">
        <x:v>No</x:v>
      </x:c>
      <x:c r="Q37" s="14" t="str">
        <x:v>Residential electrical consumption | Electrical energy intensity</x:v>
      </x:c>
      <x:c r="R37" s="14" t="str">
        <x:v>Urban greening (e.g., tree planting; construction of stormwater retention areas; construction of green roofs and cool roofs; provision of rainwater barrels; pervious pavement materials) Mitigation, particularly avoided emissions; public health improvements—increases in physical activity, reductions in air and noise pollution, reduced urban heat island effect, improved mental health; urban flood risk management; water savings; energy savings</x:v>
      </x:c>
      <x:c r="S37" s="14" t="str">
        <x:v>Strength not demonstrated</x:v>
      </x:c>
      <x:c r="T37" s="14" t="str">
        <x:v>Medium effectiveness</x:v>
      </x:c>
    </x:row>
    <x:row r="38" ht="76" customHeight="1">
      <x:c r="A38" s="14" t="str">
        <x:v>ipcc_0078</x:v>
      </x:c>
      <x:c r="B38" s="14" t="str">
        <x:v>Implement green roofs and walls</x:v>
      </x:c>
      <x:c r="C38" s="14" t="str">
        <x:v>Energy Security</x:v>
      </x:c>
      <x:c r="D38" s="14" t="str">
        <x:v>Access</x:v>
      </x:c>
      <x:c r="E38" s="14" t="str">
        <x:v>Vulnerability</x:v>
      </x:c>
      <x:c r="F38" s="15" t="str"/>
      <x:c r="G38" s="15" t="str"/>
      <x:c r="H38" s="14" t="str">
        <x:v>Climate Resilience: Part of Electricity Security 2021</x:v>
      </x:c>
      <x:c r="I38" s="14" t="str">
        <x:v>https://iea.blob.core.windows.net/assets/62c056f7-deed-4e3a-9a1f-a3ca8cc83813/Climate_Resilience.pdf</x:v>
      </x:c>
      <x:c r="J38" s="14" t="n">
        <x:v>22</x:v>
      </x:c>
      <x:c r="K38" s="14" t="str">
        <x:v>20</x:v>
      </x:c>
      <x:c r="L38" s="14" t="str">
        <x:v>Verified exact</x:v>
      </x:c>
      <x:c r="M38" s="14" t="str">
        <x:v>Normalized quote occurs on the cited PDF page.</x:v>
      </x:c>
      <x:c r="N38" s="14" t="str">
        <x:v>Supports</x:v>
      </x:c>
      <x:c r="O38" s="14" t="str">
        <x:v>Part of action</x:v>
      </x:c>
      <x:c r="P38" s="14" t="str">
        <x:v>No</x:v>
      </x:c>
      <x:c r="Q38" s="14" t="str">
        <x:v>Residential electrical consumption | Electrical energy intensity</x:v>
      </x:c>
      <x:c r="R38" s="14" t="str">
        <x:v>However, the level of increased demand can be mitigated by higher levels of energy efficiency in both cooling devices and building envelopes. Compared to 2018, global energy consumption for residential space cooling could increase by as much as 65% in 2030 (Figure 3). However, through a combination of more efficient devices, more resilient buildings and increased flexibility, this could be cut by one-fifth in the SDS, with the majority of these savings in non-OECD countries.</x:v>
      </x:c>
      <x:c r="S38" s="14" t="str">
        <x:v>Strong or quantified outcome</x:v>
      </x:c>
      <x:c r="T38" s="14" t="str">
        <x:v>Medium effectiveness</x:v>
      </x:c>
    </x:row>
    <x:row r="39" ht="76" customHeight="1">
      <x:c r="A39" s="14" t="str">
        <x:v>ipcc_0078</x:v>
      </x:c>
      <x:c r="B39" s="14" t="str">
        <x:v>Implement green roofs and walls</x:v>
      </x:c>
      <x:c r="C39" s="14" t="str">
        <x:v>Energy Security</x:v>
      </x:c>
      <x:c r="D39" s="14" t="str">
        <x:v>Access</x:v>
      </x:c>
      <x:c r="E39" s="14" t="str">
        <x:v>Vulnerability</x:v>
      </x:c>
      <x:c r="F39" s="15" t="str"/>
      <x:c r="G39" s="15" t="str"/>
      <x:c r="H39" s="14" t="str">
        <x:v>Climate Change 2022: Impacts, Adaptation and Vulnerability</x:v>
      </x:c>
      <x:c r="I39" s="14" t="str">
        <x:v>https://www.ipcc.ch/report/ar6/wg2/downloads/report/IPCC_AR6_WGII_FullReport.pdf</x:v>
      </x:c>
      <x:c r="J39" s="14" t="n">
        <x:v>2452</x:v>
      </x:c>
      <x:c r="K39" s="14" t="str">
        <x:v>2440</x:v>
      </x:c>
      <x:c r="L39" s="14" t="str">
        <x:v>Check layout</x:v>
      </x:c>
      <x:c r="M39" s="14" t="str">
        <x:v>Quote text is present but PDF columns or tables changed its extraction order; ordered coverage is 72.4% and token coverage is 100.0%. Confirm visually during evidence review.</x:v>
      </x:c>
      <x:c r="N39" s="14" t="str">
        <x:v>Supports</x:v>
      </x:c>
      <x:c r="O39" s="14" t="str">
        <x:v>Whole action</x:v>
      </x:c>
      <x:c r="P39" s="14" t="str">
        <x:v>No</x:v>
      </x:c>
      <x:c r="Q39" s="14" t="str">
        <x:v>Residential electrical consumption | Electrical energy intensity</x:v>
      </x:c>
      <x:c r="R39" s="14" t="str">
        <x:v>Urban greening (e.g., tree planting; construction of stormwater retention areas; construction of green roofs and cool roofs; provision of rainwater barrels; pervious pavement materials) Mitigation, particularly avoided emissions; public health improvements—increases in physical activity, reductions in air and noise pollution, reduced urban heat island effect, improved mental health; urban flood risk management; water savings; energy savings</x:v>
      </x:c>
      <x:c r="S39" s="14" t="str">
        <x:v>Strength not demonstrated</x:v>
      </x:c>
      <x:c r="T39" s="14" t="str">
        <x:v>Medium effectiveness</x:v>
      </x:c>
    </x:row>
    <x:row r="40" ht="76" customHeight="1">
      <x:c r="A40" s="14" t="str">
        <x:v>ipcc_0087</x:v>
      </x:c>
      <x:c r="B40" s="14" t="str">
        <x:v>Improve Infrastructure retrofitting</x:v>
      </x:c>
      <x:c r="C40" s="14" t="str">
        <x:v>Energy Security</x:v>
      </x:c>
      <x:c r="D40" s="14" t="str">
        <x:v>Access</x:v>
      </x:c>
      <x:c r="E40" s="14" t="str">
        <x:v>Vulnerability</x:v>
      </x:c>
      <x:c r="F40" s="15" t="str"/>
      <x:c r="G40" s="15" t="str"/>
      <x:c r="H40" s="14" t="str">
        <x:v>Enhancing Resilience: Climate-proofing Power Infrastructure</x:v>
      </x:c>
      <x:c r="I40" s="14" t="str">
        <x:v>https://www.irena.org/-/media/Files/IRENA/Agency/Publication/2025/Dec/IRENA_TEC_Enhancing_resilience_power_infrastructure_2025.pdf</x:v>
      </x:c>
      <x:c r="J40" s="14" t="n">
        <x:v>9</x:v>
      </x:c>
      <x:c r="K40" s="14" t="str">
        <x:v>9</x:v>
      </x:c>
      <x:c r="L40" s="14" t="str">
        <x:v>Verified exact</x:v>
      </x:c>
      <x:c r="M40" s="14" t="str">
        <x:v>Normalized quote occurs on the cited PDF page.</x:v>
      </x:c>
      <x:c r="N40" s="14" t="str">
        <x:v>Supports</x:v>
      </x:c>
      <x:c r="O40" s="14" t="str">
        <x:v>Whole action</x:v>
      </x:c>
      <x:c r="P40" s="14" t="str">
        <x:v>No</x:v>
      </x:c>
      <x:c r="Q40" s="14" t="str">
        <x:v>Electricity interruption</x:v>
      </x:c>
      <x:c r="R40" s="14" t="str">
        <x:v>Protect critical assets with upgrades tailored to local climate threats (flood defences, storm hardening, etc.). Selected solutions must match the specific vulnerabilities identified.</x:v>
      </x:c>
      <x:c r="S40" s="14" t="str">
        <x:v>Strength not demonstrated</x:v>
      </x:c>
      <x:c r="T40" s="14" t="str">
        <x:v>No demonstrated effectiveness</x:v>
      </x:c>
    </x:row>
    <x:row r="41" ht="76" customHeight="1">
      <x:c r="A41" s="14" t="str">
        <x:v>ipcc_0087</x:v>
      </x:c>
      <x:c r="B41" s="14" t="str">
        <x:v>Improve Infrastructure retrofitting</x:v>
      </x:c>
      <x:c r="C41" s="14" t="str">
        <x:v>Energy Security</x:v>
      </x:c>
      <x:c r="D41" s="14" t="str">
        <x:v>Access</x:v>
      </x:c>
      <x:c r="E41" s="14" t="str">
        <x:v>Vulnerability</x:v>
      </x:c>
      <x:c r="F41" s="15" t="str"/>
      <x:c r="G41" s="15" t="str"/>
      <x:c r="H41" s="14" t="str">
        <x:v>Stronger Power: Improving Power Sector Resilience to Natural Hazards</x:v>
      </x:c>
      <x:c r="I41" s="14" t="str">
        <x:v>https://documents1.worldbank.org/curated/en/200771560790885170/pdf/Stronger-Power-Improving-Power-Sector-Resilience-to-Natural-Hazards.pdf</x:v>
      </x:c>
      <x:c r="J41" s="14" t="n">
        <x:v>25</x:v>
      </x:c>
      <x:c r="K41" s="14" t="str">
        <x:v>24</x:v>
      </x:c>
      <x:c r="L41" s="14" t="str">
        <x:v>Verified exact</x:v>
      </x:c>
      <x:c r="M41" s="14" t="str">
        <x:v>Normalized quote occurs on the cited PDF page.</x:v>
      </x:c>
      <x:c r="N41" s="14" t="str">
        <x:v>Supports</x:v>
      </x:c>
      <x:c r="O41" s="14" t="str">
        <x:v>Part of action</x:v>
      </x:c>
      <x:c r="P41" s="14" t="str">
        <x:v>No</x:v>
      </x:c>
      <x:c r="Q41" s="14" t="str">
        <x:v>Electricity interruption</x:v>
      </x:c>
      <x:c r="R41" s="14" t="str">
        <x:v>One straightforward way to improve power system performance during floods is to elevate solar panels, or to locate plants or substations in an elevated area that will not be flooded – and, when possible, far enough from the coastline to avoid coastal flood. For existing plants that cannot be moved, elevating critical components is an option (particularly for substations), as is building dikes or flood protection walls.</x:v>
      </x:c>
      <x:c r="S41" s="14" t="str">
        <x:v>Strength not demonstrated</x:v>
      </x:c>
      <x:c r="T41" s="14" t="str">
        <x:v>No demonstrated effectiveness</x:v>
      </x:c>
    </x:row>
    <x:row r="42" ht="76" customHeight="1">
      <x:c r="A42" s="14" t="str">
        <x:v>ipcc_0099</x:v>
      </x:c>
      <x:c r="B42" s="14" t="str">
        <x:v>Increase Water Capture and Storage</x:v>
      </x:c>
      <x:c r="C42" s="14" t="str">
        <x:v>Energy Security</x:v>
      </x:c>
      <x:c r="D42" s="14" t="str">
        <x:v>Access</x:v>
      </x:c>
      <x:c r="E42" s="14" t="str">
        <x:v>Vulnerability</x:v>
      </x:c>
      <x:c r="F42" s="15" t="str"/>
      <x:c r="G42" s="15" t="str"/>
      <x:c r="H42" s="14" t="str">
        <x:v>Enhancing Resilience: Climate-proofing Power Infrastructure</x:v>
      </x:c>
      <x:c r="I42" s="14" t="str">
        <x:v>https://www.irena.org/-/media/Files/IRENA/Agency/Publication/2025/Dec/IRENA_TEC_Enhancing_resilience_power_infrastructure_2025.pdf</x:v>
      </x:c>
      <x:c r="J42" s="14" t="n">
        <x:v>37</x:v>
      </x:c>
      <x:c r="K42" s="14" t="str">
        <x:v>37</x:v>
      </x:c>
      <x:c r="L42" s="14" t="str">
        <x:v>Verified ordered</x:v>
      </x:c>
      <x:c r="M42" s="14" t="str">
        <x:v>Ordered token coverage on the cited PDF page is 100.0%.</x:v>
      </x:c>
      <x:c r="N42" s="14" t="str">
        <x:v>Supports</x:v>
      </x:c>
      <x:c r="O42" s="14" t="str">
        <x:v>Whole action</x:v>
      </x:c>
      <x:c r="P42" s="14" t="str">
        <x:v>No</x:v>
      </x:c>
      <x:c r="Q42" s="14" t="str">
        <x:v>Energy stored in hydroelectric reservoirs</x:v>
      </x:c>
      <x:c r="R42" s="14" t="str">
        <x:v>PSH offers unmatched capacity for long-duration energy storage (hours to days), ensuring reliable power supply during extended outages, extreme weather events or disruption to fuel supply chains (LDES, 2023). PSH can offer between 12-hour and 31-hour storage depth (AEMO, 2019).</x:v>
      </x:c>
      <x:c r="S42" s="14" t="str">
        <x:v>Strength not demonstrated</x:v>
      </x:c>
      <x:c r="T42" s="14" t="str">
        <x:v>No demonstrated effectiveness</x:v>
      </x:c>
    </x:row>
    <x:row r="43" ht="76" customHeight="1">
      <x:c r="A43" s="14" t="str">
        <x:v>icare_0182</x:v>
      </x:c>
      <x:c r="B43" s="14" t="str">
        <x:v>Develop an Urban Afforestation Plan</x:v>
      </x:c>
      <x:c r="C43" s="14" t="str">
        <x:v>Food Security</x:v>
      </x:c>
      <x:c r="D43" s="14" t="str">
        <x:v>Food availability</x:v>
      </x:c>
      <x:c r="E43" s="14" t="str">
        <x:v>Vulnerability</x:v>
      </x:c>
      <x:c r="F43" s="15" t="str"/>
      <x:c r="G43" s="15" t="str"/>
      <x:c r="H43" s="14" t="str">
        <x:v>Future of Food: Shaping a Climate-Smart Global Food System</x:v>
      </x:c>
      <x:c r="I43" s="14" t="str">
        <x:v>https://documents1.worldbank.org/curated/en/645981468189237140/pdf/100046-WP-PUBLIC-dislcose-7am-10-8-15-Box393216B.pdf</x:v>
      </x:c>
      <x:c r="J43" s="14" t="n">
        <x:v>14</x:v>
      </x:c>
      <x:c r="K43" s="14" t="str">
        <x:v>12</x:v>
      </x:c>
      <x:c r="L43" s="14" t="str">
        <x:v>Verified ordered</x:v>
      </x:c>
      <x:c r="M43" s="14" t="str">
        <x:v>Ordered token coverage on the cited PDF page is 98.9%.</x:v>
      </x:c>
      <x:c r="N43" s="14" t="str">
        <x:v>Supports</x:v>
      </x:c>
      <x:c r="O43" s="14" t="str">
        <x:v>Part of action</x:v>
      </x:c>
      <x:c r="P43" s="14" t="str">
        <x:v>No</x:v>
      </x:c>
      <x:c r="Q43" s="14" t="str">
        <x:v>Vegetation cover losses</x:v>
      </x:c>
      <x:c r="R43" s="14" t="str">
        <x:v>In Himachal Pradesh state, improved management of the Mid-Himalayan watershed as part of a national watershed management program has given farmers US$8 million in carbon credits from the Prototype Carbon Fund. To date, up to 10,000 hectares of nonarable agricultural wastelands have been restored and degraded forests have been afforested. On arable lands, more than 10,000 water harvesting structures have been built, expanding irrigation potential by nearly 9,000 hectares benefiting some 54,000 rural households (24 percent of which are vulnerable households) increasing their resilience to drought.</x:v>
      </x:c>
      <x:c r="S43" s="14" t="str">
        <x:v>Strong or quantified outcome</x:v>
      </x:c>
      <x:c r="T43" s="14" t="str">
        <x:v>Medium effectiveness</x:v>
      </x:c>
    </x:row>
    <x:row r="44" ht="76" customHeight="1">
      <x:c r="A44" s="14" t="str">
        <x:v>ipcc_0090</x:v>
      </x:c>
      <x:c r="B44" s="14" t="str">
        <x:v>Expand climate risk insurance coverage</x:v>
      </x:c>
      <x:c r="C44" s="14" t="str">
        <x:v>Food Security</x:v>
      </x:c>
      <x:c r="D44" s="14" t="str">
        <x:v>Food availability</x:v>
      </x:c>
      <x:c r="E44" s="14" t="str">
        <x:v>Vulnerability</x:v>
      </x:c>
      <x:c r="F44" s="15" t="str"/>
      <x:c r="G44" s="15" t="str"/>
      <x:c r="H44" s="14" t="str">
        <x:v>Climate Change 2022: Impacts Adaptation and Vulnerability — Chapter 12: Central and South America</x:v>
      </x:c>
      <x:c r="I44" s="14" t="str">
        <x:v>https://www.ipcc.ch/report/ar6/wg2/downloads/report/IPCC_AR6_WGII_Chapter12.pdf</x:v>
      </x:c>
      <x:c r="J44" s="14" t="n">
        <x:v>5</x:v>
      </x:c>
      <x:c r="K44" s="14" t="str"/>
      <x:c r="L44" s="14" t="str">
        <x:v>Verified ordered</x:v>
      </x:c>
      <x:c r="M44" s="14" t="str">
        <x:v>Ordered token coverage is 100.0%.</x:v>
      </x:c>
      <x:c r="N44" s="14" t="str">
        <x:v>Supports</x:v>
      </x:c>
      <x:c r="O44" s="14" t="str">
        <x:v>Whole action</x:v>
      </x:c>
      <x:c r="P44" s="14" t="str">
        <x:v>No</x:v>
      </x:c>
      <x:c r="Q44" s="14" t="str">
        <x:v>Harvest guarantee program | Proagro coverage plus | PSR coverage</x:v>
      </x:c>
      <x:c r="R44" s="14" t="str">
        <x:v>Index insurance builds resilience and contributes to adaptation by protecting farmers’ assets in the face of major climate shocks, by promoting access to credit and by the adoption of improved farm technologies and practices.</x:v>
      </x:c>
      <x:c r="S44" s="14" t="str">
        <x:v>Strength not demonstrated</x:v>
      </x:c>
      <x:c r="T44" s="14" t="str">
        <x:v>No demonstrated effectiveness</x:v>
      </x:c>
    </x:row>
    <x:row r="45" ht="76" customHeight="1">
      <x:c r="A45" s="14" t="str">
        <x:v>ipcc_0090</x:v>
      </x:c>
      <x:c r="B45" s="14" t="str">
        <x:v>Expand climate risk insurance coverage</x:v>
      </x:c>
      <x:c r="C45" s="14" t="str">
        <x:v>Food Security</x:v>
      </x:c>
      <x:c r="D45" s="14" t="str">
        <x:v>Food availability</x:v>
      </x:c>
      <x:c r="E45" s="14" t="str">
        <x:v>Vulnerability</x:v>
      </x:c>
      <x:c r="F45" s="15" t="str"/>
      <x:c r="G45" s="15" t="str"/>
      <x:c r="H45" s="14" t="str">
        <x:v>Climate Change 2022: Impacts, Adaptation and Vulnerability (AR6 WGII), Chapter 5: Food, Fibre and Other Ecosystem Products</x:v>
      </x:c>
      <x:c r="I45" s="14" t="str">
        <x:v>https://www.ipcc.ch/report/ar6/wg2/downloads/report/IPCC_AR6_WGII_Chapter05.pdf</x:v>
      </x:c>
      <x:c r="J45" s="14" t="n">
        <x:v>7</x:v>
      </x:c>
      <x:c r="K45" s="14" t="str">
        <x:v>719</x:v>
      </x:c>
      <x:c r="L45" s="14" t="str">
        <x:v>Verified ordered</x:v>
      </x:c>
      <x:c r="M45" s="14" t="str">
        <x:v>Ordered token coverage on the cited PDF page is 100.0%.</x:v>
      </x:c>
      <x:c r="N45" s="14" t="str">
        <x:v>Supports</x:v>
      </x:c>
      <x:c r="O45" s="14" t="str">
        <x:v>Part of action</x:v>
      </x:c>
      <x:c r="P45" s="14" t="str">
        <x:v>No</x:v>
      </x:c>
      <x:c r="Q45" s="14" t="str">
        <x:v>Harvest guarantee program | Proagro coverage plus | PSR coverage</x:v>
      </x:c>
      <x:c r="R45" s="14" t="str">
        <x:v>Supportive public policies will enhance effectiveness and/or feasibility of adaptation in ecosystem provisioning services (medium confidence). Policies that support system transitions include shifting subsidies, removing perverse incentives, regulation and certification, green public procurement, investment in sustainable value chains, support for capacity-building, access to insurance premiums, payments for ecosystem services, and social protection, among others (medium confidence).</x:v>
      </x:c>
      <x:c r="S45" s="14" t="str">
        <x:v>Strength not demonstrated</x:v>
      </x:c>
      <x:c r="T45" s="14" t="str">
        <x:v>No demonstrated effectiveness</x:v>
      </x:c>
    </x:row>
    <x:row r="46" ht="76" customHeight="1">
      <x:c r="A46" s="14" t="str">
        <x:v>ipcc_0090</x:v>
      </x:c>
      <x:c r="B46" s="14" t="str">
        <x:v>Expand climate risk insurance coverage</x:v>
      </x:c>
      <x:c r="C46" s="14" t="str">
        <x:v>Food Security</x:v>
      </x:c>
      <x:c r="D46" s="14" t="str">
        <x:v>Food availability</x:v>
      </x:c>
      <x:c r="E46" s="14" t="str">
        <x:v>Vulnerability</x:v>
      </x:c>
      <x:c r="F46" s="15" t="str"/>
      <x:c r="G46" s="15" t="str"/>
      <x:c r="H46" s="14" t="str">
        <x:v>Future of Food: Shaping a Climate-Smart Global Food System</x:v>
      </x:c>
      <x:c r="I46" s="14" t="str">
        <x:v>https://documents1.worldbank.org/curated/en/645981468189237140/pdf/100046-WP-PUBLIC-dislcose-7am-10-8-15-Box393216B.pdf</x:v>
      </x:c>
      <x:c r="J46" s="14" t="n">
        <x:v>22</x:v>
      </x:c>
      <x:c r="K46" s="14" t="str">
        <x:v>20</x:v>
      </x:c>
      <x:c r="L46" s="14" t="str">
        <x:v>Check layout</x:v>
      </x:c>
      <x:c r="M46" s="14" t="str">
        <x:v>Quote text is present but PDF columns or tables changed its extraction order; ordered coverage is 94.0% and token coverage is 98.8%. Confirm visually during evidence review.</x:v>
      </x:c>
      <x:c r="N46" s="14" t="str">
        <x:v>Supports</x:v>
      </x:c>
      <x:c r="O46" s="14" t="str">
        <x:v>Whole action</x:v>
      </x:c>
      <x:c r="P46" s="14" t="str">
        <x:v>No</x:v>
      </x:c>
      <x:c r="Q46" s="14" t="str">
        <x:v>Harvest guarantee program | Proagro coverage plus | PSR coverage</x:v>
      </x:c>
      <x:c r="R46" s="14" t="str">
        <x:v>Modern parametric approaches to risk quantification and monitoring have led to the development of insurance type products that have the ability to manage risk more efficiently, especially at the aggregated (for example, banks) level, and that can be used to reduce the cost of finance for farmers. Increasingly, countries are introducing risk financing approaches and products that will enable the catastrophic layer of loss from events such as floods and droughts to be managed by government and enable compensation to flow to farmers.</x:v>
      </x:c>
      <x:c r="S46" s="14" t="str">
        <x:v>Strength not demonstrated</x:v>
      </x:c>
      <x:c r="T46" s="14" t="str">
        <x:v>No demonstrated effectiveness</x:v>
      </x:c>
    </x:row>
    <x:row r="47" ht="76" customHeight="1">
      <x:c r="A47" s="14" t="str">
        <x:v>ipcc_0092</x:v>
      </x:c>
      <x:c r="B47" s="14" t="str">
        <x:v>Expand climate‑responsive social safety nets</x:v>
      </x:c>
      <x:c r="C47" s="14" t="str">
        <x:v>Food Security</x:v>
      </x:c>
      <x:c r="D47" s="14" t="str">
        <x:v>Access and consumption of food</x:v>
      </x:c>
      <x:c r="E47" s="14" t="str">
        <x:v>Vulnerability</x:v>
      </x:c>
      <x:c r="F47" s="15" t="str"/>
      <x:c r="G47" s="15" t="str"/>
      <x:c r="H47" s="14" t="str">
        <x:v>Rising to the Challenge: Success Stories and Strategies for Achieving Climate Adaptation and Resilience</x:v>
      </x:c>
      <x:c r="I47" s="14" t="str">
        <x:v>https://openknowledge.worldbank.org/server/api/core/bitstreams/13cc31f6-cb61-4b5f-91d9-12a14d9cb425/content</x:v>
      </x:c>
      <x:c r="J47" s="14" t="n">
        <x:v>17</x:v>
      </x:c>
      <x:c r="K47" s="14" t="str"/>
      <x:c r="L47" s="14" t="str">
        <x:v>Check layout</x:v>
      </x:c>
      <x:c r="M47" s="14" t="str">
        <x:v>Quote text is present but PDF columns or tables changed its extraction order; ordered coverage is 60.3% and token coverage is 100.0%. Confirm visually during evidence review.</x:v>
      </x:c>
      <x:c r="N47" s="14" t="str">
        <x:v>Supports</x:v>
      </x:c>
      <x:c r="O47" s="14" t="str">
        <x:v>Whole action</x:v>
      </x:c>
      <x:c r="P47" s="14" t="str">
        <x:v>No</x:v>
      </x:c>
      <x:c r="Q47" s="14" t="str">
        <x:v>Food and nutritional insecurity | Food safety instruments | Scope of the family allowance program</x:v>
      </x:c>
      <x:c r="R47" s="14" t="str">
        <x:v>Anticipatory and early response programs, including through national safety net programs, delivering social protection and financial inclusion by acting ahead of predicted hazards; preventing or reducing the adverse effects of shocks on lives and livelihoods before the impacts fully manifest. Helping alleviate short-term humanitarian need by reducing food insecurity: e.g. in Niger, the early transfers improve food security by 8%, consumption by 17.6%, and psychological well-being by 17.8%.</x:v>
      </x:c>
      <x:c r="S47" s="14" t="str">
        <x:v>Strength not demonstrated</x:v>
      </x:c>
      <x:c r="T47" s="14" t="str">
        <x:v>Medium effectiveness</x:v>
      </x:c>
    </x:row>
    <x:row r="48" ht="76" customHeight="1">
      <x:c r="A48" s="14" t="str">
        <x:v>ipcc_0092</x:v>
      </x:c>
      <x:c r="B48" s="14" t="str">
        <x:v>Expand climate‑responsive social safety nets</x:v>
      </x:c>
      <x:c r="C48" s="14" t="str">
        <x:v>Food Security</x:v>
      </x:c>
      <x:c r="D48" s="14" t="str">
        <x:v>Access and consumption of food</x:v>
      </x:c>
      <x:c r="E48" s="14" t="str">
        <x:v>Vulnerability</x:v>
      </x:c>
      <x:c r="F48" s="15" t="str"/>
      <x:c r="G48" s="15" t="str"/>
      <x:c r="H48" s="14" t="str">
        <x:v>Climate Change 2022: Impacts, Adaptation and Vulnerability (AR6 WGII), Chapter 5: Food, Fibre and Other Ecosystem Products</x:v>
      </x:c>
      <x:c r="I48" s="14" t="str">
        <x:v>https://www.ipcc.ch/report/ar6/wg2/downloads/report/IPCC_AR6_WGII_Chapter05.pdf</x:v>
      </x:c>
      <x:c r="J48" s="14" t="n">
        <x:v>89</x:v>
      </x:c>
      <x:c r="K48" s="14" t="str">
        <x:v>801</x:v>
      </x:c>
      <x:c r="L48" s="14" t="str">
        <x:v>Verified ordered</x:v>
      </x:c>
      <x:c r="M48" s="14" t="str">
        <x:v>Ordered token coverage on the cited PDF page is 100.0%.</x:v>
      </x:c>
      <x:c r="N48" s="14" t="str">
        <x:v>Supports</x:v>
      </x:c>
      <x:c r="O48" s="14" t="str">
        <x:v>Whole action</x:v>
      </x:c>
      <x:c r="P48" s="14" t="str">
        <x:v>No</x:v>
      </x:c>
      <x:c r="Q48" s="14" t="str">
        <x:v>Food and nutritional insecurity | Food safety instruments | Scope of the family allowance program</x:v>
      </x:c>
      <x:c r="R48" s="14" t="str">
        <x:v>Integrated multi-sectoral strategies that incorporate social protection are effective adaptation responses (high confidence). Social protection programmes, such as cash transfers, weather index insurance and asset-building activities such as well construction, can support short-term responses to acute food insecurity in response to extreme events but can also build adaptive capacity longer term.</x:v>
      </x:c>
      <x:c r="S48" s="14" t="str">
        <x:v>Moderate or conditional outcome</x:v>
      </x:c>
      <x:c r="T48" s="14" t="str">
        <x:v>Medium effectiveness</x:v>
      </x:c>
    </x:row>
    <x:row r="49" ht="76" customHeight="1">
      <x:c r="A49" s="14" t="str">
        <x:v>ipcc_0086</x:v>
      </x:c>
      <x:c r="B49" s="14" t="str">
        <x:v>Implement ecosystem‑based adaptation measures</x:v>
      </x:c>
      <x:c r="C49" s="14" t="str">
        <x:v>Food Security</x:v>
      </x:c>
      <x:c r="D49" s="14" t="str">
        <x:v>Food availability</x:v>
      </x:c>
      <x:c r="E49" s="14" t="str">
        <x:v>Vulnerability</x:v>
      </x:c>
      <x:c r="F49" s="15" t="str"/>
      <x:c r="G49" s="15" t="str"/>
      <x:c r="H49" s="14" t="str">
        <x:v>Future of Food: Shaping a Climate-Smart Global Food System</x:v>
      </x:c>
      <x:c r="I49" s="14" t="str">
        <x:v>https://documents1.worldbank.org/curated/en/645981468189237140/pdf/100046-WP-PUBLIC-dislcose-7am-10-8-15-Box393216B.pdf</x:v>
      </x:c>
      <x:c r="J49" s="14" t="n">
        <x:v>14</x:v>
      </x:c>
      <x:c r="K49" s="14" t="str">
        <x:v>12</x:v>
      </x:c>
      <x:c r="L49" s="14" t="str">
        <x:v>Verified ordered</x:v>
      </x:c>
      <x:c r="M49" s="14" t="str">
        <x:v>Ordered token coverage on the cited PDF page is 98.9%.</x:v>
      </x:c>
      <x:c r="N49" s="14" t="str">
        <x:v>Supports</x:v>
      </x:c>
      <x:c r="O49" s="14" t="str">
        <x:v>Part of action</x:v>
      </x:c>
      <x:c r="P49" s="14" t="str">
        <x:v>No</x:v>
      </x:c>
      <x:c r="Q49" s="14" t="str">
        <x:v>Susceptibility of agricultural productivity | Agricultural areas with low agricultural potential | Vegetation cover losses</x:v>
      </x:c>
      <x:c r="R49" s="14" t="str">
        <x:v>In Himachal Pradesh state, improved management of the Mid-Himalayan watershed as part of a national watershed management program has given farmers US$8 million in carbon credits from the Prototype Carbon Fund. To date, up to 10,000 hectares of nonarable agricultural wastelands have been restored and degraded forests have been afforested. On arable lands, more than 10,000 water harvesting structures have been built, expanding irrigation potential by nearly 9,000 hectares benefiting some 54,000 rural households (24 percent of which are vulnerable households) increasing their resilience to drought.</x:v>
      </x:c>
      <x:c r="S49" s="14" t="str">
        <x:v>Strong or quantified outcome</x:v>
      </x:c>
      <x:c r="T49" s="14" t="str">
        <x:v>Medium effectiveness</x:v>
      </x:c>
    </x:row>
    <x:row r="50" ht="76" customHeight="1">
      <x:c r="A50" s="14" t="str">
        <x:v>ipcc_0100</x:v>
      </x:c>
      <x:c r="B50" s="14" t="str">
        <x:v>Improve Efficient water use/demand</x:v>
      </x:c>
      <x:c r="C50" s="14" t="str">
        <x:v>Food Security</x:v>
      </x:c>
      <x:c r="D50" s="14" t="str">
        <x:v>Food availability</x:v>
      </x:c>
      <x:c r="E50" s="14" t="str">
        <x:v>Vulnerability</x:v>
      </x:c>
      <x:c r="F50" s="15" t="str"/>
      <x:c r="G50" s="15" t="str"/>
      <x:c r="H50" s="14" t="str">
        <x:v>Future of Food: Shaping a Climate-Smart Global Food System</x:v>
      </x:c>
      <x:c r="I50" s="14" t="str">
        <x:v>https://documents1.worldbank.org/curated/en/645981468189237140/pdf/100046-WP-PUBLIC-dislcose-7am-10-8-15-Box393216B.pdf</x:v>
      </x:c>
      <x:c r="J50" s="14" t="n">
        <x:v>14</x:v>
      </x:c>
      <x:c r="K50" s="14" t="str">
        <x:v>12</x:v>
      </x:c>
      <x:c r="L50" s="14" t="str">
        <x:v>Verified ordered</x:v>
      </x:c>
      <x:c r="M50" s="14" t="str">
        <x:v>Ordered token coverage on the cited PDF page is 95.3%.</x:v>
      </x:c>
      <x:c r="N50" s="14" t="str">
        <x:v>Supports</x:v>
      </x:c>
      <x:c r="O50" s="14" t="str">
        <x:v>Whole action</x:v>
      </x:c>
      <x:c r="P50" s="14" t="str">
        <x:v>No</x:v>
      </x:c>
      <x:c r="Q50" s="14" t="str">
        <x:v>Irrigation susceptibility | Agriculture and water availability | Water deficit</x:v>
      </x:c>
      <x:c r="R50" s="14" t="str">
        <x:v>Switching from flood irrigation to alternative wetting and drying of plots has reduced input costs by 20 percent, raised productivity by 5–10 percent, and significantly cut methane emissions and water use. Science, technology, outreach, training, and extension services for farmers and cooperatives through Farmer Field Schools; increased availability of certified seed; and better irrigation management techniques helped deliver the technology at large scale.</x:v>
      </x:c>
      <x:c r="S50" s="14" t="str">
        <x:v>Strength not demonstrated</x:v>
      </x:c>
      <x:c r="T50" s="14" t="str">
        <x:v>No demonstrated effectiveness</x:v>
      </x:c>
    </x:row>
    <x:row r="51" ht="76" customHeight="1">
      <x:c r="A51" s="14" t="str">
        <x:v>c40_0056</x:v>
      </x:c>
      <x:c r="B51" s="14" t="str">
        <x:v>Improve Watershed Protection and Management</x:v>
      </x:c>
      <x:c r="C51" s="14" t="str">
        <x:v>Food Security</x:v>
      </x:c>
      <x:c r="D51" s="14" t="str">
        <x:v>Food availability</x:v>
      </x:c>
      <x:c r="E51" s="14" t="str">
        <x:v>Vulnerability</x:v>
      </x:c>
      <x:c r="F51" s="15" t="str"/>
      <x:c r="G51" s="15" t="str"/>
      <x:c r="H51" s="14" t="str">
        <x:v>Future of Food: Shaping a Climate-Smart Global Food System</x:v>
      </x:c>
      <x:c r="I51" s="14" t="str">
        <x:v>https://documents1.worldbank.org/curated/en/645981468189237140/pdf/100046-WP-PUBLIC-dislcose-7am-10-8-15-Box393216B.pdf</x:v>
      </x:c>
      <x:c r="J51" s="14" t="n">
        <x:v>14</x:v>
      </x:c>
      <x:c r="K51" s="14" t="str">
        <x:v>12</x:v>
      </x:c>
      <x:c r="L51" s="14" t="str">
        <x:v>Verified ordered</x:v>
      </x:c>
      <x:c r="M51" s="14" t="str">
        <x:v>Ordered token coverage on the cited PDF page is 98.9%.</x:v>
      </x:c>
      <x:c r="N51" s="14" t="str">
        <x:v>Supports</x:v>
      </x:c>
      <x:c r="O51" s="14" t="str">
        <x:v>Part of action</x:v>
      </x:c>
      <x:c r="P51" s="14" t="str">
        <x:v>No</x:v>
      </x:c>
      <x:c r="Q51" s="14" t="str">
        <x:v>Vegetation cover losses</x:v>
      </x:c>
      <x:c r="R51" s="14" t="str">
        <x:v>In Himachal Pradesh state, improved management of the Mid-Himalayan watershed as part of a national watershed management program has given farmers US$8 million in carbon credits from the Prototype Carbon Fund. To date, up to 10,000 hectares of nonarable agricultural wastelands have been restored and degraded forests have been afforested. On arable lands, more than 10,000 water harvesting structures have been built, expanding irrigation potential by nearly 9,000 hectares benefiting some 54,000 rural households (24 percent of which are vulnerable households) increasing their resilience to drought.</x:v>
      </x:c>
      <x:c r="S51" s="14" t="str">
        <x:v>Strong or quantified outcome</x:v>
      </x:c>
      <x:c r="T51" s="14" t="str">
        <x:v>Medium effectiveness</x:v>
      </x:c>
    </x:row>
    <x:row r="52" ht="76" customHeight="1">
      <x:c r="A52" s="14" t="str">
        <x:v>ipcc_0098</x:v>
      </x:c>
      <x:c r="B52" s="14" t="str">
        <x:v>Increase resilience by improving access to food, improving livelihoods and promoting dietary shifts and food waste reduction</x:v>
      </x:c>
      <x:c r="C52" s="14" t="str">
        <x:v>Food Security</x:v>
      </x:c>
      <x:c r="D52" s="14" t="str">
        <x:v>Access and consumption of food</x:v>
      </x:c>
      <x:c r="E52" s="14" t="str">
        <x:v>Vulnerability</x:v>
      </x:c>
      <x:c r="F52" s="15" t="str"/>
      <x:c r="G52" s="15" t="str"/>
      <x:c r="H52" s="14" t="str">
        <x:v>Climate Change 2022: Impacts, Adaptation and Vulnerability (AR6 WGII), Chapter 5: Food, Fibre and Other Ecosystem Products</x:v>
      </x:c>
      <x:c r="I52" s="14" t="str">
        <x:v>https://www.ipcc.ch/report/ar6/wg2/downloads/report/IPCC_AR6_WGII_Chapter05.pdf</x:v>
      </x:c>
      <x:c r="J52" s="14" t="n">
        <x:v>89</x:v>
      </x:c>
      <x:c r="K52" s="14" t="str">
        <x:v>801</x:v>
      </x:c>
      <x:c r="L52" s="14" t="str">
        <x:v>Verified ordered</x:v>
      </x:c>
      <x:c r="M52" s="14" t="str">
        <x:v>Ordered token coverage on the cited PDF page is 100.0%.</x:v>
      </x:c>
      <x:c r="N52" s="14" t="str">
        <x:v>Supports</x:v>
      </x:c>
      <x:c r="O52" s="14" t="str">
        <x:v>Whole action</x:v>
      </x:c>
      <x:c r="P52" s="14" t="str">
        <x:v>No</x:v>
      </x:c>
      <x:c r="Q52" s="14" t="str">
        <x:v>Food and nutritional insecurity</x:v>
      </x:c>
      <x:c r="R52" s="14" t="str">
        <x:v>Integrated multi-sectoral strategies that incorporate social protection are effective adaptation responses (high confidence). Social protection programmes, such as cash transfers, weather index insurance and asset-building activities such as well construction, can support short-term responses to acute food insecurity in response to extreme events but can also build adaptive capacity longer term.</x:v>
      </x:c>
      <x:c r="S52" s="14" t="str">
        <x:v>Moderate or conditional outcome</x:v>
      </x:c>
      <x:c r="T52" s="14" t="str">
        <x:v>Medium effectiveness</x:v>
      </x:c>
    </x:row>
    <x:row r="53" ht="76" customHeight="1">
      <x:c r="A53" s="14" t="str">
        <x:v>ipcc_0099</x:v>
      </x:c>
      <x:c r="B53" s="14" t="str">
        <x:v>Increase Water Capture and Storage</x:v>
      </x:c>
      <x:c r="C53" s="14" t="str">
        <x:v>Food Security</x:v>
      </x:c>
      <x:c r="D53" s="14" t="str">
        <x:v>Food availability</x:v>
      </x:c>
      <x:c r="E53" s="14" t="str">
        <x:v>Vulnerability</x:v>
      </x:c>
      <x:c r="F53" s="15" t="str"/>
      <x:c r="G53" s="15" t="str"/>
      <x:c r="H53" s="14" t="str">
        <x:v>Future of Food: Shaping a Climate-Smart Global Food System</x:v>
      </x:c>
      <x:c r="I53" s="14" t="str">
        <x:v>https://documents1.worldbank.org/curated/en/645981468189237140/pdf/100046-WP-PUBLIC-dislcose-7am-10-8-15-Box393216B.pdf</x:v>
      </x:c>
      <x:c r="J53" s="14" t="n">
        <x:v>14</x:v>
      </x:c>
      <x:c r="K53" s="14" t="str">
        <x:v>12</x:v>
      </x:c>
      <x:c r="L53" s="14" t="str">
        <x:v>Verified ordered</x:v>
      </x:c>
      <x:c r="M53" s="14" t="str">
        <x:v>Ordered token coverage on the cited PDF page is 98.9%.</x:v>
      </x:c>
      <x:c r="N53" s="14" t="str">
        <x:v>Supports</x:v>
      </x:c>
      <x:c r="O53" s="14" t="str">
        <x:v>Part of action</x:v>
      </x:c>
      <x:c r="P53" s="14" t="str">
        <x:v>No</x:v>
      </x:c>
      <x:c r="Q53" s="14" t="str">
        <x:v>Irrigation susceptibility | Agriculture and water availability | Water deficit</x:v>
      </x:c>
      <x:c r="R53" s="14" t="str">
        <x:v>In Himachal Pradesh state, improved management of the Mid-Himalayan watershed as part of a national watershed management program has given farmers US$8 million in carbon credits from the Prototype Carbon Fund. To date, up to 10,000 hectares of nonarable agricultural wastelands have been restored and degraded forests have been afforested. On arable lands, more than 10,000 water harvesting structures have been built, expanding irrigation potential by nearly 9,000 hectares benefiting some 54,000 rural households (24 percent of which are vulnerable households) increasing their resilience to drought.</x:v>
      </x:c>
      <x:c r="S53" s="14" t="str">
        <x:v>Strong or quantified outcome</x:v>
      </x:c>
      <x:c r="T53" s="14" t="str">
        <x:v>Medium effectiveness</x:v>
      </x:c>
    </x:row>
    <x:row r="54" ht="76" customHeight="1">
      <x:c r="A54" s="14" t="str">
        <x:v>ipcc_0099</x:v>
      </x:c>
      <x:c r="B54" s="14" t="str">
        <x:v>Increase Water Capture and Storage</x:v>
      </x:c>
      <x:c r="C54" s="14" t="str">
        <x:v>Food Security</x:v>
      </x:c>
      <x:c r="D54" s="14" t="str">
        <x:v>Food availability</x:v>
      </x:c>
      <x:c r="E54" s="14" t="str">
        <x:v>Vulnerability</x:v>
      </x:c>
      <x:c r="F54" s="15" t="str"/>
      <x:c r="G54" s="15" t="str"/>
      <x:c r="H54" s="14" t="str">
        <x:v>Climate Change 2022: Impacts Adaptation and Vulnerability — Chapter 8: Poverty Livelihoods and Sustainable Development</x:v>
      </x:c>
      <x:c r="I54" s="14" t="str">
        <x:v>https://www.ipcc.ch/report/ar6/wg2/downloads/report/IPCC_AR6_WGII_Chapter08.pdf</x:v>
      </x:c>
      <x:c r="J54" s="14" t="n">
        <x:v>16</x:v>
      </x:c>
      <x:c r="K54" s="14" t="str"/>
      <x:c r="L54" s="14" t="str">
        <x:v>Verified ordered</x:v>
      </x:c>
      <x:c r="M54" s="14" t="str">
        <x:v>Ordered token coverage is 100.0%.</x:v>
      </x:c>
      <x:c r="N54" s="14" t="str">
        <x:v>Qualifies</x:v>
      </x:c>
      <x:c r="O54" s="14" t="str">
        <x:v>Part of action</x:v>
      </x:c>
      <x:c r="P54" s="14" t="str">
        <x:v>No</x:v>
      </x:c>
      <x:c r="Q54" s="14" t="str">
        <x:v>cistern program</x:v>
      </x:c>
      <x:c r="R54" s="14" t="str">
        <x:v>These activities have directly benefited the resilience and food security of more than 1000 residents in Gargey Village. By its concurrent focus on enhancing food security through traditional crops, coupled with nutrient-rich vegetables, promoting rainwater harvesting systems and water conservation, and promoting resilient household livelihood opportunities, atoll communities brought together crucial elements needed to reduce vulnerabilities and to better cope with disasters and climate extremes, while embracing the traditional culture.</x:v>
      </x:c>
      <x:c r="S54" s="14" t="str">
        <x:v>Moderate or conditional outcome</x:v>
      </x:c>
      <x:c r="T54" s="14" t="str">
        <x:v>Medium effectiveness</x:v>
      </x:c>
    </x:row>
    <x:row r="55" ht="76" customHeight="1">
      <x:c r="A55" s="14" t="str">
        <x:v>ipcc_0085</x:v>
      </x:c>
      <x:c r="B55" s="14" t="str">
        <x:v>Reduce pressures on ecosystems to build resilience</x:v>
      </x:c>
      <x:c r="C55" s="14" t="str">
        <x:v>Food Security</x:v>
      </x:c>
      <x:c r="D55" s="14" t="str">
        <x:v>Food availability</x:v>
      </x:c>
      <x:c r="E55" s="14" t="str">
        <x:v>Vulnerability</x:v>
      </x:c>
      <x:c r="F55" s="15" t="str"/>
      <x:c r="G55" s="15" t="str"/>
      <x:c r="H55" s="14" t="str">
        <x:v>Future of Food: Shaping a Climate-Smart Global Food System</x:v>
      </x:c>
      <x:c r="I55" s="14" t="str">
        <x:v>https://documents1.worldbank.org/curated/en/645981468189237140/pdf/100046-WP-PUBLIC-dislcose-7am-10-8-15-Box393216B.pdf</x:v>
      </x:c>
      <x:c r="J55" s="14" t="n">
        <x:v>14</x:v>
      </x:c>
      <x:c r="K55" s="14" t="str">
        <x:v>12</x:v>
      </x:c>
      <x:c r="L55" s="14" t="str">
        <x:v>Verified ordered</x:v>
      </x:c>
      <x:c r="M55" s="14" t="str">
        <x:v>Ordered token coverage on the cited PDF page is 98.9%.</x:v>
      </x:c>
      <x:c r="N55" s="14" t="str">
        <x:v>Supports</x:v>
      </x:c>
      <x:c r="O55" s="14" t="str">
        <x:v>Part of action</x:v>
      </x:c>
      <x:c r="P55" s="14" t="str">
        <x:v>No</x:v>
      </x:c>
      <x:c r="Q55" s="14" t="str">
        <x:v>Vegetation cover losses</x:v>
      </x:c>
      <x:c r="R55" s="14" t="str">
        <x:v>In Himachal Pradesh state, improved management of the Mid-Himalayan watershed as part of a national watershed management program has given farmers US$8 million in carbon credits from the Prototype Carbon Fund. To date, up to 10,000 hectares of nonarable agricultural wastelands have been restored and degraded forests have been afforested. On arable lands, more than 10,000 water harvesting structures have been built, expanding irrigation potential by nearly 9,000 hectares benefiting some 54,000 rural households (24 percent of which are vulnerable households) increasing their resilience to drought.</x:v>
      </x:c>
      <x:c r="S55" s="14" t="str">
        <x:v>Strong or quantified outcome</x:v>
      </x:c>
      <x:c r="T55" s="14" t="str">
        <x:v>Medium effectiveness</x:v>
      </x:c>
    </x:row>
    <x:row r="56" ht="76" customHeight="1">
      <x:c r="A56" s="14" t="str">
        <x:v>ipcc_0084</x:v>
      </x:c>
      <x:c r="B56" s="14" t="str">
        <x:v>Restore/create natural areas</x:v>
      </x:c>
      <x:c r="C56" s="14" t="str">
        <x:v>Food Security</x:v>
      </x:c>
      <x:c r="D56" s="14" t="str">
        <x:v>Food availability</x:v>
      </x:c>
      <x:c r="E56" s="14" t="str">
        <x:v>Vulnerability</x:v>
      </x:c>
      <x:c r="F56" s="15" t="str"/>
      <x:c r="G56" s="15" t="str"/>
      <x:c r="H56" s="14" t="str">
        <x:v>Future of Food: Shaping a Climate-Smart Global Food System</x:v>
      </x:c>
      <x:c r="I56" s="14" t="str">
        <x:v>https://documents1.worldbank.org/curated/en/645981468189237140/pdf/100046-WP-PUBLIC-dislcose-7am-10-8-15-Box393216B.pdf</x:v>
      </x:c>
      <x:c r="J56" s="14" t="n">
        <x:v>14</x:v>
      </x:c>
      <x:c r="K56" s="14" t="str">
        <x:v>12</x:v>
      </x:c>
      <x:c r="L56" s="14" t="str">
        <x:v>Verified ordered</x:v>
      </x:c>
      <x:c r="M56" s="14" t="str">
        <x:v>Ordered token coverage on the cited PDF page is 98.9%.</x:v>
      </x:c>
      <x:c r="N56" s="14" t="str">
        <x:v>Supports</x:v>
      </x:c>
      <x:c r="O56" s="14" t="str">
        <x:v>Part of action</x:v>
      </x:c>
      <x:c r="P56" s="14" t="str">
        <x:v>No</x:v>
      </x:c>
      <x:c r="Q56" s="14" t="str">
        <x:v>Vegetation cover losses</x:v>
      </x:c>
      <x:c r="R56" s="14" t="str">
        <x:v>In Himachal Pradesh state, improved management of the Mid-Himalayan watershed as part of a national watershed management program has given farmers US$8 million in carbon credits from the Prototype Carbon Fund. To date, up to 10,000 hectares of nonarable agricultural wastelands have been restored and degraded forests have been afforested. On arable lands, more than 10,000 water harvesting structures have been built, expanding irrigation potential by nearly 9,000 hectares benefiting some 54,000 rural households (24 percent of which are vulnerable households) increasing their resilience to drought.</x:v>
      </x:c>
      <x:c r="S56" s="14" t="str">
        <x:v>Strong or quantified outcome</x:v>
      </x:c>
      <x:c r="T56" s="14" t="str">
        <x:v>Medium effectiveness</x:v>
      </x:c>
    </x:row>
    <x:row r="57" ht="76" customHeight="1">
      <x:c r="A57" s="14" t="str">
        <x:v>ipcc_0096</x:v>
      </x:c>
      <x:c r="B57" s="14" t="str">
        <x:v>Strengthen climate resilience in farming and fisheries</x:v>
      </x:c>
      <x:c r="C57" s="14" t="str">
        <x:v>Food Security</x:v>
      </x:c>
      <x:c r="D57" s="14" t="str">
        <x:v>Food availability</x:v>
      </x:c>
      <x:c r="E57" s="14" t="str">
        <x:v>Vulnerability</x:v>
      </x:c>
      <x:c r="F57" s="15" t="str"/>
      <x:c r="G57" s="15" t="str"/>
      <x:c r="H57" s="14" t="str">
        <x:v>Future of Food: Shaping a Climate-Smart Global Food System</x:v>
      </x:c>
      <x:c r="I57" s="14" t="str">
        <x:v>https://documents1.worldbank.org/curated/en/645981468189237140/pdf/100046-WP-PUBLIC-dislcose-7am-10-8-15-Box393216B.pdf</x:v>
      </x:c>
      <x:c r="J57" s="14" t="n">
        <x:v>14</x:v>
      </x:c>
      <x:c r="K57" s="14" t="str">
        <x:v>12</x:v>
      </x:c>
      <x:c r="L57" s="14" t="str">
        <x:v>Verified ordered</x:v>
      </x:c>
      <x:c r="M57" s="14" t="str">
        <x:v>Ordered token coverage on the cited PDF page is 95.3%.</x:v>
      </x:c>
      <x:c r="N57" s="14" t="str">
        <x:v>Supports</x:v>
      </x:c>
      <x:c r="O57" s="14" t="str">
        <x:v>Whole action</x:v>
      </x:c>
      <x:c r="P57" s="14" t="str">
        <x:v>No</x:v>
      </x:c>
      <x:c r="Q57" s="14" t="str">
        <x:v>Susceptibility of agricultural productivity | Irrigation susceptibility | Agriculture and water availability | Technical guidance</x:v>
      </x:c>
      <x:c r="R57" s="14" t="str">
        <x:v>Switching from flood irrigation to alternative wetting and drying of plots has reduced input costs by 20 percent, raised productivity by 5–10 percent, and significantly cut methane emissions and water use. Science, technology, outreach, training, and extension services for farmers and cooperatives through Farmer Field Schools; increased availability of certified seed; and better irrigation management techniques helped deliver the technology at large scale.</x:v>
      </x:c>
      <x:c r="S57" s="14" t="str">
        <x:v>Strong or quantified outcome</x:v>
      </x:c>
      <x:c r="T57" s="14" t="str">
        <x:v>Medium effectiveness</x:v>
      </x:c>
    </x:row>
    <x:row r="58" ht="76" customHeight="1">
      <x:c r="A58" s="14" t="str">
        <x:v>ipcc_0096</x:v>
      </x:c>
      <x:c r="B58" s="14" t="str">
        <x:v>Strengthen climate resilience in farming and fisheries</x:v>
      </x:c>
      <x:c r="C58" s="14" t="str">
        <x:v>Food Security</x:v>
      </x:c>
      <x:c r="D58" s="14" t="str">
        <x:v>Food availability</x:v>
      </x:c>
      <x:c r="E58" s="14" t="str">
        <x:v>Vulnerability</x:v>
      </x:c>
      <x:c r="F58" s="15" t="str"/>
      <x:c r="G58" s="15" t="str"/>
      <x:c r="H58" s="14" t="str">
        <x:v>Climate Change 2022: Impacts Adaptation and Vulnerability — Chapter 8: Poverty Livelihoods and Sustainable Development</x:v>
      </x:c>
      <x:c r="I58" s="14" t="str">
        <x:v>https://www.ipcc.ch/report/ar6/wg2/downloads/report/IPCC_AR6_WGII_Chapter08.pdf</x:v>
      </x:c>
      <x:c r="J58" s="14" t="n">
        <x:v>16</x:v>
      </x:c>
      <x:c r="K58" s="14" t="str"/>
      <x:c r="L58" s="14" t="str">
        <x:v>Verified ordered</x:v>
      </x:c>
      <x:c r="M58" s="14" t="str">
        <x:v>Ordered token coverage is 100.0%.</x:v>
      </x:c>
      <x:c r="N58" s="14" t="str">
        <x:v>Supports</x:v>
      </x:c>
      <x:c r="O58" s="14" t="str">
        <x:v>Part of action</x:v>
      </x:c>
      <x:c r="P58" s="14" t="str">
        <x:v>No</x:v>
      </x:c>
      <x:c r="Q58" s="14" t="str">
        <x:v>Susceptibility of agricultural productivity</x:v>
      </x:c>
      <x:c r="R58" s="14" t="str">
        <x:v>More households in the settlements are consuming vegetables since home gardeners started harvesting regularly and sharing their produce with extended families or selling them to generate income. The location-specific, community-based adaptation model improved food and nutrition security and livelihoods. People can access more nutritious and reliable food sources, and they are growing their own food and selling their surplus, creating new optimism about their future. The climate-smart agriculture (CSA) package increased land cover by more than 50% within Gargey Village. This includes the planting of 42 varieties of native trees and crops. These activities have directly benefited the resilience and food security of more than 1000 residents in Gargey Village.</x:v>
      </x:c>
      <x:c r="S58" s="14" t="str">
        <x:v>Strong or quantified outcome</x:v>
      </x:c>
      <x:c r="T58" s="14" t="str">
        <x:v>Medium effectiveness</x:v>
      </x:c>
    </x:row>
    <x:row r="59" ht="76" customHeight="1">
      <x:c r="A59" s="14" t="str">
        <x:v>ipcc_0096</x:v>
      </x:c>
      <x:c r="B59" s="14" t="str">
        <x:v>Strengthen climate resilience in farming and fisheries</x:v>
      </x:c>
      <x:c r="C59" s="14" t="str">
        <x:v>Food Security</x:v>
      </x:c>
      <x:c r="D59" s="14" t="str">
        <x:v>Food availability</x:v>
      </x:c>
      <x:c r="E59" s="14" t="str">
        <x:v>Vulnerability</x:v>
      </x:c>
      <x:c r="F59" s="15" t="str"/>
      <x:c r="G59" s="15" t="str"/>
      <x:c r="H59" s="14" t="str">
        <x:v>Climate Change 2022: Impacts, Adaptation and Vulnerability (AR6 WGII), Chapter 5: Food, Fibre and Other Ecosystem Products</x:v>
      </x:c>
      <x:c r="I59" s="14" t="str">
        <x:v>https://www.ipcc.ch/report/ar6/wg2/downloads/report/IPCC_AR6_WGII_Chapter05.pdf</x:v>
      </x:c>
      <x:c r="J59" s="14" t="n">
        <x:v>33</x:v>
      </x:c>
      <x:c r="K59" s="14" t="str">
        <x:v>745</x:v>
      </x:c>
      <x:c r="L59" s="14" t="str">
        <x:v>Verified ordered</x:v>
      </x:c>
      <x:c r="M59" s="14" t="str">
        <x:v>Ordered token coverage on the cited PDF page is 100.0%.</x:v>
      </x:c>
      <x:c r="N59" s="14" t="str">
        <x:v>Supports</x:v>
      </x:c>
      <x:c r="O59" s="14" t="str">
        <x:v>Part of action</x:v>
      </x:c>
      <x:c r="P59" s="14" t="str">
        <x:v>No</x:v>
      </x:c>
      <x:c r="Q59" s="14" t="str">
        <x:v>Susceptibility of agricultural productivity | Homogeneity of agricultural production</x:v>
      </x:c>
      <x:c r="R59" s="14" t="str">
        <x:v>Crop diversification reduces cereal crop sensitivity to precipitation variability, yield losses and crop insurance payouts under drought (high confidence). For example, a study in Canada comparing diversified rotations and monoculture corn found significant positive yield impacts, yield stability and increased SOC under both RCP4.5 and RCP8.5 by 2100.</x:v>
      </x:c>
      <x:c r="S59" s="14" t="str">
        <x:v>Strength not demonstrated</x:v>
      </x:c>
      <x:c r="T59" s="14" t="str">
        <x:v>Medium effectiveness</x:v>
      </x:c>
    </x:row>
    <x:row r="60" ht="76" customHeight="1">
      <x:c r="A60" s="14" t="str">
        <x:v>ipcc_0096</x:v>
      </x:c>
      <x:c r="B60" s="14" t="str">
        <x:v>Strengthen climate resilience in farming and fisheries</x:v>
      </x:c>
      <x:c r="C60" s="14" t="str">
        <x:v>Food Security</x:v>
      </x:c>
      <x:c r="D60" s="14" t="str">
        <x:v>Food availability</x:v>
      </x:c>
      <x:c r="E60" s="14" t="str">
        <x:v>Vulnerability</x:v>
      </x:c>
      <x:c r="F60" s="15" t="str"/>
      <x:c r="G60" s="15" t="str"/>
      <x:c r="H60" s="14" t="str">
        <x:v>Climate Change 2022: Impacts Adaptation and Vulnerability — Chapter 12: Central and South America</x:v>
      </x:c>
      <x:c r="I60" s="14" t="str">
        <x:v>https://www.ipcc.ch/report/ar6/wg2/downloads/report/IPCC_AR6_WGII_Chapter12.pdf</x:v>
      </x:c>
      <x:c r="J60" s="14" t="n">
        <x:v>81</x:v>
      </x:c>
      <x:c r="K60" s="14" t="str"/>
      <x:c r="L60" s="14" t="str">
        <x:v>Verified ordered</x:v>
      </x:c>
      <x:c r="M60" s="14" t="str">
        <x:v>Ordered token coverage is 100.0%.</x:v>
      </x:c>
      <x:c r="N60" s="14" t="str">
        <x:v>Supports</x:v>
      </x:c>
      <x:c r="O60" s="14" t="str">
        <x:v>Part of action</x:v>
      </x:c>
      <x:c r="P60" s="14" t="str">
        <x:v>No</x:v>
      </x:c>
      <x:c r="Q60" s="14" t="str">
        <x:v>Susceptibility of agricultural productivity</x:v>
      </x:c>
      <x:c r="R60" s="14" t="str">
        <x:v>Agroforestry and so-called silvopastoral systems, which incorporate trees into crop and livestock systems, have been shown to have a dramatic impact on the maintenance and restoration of long-term productivity in agricultural landscapes, including degraded and abandoned land. Agroforestry systems can provide major benefits through enhanced food security, stronger local economies and increased ecosystem services such as carbon storage, regulation of climate and water cycles, control of pests and diseases and maintenance of soil fertility.</x:v>
      </x:c>
      <x:c r="S60" s="14" t="str">
        <x:v>Moderate or conditional outcome</x:v>
      </x:c>
      <x:c r="T60" s="14" t="str">
        <x:v>Medium effectiveness</x:v>
      </x:c>
    </x:row>
    <x:row r="61" ht="76" customHeight="1">
      <x:c r="A61" s="14" t="str">
        <x:v>ipcc_0091</x:v>
      </x:c>
      <x:c r="B61" s="14" t="str">
        <x:v>Support livelihood diversification for climate resilience</x:v>
      </x:c>
      <x:c r="C61" s="14" t="str">
        <x:v>Food Security</x:v>
      </x:c>
      <x:c r="D61" s="14" t="str">
        <x:v>Food availability</x:v>
      </x:c>
      <x:c r="E61" s="14" t="str">
        <x:v>Vulnerability</x:v>
      </x:c>
      <x:c r="F61" s="15" t="str"/>
      <x:c r="G61" s="15" t="str"/>
      <x:c r="H61" s="14" t="str">
        <x:v>Future of Food: Shaping a Climate-Smart Global Food System</x:v>
      </x:c>
      <x:c r="I61" s="14" t="str">
        <x:v>https://documents1.worldbank.org/curated/en/645981468189237140/pdf/100046-WP-PUBLIC-dislcose-7am-10-8-15-Box393216B.pdf</x:v>
      </x:c>
      <x:c r="J61" s="14" t="n">
        <x:v>15</x:v>
      </x:c>
      <x:c r="K61" s="14" t="str">
        <x:v>13</x:v>
      </x:c>
      <x:c r="L61" s="14" t="str">
        <x:v>Verified ordered</x:v>
      </x:c>
      <x:c r="M61" s="14" t="str">
        <x:v>Ordered token coverage on the cited PDF page is 100.0%.</x:v>
      </x:c>
      <x:c r="N61" s="14" t="str">
        <x:v>Supports</x:v>
      </x:c>
      <x:c r="O61" s="14" t="str">
        <x:v>Whole action</x:v>
      </x:c>
      <x:c r="P61" s="14" t="str">
        <x:v>No</x:v>
      </x:c>
      <x:c r="Q61" s="14" t="str">
        <x:v>Diversity of revenues</x:v>
      </x:c>
      <x:c r="R61" s="14" t="str">
        <x:v>Intercropping promoted through this collaboration has helped to boost incomes and fight hunger in the coffee lands while delivering adaptation and mitigation benefits in part of Nicaragua and in Chiapas state, Mexico. Diversified production systems have helped boost the resilience of farmer incomes throughout the year, while fruit trees provide shade, boosting resilience to drought and heat, and absorb carbon.</x:v>
      </x:c>
      <x:c r="S61" s="14" t="str">
        <x:v>Strength not demonstrated</x:v>
      </x:c>
      <x:c r="T61" s="14" t="str">
        <x:v>No demonstrated effectiveness</x:v>
      </x:c>
    </x:row>
    <x:row r="62" ht="76" customHeight="1">
      <x:c r="A62" s="14" t="str">
        <x:v>icare_0170</x:v>
      </x:c>
      <x:c r="B62" s="14" t="str">
        <x:v>Build safe housing and implement urban rehabilitation projects for populations living in high-risk areas</x:v>
      </x:c>
      <x:c r="C62" s="14" t="str">
        <x:v>Geohydrological Disasters</x:v>
      </x:c>
      <x:c r="D62" s="14" t="str">
        <x:v>Floods, flash floods, and urban flooding</x:v>
      </x:c>
      <x:c r="E62" s="14" t="str">
        <x:v>Vulnerability</x:v>
      </x:c>
      <x:c r="F62" s="15" t="str"/>
      <x:c r="G62" s="15" t="str"/>
      <x:c r="H62" s="14" t="str">
        <x:v>Manual para Apresentação de Propostas para Sistemas de Drenagem Urbana Sustentável e de Manejo de Águas Pluviais</x:v>
      </x:c>
      <x:c r="I62" s="14" t="str">
        <x:v>https://www.gov.br/mdr/pt-br/assuntos/emendasparlamentares/acao_10SG_drenagem_urbana.pdf</x:v>
      </x:c>
      <x:c r="J62" s="14" t="n">
        <x:v>5</x:v>
      </x:c>
      <x:c r="K62" s="14" t="str">
        <x:v>5</x:v>
      </x:c>
      <x:c r="L62" s="14" t="str">
        <x:v>Verified exact</x:v>
      </x:c>
      <x:c r="M62" s="14" t="str">
        <x:v>Normalized quote occurs on the cited PDF page.</x:v>
      </x:c>
      <x:c r="N62" s="14" t="str">
        <x:v>Supports</x:v>
      </x:c>
      <x:c r="O62" s="14" t="str">
        <x:v>Part of action</x:v>
      </x:c>
      <x:c r="P62" s="14" t="str">
        <x:v>No</x:v>
      </x:c>
      <x:c r="Q62" s="14" t="str">
        <x:v>Actions to reduce risk | Drainage</x:v>
      </x:c>
      <x:c r="R62" s="14" t="str">
        <x:v>A ação de apoio a Sistemas de Drenagem Urbana Sustentável e de Manejo de Águas Pluviais do Programa Gestão de Riscos e Desastres objetiva apoiar a redução do risco de desastres naturais em municípios críticos a partir do planejamento e da execução de obras, em articulação com as políticas de desenvolvimento urbano, de uso e ocupação do solo e de gestão das respectivas bacias hidrográficas, com foco na gestão sustentável da drenagem urbana, por meio de ações estruturais e não-estruturais dirigidas à recuperação de áreas úmidas, à prevenção, ao controle e à minimização dos impactos provocados por alagamentos, enchentes e inundações urbanas e ribeirinhas.</x:v>
      </x:c>
      <x:c r="S62" s="14" t="str">
        <x:v>Strength not demonstrated</x:v>
      </x:c>
      <x:c r="T62" s="14" t="str">
        <x:v>No demonstrated effectiveness</x:v>
      </x:c>
    </x:row>
    <x:row r="63" ht="76" customHeight="1">
      <x:c r="A63" s="14" t="str">
        <x:v>icare_0170</x:v>
      </x:c>
      <x:c r="B63" s="14" t="str">
        <x:v>Build safe housing and implement urban rehabilitation projects for populations living in high-risk areas</x:v>
      </x:c>
      <x:c r="C63" s="14" t="str">
        <x:v>Geohydrological Disasters</x:v>
      </x:c>
      <x:c r="D63" s="14" t="str">
        <x:v>Floods, flash floods, and urban flooding</x:v>
      </x:c>
      <x:c r="E63" s="14" t="str">
        <x:v>Vulnerability</x:v>
      </x:c>
      <x:c r="F63" s="15" t="str"/>
      <x:c r="G63" s="15" t="str"/>
      <x:c r="H63" s="14" t="str">
        <x:v>Manual para Apresentação de Propostas para Sistemas de Drenagem Urbana Sustentável e de Manejo de Águas Pluviais</x:v>
      </x:c>
      <x:c r="I63" s="14" t="str">
        <x:v>https://www.gov.br/mdr/pt-br/assuntos/emendasparlamentares/acao_10SG_drenagem_urbana.pdf</x:v>
      </x:c>
      <x:c r="J63" s="14" t="n">
        <x:v>9</x:v>
      </x:c>
      <x:c r="K63" s="14" t="str">
        <x:v>9</x:v>
      </x:c>
      <x:c r="L63" s="14" t="str">
        <x:v>Verified exact</x:v>
      </x:c>
      <x:c r="M63" s="14" t="str">
        <x:v>Normalized quote occurs on the cited PDF page.</x:v>
      </x:c>
      <x:c r="N63" s="14" t="str">
        <x:v>Supports</x:v>
      </x:c>
      <x:c r="O63" s="14" t="str">
        <x:v>Whole action</x:v>
      </x:c>
      <x:c r="P63" s="14" t="str">
        <x:v>No</x:v>
      </x:c>
      <x:c r="Q63" s="14" t="str">
        <x:v>Actions to reduce risk | Drainage</x:v>
      </x:c>
      <x:c r="R63" s="14" t="str">
        <x:v>Os projetos deverão quantificar o número de famílias e edificações beneficiadas que sairão da área de risco de alagamentos para o cenário projetado após a execução das obras de drenagem propostas, por meio da apresentação de mapas que apresentem as manchas de inundação para diferentes Tempos de Retorno (TR), para situação antes e após a execução da intervenção na área proposta.</x:v>
      </x:c>
      <x:c r="S63" s="14" t="str">
        <x:v>Strength not demonstrated</x:v>
      </x:c>
      <x:c r="T63" s="14" t="str">
        <x:v>No demonstrated effectiveness</x:v>
      </x:c>
    </x:row>
    <x:row r="64" ht="76" customHeight="1">
      <x:c r="A64" s="14" t="str">
        <x:v>icare_0170</x:v>
      </x:c>
      <x:c r="B64" s="14" t="str">
        <x:v>Build safe housing and implement urban rehabilitation projects for populations living in high-risk areas</x:v>
      </x:c>
      <x:c r="C64" s="14" t="str">
        <x:v>Geohydrological Disasters</x:v>
      </x:c>
      <x:c r="D64" s="14" t="str">
        <x:v>Floods, flash floods, and urban flooding</x:v>
      </x:c>
      <x:c r="E64" s="14" t="str">
        <x:v>Exposure</x:v>
      </x:c>
      <x:c r="F64" s="15" t="str"/>
      <x:c r="G64" s="15" t="str"/>
      <x:c r="H64" s="14" t="str">
        <x:v>Climate Change 2022: Impacts, Adaptation and Vulnerability</x:v>
      </x:c>
      <x:c r="I64" s="14" t="str">
        <x:v>https://www.ipcc.ch/report/ar6/wg2/downloads/report/IPCC_AR6_WGII_FullReport.pdf</x:v>
      </x:c>
      <x:c r="J64" s="14" t="n">
        <x:v>37</x:v>
      </x:c>
      <x:c r="K64" s="14" t="str">
        <x:v>25</x:v>
      </x:c>
      <x:c r="L64" s="14" t="str">
        <x:v>Verified ordered</x:v>
      </x:c>
      <x:c r="M64" s="14" t="str">
        <x:v>Ordered token coverage on the cited PDF page is 100.0%.</x:v>
      </x:c>
      <x:c r="N64" s="14" t="str">
        <x:v>Supports</x:v>
      </x:c>
      <x:c r="O64" s="14" t="str">
        <x:v>Whole action</x:v>
      </x:c>
      <x:c r="P64" s="14" t="str">
        <x:v>No</x:v>
      </x:c>
      <x:c r="Q64" s="14" t="str">
        <x:v>Households in risk areas | Urban population density</x:v>
      </x:c>
      <x:c r="R64" s="14" t="str">
        <x:v>Responses to ongoing sea level rise and land subsidence in low-lying coastal cities and settlements and small islands include protection, accommodation, advance and planned relocation (high confidence). These responses are more effective if combined and/or sequenced, planned well ahead, aligned with sociocultural values and development priorities, and underpinned by inclusive community engagement processes (high confidence).</x:v>
      </x:c>
      <x:c r="S64" s="14" t="str">
        <x:v>Moderate or conditional outcome</x:v>
      </x:c>
      <x:c r="T64" s="14" t="str">
        <x:v>Medium effectiveness</x:v>
      </x:c>
    </x:row>
    <x:row r="65" ht="76" customHeight="1">
      <x:c r="A65" s="14" t="str">
        <x:v>icare_0154</x:v>
      </x:c>
      <x:c r="B65" s="14" t="str">
        <x:v>Clean and unclog drainage channels and install eco-barriers</x:v>
      </x:c>
      <x:c r="C65" s="14" t="str">
        <x:v>Geohydrological Disasters</x:v>
      </x:c>
      <x:c r="D65" s="14" t="str">
        <x:v>Floods, flash floods, and urban flooding</x:v>
      </x:c>
      <x:c r="E65" s="14" t="str">
        <x:v>Vulnerability</x:v>
      </x:c>
      <x:c r="F65" s="15" t="str"/>
      <x:c r="G65" s="15" t="str"/>
      <x:c r="H65" s="14" t="str">
        <x:v>Manual para Apresentação de Propostas para Sistemas de Drenagem Urbana Sustentável e de Manejo de Águas Pluviais</x:v>
      </x:c>
      <x:c r="I65" s="14" t="str">
        <x:v>https://www.gov.br/mdr/pt-br/assuntos/emendasparlamentares/acao_10SG_drenagem_urbana.pdf</x:v>
      </x:c>
      <x:c r="J65" s="14" t="n">
        <x:v>5</x:v>
      </x:c>
      <x:c r="K65" s="14" t="str">
        <x:v>5</x:v>
      </x:c>
      <x:c r="L65" s="14" t="str">
        <x:v>Verified exact</x:v>
      </x:c>
      <x:c r="M65" s="14" t="str">
        <x:v>Normalized quote occurs on the cited PDF page.</x:v>
      </x:c>
      <x:c r="N65" s="14" t="str">
        <x:v>Supports</x:v>
      </x:c>
      <x:c r="O65" s="14" t="str">
        <x:v>Part of action</x:v>
      </x:c>
      <x:c r="P65" s="14" t="str">
        <x:v>No</x:v>
      </x:c>
      <x:c r="Q65" s="14" t="str">
        <x:v>Actions to reduce risk | Drainage</x:v>
      </x:c>
      <x:c r="R65" s="14" t="str">
        <x:v>A ação de apoio a Sistemas de Drenagem Urbana Sustentável e de Manejo de Águas Pluviais do Programa Gestão de Riscos e Desastres objetiva apoiar a redução do risco de desastres naturais em municípios críticos a partir do planejamento e da execução de obras, em articulação com as políticas de desenvolvimento urbano, de uso e ocupação do solo e de gestão das respectivas bacias hidrográficas, com foco na gestão sustentável da drenagem urbana, por meio de ações estruturais e não-estruturais dirigidas à recuperação de áreas úmidas, à prevenção, ao controle e à minimização dos impactos provocados por alagamentos, enchentes e inundações urbanas e ribeirinhas.</x:v>
      </x:c>
      <x:c r="S65" s="14" t="str">
        <x:v>Strength not demonstrated</x:v>
      </x:c>
      <x:c r="T65" s="14" t="str">
        <x:v>No demonstrated effectiveness</x:v>
      </x:c>
    </x:row>
    <x:row r="66" ht="76" customHeight="1">
      <x:c r="A66" s="14" t="str">
        <x:v>icare_0154</x:v>
      </x:c>
      <x:c r="B66" s="14" t="str">
        <x:v>Clean and unclog drainage channels and install eco-barriers</x:v>
      </x:c>
      <x:c r="C66" s="14" t="str">
        <x:v>Geohydrological Disasters</x:v>
      </x:c>
      <x:c r="D66" s="14" t="str">
        <x:v>Floods, flash floods, and urban flooding</x:v>
      </x:c>
      <x:c r="E66" s="14" t="str">
        <x:v>Vulnerability</x:v>
      </x:c>
      <x:c r="F66" s="15" t="str"/>
      <x:c r="G66" s="15" t="str"/>
      <x:c r="H66" s="14" t="str">
        <x:v>Manual para Apresentação de Propostas para Sistemas de Drenagem Urbana Sustentável e de Manejo de Águas Pluviais</x:v>
      </x:c>
      <x:c r="I66" s="14" t="str">
        <x:v>https://www.gov.br/mdr/pt-br/assuntos/emendasparlamentares/acao_10SG_drenagem_urbana.pdf</x:v>
      </x:c>
      <x:c r="J66" s="14" t="n">
        <x:v>9</x:v>
      </x:c>
      <x:c r="K66" s="14" t="str">
        <x:v>9</x:v>
      </x:c>
      <x:c r="L66" s="14" t="str">
        <x:v>Verified exact</x:v>
      </x:c>
      <x:c r="M66" s="14" t="str">
        <x:v>Normalized quote occurs on the cited PDF page.</x:v>
      </x:c>
      <x:c r="N66" s="14" t="str">
        <x:v>Supports</x:v>
      </x:c>
      <x:c r="O66" s="14" t="str">
        <x:v>Whole action</x:v>
      </x:c>
      <x:c r="P66" s="14" t="str">
        <x:v>No</x:v>
      </x:c>
      <x:c r="Q66" s="14" t="str">
        <x:v>Actions to reduce risk | Drainage</x:v>
      </x:c>
      <x:c r="R66" s="14" t="str">
        <x:v>Os projetos deverão quantificar o número de famílias e edificações beneficiadas que sairão da área de risco de alagamentos para o cenário projetado após a execução das obras de drenagem propostas, por meio da apresentação de mapas que apresentem as manchas de inundação para diferentes Tempos de Retorno (TR), para situação antes e após a execução da intervenção na área proposta.</x:v>
      </x:c>
      <x:c r="S66" s="14" t="str">
        <x:v>Strength not demonstrated</x:v>
      </x:c>
      <x:c r="T66" s="14" t="str">
        <x:v>No demonstrated effectiveness</x:v>
      </x:c>
    </x:row>
    <x:row r="67" ht="76" customHeight="1">
      <x:c r="A67" s="14" t="str">
        <x:v>icare_0180</x:v>
      </x:c>
      <x:c r="B67" s="14" t="str">
        <x:v>Expand urban green-blue networks and corridors</x:v>
      </x:c>
      <x:c r="C67" s="14" t="str">
        <x:v>Geohydrological Disasters</x:v>
      </x:c>
      <x:c r="D67" s="14" t="str">
        <x:v>Floods, flash floods, and urban flooding</x:v>
      </x:c>
      <x:c r="E67" s="14" t="str">
        <x:v>Vulnerability</x:v>
      </x:c>
      <x:c r="F67" s="15" t="str"/>
      <x:c r="G67" s="15" t="str"/>
      <x:c r="H67" s="14" t="str">
        <x:v>Climate Change 2022: Impacts Adaptation and Vulnerability — Chapter 6: Cities Settlements and Key Infrastructure</x:v>
      </x:c>
      <x:c r="I67" s="14" t="str">
        <x:v>https://www.ipcc.ch/report/ar6/wg2/downloads/report/IPCC_AR6_WGII_Chapter06.pdf</x:v>
      </x:c>
      <x:c r="J67" s="14" t="n">
        <x:v>32</x:v>
      </x:c>
      <x:c r="K67" s="14" t="str"/>
      <x:c r="L67" s="14" t="str">
        <x:v>Verified ordered</x:v>
      </x:c>
      <x:c r="M67" s="14" t="str">
        <x:v>Ordered token coverage is 100.0%.</x:v>
      </x:c>
      <x:c r="N67" s="14" t="str">
        <x:v>Supports</x:v>
      </x:c>
      <x:c r="O67" s="14" t="str">
        <x:v>Part of action</x:v>
      </x:c>
      <x:c r="P67" s="14" t="str">
        <x:v>No</x:v>
      </x:c>
      <x:c r="Q67" s="14" t="str">
        <x:v>Actions to reduce risk | Drainage</x:v>
      </x:c>
      <x:c r="R67" s="14" t="str">
        <x:v>Green infrastructure can be more flexible and cost effective for providing flood risk reduction.</x:v>
      </x:c>
      <x:c r="S67" s="14" t="str">
        <x:v>Moderate or conditional outcome</x:v>
      </x:c>
      <x:c r="T67" s="14" t="str">
        <x:v>Medium effectiveness</x:v>
      </x:c>
    </x:row>
    <x:row r="68" ht="76" customHeight="1">
      <x:c r="A68" s="14" t="str">
        <x:v>icare_0183</x:v>
      </x:c>
      <x:c r="B68" s="14" t="str">
        <x:v>Implement Multi-hazard Early Warning Systems (MH-EWS)</x:v>
      </x:c>
      <x:c r="C68" s="14" t="str">
        <x:v>Geohydrological Disasters</x:v>
      </x:c>
      <x:c r="D68" s="14" t="str">
        <x:v>Floods, flash floods, and urban flooding</x:v>
      </x:c>
      <x:c r="E68" s="14" t="str">
        <x:v>Vulnerability</x:v>
      </x:c>
      <x:c r="F68" s="15" t="str"/>
      <x:c r="G68" s="15" t="str"/>
      <x:c r="H68" s="14" t="str">
        <x:v>Early Warnings for All: Executive Action Plan 2023–2027</x:v>
      </x:c>
      <x:c r="I68" s="14" t="str">
        <x:v>https://www.undrr.org/sites/default/files/inline-files/EWS_Executive_Action_Plan_en_compressed%20%281%29.pdf?startDownload=true</x:v>
      </x:c>
      <x:c r="J68" s="14" t="n">
        <x:v>6</x:v>
      </x:c>
      <x:c r="K68" s="14" t="str">
        <x:v>1</x:v>
      </x:c>
      <x:c r="L68" s="14" t="str">
        <x:v>Verified exact</x:v>
      </x:c>
      <x:c r="M68" s="14" t="str">
        <x:v>Normalized quote occurs on the cited PDF page.</x:v>
      </x:c>
      <x:c r="N68" s="14" t="str">
        <x:v>Supports</x:v>
      </x:c>
      <x:c r="O68" s="14" t="str">
        <x:v>Whole action</x:v>
      </x:c>
      <x:c r="P68" s="14" t="str">
        <x:v>No</x:v>
      </x:c>
      <x:c r="Q68" s="14" t="str">
        <x:v>Early warning systems</x:v>
      </x:c>
      <x:c r="R68" s="14" t="str">
        <x:v>Early warnings save lives and provide vast economic benefits. Just 24 hours' notice of an impending hazardous event can cut the ensuing damage by 30 per cent. The Global Commission on Adaptation found that spending just $800 million on such systems in developing countries would avoid losses of $3–16 billion per annum.</x:v>
      </x:c>
      <x:c r="S68" s="14" t="str">
        <x:v>Strength not demonstrated</x:v>
      </x:c>
      <x:c r="T68" s="14" t="str">
        <x:v>Low effectiveness</x:v>
      </x:c>
    </x:row>
    <x:row r="69" ht="76" customHeight="1">
      <x:c r="A69" s="14" t="str">
        <x:v>icare_0183</x:v>
      </x:c>
      <x:c r="B69" s="14" t="str">
        <x:v>Implement Multi-hazard Early Warning Systems (MH-EWS)</x:v>
      </x:c>
      <x:c r="C69" s="14" t="str">
        <x:v>Geohydrological Disasters</x:v>
      </x:c>
      <x:c r="D69" s="14" t="str">
        <x:v>Floods, flash floods, and urban flooding</x:v>
      </x:c>
      <x:c r="E69" s="14" t="str">
        <x:v>Vulnerability</x:v>
      </x:c>
      <x:c r="F69" s="15" t="str"/>
      <x:c r="G69" s="15" t="str"/>
      <x:c r="H69" s="14" t="str">
        <x:v>Climate Change 2022: Impacts Adaptation and Vulnerability — Chapter 6: Cities Settlements and Key Infrastructure</x:v>
      </x:c>
      <x:c r="I69" s="14" t="str">
        <x:v>https://www.ipcc.ch/report/ar6/wg2/downloads/report/IPCC_AR6_WGII_Chapter06.pdf</x:v>
      </x:c>
      <x:c r="J69" s="14" t="n">
        <x:v>39</x:v>
      </x:c>
      <x:c r="K69" s="14" t="str"/>
      <x:c r="L69" s="14" t="str">
        <x:v>Verified ordered</x:v>
      </x:c>
      <x:c r="M69" s="14" t="str">
        <x:v>Ordered token coverage is 100.0%.</x:v>
      </x:c>
      <x:c r="N69" s="14" t="str">
        <x:v>Qualifies</x:v>
      </x:c>
      <x:c r="O69" s="14" t="str">
        <x:v>Whole action</x:v>
      </x:c>
      <x:c r="P69" s="14" t="str">
        <x:v>No</x:v>
      </x:c>
      <x:c r="Q69" s="14" t="str">
        <x:v>Early warning systems</x:v>
      </x:c>
      <x:c r="R69" s="14" t="str">
        <x:v>Early warning systems are effective for warning of threshold breaching events including cyclonic activity and riverine flooding but less able to provide localised warning, though capability is rapidly increasing.</x:v>
      </x:c>
      <x:c r="S69" s="14" t="str">
        <x:v>Explicitly limited outcome</x:v>
      </x:c>
      <x:c r="T69" s="14" t="str">
        <x:v>Low effectiveness</x:v>
      </x:c>
    </x:row>
    <x:row r="70" ht="76" customHeight="1">
      <x:c r="A70" s="14" t="str">
        <x:v>icare_0183</x:v>
      </x:c>
      <x:c r="B70" s="14" t="str">
        <x:v>Implement Multi-hazard Early Warning Systems (MH-EWS)</x:v>
      </x:c>
      <x:c r="C70" s="14" t="str">
        <x:v>Geohydrological Disasters</x:v>
      </x:c>
      <x:c r="D70" s="14" t="str">
        <x:v>Landslide</x:v>
      </x:c>
      <x:c r="E70" s="14" t="str">
        <x:v>Vulnerability</x:v>
      </x:c>
      <x:c r="F70" s="15" t="str"/>
      <x:c r="G70" s="15" t="str"/>
      <x:c r="H70" s="14" t="str">
        <x:v>Early Warnings for All: Executive Action Plan 2023–2027</x:v>
      </x:c>
      <x:c r="I70" s="14" t="str">
        <x:v>https://www.undrr.org/sites/default/files/inline-files/EWS_Executive_Action_Plan_en_compressed%20%281%29.pdf?startDownload=true</x:v>
      </x:c>
      <x:c r="J70" s="14" t="n">
        <x:v>6</x:v>
      </x:c>
      <x:c r="K70" s="14" t="str">
        <x:v>1</x:v>
      </x:c>
      <x:c r="L70" s="14" t="str">
        <x:v>Verified exact</x:v>
      </x:c>
      <x:c r="M70" s="14" t="str">
        <x:v>Normalized quote occurs on the cited PDF page.</x:v>
      </x:c>
      <x:c r="N70" s="14" t="str">
        <x:v>Supports</x:v>
      </x:c>
      <x:c r="O70" s="14" t="str">
        <x:v>Whole action</x:v>
      </x:c>
      <x:c r="P70" s="14" t="str">
        <x:v>No</x:v>
      </x:c>
      <x:c r="Q70" s="14" t="str">
        <x:v>Early warning systems</x:v>
      </x:c>
      <x:c r="R70" s="14" t="str">
        <x:v>Early warnings save lives and provide vast economic benefits. Just 24 hours' notice of an impending hazardous event can cut the ensuing damage by 30 per cent. The Global Commission on Adaptation found that spending just $800 million on such systems in developing countries would avoid losses of $3–16 billion per annum.</x:v>
      </x:c>
      <x:c r="S70" s="14" t="str">
        <x:v>Strength not demonstrated</x:v>
      </x:c>
      <x:c r="T70" s="14" t="str">
        <x:v>No demonstrated effectiveness</x:v>
      </x:c>
    </x:row>
    <x:row r="71" ht="76" customHeight="1">
      <x:c r="A71" s="14" t="str">
        <x:v>ipcc_0087</x:v>
      </x:c>
      <x:c r="B71" s="14" t="str">
        <x:v>Improve Infrastructure retrofitting</x:v>
      </x:c>
      <x:c r="C71" s="14" t="str">
        <x:v>Geohydrological Disasters</x:v>
      </x:c>
      <x:c r="D71" s="14" t="str">
        <x:v>Floods, flash floods, and urban flooding</x:v>
      </x:c>
      <x:c r="E71" s="14" t="str">
        <x:v>Vulnerability</x:v>
      </x:c>
      <x:c r="F71" s="15" t="str"/>
      <x:c r="G71" s="15" t="str"/>
      <x:c r="H71" s="14" t="str">
        <x:v>Climate Change 2022: Impacts Adaptation and Vulnerability — Chapter 6: Cities Settlements and Key Infrastructure</x:v>
      </x:c>
      <x:c r="I71" s="14" t="str">
        <x:v>https://www.ipcc.ch/report/ar6/wg2/downloads/report/IPCC_AR6_WGII_Chapter06.pdf</x:v>
      </x:c>
      <x:c r="J71" s="14" t="n">
        <x:v>49</x:v>
      </x:c>
      <x:c r="K71" s="14" t="str"/>
      <x:c r="L71" s="14" t="str">
        <x:v>Verified ordered</x:v>
      </x:c>
      <x:c r="M71" s="14" t="str">
        <x:v>Ordered token coverage is 100.0%.</x:v>
      </x:c>
      <x:c r="N71" s="14" t="str">
        <x:v>Supports</x:v>
      </x:c>
      <x:c r="O71" s="14" t="str">
        <x:v>Part of action</x:v>
      </x:c>
      <x:c r="P71" s="14" t="str">
        <x:v>No</x:v>
      </x:c>
      <x:c r="Q71" s="14" t="str">
        <x:v>Actions to reduce risk | Inappropriate households | Lack of urban mobility | Inaccessibility to cities</x:v>
      </x:c>
      <x:c r="R71" s="14" t="str">
        <x:v>The greatest benefits from adaptation of the global road network are in LMICs where reductions in flood risk are typically between 40% and 80%.</x:v>
      </x:c>
      <x:c r="S71" s="14" t="str">
        <x:v>Strong or quantified outcome</x:v>
      </x:c>
      <x:c r="T71" s="14" t="str">
        <x:v>Medium effectiveness</x:v>
      </x:c>
    </x:row>
    <x:row r="72" ht="76" customHeight="1">
      <x:c r="A72" s="14" t="str">
        <x:v>icare_0171</x:v>
      </x:c>
      <x:c r="B72" s="14" t="str">
        <x:v>Improve the hydrometeorological forecasting, monitoring, and alert system for climate risks</x:v>
      </x:c>
      <x:c r="C72" s="14" t="str">
        <x:v>Geohydrological Disasters</x:v>
      </x:c>
      <x:c r="D72" s="14" t="str">
        <x:v>Floods, flash floods, and urban flooding</x:v>
      </x:c>
      <x:c r="E72" s="14" t="str">
        <x:v>Vulnerability</x:v>
      </x:c>
      <x:c r="F72" s="15" t="str"/>
      <x:c r="G72" s="15" t="str"/>
      <x:c r="H72" s="14" t="str">
        <x:v>Early Warnings for All: Executive Action Plan 2023–2027</x:v>
      </x:c>
      <x:c r="I72" s="14" t="str">
        <x:v>https://www.undrr.org/sites/default/files/inline-files/EWS_Executive_Action_Plan_en_compressed%20%281%29.pdf?startDownload=true</x:v>
      </x:c>
      <x:c r="J72" s="14" t="n">
        <x:v>6</x:v>
      </x:c>
      <x:c r="K72" s="14" t="str">
        <x:v>1</x:v>
      </x:c>
      <x:c r="L72" s="14" t="str">
        <x:v>Verified exact</x:v>
      </x:c>
      <x:c r="M72" s="14" t="str">
        <x:v>Normalized quote occurs on the cited PDF page.</x:v>
      </x:c>
      <x:c r="N72" s="14" t="str">
        <x:v>Supports</x:v>
      </x:c>
      <x:c r="O72" s="14" t="str">
        <x:v>Whole action</x:v>
      </x:c>
      <x:c r="P72" s="14" t="str">
        <x:v>No</x:v>
      </x:c>
      <x:c r="Q72" s="14" t="str">
        <x:v>Early warning systems</x:v>
      </x:c>
      <x:c r="R72" s="14" t="str">
        <x:v>Early warnings save lives and provide vast economic benefits. Just 24 hours' notice of an impending hazardous event can cut the ensuing damage by 30 per cent. The Global Commission on Adaptation found that spending just $800 million on such systems in developing countries would avoid losses of $3–16 billion per annum.</x:v>
      </x:c>
      <x:c r="S72" s="14" t="str">
        <x:v>Strength not demonstrated</x:v>
      </x:c>
      <x:c r="T72" s="14" t="str">
        <x:v>Low effectiveness</x:v>
      </x:c>
    </x:row>
    <x:row r="73" ht="76" customHeight="1">
      <x:c r="A73" s="14" t="str">
        <x:v>icare_0171</x:v>
      </x:c>
      <x:c r="B73" s="14" t="str">
        <x:v>Improve the hydrometeorological forecasting, monitoring, and alert system for climate risks</x:v>
      </x:c>
      <x:c r="C73" s="14" t="str">
        <x:v>Geohydrological Disasters</x:v>
      </x:c>
      <x:c r="D73" s="14" t="str">
        <x:v>Floods, flash floods, and urban flooding</x:v>
      </x:c>
      <x:c r="E73" s="14" t="str">
        <x:v>Vulnerability</x:v>
      </x:c>
      <x:c r="F73" s="15" t="str"/>
      <x:c r="G73" s="15" t="str"/>
      <x:c r="H73" s="14" t="str">
        <x:v>Climate Change 2022: Impacts Adaptation and Vulnerability — Chapter 6: Cities Settlements and Key Infrastructure</x:v>
      </x:c>
      <x:c r="I73" s="14" t="str">
        <x:v>https://www.ipcc.ch/report/ar6/wg2/downloads/report/IPCC_AR6_WGII_Chapter06.pdf</x:v>
      </x:c>
      <x:c r="J73" s="14" t="n">
        <x:v>39</x:v>
      </x:c>
      <x:c r="K73" s="14" t="str"/>
      <x:c r="L73" s="14" t="str">
        <x:v>Verified ordered</x:v>
      </x:c>
      <x:c r="M73" s="14" t="str">
        <x:v>Ordered token coverage is 100.0%.</x:v>
      </x:c>
      <x:c r="N73" s="14" t="str">
        <x:v>Qualifies</x:v>
      </x:c>
      <x:c r="O73" s="14" t="str">
        <x:v>Whole action</x:v>
      </x:c>
      <x:c r="P73" s="14" t="str">
        <x:v>No</x:v>
      </x:c>
      <x:c r="Q73" s="14" t="str">
        <x:v>Early warning systems</x:v>
      </x:c>
      <x:c r="R73" s="14" t="str">
        <x:v>Early warning systems are effective for warning of threshold breaching events including cyclonic activity and riverine flooding but less able to provide localised warning, though capability is rapidly increasing.</x:v>
      </x:c>
      <x:c r="S73" s="14" t="str">
        <x:v>Explicitly limited outcome</x:v>
      </x:c>
      <x:c r="T73" s="14" t="str">
        <x:v>Low effectiveness</x:v>
      </x:c>
    </x:row>
    <x:row r="74" ht="76" customHeight="1">
      <x:c r="A74" s="14" t="str">
        <x:v>icare_0171</x:v>
      </x:c>
      <x:c r="B74" s="14" t="str">
        <x:v>Improve the hydrometeorological forecasting, monitoring, and alert system for climate risks</x:v>
      </x:c>
      <x:c r="C74" s="14" t="str">
        <x:v>Geohydrological Disasters</x:v>
      </x:c>
      <x:c r="D74" s="14" t="str">
        <x:v>Landslide</x:v>
      </x:c>
      <x:c r="E74" s="14" t="str">
        <x:v>Vulnerability</x:v>
      </x:c>
      <x:c r="F74" s="15" t="str"/>
      <x:c r="G74" s="15" t="str"/>
      <x:c r="H74" s="14" t="str">
        <x:v>Early Warnings for All: Executive Action Plan 2023–2027</x:v>
      </x:c>
      <x:c r="I74" s="14" t="str">
        <x:v>https://www.undrr.org/sites/default/files/inline-files/EWS_Executive_Action_Plan_en_compressed%20%281%29.pdf?startDownload=true</x:v>
      </x:c>
      <x:c r="J74" s="14" t="n">
        <x:v>6</x:v>
      </x:c>
      <x:c r="K74" s="14" t="str">
        <x:v>1</x:v>
      </x:c>
      <x:c r="L74" s="14" t="str">
        <x:v>Verified exact</x:v>
      </x:c>
      <x:c r="M74" s="14" t="str">
        <x:v>Normalized quote occurs on the cited PDF page.</x:v>
      </x:c>
      <x:c r="N74" s="14" t="str">
        <x:v>Supports</x:v>
      </x:c>
      <x:c r="O74" s="14" t="str">
        <x:v>Whole action</x:v>
      </x:c>
      <x:c r="P74" s="14" t="str">
        <x:v>No</x:v>
      </x:c>
      <x:c r="Q74" s="14" t="str">
        <x:v>Early warning systems</x:v>
      </x:c>
      <x:c r="R74" s="14" t="str">
        <x:v>Early warnings save lives and provide vast economic benefits. Just 24 hours' notice of an impending hazardous event can cut the ensuing damage by 30 per cent. The Global Commission on Adaptation found that spending just $800 million on such systems in developing countries would avoid losses of $3–16 billion per annum.</x:v>
      </x:c>
      <x:c r="S74" s="14" t="str">
        <x:v>Strength not demonstrated</x:v>
      </x:c>
      <x:c r="T74" s="14" t="str">
        <x:v>No demonstrated effectiveness</x:v>
      </x:c>
    </x:row>
    <x:row r="75" ht="76" customHeight="1">
      <x:c r="A75" s="14" t="str">
        <x:v>ipcc_0101</x:v>
      </x:c>
      <x:c r="B75" s="14" t="str">
        <x:v>Improve urban water management</x:v>
      </x:c>
      <x:c r="C75" s="14" t="str">
        <x:v>Geohydrological Disasters</x:v>
      </x:c>
      <x:c r="D75" s="14" t="str">
        <x:v>Floods, flash floods, and urban flooding</x:v>
      </x:c>
      <x:c r="E75" s="14" t="str">
        <x:v>Vulnerability</x:v>
      </x:c>
      <x:c r="F75" s="15" t="str"/>
      <x:c r="G75" s="15" t="str"/>
      <x:c r="H75" s="14" t="str">
        <x:v>Manual para Apresentação de Propostas para Sistemas de Drenagem Urbana Sustentável e de Manejo de Águas Pluviais</x:v>
      </x:c>
      <x:c r="I75" s="14" t="str">
        <x:v>https://www.gov.br/mdr/pt-br/assuntos/emendasparlamentares/acao_10SG_drenagem_urbana.pdf</x:v>
      </x:c>
      <x:c r="J75" s="14" t="n">
        <x:v>5</x:v>
      </x:c>
      <x:c r="K75" s="14" t="str">
        <x:v>5</x:v>
      </x:c>
      <x:c r="L75" s="14" t="str">
        <x:v>Verified exact</x:v>
      </x:c>
      <x:c r="M75" s="14" t="str">
        <x:v>Normalized quote occurs on the cited PDF page.</x:v>
      </x:c>
      <x:c r="N75" s="14" t="str">
        <x:v>Supports</x:v>
      </x:c>
      <x:c r="O75" s="14" t="str">
        <x:v>Part of action</x:v>
      </x:c>
      <x:c r="P75" s="14" t="str">
        <x:v>No</x:v>
      </x:c>
      <x:c r="Q75" s="14" t="str">
        <x:v>Actions to reduce risk | Drainage</x:v>
      </x:c>
      <x:c r="R75" s="14" t="str">
        <x:v>A ação de apoio a Sistemas de Drenagem Urbana Sustentável e de Manejo de Águas Pluviais do Programa Gestão de Riscos e Desastres objetiva apoiar a redução do risco de desastres naturais em municípios críticos a partir do planejamento e da execução de obras, em articulação com as políticas de desenvolvimento urbano, de uso e ocupação do solo e de gestão das respectivas bacias hidrográficas, com foco na gestão sustentável da drenagem urbana, por meio de ações estruturais e não-estruturais dirigidas à recuperação de áreas úmidas, à prevenção, ao controle e à minimização dos impactos provocados por alagamentos, enchentes e inundações urbanas e ribeirinhas.</x:v>
      </x:c>
      <x:c r="S75" s="14" t="str">
        <x:v>Strength not demonstrated</x:v>
      </x:c>
      <x:c r="T75" s="14" t="str">
        <x:v>Medium effectiveness</x:v>
      </x:c>
    </x:row>
    <x:row r="76" ht="76" customHeight="1">
      <x:c r="A76" s="14" t="str">
        <x:v>ipcc_0101</x:v>
      </x:c>
      <x:c r="B76" s="14" t="str">
        <x:v>Improve urban water management</x:v>
      </x:c>
      <x:c r="C76" s="14" t="str">
        <x:v>Geohydrological Disasters</x:v>
      </x:c>
      <x:c r="D76" s="14" t="str">
        <x:v>Floods, flash floods, and urban flooding</x:v>
      </x:c>
      <x:c r="E76" s="14" t="str">
        <x:v>Vulnerability</x:v>
      </x:c>
      <x:c r="F76" s="15" t="str"/>
      <x:c r="G76" s="15" t="str"/>
      <x:c r="H76" s="14" t="str">
        <x:v>Manual para Apresentação de Propostas para Sistemas de Drenagem Urbana Sustentável e de Manejo de Águas Pluviais</x:v>
      </x:c>
      <x:c r="I76" s="14" t="str">
        <x:v>https://www.gov.br/mdr/pt-br/assuntos/emendasparlamentares/acao_10SG_drenagem_urbana.pdf</x:v>
      </x:c>
      <x:c r="J76" s="14" t="n">
        <x:v>9</x:v>
      </x:c>
      <x:c r="K76" s="14" t="str">
        <x:v>9</x:v>
      </x:c>
      <x:c r="L76" s="14" t="str">
        <x:v>Verified exact</x:v>
      </x:c>
      <x:c r="M76" s="14" t="str">
        <x:v>Normalized quote occurs on the cited PDF page.</x:v>
      </x:c>
      <x:c r="N76" s="14" t="str">
        <x:v>Supports</x:v>
      </x:c>
      <x:c r="O76" s="14" t="str">
        <x:v>Whole action</x:v>
      </x:c>
      <x:c r="P76" s="14" t="str">
        <x:v>No</x:v>
      </x:c>
      <x:c r="Q76" s="14" t="str">
        <x:v>Actions to reduce risk | Drainage</x:v>
      </x:c>
      <x:c r="R76" s="14" t="str">
        <x:v>Os projetos deverão quantificar o número de famílias e edificações beneficiadas que sairão da área de risco de alagamentos para o cenário projetado após a execução das obras de drenagem propostas, por meio da apresentação de mapas que apresentem as manchas de inundação para diferentes Tempos de Retorno (TR), para situação antes e após a execução da intervenção na área proposta.</x:v>
      </x:c>
      <x:c r="S76" s="14" t="str">
        <x:v>Strength not demonstrated</x:v>
      </x:c>
      <x:c r="T76" s="14" t="str">
        <x:v>Medium effectiveness</x:v>
      </x:c>
    </x:row>
    <x:row r="77" ht="76" customHeight="1">
      <x:c r="A77" s="14" t="str">
        <x:v>ipcc_0101</x:v>
      </x:c>
      <x:c r="B77" s="14" t="str">
        <x:v>Improve urban water management</x:v>
      </x:c>
      <x:c r="C77" s="14" t="str">
        <x:v>Geohydrological Disasters</x:v>
      </x:c>
      <x:c r="D77" s="14" t="str">
        <x:v>Floods, flash floods, and urban flooding</x:v>
      </x:c>
      <x:c r="E77" s="14" t="str">
        <x:v>Vulnerability</x:v>
      </x:c>
      <x:c r="F77" s="15" t="str"/>
      <x:c r="G77" s="15" t="str"/>
      <x:c r="H77" s="14" t="str">
        <x:v>Climate Change 2022: Impacts Adaptation and Vulnerability — Chapter 6: Cities Settlements and Key Infrastructure</x:v>
      </x:c>
      <x:c r="I77" s="14" t="str">
        <x:v>https://www.ipcc.ch/report/ar6/wg2/downloads/report/IPCC_AR6_WGII_Chapter06.pdf</x:v>
      </x:c>
      <x:c r="J77" s="14" t="n">
        <x:v>32</x:v>
      </x:c>
      <x:c r="K77" s="14" t="str"/>
      <x:c r="L77" s="14" t="str">
        <x:v>Verified ordered</x:v>
      </x:c>
      <x:c r="M77" s="14" t="str">
        <x:v>Ordered token coverage is 100.0%.</x:v>
      </x:c>
      <x:c r="N77" s="14" t="str">
        <x:v>Supports</x:v>
      </x:c>
      <x:c r="O77" s="14" t="str">
        <x:v>Part of action</x:v>
      </x:c>
      <x:c r="P77" s="14" t="str">
        <x:v>No</x:v>
      </x:c>
      <x:c r="Q77" s="14" t="str">
        <x:v>Actions to reduce risk | Drainage</x:v>
      </x:c>
      <x:c r="R77" s="14" t="str">
        <x:v>Green infrastructure can be more flexible and cost effective for providing flood risk reduction.</x:v>
      </x:c>
      <x:c r="S77" s="14" t="str">
        <x:v>Moderate or conditional outcome</x:v>
      </x:c>
      <x:c r="T77" s="14" t="str">
        <x:v>Medium effectiveness</x:v>
      </x:c>
    </x:row>
    <x:row r="78" ht="76" customHeight="1">
      <x:c r="A78" s="14" t="str">
        <x:v>c40_0056</x:v>
      </x:c>
      <x:c r="B78" s="14" t="str">
        <x:v>Improve Watershed Protection and Management</x:v>
      </x:c>
      <x:c r="C78" s="14" t="str">
        <x:v>Geohydrological Disasters</x:v>
      </x:c>
      <x:c r="D78" s="14" t="str">
        <x:v>Floods, flash floods, and urban flooding</x:v>
      </x:c>
      <x:c r="E78" s="14" t="str">
        <x:v>Vulnerability</x:v>
      </x:c>
      <x:c r="F78" s="15" t="str"/>
      <x:c r="G78" s="15" t="str"/>
      <x:c r="H78" s="14" t="str">
        <x:v>Manual para Apresentação de Propostas para Sistemas de Drenagem Urbana Sustentável e de Manejo de Águas Pluviais</x:v>
      </x:c>
      <x:c r="I78" s="14" t="str">
        <x:v>https://www.gov.br/mdr/pt-br/assuntos/emendasparlamentares/acao_10SG_drenagem_urbana.pdf</x:v>
      </x:c>
      <x:c r="J78" s="14" t="n">
        <x:v>5</x:v>
      </x:c>
      <x:c r="K78" s="14" t="str">
        <x:v>5</x:v>
      </x:c>
      <x:c r="L78" s="14" t="str">
        <x:v>Verified exact</x:v>
      </x:c>
      <x:c r="M78" s="14" t="str">
        <x:v>Normalized quote occurs on the cited PDF page.</x:v>
      </x:c>
      <x:c r="N78" s="14" t="str">
        <x:v>Supports</x:v>
      </x:c>
      <x:c r="O78" s="14" t="str">
        <x:v>Part of action</x:v>
      </x:c>
      <x:c r="P78" s="14" t="str">
        <x:v>No</x:v>
      </x:c>
      <x:c r="Q78" s="14" t="str">
        <x:v>Land use and occupation</x:v>
      </x:c>
      <x:c r="R78" s="14" t="str">
        <x:v>A ação de apoio a Sistemas de Drenagem Urbana Sustentável e de Manejo de Águas Pluviais do Programa Gestão de Riscos e Desastres objetiva apoiar a redução do risco de desastres naturais em municípios críticos a partir do planejamento e da execução de obras, em articulação com as políticas de desenvolvimento urbano, de uso e ocupação do solo e de gestão das respectivas bacias hidrográficas, com foco na gestão sustentável da drenagem urbana, por meio de ações estruturais e não-estruturais dirigidas à recuperação de áreas úmidas, à prevenção, ao controle e à minimização dos impactos provocados por alagamentos, enchentes e inundações urbanas e ribeirinhas.</x:v>
      </x:c>
      <x:c r="S78" s="14" t="str">
        <x:v>Strength not demonstrated</x:v>
      </x:c>
      <x:c r="T78" s="14" t="str">
        <x:v>No demonstrated effectiveness</x:v>
      </x:c>
    </x:row>
    <x:row r="79" ht="76" customHeight="1">
      <x:c r="A79" s="14" t="str">
        <x:v>ipcc_0099</x:v>
      </x:c>
      <x:c r="B79" s="14" t="str">
        <x:v>Increase Water Capture and Storage</x:v>
      </x:c>
      <x:c r="C79" s="14" t="str">
        <x:v>Geohydrological Disasters</x:v>
      </x:c>
      <x:c r="D79" s="14" t="str">
        <x:v>Floods, flash floods, and urban flooding</x:v>
      </x:c>
      <x:c r="E79" s="14" t="str">
        <x:v>Vulnerability</x:v>
      </x:c>
      <x:c r="F79" s="15" t="str"/>
      <x:c r="G79" s="15" t="str"/>
      <x:c r="H79" s="14" t="str">
        <x:v>Manual para Apresentação de Propostas para Sistemas de Drenagem Urbana Sustentável e de Manejo de Águas Pluviais</x:v>
      </x:c>
      <x:c r="I79" s="14" t="str">
        <x:v>https://www.gov.br/mdr/pt-br/assuntos/emendasparlamentares/acao_10SG_drenagem_urbana.pdf</x:v>
      </x:c>
      <x:c r="J79" s="14" t="n">
        <x:v>5</x:v>
      </x:c>
      <x:c r="K79" s="14" t="str">
        <x:v>5</x:v>
      </x:c>
      <x:c r="L79" s="14" t="str">
        <x:v>Verified exact</x:v>
      </x:c>
      <x:c r="M79" s="14" t="str">
        <x:v>Normalized quote occurs on the cited PDF page.</x:v>
      </x:c>
      <x:c r="N79" s="14" t="str">
        <x:v>Supports</x:v>
      </x:c>
      <x:c r="O79" s="14" t="str">
        <x:v>Part of action</x:v>
      </x:c>
      <x:c r="P79" s="14" t="str">
        <x:v>No</x:v>
      </x:c>
      <x:c r="Q79" s="14" t="str">
        <x:v>Actions to reduce risk | Drainage</x:v>
      </x:c>
      <x:c r="R79" s="14" t="str">
        <x:v>A ação de apoio a Sistemas de Drenagem Urbana Sustentável e de Manejo de Águas Pluviais do Programa Gestão de Riscos e Desastres objetiva apoiar a redução do risco de desastres naturais em municípios críticos a partir do planejamento e da execução de obras, em articulação com as políticas de desenvolvimento urbano, de uso e ocupação do solo e de gestão das respectivas bacias hidrográficas, com foco na gestão sustentável da drenagem urbana, por meio de ações estruturais e não-estruturais dirigidas à recuperação de áreas úmidas, à prevenção, ao controle e à minimização dos impactos provocados por alagamentos, enchentes e inundações urbanas e ribeirinhas.</x:v>
      </x:c>
      <x:c r="S79" s="14" t="str">
        <x:v>Strength not demonstrated</x:v>
      </x:c>
      <x:c r="T79" s="14" t="str">
        <x:v>No demonstrated effectiveness</x:v>
      </x:c>
    </x:row>
    <x:row r="80" ht="76" customHeight="1">
      <x:c r="A80" s="14" t="str">
        <x:v>ipcc_0104</x:v>
      </x:c>
      <x:c r="B80" s="14" t="str">
        <x:v>Plan and support permanent climate‑related migration</x:v>
      </x:c>
      <x:c r="C80" s="14" t="str">
        <x:v>Geohydrological Disasters</x:v>
      </x:c>
      <x:c r="D80" s="14" t="str">
        <x:v>Floods, flash floods, and urban flooding</x:v>
      </x:c>
      <x:c r="E80" s="14" t="str">
        <x:v>Exposure</x:v>
      </x:c>
      <x:c r="F80" s="15" t="str"/>
      <x:c r="G80" s="15" t="str"/>
      <x:c r="H80" s="14" t="str">
        <x:v>Climate Change 2022: Impacts, Adaptation and Vulnerability</x:v>
      </x:c>
      <x:c r="I80" s="14" t="str">
        <x:v>https://www.ipcc.ch/report/ar6/wg2/downloads/report/IPCC_AR6_WGII_FullReport.pdf</x:v>
      </x:c>
      <x:c r="J80" s="14" t="n">
        <x:v>37</x:v>
      </x:c>
      <x:c r="K80" s="14" t="str">
        <x:v>25</x:v>
      </x:c>
      <x:c r="L80" s="14" t="str">
        <x:v>Verified ordered</x:v>
      </x:c>
      <x:c r="M80" s="14" t="str">
        <x:v>Ordered token coverage on the cited PDF page is 100.0%.</x:v>
      </x:c>
      <x:c r="N80" s="14" t="str">
        <x:v>Supports</x:v>
      </x:c>
      <x:c r="O80" s="14" t="str">
        <x:v>Whole action</x:v>
      </x:c>
      <x:c r="P80" s="14" t="str">
        <x:v>No</x:v>
      </x:c>
      <x:c r="Q80" s="14" t="str">
        <x:v>Households in risk areas | Urban population density</x:v>
      </x:c>
      <x:c r="R80" s="14" t="str">
        <x:v>Responses to ongoing sea level rise and land subsidence in low-lying coastal cities and settlements and small islands include protection, accommodation, advance and planned relocation (high confidence). These responses are more effective if combined and/or sequenced, planned well ahead, aligned with sociocultural values and development priorities, and underpinned by inclusive community engagement processes (high confidence).</x:v>
      </x:c>
      <x:c r="S80" s="14" t="str">
        <x:v>Moderate or conditional outcome</x:v>
      </x:c>
      <x:c r="T80" s="14" t="str">
        <x:v>Medium effectiveness</x:v>
      </x:c>
    </x:row>
    <x:row r="81" ht="76" customHeight="1">
      <x:c r="A81" s="14" t="str">
        <x:v>icare_0173</x:v>
      </x:c>
      <x:c r="B81" s="14" t="str">
        <x:v>Preventive maintenance of drainage systems</x:v>
      </x:c>
      <x:c r="C81" s="14" t="str">
        <x:v>Geohydrological Disasters</x:v>
      </x:c>
      <x:c r="D81" s="14" t="str">
        <x:v>Floods, flash floods, and urban flooding</x:v>
      </x:c>
      <x:c r="E81" s="14" t="str">
        <x:v>Vulnerability</x:v>
      </x:c>
      <x:c r="F81" s="15" t="str"/>
      <x:c r="G81" s="15" t="str"/>
      <x:c r="H81" s="14" t="str">
        <x:v>Manual para Apresentação de Propostas para Sistemas de Drenagem Urbana Sustentável e de Manejo de Águas Pluviais</x:v>
      </x:c>
      <x:c r="I81" s="14" t="str">
        <x:v>https://www.gov.br/mdr/pt-br/assuntos/emendasparlamentares/acao_10SG_drenagem_urbana.pdf</x:v>
      </x:c>
      <x:c r="J81" s="14" t="n">
        <x:v>5</x:v>
      </x:c>
      <x:c r="K81" s="14" t="str">
        <x:v>5</x:v>
      </x:c>
      <x:c r="L81" s="14" t="str">
        <x:v>Verified exact</x:v>
      </x:c>
      <x:c r="M81" s="14" t="str">
        <x:v>Normalized quote occurs on the cited PDF page.</x:v>
      </x:c>
      <x:c r="N81" s="14" t="str">
        <x:v>Supports</x:v>
      </x:c>
      <x:c r="O81" s="14" t="str">
        <x:v>Part of action</x:v>
      </x:c>
      <x:c r="P81" s="14" t="str">
        <x:v>No</x:v>
      </x:c>
      <x:c r="Q81" s="14" t="str">
        <x:v>Actions to reduce risk | Drainage</x:v>
      </x:c>
      <x:c r="R81" s="14" t="str">
        <x:v>A ação de apoio a Sistemas de Drenagem Urbana Sustentável e de Manejo de Águas Pluviais do Programa Gestão de Riscos e Desastres objetiva apoiar a redução do risco de desastres naturais em municípios críticos a partir do planejamento e da execução de obras, em articulação com as políticas de desenvolvimento urbano, de uso e ocupação do solo e de gestão das respectivas bacias hidrográficas, com foco na gestão sustentável da drenagem urbana, por meio de ações estruturais e não-estruturais dirigidas à recuperação de áreas úmidas, à prevenção, ao controle e à minimização dos impactos provocados por alagamentos, enchentes e inundações urbanas e ribeirinhas.</x:v>
      </x:c>
      <x:c r="S81" s="14" t="str">
        <x:v>Strength not demonstrated</x:v>
      </x:c>
      <x:c r="T81" s="14" t="str">
        <x:v>No demonstrated effectiveness</x:v>
      </x:c>
    </x:row>
    <x:row r="82" ht="76" customHeight="1">
      <x:c r="A82" s="14" t="str">
        <x:v>icare_0173</x:v>
      </x:c>
      <x:c r="B82" s="14" t="str">
        <x:v>Preventive maintenance of drainage systems</x:v>
      </x:c>
      <x:c r="C82" s="14" t="str">
        <x:v>Geohydrological Disasters</x:v>
      </x:c>
      <x:c r="D82" s="14" t="str">
        <x:v>Floods, flash floods, and urban flooding</x:v>
      </x:c>
      <x:c r="E82" s="14" t="str">
        <x:v>Vulnerability</x:v>
      </x:c>
      <x:c r="F82" s="15" t="str"/>
      <x:c r="G82" s="15" t="str"/>
      <x:c r="H82" s="14" t="str">
        <x:v>Manual para Apresentação de Propostas para Sistemas de Drenagem Urbana Sustentável e de Manejo de Águas Pluviais</x:v>
      </x:c>
      <x:c r="I82" s="14" t="str">
        <x:v>https://www.gov.br/mdr/pt-br/assuntos/emendasparlamentares/acao_10SG_drenagem_urbana.pdf</x:v>
      </x:c>
      <x:c r="J82" s="14" t="n">
        <x:v>9</x:v>
      </x:c>
      <x:c r="K82" s="14" t="str">
        <x:v>9</x:v>
      </x:c>
      <x:c r="L82" s="14" t="str">
        <x:v>Verified exact</x:v>
      </x:c>
      <x:c r="M82" s="14" t="str">
        <x:v>Normalized quote occurs on the cited PDF page.</x:v>
      </x:c>
      <x:c r="N82" s="14" t="str">
        <x:v>Supports</x:v>
      </x:c>
      <x:c r="O82" s="14" t="str">
        <x:v>Whole action</x:v>
      </x:c>
      <x:c r="P82" s="14" t="str">
        <x:v>No</x:v>
      </x:c>
      <x:c r="Q82" s="14" t="str">
        <x:v>Actions to reduce risk | Drainage</x:v>
      </x:c>
      <x:c r="R82" s="14" t="str">
        <x:v>Os projetos deverão quantificar o número de famílias e edificações beneficiadas que sairão da área de risco de alagamentos para o cenário projetado após a execução das obras de drenagem propostas, por meio da apresentação de mapas que apresentem as manchas de inundação para diferentes Tempos de Retorno (TR), para situação antes e após a execução da intervenção na área proposta.</x:v>
      </x:c>
      <x:c r="S82" s="14" t="str">
        <x:v>Strength not demonstrated</x:v>
      </x:c>
      <x:c r="T82" s="14" t="str">
        <x:v>No demonstrated effectiveness</x:v>
      </x:c>
    </x:row>
    <x:row r="83" ht="76" customHeight="1">
      <x:c r="A83" s="14" t="str">
        <x:v>icare_0181</x:v>
      </x:c>
      <x:c r="B83" s="14" t="str">
        <x:v>Restore in Vulnerable Areas</x:v>
      </x:c>
      <x:c r="C83" s="14" t="str">
        <x:v>Geohydrological Disasters</x:v>
      </x:c>
      <x:c r="D83" s="14" t="str">
        <x:v>Floods, flash floods, and urban flooding</x:v>
      </x:c>
      <x:c r="E83" s="14" t="str">
        <x:v>Vulnerability</x:v>
      </x:c>
      <x:c r="F83" s="15" t="str"/>
      <x:c r="G83" s="15" t="str"/>
      <x:c r="H83" s="14" t="str">
        <x:v>Manual para Apresentação de Propostas para Sistemas de Drenagem Urbana Sustentável e de Manejo de Águas Pluviais</x:v>
      </x:c>
      <x:c r="I83" s="14" t="str">
        <x:v>https://www.gov.br/mdr/pt-br/assuntos/emendasparlamentares/acao_10SG_drenagem_urbana.pdf</x:v>
      </x:c>
      <x:c r="J83" s="14" t="n">
        <x:v>9</x:v>
      </x:c>
      <x:c r="K83" s="14" t="str">
        <x:v>9</x:v>
      </x:c>
      <x:c r="L83" s="14" t="str">
        <x:v>Verified exact</x:v>
      </x:c>
      <x:c r="M83" s="14" t="str">
        <x:v>Normalized quote occurs on the cited PDF page.</x:v>
      </x:c>
      <x:c r="N83" s="14" t="str">
        <x:v>Supports</x:v>
      </x:c>
      <x:c r="O83" s="14" t="str">
        <x:v>Whole action</x:v>
      </x:c>
      <x:c r="P83" s="14" t="str">
        <x:v>No</x:v>
      </x:c>
      <x:c r="Q83" s="14" t="str">
        <x:v>Urban occupation management in risk areas | Actions to reduce risk</x:v>
      </x:c>
      <x:c r="R83" s="14" t="str">
        <x:v>Os projetos deverão quantificar o número de famílias e edificações beneficiadas que sairão da área de risco de alagamentos para o cenário projetado após a execução das obras de drenagem propostas, por meio da apresentação de mapas que apresentem as manchas de inundação para diferentes Tempos de Retorno (TR), para situação antes e após a execução da intervenção na área proposta.</x:v>
      </x:c>
      <x:c r="S83" s="14" t="str">
        <x:v>Strength not demonstrated</x:v>
      </x:c>
      <x:c r="T83" s="14" t="str">
        <x:v>No demonstrated effectiveness</x:v>
      </x:c>
    </x:row>
    <x:row r="84" ht="76" customHeight="1">
      <x:c r="A84" s="14" t="str">
        <x:v>icare_0181</x:v>
      </x:c>
      <x:c r="B84" s="14" t="str">
        <x:v>Restore in Vulnerable Areas</x:v>
      </x:c>
      <x:c r="C84" s="14" t="str">
        <x:v>Geohydrological Disasters</x:v>
      </x:c>
      <x:c r="D84" s="14" t="str">
        <x:v>Floods, flash floods, and urban flooding</x:v>
      </x:c>
      <x:c r="E84" s="14" t="str">
        <x:v>Exposure</x:v>
      </x:c>
      <x:c r="F84" s="15" t="str"/>
      <x:c r="G84" s="15" t="str"/>
      <x:c r="H84" s="14" t="str">
        <x:v>Climate Change 2022: Impacts, Adaptation and Vulnerability</x:v>
      </x:c>
      <x:c r="I84" s="14" t="str">
        <x:v>https://www.ipcc.ch/report/ar6/wg2/downloads/report/IPCC_AR6_WGII_FullReport.pdf</x:v>
      </x:c>
      <x:c r="J84" s="14" t="n">
        <x:v>37</x:v>
      </x:c>
      <x:c r="K84" s="14" t="str">
        <x:v>25</x:v>
      </x:c>
      <x:c r="L84" s="14" t="str">
        <x:v>Verified ordered</x:v>
      </x:c>
      <x:c r="M84" s="14" t="str">
        <x:v>Ordered token coverage on the cited PDF page is 100.0%.</x:v>
      </x:c>
      <x:c r="N84" s="14" t="str">
        <x:v>Supports</x:v>
      </x:c>
      <x:c r="O84" s="14" t="str">
        <x:v>Whole action</x:v>
      </x:c>
      <x:c r="P84" s="14" t="str">
        <x:v>No</x:v>
      </x:c>
      <x:c r="Q84" s="14" t="str">
        <x:v>Households in risk areas | Urban population density</x:v>
      </x:c>
      <x:c r="R84" s="14" t="str">
        <x:v>Responses to ongoing sea level rise and land subsidence in low-lying coastal cities and settlements and small islands include protection, accommodation, advance and planned relocation (high confidence). These responses are more effective if combined and/or sequenced, planned well ahead, aligned with sociocultural values and development priorities, and underpinned by inclusive community engagement processes (high confidence).</x:v>
      </x:c>
      <x:c r="S84" s="14" t="str">
        <x:v>Moderate or conditional outcome</x:v>
      </x:c>
      <x:c r="T84" s="14" t="str">
        <x:v>Medium effectiveness</x:v>
      </x:c>
    </x:row>
    <x:row r="85" ht="76" customHeight="1">
      <x:c r="A85" s="14" t="str">
        <x:v>icare_0184</x:v>
      </x:c>
      <x:c r="B85" s="14" t="str">
        <x:v>Upgrade Slope stabilization and drainage</x:v>
      </x:c>
      <x:c r="C85" s="14" t="str">
        <x:v>Geohydrological Disasters</x:v>
      </x:c>
      <x:c r="D85" s="14" t="str">
        <x:v>Floods, flash floods, and urban flooding</x:v>
      </x:c>
      <x:c r="E85" s="14" t="str">
        <x:v>Vulnerability</x:v>
      </x:c>
      <x:c r="F85" s="15" t="str"/>
      <x:c r="G85" s="15" t="str"/>
      <x:c r="H85" s="14" t="str">
        <x:v>Manual para Apresentação de Propostas para Sistemas de Drenagem Urbana Sustentável e de Manejo de Águas Pluviais</x:v>
      </x:c>
      <x:c r="I85" s="14" t="str">
        <x:v>https://www.gov.br/mdr/pt-br/assuntos/emendasparlamentares/acao_10SG_drenagem_urbana.pdf</x:v>
      </x:c>
      <x:c r="J85" s="14" t="n">
        <x:v>5</x:v>
      </x:c>
      <x:c r="K85" s="14" t="str">
        <x:v>5</x:v>
      </x:c>
      <x:c r="L85" s="14" t="str">
        <x:v>Verified exact</x:v>
      </x:c>
      <x:c r="M85" s="14" t="str">
        <x:v>Normalized quote occurs on the cited PDF page.</x:v>
      </x:c>
      <x:c r="N85" s="14" t="str">
        <x:v>Supports</x:v>
      </x:c>
      <x:c r="O85" s="14" t="str">
        <x:v>Part of action</x:v>
      </x:c>
      <x:c r="P85" s="14" t="str">
        <x:v>No</x:v>
      </x:c>
      <x:c r="Q85" s="14" t="str">
        <x:v>Actions to reduce risk | Drainage</x:v>
      </x:c>
      <x:c r="R85" s="14" t="str">
        <x:v>A ação de apoio a Sistemas de Drenagem Urbana Sustentável e de Manejo de Águas Pluviais do Programa Gestão de Riscos e Desastres objetiva apoiar a redução do risco de desastres naturais em municípios críticos a partir do planejamento e da execução de obras, em articulação com as políticas de desenvolvimento urbano, de uso e ocupação do solo e de gestão das respectivas bacias hidrográficas, com foco na gestão sustentável da drenagem urbana, por meio de ações estruturais e não-estruturais dirigidas à recuperação de áreas úmidas, à prevenção, ao controle e à minimização dos impactos provocados por alagamentos, enchentes e inundações urbanas e ribeirinhas.</x:v>
      </x:c>
      <x:c r="S85" s="14" t="str">
        <x:v>Strength not demonstrated</x:v>
      </x:c>
      <x:c r="T85" s="14" t="str">
        <x:v>No demonstrated effectiveness</x:v>
      </x:c>
    </x:row>
    <x:row r="86" ht="76" customHeight="1">
      <x:c r="A86" s="14" t="str">
        <x:v>icare_0184</x:v>
      </x:c>
      <x:c r="B86" s="14" t="str">
        <x:v>Upgrade Slope stabilization and drainage</x:v>
      </x:c>
      <x:c r="C86" s="14" t="str">
        <x:v>Geohydrological Disasters</x:v>
      </x:c>
      <x:c r="D86" s="14" t="str">
        <x:v>Floods, flash floods, and urban flooding</x:v>
      </x:c>
      <x:c r="E86" s="14" t="str">
        <x:v>Vulnerability</x:v>
      </x:c>
      <x:c r="F86" s="15" t="str"/>
      <x:c r="G86" s="15" t="str"/>
      <x:c r="H86" s="14" t="str">
        <x:v>Manual para Apresentação de Propostas para Sistemas de Drenagem Urbana Sustentável e de Manejo de Águas Pluviais</x:v>
      </x:c>
      <x:c r="I86" s="14" t="str">
        <x:v>https://www.gov.br/mdr/pt-br/assuntos/emendasparlamentares/acao_10SG_drenagem_urbana.pdf</x:v>
      </x:c>
      <x:c r="J86" s="14" t="n">
        <x:v>9</x:v>
      </x:c>
      <x:c r="K86" s="14" t="str">
        <x:v>9</x:v>
      </x:c>
      <x:c r="L86" s="14" t="str">
        <x:v>Verified exact</x:v>
      </x:c>
      <x:c r="M86" s="14" t="str">
        <x:v>Normalized quote occurs on the cited PDF page.</x:v>
      </x:c>
      <x:c r="N86" s="14" t="str">
        <x:v>Supports</x:v>
      </x:c>
      <x:c r="O86" s="14" t="str">
        <x:v>Part of action</x:v>
      </x:c>
      <x:c r="P86" s="14" t="str">
        <x:v>No</x:v>
      </x:c>
      <x:c r="Q86" s="14" t="str">
        <x:v>Actions to reduce risk | Drainage</x:v>
      </x:c>
      <x:c r="R86" s="14" t="str">
        <x:v>Os projetos deverão quantificar o número de famílias e edificações beneficiadas que sairão da área de risco de alagamentos para o cenário projetado após a execução das obras de drenagem propostas, por meio da apresentação de mapas que apresentem as manchas de inundação para diferentes Tempos de Retorno (TR), para situação antes e após a execução da intervenção na área proposta.</x:v>
      </x:c>
      <x:c r="S86" s="14" t="str">
        <x:v>Strength not demonstrated</x:v>
      </x:c>
      <x:c r="T86" s="14" t="str">
        <x:v>No demonstrated effectiveness</x:v>
      </x:c>
    </x:row>
    <x:row r="87" ht="76" customHeight="1">
      <x:c r="A87" s="14" t="str">
        <x:v>c40_0048</x:v>
      </x:c>
      <x:c r="B87" s="14" t="str">
        <x:v>Upgrade urban drainage systems</x:v>
      </x:c>
      <x:c r="C87" s="14" t="str">
        <x:v>Geohydrological Disasters</x:v>
      </x:c>
      <x:c r="D87" s="14" t="str">
        <x:v>Floods, flash floods, and urban flooding</x:v>
      </x:c>
      <x:c r="E87" s="14" t="str">
        <x:v>Vulnerability</x:v>
      </x:c>
      <x:c r="F87" s="15" t="str"/>
      <x:c r="G87" s="15" t="str"/>
      <x:c r="H87" s="14" t="str">
        <x:v>Manual para Apresentação de Propostas para Sistemas de Drenagem Urbana Sustentável e de Manejo de Águas Pluviais</x:v>
      </x:c>
      <x:c r="I87" s="14" t="str">
        <x:v>https://www.gov.br/mdr/pt-br/assuntos/emendasparlamentares/acao_10SG_drenagem_urbana.pdf</x:v>
      </x:c>
      <x:c r="J87" s="14" t="n">
        <x:v>5</x:v>
      </x:c>
      <x:c r="K87" s="14" t="str">
        <x:v>5</x:v>
      </x:c>
      <x:c r="L87" s="14" t="str">
        <x:v>Verified exact</x:v>
      </x:c>
      <x:c r="M87" s="14" t="str">
        <x:v>Normalized quote occurs on the cited PDF page.</x:v>
      </x:c>
      <x:c r="N87" s="14" t="str">
        <x:v>Supports</x:v>
      </x:c>
      <x:c r="O87" s="14" t="str">
        <x:v>Part of action</x:v>
      </x:c>
      <x:c r="P87" s="14" t="str">
        <x:v>No</x:v>
      </x:c>
      <x:c r="Q87" s="14" t="str">
        <x:v>Actions to reduce risk | Drainage</x:v>
      </x:c>
      <x:c r="R87" s="14" t="str">
        <x:v>A ação de apoio a Sistemas de Drenagem Urbana Sustentável e de Manejo de Águas Pluviais do Programa Gestão de Riscos e Desastres objetiva apoiar a redução do risco de desastres naturais em municípios críticos a partir do planejamento e da execução de obras, em articulação com as políticas de desenvolvimento urbano, de uso e ocupação do solo e de gestão das respectivas bacias hidrográficas, com foco na gestão sustentável da drenagem urbana, por meio de ações estruturais e não-estruturais dirigidas à recuperação de áreas úmidas, à prevenção, ao controle e à minimização dos impactos provocados por alagamentos, enchentes e inundações urbanas e ribeirinhas.</x:v>
      </x:c>
      <x:c r="S87" s="14" t="str">
        <x:v>Strength not demonstrated</x:v>
      </x:c>
      <x:c r="T87" s="14" t="str">
        <x:v>No demonstrated effectiveness</x:v>
      </x:c>
    </x:row>
    <x:row r="88" ht="76" customHeight="1">
      <x:c r="A88" s="14" t="str">
        <x:v>c40_0048</x:v>
      </x:c>
      <x:c r="B88" s="14" t="str">
        <x:v>Upgrade urban drainage systems</x:v>
      </x:c>
      <x:c r="C88" s="14" t="str">
        <x:v>Geohydrological Disasters</x:v>
      </x:c>
      <x:c r="D88" s="14" t="str">
        <x:v>Floods, flash floods, and urban flooding</x:v>
      </x:c>
      <x:c r="E88" s="14" t="str">
        <x:v>Vulnerability</x:v>
      </x:c>
      <x:c r="F88" s="15" t="str"/>
      <x:c r="G88" s="15" t="str"/>
      <x:c r="H88" s="14" t="str">
        <x:v>Manual para Apresentação de Propostas para Sistemas de Drenagem Urbana Sustentável e de Manejo de Águas Pluviais</x:v>
      </x:c>
      <x:c r="I88" s="14" t="str">
        <x:v>https://www.gov.br/mdr/pt-br/assuntos/emendasparlamentares/acao_10SG_drenagem_urbana.pdf</x:v>
      </x:c>
      <x:c r="J88" s="14" t="n">
        <x:v>9</x:v>
      </x:c>
      <x:c r="K88" s="14" t="str">
        <x:v>9</x:v>
      </x:c>
      <x:c r="L88" s="14" t="str">
        <x:v>Verified exact</x:v>
      </x:c>
      <x:c r="M88" s="14" t="str">
        <x:v>Normalized quote occurs on the cited PDF page.</x:v>
      </x:c>
      <x:c r="N88" s="14" t="str">
        <x:v>Supports</x:v>
      </x:c>
      <x:c r="O88" s="14" t="str">
        <x:v>Whole action</x:v>
      </x:c>
      <x:c r="P88" s="14" t="str">
        <x:v>No</x:v>
      </x:c>
      <x:c r="Q88" s="14" t="str">
        <x:v>Actions to reduce risk | Drainage</x:v>
      </x:c>
      <x:c r="R88" s="14" t="str">
        <x:v>Os projetos deverão quantificar o número de famílias e edificações beneficiadas que sairão da área de risco de alagamentos para o cenário projetado após a execução das obras de drenagem propostas, por meio da apresentação de mapas que apresentem as manchas de inundação para diferentes Tempos de Retorno (TR), para situação antes e após a execução da intervenção na área proposta.</x:v>
      </x:c>
      <x:c r="S88" s="14" t="str">
        <x:v>Strength not demonstrated</x:v>
      </x:c>
      <x:c r="T88" s="14" t="str">
        <x:v>No demonstrated effectiveness</x:v>
      </x:c>
    </x:row>
    <x:row r="89" ht="76" customHeight="1">
      <x:c r="A89" s="14" t="str">
        <x:v>ipcc_0086</x:v>
      </x:c>
      <x:c r="B89" s="14" t="str">
        <x:v>Implement ecosystem‑based adaptation measures</x:v>
      </x:c>
      <x:c r="C89" s="14" t="str">
        <x:v>Health</x:v>
      </x:c>
      <x:c r="D89" s="14" t="str">
        <x:v>Malaria</x:v>
      </x:c>
      <x:c r="E89" s="14" t="str">
        <x:v>Exposure</x:v>
      </x:c>
      <x:c r="F89" s="15" t="str"/>
      <x:c r="G89" s="15" t="str"/>
      <x:c r="H89" s="14" t="str">
        <x:v>Climate Change 2022: Impacts Adaptation and Vulnerability — Chapter 12: Central and South America</x:v>
      </x:c>
      <x:c r="I89" s="14" t="str">
        <x:v>https://www.ipcc.ch/report/ar6/wg2/downloads/report/IPCC_AR6_WGII_Chapter12.pdf</x:v>
      </x:c>
      <x:c r="J89" s="14" t="n">
        <x:v>57</x:v>
      </x:c>
      <x:c r="K89" s="14" t="str"/>
      <x:c r="L89" s="14" t="str">
        <x:v>Verified ordered</x:v>
      </x:c>
      <x:c r="M89" s="14" t="str">
        <x:v>Ordered token coverage is 99.0%.</x:v>
      </x:c>
      <x:c r="N89" s="14" t="str">
        <x:v>Qualifies</x:v>
      </x:c>
      <x:c r="O89" s="14" t="str">
        <x:v>Whole action</x:v>
      </x:c>
      <x:c r="P89" s="14" t="str">
        <x:v>No</x:v>
      </x:c>
      <x:c r="Q89" s="14" t="str">
        <x:v>Deforestation</x:v>
      </x:c>
      <x:c r="R89" s="14" t="str">
        <x:v>Another example of a public adaptation measure is the protection and restoration of natural areas, which have the potential to decrease the transmission of water- and vector-borne infectious diseases (medium confidence: robust evidence, low agreement). Studies have shown that these measures can diminish the cases of malaria and diarrhoea in Brazil and cases of diarrhoea in children in Colombia. However, deforestation and malaria have a complex relationship that relies on local context interactions, where land use and land cover changes play an important role due to vector ecology alterations and social conditions of human settlements.</x:v>
      </x:c>
      <x:c r="S89" s="14" t="str">
        <x:v>Moderate or conditional outcome</x:v>
      </x:c>
      <x:c r="T89" s="14" t="str">
        <x:v>Medium effectiveness</x:v>
      </x:c>
    </x:row>
    <x:row r="90" ht="76" customHeight="1">
      <x:c r="A90" s="14" t="str">
        <x:v>ipcc_0084</x:v>
      </x:c>
      <x:c r="B90" s="14" t="str">
        <x:v>Restore/create natural areas</x:v>
      </x:c>
      <x:c r="C90" s="14" t="str">
        <x:v>Health</x:v>
      </x:c>
      <x:c r="D90" s="14" t="str">
        <x:v>Malaria</x:v>
      </x:c>
      <x:c r="E90" s="14" t="str">
        <x:v>Exposure</x:v>
      </x:c>
      <x:c r="F90" s="15" t="str"/>
      <x:c r="G90" s="15" t="str"/>
      <x:c r="H90" s="14" t="str">
        <x:v>Climate Change 2022: Impacts Adaptation and Vulnerability — Chapter 12: Central and South America</x:v>
      </x:c>
      <x:c r="I90" s="14" t="str">
        <x:v>https://www.ipcc.ch/report/ar6/wg2/downloads/report/IPCC_AR6_WGII_Chapter12.pdf</x:v>
      </x:c>
      <x:c r="J90" s="14" t="n">
        <x:v>57</x:v>
      </x:c>
      <x:c r="K90" s="14" t="str"/>
      <x:c r="L90" s="14" t="str">
        <x:v>Verified ordered</x:v>
      </x:c>
      <x:c r="M90" s="14" t="str">
        <x:v>Ordered token coverage is 99.0%.</x:v>
      </x:c>
      <x:c r="N90" s="14" t="str">
        <x:v>Qualifies</x:v>
      </x:c>
      <x:c r="O90" s="14" t="str">
        <x:v>Whole action</x:v>
      </x:c>
      <x:c r="P90" s="14" t="str">
        <x:v>No</x:v>
      </x:c>
      <x:c r="Q90" s="14" t="str">
        <x:v>Deforestation</x:v>
      </x:c>
      <x:c r="R90" s="14" t="str">
        <x:v>Another example of a public adaptation measure is the protection and restoration of natural areas, which have the potential to decrease the transmission of water- and vector-borne infectious diseases (medium confidence: robust evidence, low agreement). Studies have shown that these measures can diminish the cases of malaria and diarrhoea in Brazil and cases of diarrhoea in children in Colombia. However, deforestation and malaria have a complex relationship that relies on local context interactions, where land use and land cover changes play an important role due to vector ecology alterations and social conditions of human settlements.</x:v>
      </x:c>
      <x:c r="S90" s="14" t="str">
        <x:v>Moderate or conditional outcome</x:v>
      </x:c>
      <x:c r="T90" s="14" t="str">
        <x:v>Medium effectiveness</x:v>
      </x:c>
    </x:row>
    <x:row r="91" ht="76" customHeight="1">
      <x:c r="A91" s="14" t="str">
        <x:v>ipcc_0094</x:v>
      </x:c>
      <x:c r="B91" s="14" t="str">
        <x:v>Strengthen climate‑resilient health services</x:v>
      </x:c>
      <x:c r="C91" s="14" t="str">
        <x:v>Health</x:v>
      </x:c>
      <x:c r="D91" s="14" t="str">
        <x:v>American cutaneous leishmaniasis</x:v>
      </x:c>
      <x:c r="E91" s="14" t="str">
        <x:v>Vulnerability</x:v>
      </x:c>
      <x:c r="F91" s="15" t="str"/>
      <x:c r="G91" s="15" t="str"/>
      <x:c r="H91" s="14" t="str">
        <x:v>Climate Change 2022: Impacts Adaptation and Vulnerability — Chapter 7: Health Wellbeing and the Changing Structure of Communities</x:v>
      </x:c>
      <x:c r="I91" s="14" t="str">
        <x:v>https://www.ipcc.ch/report/ar6/wg2/downloads/report/IPCC_AR6_WGII_Chapter07.pdf</x:v>
      </x:c>
      <x:c r="J91" s="14" t="n">
        <x:v>7</x:v>
      </x:c>
      <x:c r="K91" s="14" t="str"/>
      <x:c r="L91" s="14" t="str">
        <x:v>Verified ordered</x:v>
      </x:c>
      <x:c r="M91" s="14" t="str">
        <x:v>Ordered token coverage is 100.0%.</x:v>
      </x:c>
      <x:c r="N91" s="14" t="str">
        <x:v>Qualifies</x:v>
      </x:c>
      <x:c r="O91" s="14" t="str">
        <x:v>Whole action</x:v>
      </x:c>
      <x:c r="P91" s="14" t="str">
        <x:v>No</x:v>
      </x:c>
      <x:c r="Q91" s="14" t="str">
        <x:v>Basic care coverage</x:v>
      </x:c>
      <x:c r="R91" s="14" t="str">
        <x:v>Increased investment in strengthening general health systems, along with targeted investments to enhance protection against specific climate-sensitive exposures (e.g., hazard early warning and response systems, and integrated vector control programmes for VBDs) will increase resilience if implemented to at least keep pace with climate change (high confidence).</x:v>
      </x:c>
      <x:c r="S91" s="14" t="str">
        <x:v>Moderate or conditional outcome</x:v>
      </x:c>
      <x:c r="T91" s="14" t="str">
        <x:v>Medium effectiveness</x:v>
      </x:c>
    </x:row>
    <x:row r="92" ht="76" customHeight="1">
      <x:c r="A92" s="14" t="str">
        <x:v>ipcc_0094</x:v>
      </x:c>
      <x:c r="B92" s="14" t="str">
        <x:v>Strengthen climate‑resilient health services</x:v>
      </x:c>
      <x:c r="C92" s="14" t="str">
        <x:v>Health</x:v>
      </x:c>
      <x:c r="D92" s="14" t="str">
        <x:v>American cutaneous leishmaniasis</x:v>
      </x:c>
      <x:c r="E92" s="14" t="str">
        <x:v>Vulnerability</x:v>
      </x:c>
      <x:c r="F92" s="15" t="str"/>
      <x:c r="G92" s="15" t="str"/>
      <x:c r="H92" s="14" t="str">
        <x:v>Guidance for Climate Resilient and Environmentally Sustainable Health Care Facilities</x:v>
      </x:c>
      <x:c r="I92" s="14" t="str">
        <x:v>https://iris.who.int/server/api/core/bitstreams/f914ca26-bee6-4c17-bf53-36e613f2abbb/content?download=1</x:v>
      </x:c>
      <x:c r="J92" s="14" t="n">
        <x:v>8</x:v>
      </x:c>
      <x:c r="K92" s="14" t="str">
        <x:v>vi</x:v>
      </x:c>
      <x:c r="L92" s="14" t="str">
        <x:v>Verified exact</x:v>
      </x:c>
      <x:c r="M92" s="14" t="str">
        <x:v>Normalized quote occurs on the cited PDF page.</x:v>
      </x:c>
      <x:c r="N92" s="14" t="str">
        <x:v>Supports</x:v>
      </x:c>
      <x:c r="O92" s="14" t="str">
        <x:v>Whole action</x:v>
      </x:c>
      <x:c r="P92" s="14" t="str">
        <x:v>No</x:v>
      </x:c>
      <x:c r="Q92" s="14" t="str">
        <x:v>Basic care coverage</x:v>
      </x:c>
      <x:c r="R92" s="14" t="str">
        <x:v>Climate-resilient and environmentally sustainable health care facilities contribute to high quality of care and accessibility of services, and by helping reduce facility costs also ensure better affordability. They are, therefore, an important component of universal health coverage.</x:v>
      </x:c>
      <x:c r="S92" s="14" t="str">
        <x:v>Strength not demonstrated</x:v>
      </x:c>
      <x:c r="T92" s="14" t="str">
        <x:v>Medium effectiveness</x:v>
      </x:c>
    </x:row>
    <x:row r="93" ht="76" customHeight="1">
      <x:c r="A93" s="14" t="str">
        <x:v>ipcc_0094</x:v>
      </x:c>
      <x:c r="B93" s="14" t="str">
        <x:v>Strengthen climate‑resilient health services</x:v>
      </x:c>
      <x:c r="C93" s="14" t="str">
        <x:v>Health</x:v>
      </x:c>
      <x:c r="D93" s="14" t="str">
        <x:v>American cutaneous leishmaniasis</x:v>
      </x:c>
      <x:c r="E93" s="14" t="str">
        <x:v>Vulnerability</x:v>
      </x:c>
      <x:c r="F93" s="15" t="str"/>
      <x:c r="G93" s="15" t="str"/>
      <x:c r="H93" s="14" t="str">
        <x:v>Operational Framework for Building Climate Resilient Health Systems</x:v>
      </x:c>
      <x:c r="I93" s="14" t="str">
        <x:v>https://iris.who.int/server/api/core/bitstreams/63c28858-bafe-4ba0-881a-af0517b7e1bf/content?download=1</x:v>
      </x:c>
      <x:c r="J93" s="14" t="n">
        <x:v>15</x:v>
      </x:c>
      <x:c r="K93" s="14" t="str">
        <x:v>9</x:v>
      </x:c>
      <x:c r="L93" s="14" t="str">
        <x:v>Verified ordered</x:v>
      </x:c>
      <x:c r="M93" s="14" t="str">
        <x:v>Ordered token coverage on the cited PDF page is 97.8%.</x:v>
      </x:c>
      <x:c r="N93" s="14" t="str">
        <x:v>Supports</x:v>
      </x:c>
      <x:c r="O93" s="14" t="str">
        <x:v>Whole action</x:v>
      </x:c>
      <x:c r="P93" s="14" t="str">
        <x:v>No</x:v>
      </x:c>
      <x:c r="Q93" s="14" t="str">
        <x:v>Basic care coverage</x:v>
      </x:c>
      <x:c r="R93" s="14" t="str">
        <x:v>For health system strengthening the following measures are recommended: an adequate workforce and climate-proofed infrastructure in local facilities to control climate-sensitive diseases and improve response to local emergencies; surveillance systems to monitor population health and environmental exposure; and good practices of health governance.</x:v>
      </x:c>
      <x:c r="S93" s="14" t="str">
        <x:v>Strength not demonstrated</x:v>
      </x:c>
      <x:c r="T93" s="14" t="str">
        <x:v>Medium effectiveness</x:v>
      </x:c>
    </x:row>
    <x:row r="94" ht="76" customHeight="1">
      <x:c r="A94" s="14" t="str">
        <x:v>ipcc_0094</x:v>
      </x:c>
      <x:c r="B94" s="14" t="str">
        <x:v>Strengthen climate‑resilient health services</x:v>
      </x:c>
      <x:c r="C94" s="14" t="str">
        <x:v>Health</x:v>
      </x:c>
      <x:c r="D94" s="14" t="str">
        <x:v>Arboviruses dengue, zika and chikungunya</x:v>
      </x:c>
      <x:c r="E94" s="14" t="str">
        <x:v>Vulnerability</x:v>
      </x:c>
      <x:c r="F94" s="15" t="str"/>
      <x:c r="G94" s="15" t="str"/>
      <x:c r="H94" s="14" t="str">
        <x:v>Climate Change 2022: Impacts Adaptation and Vulnerability — Chapter 7: Health Wellbeing and the Changing Structure of Communities</x:v>
      </x:c>
      <x:c r="I94" s="14" t="str">
        <x:v>https://www.ipcc.ch/report/ar6/wg2/downloads/report/IPCC_AR6_WGII_Chapter07.pdf</x:v>
      </x:c>
      <x:c r="J94" s="14" t="n">
        <x:v>7</x:v>
      </x:c>
      <x:c r="K94" s="14" t="str"/>
      <x:c r="L94" s="14" t="str">
        <x:v>Verified ordered</x:v>
      </x:c>
      <x:c r="M94" s="14" t="str">
        <x:v>Ordered token coverage is 100.0%.</x:v>
      </x:c>
      <x:c r="N94" s="14" t="str">
        <x:v>Qualifies</x:v>
      </x:c>
      <x:c r="O94" s="14" t="str">
        <x:v>Whole action</x:v>
      </x:c>
      <x:c r="P94" s="14" t="str">
        <x:v>No</x:v>
      </x:c>
      <x:c r="Q94" s="14" t="str">
        <x:v>Basic care coverage</x:v>
      </x:c>
      <x:c r="R94" s="14" t="str">
        <x:v>Increased investment in strengthening general health systems, along with targeted investments to enhance protection against specific climate-sensitive exposures (e.g., hazard early warning and response systems, and integrated vector control programmes for VBDs) will increase resilience if implemented to at least keep pace with climate change (high confidence).</x:v>
      </x:c>
      <x:c r="S94" s="14" t="str">
        <x:v>Moderate or conditional outcome</x:v>
      </x:c>
      <x:c r="T94" s="14" t="str">
        <x:v>Medium effectiveness</x:v>
      </x:c>
    </x:row>
    <x:row r="95" ht="76" customHeight="1">
      <x:c r="A95" s="14" t="str">
        <x:v>ipcc_0094</x:v>
      </x:c>
      <x:c r="B95" s="14" t="str">
        <x:v>Strengthen climate‑resilient health services</x:v>
      </x:c>
      <x:c r="C95" s="14" t="str">
        <x:v>Health</x:v>
      </x:c>
      <x:c r="D95" s="14" t="str">
        <x:v>Arboviruses dengue, zika and chikungunya</x:v>
      </x:c>
      <x:c r="E95" s="14" t="str">
        <x:v>Vulnerability</x:v>
      </x:c>
      <x:c r="F95" s="15" t="str"/>
      <x:c r="G95" s="15" t="str"/>
      <x:c r="H95" s="14" t="str">
        <x:v>Guidance for Climate Resilient and Environmentally Sustainable Health Care Facilities</x:v>
      </x:c>
      <x:c r="I95" s="14" t="str">
        <x:v>https://iris.who.int/server/api/core/bitstreams/f914ca26-bee6-4c17-bf53-36e613f2abbb/content?download=1</x:v>
      </x:c>
      <x:c r="J95" s="14" t="n">
        <x:v>8</x:v>
      </x:c>
      <x:c r="K95" s="14" t="str">
        <x:v>vi</x:v>
      </x:c>
      <x:c r="L95" s="14" t="str">
        <x:v>Verified exact</x:v>
      </x:c>
      <x:c r="M95" s="14" t="str">
        <x:v>Normalized quote occurs on the cited PDF page.</x:v>
      </x:c>
      <x:c r="N95" s="14" t="str">
        <x:v>Supports</x:v>
      </x:c>
      <x:c r="O95" s="14" t="str">
        <x:v>Whole action</x:v>
      </x:c>
      <x:c r="P95" s="14" t="str">
        <x:v>No</x:v>
      </x:c>
      <x:c r="Q95" s="14" t="str">
        <x:v>Basic care coverage</x:v>
      </x:c>
      <x:c r="R95" s="14" t="str">
        <x:v>Climate-resilient and environmentally sustainable health care facilities contribute to high quality of care and accessibility of services, and by helping reduce facility costs also ensure better affordability. They are, therefore, an important component of universal health coverage.</x:v>
      </x:c>
      <x:c r="S95" s="14" t="str">
        <x:v>Strength not demonstrated</x:v>
      </x:c>
      <x:c r="T95" s="14" t="str">
        <x:v>Medium effectiveness</x:v>
      </x:c>
    </x:row>
    <x:row r="96" ht="76" customHeight="1">
      <x:c r="A96" s="14" t="str">
        <x:v>ipcc_0094</x:v>
      </x:c>
      <x:c r="B96" s="14" t="str">
        <x:v>Strengthen climate‑resilient health services</x:v>
      </x:c>
      <x:c r="C96" s="14" t="str">
        <x:v>Health</x:v>
      </x:c>
      <x:c r="D96" s="14" t="str">
        <x:v>Arboviruses dengue, zika and chikungunya</x:v>
      </x:c>
      <x:c r="E96" s="14" t="str">
        <x:v>Vulnerability</x:v>
      </x:c>
      <x:c r="F96" s="15" t="str"/>
      <x:c r="G96" s="15" t="str"/>
      <x:c r="H96" s="14" t="str">
        <x:v>Operational Framework for Building Climate Resilient Health Systems</x:v>
      </x:c>
      <x:c r="I96" s="14" t="str">
        <x:v>https://iris.who.int/server/api/core/bitstreams/63c28858-bafe-4ba0-881a-af0517b7e1bf/content?download=1</x:v>
      </x:c>
      <x:c r="J96" s="14" t="n">
        <x:v>15</x:v>
      </x:c>
      <x:c r="K96" s="14" t="str">
        <x:v>9</x:v>
      </x:c>
      <x:c r="L96" s="14" t="str">
        <x:v>Verified ordered</x:v>
      </x:c>
      <x:c r="M96" s="14" t="str">
        <x:v>Ordered token coverage on the cited PDF page is 97.8%.</x:v>
      </x:c>
      <x:c r="N96" s="14" t="str">
        <x:v>Supports</x:v>
      </x:c>
      <x:c r="O96" s="14" t="str">
        <x:v>Whole action</x:v>
      </x:c>
      <x:c r="P96" s="14" t="str">
        <x:v>No</x:v>
      </x:c>
      <x:c r="Q96" s="14" t="str">
        <x:v>Basic care coverage</x:v>
      </x:c>
      <x:c r="R96" s="14" t="str">
        <x:v>For health system strengthening the following measures are recommended: an adequate workforce and climate-proofed infrastructure in local facilities to control climate-sensitive diseases and improve response to local emergencies; surveillance systems to monitor population health and environmental exposure; and good practices of health governance.</x:v>
      </x:c>
      <x:c r="S96" s="14" t="str">
        <x:v>Strength not demonstrated</x:v>
      </x:c>
      <x:c r="T96" s="14" t="str">
        <x:v>Medium effectiveness</x:v>
      </x:c>
    </x:row>
    <x:row r="97" ht="76" customHeight="1">
      <x:c r="A97" s="14" t="str">
        <x:v>ipcc_0094</x:v>
      </x:c>
      <x:c r="B97" s="14" t="str">
        <x:v>Strengthen climate‑resilient health services</x:v>
      </x:c>
      <x:c r="C97" s="14" t="str">
        <x:v>Health</x:v>
      </x:c>
      <x:c r="D97" s="14" t="str">
        <x:v>Malaria</x:v>
      </x:c>
      <x:c r="E97" s="14" t="str">
        <x:v>Vulnerability</x:v>
      </x:c>
      <x:c r="F97" s="15" t="str"/>
      <x:c r="G97" s="15" t="str"/>
      <x:c r="H97" s="14" t="str">
        <x:v>Climate Change 2022: Impacts Adaptation and Vulnerability — Chapter 7: Health Wellbeing and the Changing Structure of Communities</x:v>
      </x:c>
      <x:c r="I97" s="14" t="str">
        <x:v>https://www.ipcc.ch/report/ar6/wg2/downloads/report/IPCC_AR6_WGII_Chapter07.pdf</x:v>
      </x:c>
      <x:c r="J97" s="14" t="n">
        <x:v>7</x:v>
      </x:c>
      <x:c r="K97" s="14" t="str"/>
      <x:c r="L97" s="14" t="str">
        <x:v>Verified ordered</x:v>
      </x:c>
      <x:c r="M97" s="14" t="str">
        <x:v>Ordered token coverage is 100.0%.</x:v>
      </x:c>
      <x:c r="N97" s="14" t="str">
        <x:v>Qualifies</x:v>
      </x:c>
      <x:c r="O97" s="14" t="str">
        <x:v>Whole action</x:v>
      </x:c>
      <x:c r="P97" s="14" t="str">
        <x:v>No</x:v>
      </x:c>
      <x:c r="Q97" s="14" t="str">
        <x:v>Basic care coverage | Access to diagnosis and treatment</x:v>
      </x:c>
      <x:c r="R97" s="14" t="str">
        <x:v>Increased investment in strengthening general health systems, along with targeted investments to enhance protection against specific climate-sensitive exposures (e.g., hazard early warning and response systems, and integrated vector control programmes for VBDs) will increase resilience if implemented to at least keep pace with climate change (high confidence).</x:v>
      </x:c>
      <x:c r="S97" s="14" t="str">
        <x:v>Moderate or conditional outcome</x:v>
      </x:c>
      <x:c r="T97" s="14" t="str">
        <x:v>Medium effectiveness</x:v>
      </x:c>
    </x:row>
    <x:row r="98" ht="76" customHeight="1">
      <x:c r="A98" s="14" t="str">
        <x:v>ipcc_0094</x:v>
      </x:c>
      <x:c r="B98" s="14" t="str">
        <x:v>Strengthen climate‑resilient health services</x:v>
      </x:c>
      <x:c r="C98" s="14" t="str">
        <x:v>Health</x:v>
      </x:c>
      <x:c r="D98" s="14" t="str">
        <x:v>Malaria</x:v>
      </x:c>
      <x:c r="E98" s="14" t="str">
        <x:v>Vulnerability</x:v>
      </x:c>
      <x:c r="F98" s="15" t="str"/>
      <x:c r="G98" s="15" t="str"/>
      <x:c r="H98" s="14" t="str">
        <x:v>Guidance for Climate Resilient and Environmentally Sustainable Health Care Facilities</x:v>
      </x:c>
      <x:c r="I98" s="14" t="str">
        <x:v>https://iris.who.int/server/api/core/bitstreams/f914ca26-bee6-4c17-bf53-36e613f2abbb/content?download=1</x:v>
      </x:c>
      <x:c r="J98" s="14" t="n">
        <x:v>8</x:v>
      </x:c>
      <x:c r="K98" s="14" t="str">
        <x:v>vi</x:v>
      </x:c>
      <x:c r="L98" s="14" t="str">
        <x:v>Verified exact</x:v>
      </x:c>
      <x:c r="M98" s="14" t="str">
        <x:v>Normalized quote occurs on the cited PDF page.</x:v>
      </x:c>
      <x:c r="N98" s="14" t="str">
        <x:v>Supports</x:v>
      </x:c>
      <x:c r="O98" s="14" t="str">
        <x:v>Whole action</x:v>
      </x:c>
      <x:c r="P98" s="14" t="str">
        <x:v>No</x:v>
      </x:c>
      <x:c r="Q98" s="14" t="str">
        <x:v>Basic care coverage | Access to diagnosis and treatment</x:v>
      </x:c>
      <x:c r="R98" s="14" t="str">
        <x:v>Climate-resilient and environmentally sustainable health care facilities contribute to high quality of care and accessibility of services, and by helping reduce facility costs also ensure better affordability. They are, therefore, an important component of universal health coverage.</x:v>
      </x:c>
      <x:c r="S98" s="14" t="str">
        <x:v>Strength not demonstrated</x:v>
      </x:c>
      <x:c r="T98" s="14" t="str">
        <x:v>Medium effectiveness</x:v>
      </x:c>
    </x:row>
    <x:row r="99" ht="76" customHeight="1">
      <x:c r="A99" s="14" t="str">
        <x:v>ipcc_0094</x:v>
      </x:c>
      <x:c r="B99" s="14" t="str">
        <x:v>Strengthen climate‑resilient health services</x:v>
      </x:c>
      <x:c r="C99" s="14" t="str">
        <x:v>Health</x:v>
      </x:c>
      <x:c r="D99" s="14" t="str">
        <x:v>Malaria</x:v>
      </x:c>
      <x:c r="E99" s="14" t="str">
        <x:v>Vulnerability</x:v>
      </x:c>
      <x:c r="F99" s="15" t="str"/>
      <x:c r="G99" s="15" t="str"/>
      <x:c r="H99" s="14" t="str">
        <x:v>Operational Framework for Building Climate Resilient Health Systems</x:v>
      </x:c>
      <x:c r="I99" s="14" t="str">
        <x:v>https://iris.who.int/server/api/core/bitstreams/63c28858-bafe-4ba0-881a-af0517b7e1bf/content?download=1</x:v>
      </x:c>
      <x:c r="J99" s="14" t="n">
        <x:v>15</x:v>
      </x:c>
      <x:c r="K99" s="14" t="str">
        <x:v>9</x:v>
      </x:c>
      <x:c r="L99" s="14" t="str">
        <x:v>Verified ordered</x:v>
      </x:c>
      <x:c r="M99" s="14" t="str">
        <x:v>Ordered token coverage on the cited PDF page is 97.8%.</x:v>
      </x:c>
      <x:c r="N99" s="14" t="str">
        <x:v>Supports</x:v>
      </x:c>
      <x:c r="O99" s="14" t="str">
        <x:v>Whole action</x:v>
      </x:c>
      <x:c r="P99" s="14" t="str">
        <x:v>No</x:v>
      </x:c>
      <x:c r="Q99" s="14" t="str">
        <x:v>Basic care coverage | Access to diagnosis and treatment</x:v>
      </x:c>
      <x:c r="R99" s="14" t="str">
        <x:v>For health system strengthening the following measures are recommended: an adequate workforce and climate-proofed infrastructure in local facilities to control climate-sensitive diseases and improve response to local emergencies; surveillance systems to monitor population health and environmental exposure; and good practices of health governance.</x:v>
      </x:c>
      <x:c r="S99" s="14" t="str">
        <x:v>Strength not demonstrated</x:v>
      </x:c>
      <x:c r="T99" s="14" t="str">
        <x:v>Medium effectiveness</x:v>
      </x:c>
    </x:row>
    <x:row r="100" ht="76" customHeight="1">
      <x:c r="A100" s="14" t="str">
        <x:v>ipcc_0094</x:v>
      </x:c>
      <x:c r="B100" s="14" t="str">
        <x:v>Strengthen climate‑resilient health services</x:v>
      </x:c>
      <x:c r="C100" s="14" t="str">
        <x:v>Health</x:v>
      </x:c>
      <x:c r="D100" s="14" t="str">
        <x:v>Visceral leishmaniasis</x:v>
      </x:c>
      <x:c r="E100" s="14" t="str">
        <x:v>Vulnerability</x:v>
      </x:c>
      <x:c r="F100" s="15" t="str"/>
      <x:c r="G100" s="15" t="str"/>
      <x:c r="H100" s="14" t="str">
        <x:v>Climate Change 2022: Impacts Adaptation and Vulnerability — Chapter 7: Health Wellbeing and the Changing Structure of Communities</x:v>
      </x:c>
      <x:c r="I100" s="14" t="str">
        <x:v>https://www.ipcc.ch/report/ar6/wg2/downloads/report/IPCC_AR6_WGII_Chapter07.pdf</x:v>
      </x:c>
      <x:c r="J100" s="14" t="n">
        <x:v>7</x:v>
      </x:c>
      <x:c r="K100" s="14" t="str"/>
      <x:c r="L100" s="14" t="str">
        <x:v>Verified ordered</x:v>
      </x:c>
      <x:c r="M100" s="14" t="str">
        <x:v>Ordered token coverage is 100.0%.</x:v>
      </x:c>
      <x:c r="N100" s="14" t="str">
        <x:v>Qualifies</x:v>
      </x:c>
      <x:c r="O100" s="14" t="str">
        <x:v>Whole action</x:v>
      </x:c>
      <x:c r="P100" s="14" t="str">
        <x:v>No</x:v>
      </x:c>
      <x:c r="Q100" s="14" t="str">
        <x:v>Basic care coverage</x:v>
      </x:c>
      <x:c r="R100" s="14" t="str">
        <x:v>Increased investment in strengthening general health systems, along with targeted investments to enhance protection against specific climate-sensitive exposures (e.g., hazard early warning and response systems, and integrated vector control programmes for VBDs) will increase resilience if implemented to at least keep pace with climate change (high confidence).</x:v>
      </x:c>
      <x:c r="S100" s="14" t="str">
        <x:v>Moderate or conditional outcome</x:v>
      </x:c>
      <x:c r="T100" s="14" t="str">
        <x:v>Medium effectiveness</x:v>
      </x:c>
    </x:row>
    <x:row r="101" ht="76" customHeight="1">
      <x:c r="A101" s="14" t="str">
        <x:v>ipcc_0094</x:v>
      </x:c>
      <x:c r="B101" s="14" t="str">
        <x:v>Strengthen climate‑resilient health services</x:v>
      </x:c>
      <x:c r="C101" s="14" t="str">
        <x:v>Health</x:v>
      </x:c>
      <x:c r="D101" s="14" t="str">
        <x:v>Visceral leishmaniasis</x:v>
      </x:c>
      <x:c r="E101" s="14" t="str">
        <x:v>Vulnerability</x:v>
      </x:c>
      <x:c r="F101" s="15" t="str"/>
      <x:c r="G101" s="15" t="str"/>
      <x:c r="H101" s="14" t="str">
        <x:v>Guidance for Climate Resilient and Environmentally Sustainable Health Care Facilities</x:v>
      </x:c>
      <x:c r="I101" s="14" t="str">
        <x:v>https://iris.who.int/server/api/core/bitstreams/f914ca26-bee6-4c17-bf53-36e613f2abbb/content?download=1</x:v>
      </x:c>
      <x:c r="J101" s="14" t="n">
        <x:v>8</x:v>
      </x:c>
      <x:c r="K101" s="14" t="str">
        <x:v>vi</x:v>
      </x:c>
      <x:c r="L101" s="14" t="str">
        <x:v>Verified exact</x:v>
      </x:c>
      <x:c r="M101" s="14" t="str">
        <x:v>Normalized quote occurs on the cited PDF page.</x:v>
      </x:c>
      <x:c r="N101" s="14" t="str">
        <x:v>Supports</x:v>
      </x:c>
      <x:c r="O101" s="14" t="str">
        <x:v>Whole action</x:v>
      </x:c>
      <x:c r="P101" s="14" t="str">
        <x:v>No</x:v>
      </x:c>
      <x:c r="Q101" s="14" t="str">
        <x:v>Basic care coverage</x:v>
      </x:c>
      <x:c r="R101" s="14" t="str">
        <x:v>Climate-resilient and environmentally sustainable health care facilities contribute to high quality of care and accessibility of services, and by helping reduce facility costs also ensure better affordability. They are, therefore, an important component of universal health coverage.</x:v>
      </x:c>
      <x:c r="S101" s="14" t="str">
        <x:v>Strength not demonstrated</x:v>
      </x:c>
      <x:c r="T101" s="14" t="str">
        <x:v>Medium effectiveness</x:v>
      </x:c>
    </x:row>
    <x:row r="102" ht="76" customHeight="1">
      <x:c r="A102" s="14" t="str">
        <x:v>ipcc_0094</x:v>
      </x:c>
      <x:c r="B102" s="14" t="str">
        <x:v>Strengthen climate‑resilient health services</x:v>
      </x:c>
      <x:c r="C102" s="14" t="str">
        <x:v>Health</x:v>
      </x:c>
      <x:c r="D102" s="14" t="str">
        <x:v>Visceral leishmaniasis</x:v>
      </x:c>
      <x:c r="E102" s="14" t="str">
        <x:v>Vulnerability</x:v>
      </x:c>
      <x:c r="F102" s="15" t="str"/>
      <x:c r="G102" s="15" t="str"/>
      <x:c r="H102" s="14" t="str">
        <x:v>Operational Framework for Building Climate Resilient Health Systems</x:v>
      </x:c>
      <x:c r="I102" s="14" t="str">
        <x:v>https://iris.who.int/server/api/core/bitstreams/63c28858-bafe-4ba0-881a-af0517b7e1bf/content?download=1</x:v>
      </x:c>
      <x:c r="J102" s="14" t="n">
        <x:v>15</x:v>
      </x:c>
      <x:c r="K102" s="14" t="str">
        <x:v>9</x:v>
      </x:c>
      <x:c r="L102" s="14" t="str">
        <x:v>Verified ordered</x:v>
      </x:c>
      <x:c r="M102" s="14" t="str">
        <x:v>Ordered token coverage on the cited PDF page is 97.8%.</x:v>
      </x:c>
      <x:c r="N102" s="14" t="str">
        <x:v>Supports</x:v>
      </x:c>
      <x:c r="O102" s="14" t="str">
        <x:v>Whole action</x:v>
      </x:c>
      <x:c r="P102" s="14" t="str">
        <x:v>No</x:v>
      </x:c>
      <x:c r="Q102" s="14" t="str">
        <x:v>Basic care coverage</x:v>
      </x:c>
      <x:c r="R102" s="14" t="str">
        <x:v>For health system strengthening the following measures are recommended: an adequate workforce and climate-proofed infrastructure in local facilities to control climate-sensitive diseases and improve response to local emergencies; surveillance systems to monitor population health and environmental exposure; and good practices of health governance.</x:v>
      </x:c>
      <x:c r="S102" s="14" t="str">
        <x:v>Strength not demonstrated</x:v>
      </x:c>
      <x:c r="T102" s="14" t="str">
        <x:v>Medium effectiveness</x:v>
      </x:c>
    </x:row>
    <x:row r="103" ht="76" customHeight="1">
      <x:c r="A103" s="14" t="str">
        <x:v>icare_0162</x:v>
      </x:c>
      <x:c r="B103" s="14" t="str">
        <x:v>Strengthen programs for control and conservation of protected areas</x:v>
      </x:c>
      <x:c r="C103" s="14" t="str">
        <x:v>Health</x:v>
      </x:c>
      <x:c r="D103" s="14" t="str">
        <x:v>Malaria</x:v>
      </x:c>
      <x:c r="E103" s="14" t="str">
        <x:v>Exposure</x:v>
      </x:c>
      <x:c r="F103" s="15" t="str"/>
      <x:c r="G103" s="15" t="str"/>
      <x:c r="H103" s="14" t="str">
        <x:v>Climate Change 2022: Impacts Adaptation and Vulnerability — Chapter 12: Central and South America</x:v>
      </x:c>
      <x:c r="I103" s="14" t="str">
        <x:v>https://www.ipcc.ch/report/ar6/wg2/downloads/report/IPCC_AR6_WGII_Chapter12.pdf</x:v>
      </x:c>
      <x:c r="J103" s="14" t="n">
        <x:v>57</x:v>
      </x:c>
      <x:c r="K103" s="14" t="str"/>
      <x:c r="L103" s="14" t="str">
        <x:v>Verified ordered</x:v>
      </x:c>
      <x:c r="M103" s="14" t="str">
        <x:v>Ordered token coverage is 99.0%.</x:v>
      </x:c>
      <x:c r="N103" s="14" t="str">
        <x:v>Qualifies</x:v>
      </x:c>
      <x:c r="O103" s="14" t="str">
        <x:v>Whole action</x:v>
      </x:c>
      <x:c r="P103" s="14" t="str">
        <x:v>No</x:v>
      </x:c>
      <x:c r="Q103" s="14" t="str">
        <x:v>Deforestation</x:v>
      </x:c>
      <x:c r="R103" s="14" t="str">
        <x:v>Another example of a public adaptation measure is the protection and restoration of natural areas, which have the potential to decrease the transmission of water- and vector-borne infectious diseases (medium confidence: robust evidence, low agreement). Studies have shown that these measures can diminish the cases of malaria and diarrhoea in Brazil and cases of diarrhoea in children in Colombia. However, deforestation and malaria have a complex relationship that relies on local context interactions, where land use and land cover changes play an important role due to vector ecology alterations and social conditions of human settlements.</x:v>
      </x:c>
      <x:c r="S103" s="14" t="str">
        <x:v>Moderate or conditional outcome</x:v>
      </x:c>
      <x:c r="T103" s="14" t="str">
        <x:v>Medium effectiveness</x:v>
      </x:c>
    </x:row>
    <x:row r="104" ht="76" customHeight="1">
      <x:c r="A104" s="14" t="str">
        <x:v>icare_0145</x:v>
      </x:c>
      <x:c r="B104" s="14" t="str">
        <x:v>Strengthen the healthcare system to respond effectively to extreme events</x:v>
      </x:c>
      <x:c r="C104" s="14" t="str">
        <x:v>Health</x:v>
      </x:c>
      <x:c r="D104" s="14" t="str">
        <x:v>American cutaneous leishmaniasis</x:v>
      </x:c>
      <x:c r="E104" s="14" t="str">
        <x:v>Vulnerability</x:v>
      </x:c>
      <x:c r="F104" s="15" t="str"/>
      <x:c r="G104" s="15" t="str"/>
      <x:c r="H104" s="14" t="str">
        <x:v>Guidance for Climate Resilient and Environmentally Sustainable Health Care Facilities</x:v>
      </x:c>
      <x:c r="I104" s="14" t="str">
        <x:v>https://iris.who.int/server/api/core/bitstreams/f914ca26-bee6-4c17-bf53-36e613f2abbb/content?download=1</x:v>
      </x:c>
      <x:c r="J104" s="14" t="n">
        <x:v>8</x:v>
      </x:c>
      <x:c r="K104" s="14" t="str">
        <x:v>vi</x:v>
      </x:c>
      <x:c r="L104" s="14" t="str">
        <x:v>Verified exact</x:v>
      </x:c>
      <x:c r="M104" s="14" t="str">
        <x:v>Normalized quote occurs on the cited PDF page.</x:v>
      </x:c>
      <x:c r="N104" s="14" t="str">
        <x:v>Supports</x:v>
      </x:c>
      <x:c r="O104" s="14" t="str">
        <x:v>Whole action</x:v>
      </x:c>
      <x:c r="P104" s="14" t="str">
        <x:v>No</x:v>
      </x:c>
      <x:c r="Q104" s="14" t="str">
        <x:v>Basic care coverage</x:v>
      </x:c>
      <x:c r="R104" s="14" t="str">
        <x:v>Climate-resilient and environmentally sustainable health care facilities contribute to high quality of care and accessibility of services, and by helping reduce facility costs also ensure better affordability. They are, therefore, an important component of universal health coverage.</x:v>
      </x:c>
      <x:c r="S104" s="14" t="str">
        <x:v>Strength not demonstrated</x:v>
      </x:c>
      <x:c r="T104" s="14" t="str">
        <x:v>No demonstrated effectiveness</x:v>
      </x:c>
    </x:row>
    <x:row r="105" ht="76" customHeight="1">
      <x:c r="A105" s="14" t="str">
        <x:v>icare_0145</x:v>
      </x:c>
      <x:c r="B105" s="14" t="str">
        <x:v>Strengthen the healthcare system to respond effectively to extreme events</x:v>
      </x:c>
      <x:c r="C105" s="14" t="str">
        <x:v>Health</x:v>
      </x:c>
      <x:c r="D105" s="14" t="str">
        <x:v>American cutaneous leishmaniasis</x:v>
      </x:c>
      <x:c r="E105" s="14" t="str">
        <x:v>Vulnerability</x:v>
      </x:c>
      <x:c r="F105" s="15" t="str"/>
      <x:c r="G105" s="15" t="str"/>
      <x:c r="H105" s="14" t="str">
        <x:v>Operational Framework for Building Climate Resilient Health Systems</x:v>
      </x:c>
      <x:c r="I105" s="14" t="str">
        <x:v>https://iris.who.int/server/api/core/bitstreams/63c28858-bafe-4ba0-881a-af0517b7e1bf/content?download=1</x:v>
      </x:c>
      <x:c r="J105" s="14" t="n">
        <x:v>15</x:v>
      </x:c>
      <x:c r="K105" s="14" t="str">
        <x:v>9</x:v>
      </x:c>
      <x:c r="L105" s="14" t="str">
        <x:v>Verified ordered</x:v>
      </x:c>
      <x:c r="M105" s="14" t="str">
        <x:v>Ordered token coverage on the cited PDF page is 97.8%.</x:v>
      </x:c>
      <x:c r="N105" s="14" t="str">
        <x:v>Supports</x:v>
      </x:c>
      <x:c r="O105" s="14" t="str">
        <x:v>Whole action</x:v>
      </x:c>
      <x:c r="P105" s="14" t="str">
        <x:v>No</x:v>
      </x:c>
      <x:c r="Q105" s="14" t="str">
        <x:v>Basic care coverage</x:v>
      </x:c>
      <x:c r="R105" s="14" t="str">
        <x:v>For health system strengthening the following measures are recommended: an adequate workforce and climate-proofed infrastructure in local facilities to control climate-sensitive diseases and improve response to local emergencies; surveillance systems to monitor population health and environmental exposure; and good practices of health governance.</x:v>
      </x:c>
      <x:c r="S105" s="14" t="str">
        <x:v>Strength not demonstrated</x:v>
      </x:c>
      <x:c r="T105" s="14" t="str">
        <x:v>No demonstrated effectiveness</x:v>
      </x:c>
    </x:row>
    <x:row r="106" ht="76" customHeight="1">
      <x:c r="A106" s="14" t="str">
        <x:v>icare_0145</x:v>
      </x:c>
      <x:c r="B106" s="14" t="str">
        <x:v>Strengthen the healthcare system to respond effectively to extreme events</x:v>
      </x:c>
      <x:c r="C106" s="14" t="str">
        <x:v>Health</x:v>
      </x:c>
      <x:c r="D106" s="14" t="str">
        <x:v>Arboviruses dengue, zika and chikungunya</x:v>
      </x:c>
      <x:c r="E106" s="14" t="str">
        <x:v>Vulnerability</x:v>
      </x:c>
      <x:c r="F106" s="15" t="str"/>
      <x:c r="G106" s="15" t="str"/>
      <x:c r="H106" s="14" t="str">
        <x:v>Guidance for Climate Resilient and Environmentally Sustainable Health Care Facilities</x:v>
      </x:c>
      <x:c r="I106" s="14" t="str">
        <x:v>https://iris.who.int/server/api/core/bitstreams/f914ca26-bee6-4c17-bf53-36e613f2abbb/content?download=1</x:v>
      </x:c>
      <x:c r="J106" s="14" t="n">
        <x:v>8</x:v>
      </x:c>
      <x:c r="K106" s="14" t="str">
        <x:v>vi</x:v>
      </x:c>
      <x:c r="L106" s="14" t="str">
        <x:v>Verified exact</x:v>
      </x:c>
      <x:c r="M106" s="14" t="str">
        <x:v>Normalized quote occurs on the cited PDF page.</x:v>
      </x:c>
      <x:c r="N106" s="14" t="str">
        <x:v>Supports</x:v>
      </x:c>
      <x:c r="O106" s="14" t="str">
        <x:v>Whole action</x:v>
      </x:c>
      <x:c r="P106" s="14" t="str">
        <x:v>No</x:v>
      </x:c>
      <x:c r="Q106" s="14" t="str">
        <x:v>Basic care coverage</x:v>
      </x:c>
      <x:c r="R106" s="14" t="str">
        <x:v>Climate-resilient and environmentally sustainable health care facilities contribute to high quality of care and accessibility of services, and by helping reduce facility costs also ensure better affordability. They are, therefore, an important component of universal health coverage.</x:v>
      </x:c>
      <x:c r="S106" s="14" t="str">
        <x:v>Strength not demonstrated</x:v>
      </x:c>
      <x:c r="T106" s="14" t="str">
        <x:v>No demonstrated effectiveness</x:v>
      </x:c>
    </x:row>
    <x:row r="107" ht="76" customHeight="1">
      <x:c r="A107" s="14" t="str">
        <x:v>icare_0145</x:v>
      </x:c>
      <x:c r="B107" s="14" t="str">
        <x:v>Strengthen the healthcare system to respond effectively to extreme events</x:v>
      </x:c>
      <x:c r="C107" s="14" t="str">
        <x:v>Health</x:v>
      </x:c>
      <x:c r="D107" s="14" t="str">
        <x:v>Arboviruses dengue, zika and chikungunya</x:v>
      </x:c>
      <x:c r="E107" s="14" t="str">
        <x:v>Vulnerability</x:v>
      </x:c>
      <x:c r="F107" s="15" t="str"/>
      <x:c r="G107" s="15" t="str"/>
      <x:c r="H107" s="14" t="str">
        <x:v>Operational Framework for Building Climate Resilient Health Systems</x:v>
      </x:c>
      <x:c r="I107" s="14" t="str">
        <x:v>https://iris.who.int/server/api/core/bitstreams/63c28858-bafe-4ba0-881a-af0517b7e1bf/content?download=1</x:v>
      </x:c>
      <x:c r="J107" s="14" t="n">
        <x:v>15</x:v>
      </x:c>
      <x:c r="K107" s="14" t="str">
        <x:v>9</x:v>
      </x:c>
      <x:c r="L107" s="14" t="str">
        <x:v>Verified ordered</x:v>
      </x:c>
      <x:c r="M107" s="14" t="str">
        <x:v>Ordered token coverage on the cited PDF page is 97.8%.</x:v>
      </x:c>
      <x:c r="N107" s="14" t="str">
        <x:v>Supports</x:v>
      </x:c>
      <x:c r="O107" s="14" t="str">
        <x:v>Whole action</x:v>
      </x:c>
      <x:c r="P107" s="14" t="str">
        <x:v>No</x:v>
      </x:c>
      <x:c r="Q107" s="14" t="str">
        <x:v>Basic care coverage</x:v>
      </x:c>
      <x:c r="R107" s="14" t="str">
        <x:v>For health system strengthening the following measures are recommended: an adequate workforce and climate-proofed infrastructure in local facilities to control climate-sensitive diseases and improve response to local emergencies; surveillance systems to monitor population health and environmental exposure; and good practices of health governance.</x:v>
      </x:c>
      <x:c r="S107" s="14" t="str">
        <x:v>Strength not demonstrated</x:v>
      </x:c>
      <x:c r="T107" s="14" t="str">
        <x:v>No demonstrated effectiveness</x:v>
      </x:c>
    </x:row>
    <x:row r="108" ht="76" customHeight="1">
      <x:c r="A108" s="14" t="str">
        <x:v>icare_0145</x:v>
      </x:c>
      <x:c r="B108" s="14" t="str">
        <x:v>Strengthen the healthcare system to respond effectively to extreme events</x:v>
      </x:c>
      <x:c r="C108" s="14" t="str">
        <x:v>Health</x:v>
      </x:c>
      <x:c r="D108" s="14" t="str">
        <x:v>Malaria</x:v>
      </x:c>
      <x:c r="E108" s="14" t="str">
        <x:v>Vulnerability</x:v>
      </x:c>
      <x:c r="F108" s="15" t="str"/>
      <x:c r="G108" s="15" t="str"/>
      <x:c r="H108" s="14" t="str">
        <x:v>Guidance for Climate Resilient and Environmentally Sustainable Health Care Facilities</x:v>
      </x:c>
      <x:c r="I108" s="14" t="str">
        <x:v>https://iris.who.int/server/api/core/bitstreams/f914ca26-bee6-4c17-bf53-36e613f2abbb/content?download=1</x:v>
      </x:c>
      <x:c r="J108" s="14" t="n">
        <x:v>8</x:v>
      </x:c>
      <x:c r="K108" s="14" t="str">
        <x:v>vi</x:v>
      </x:c>
      <x:c r="L108" s="14" t="str">
        <x:v>Verified exact</x:v>
      </x:c>
      <x:c r="M108" s="14" t="str">
        <x:v>Normalized quote occurs on the cited PDF page.</x:v>
      </x:c>
      <x:c r="N108" s="14" t="str">
        <x:v>Supports</x:v>
      </x:c>
      <x:c r="O108" s="14" t="str">
        <x:v>Whole action</x:v>
      </x:c>
      <x:c r="P108" s="14" t="str">
        <x:v>No</x:v>
      </x:c>
      <x:c r="Q108" s="14" t="str">
        <x:v>Basic care coverage | Access to diagnosis and treatment</x:v>
      </x:c>
      <x:c r="R108" s="14" t="str">
        <x:v>Climate-resilient and environmentally sustainable health care facilities contribute to high quality of care and accessibility of services, and by helping reduce facility costs also ensure better affordability. They are, therefore, an important component of universal health coverage.</x:v>
      </x:c>
      <x:c r="S108" s="14" t="str">
        <x:v>Strength not demonstrated</x:v>
      </x:c>
      <x:c r="T108" s="14" t="str">
        <x:v>No demonstrated effectiveness</x:v>
      </x:c>
    </x:row>
    <x:row r="109" ht="76" customHeight="1">
      <x:c r="A109" s="14" t="str">
        <x:v>icare_0145</x:v>
      </x:c>
      <x:c r="B109" s="14" t="str">
        <x:v>Strengthen the healthcare system to respond effectively to extreme events</x:v>
      </x:c>
      <x:c r="C109" s="14" t="str">
        <x:v>Health</x:v>
      </x:c>
      <x:c r="D109" s="14" t="str">
        <x:v>Malaria</x:v>
      </x:c>
      <x:c r="E109" s="14" t="str">
        <x:v>Vulnerability</x:v>
      </x:c>
      <x:c r="F109" s="15" t="str"/>
      <x:c r="G109" s="15" t="str"/>
      <x:c r="H109" s="14" t="str">
        <x:v>Operational Framework for Building Climate Resilient Health Systems</x:v>
      </x:c>
      <x:c r="I109" s="14" t="str">
        <x:v>https://iris.who.int/server/api/core/bitstreams/63c28858-bafe-4ba0-881a-af0517b7e1bf/content?download=1</x:v>
      </x:c>
      <x:c r="J109" s="14" t="n">
        <x:v>15</x:v>
      </x:c>
      <x:c r="K109" s="14" t="str">
        <x:v>9</x:v>
      </x:c>
      <x:c r="L109" s="14" t="str">
        <x:v>Verified ordered</x:v>
      </x:c>
      <x:c r="M109" s="14" t="str">
        <x:v>Ordered token coverage on the cited PDF page is 97.8%.</x:v>
      </x:c>
      <x:c r="N109" s="14" t="str">
        <x:v>Supports</x:v>
      </x:c>
      <x:c r="O109" s="14" t="str">
        <x:v>Whole action</x:v>
      </x:c>
      <x:c r="P109" s="14" t="str">
        <x:v>No</x:v>
      </x:c>
      <x:c r="Q109" s="14" t="str">
        <x:v>Basic care coverage | Access to diagnosis and treatment</x:v>
      </x:c>
      <x:c r="R109" s="14" t="str">
        <x:v>For health system strengthening the following measures are recommended: an adequate workforce and climate-proofed infrastructure in local facilities to control climate-sensitive diseases and improve response to local emergencies; surveillance systems to monitor population health and environmental exposure; and good practices of health governance.</x:v>
      </x:c>
      <x:c r="S109" s="14" t="str">
        <x:v>Strength not demonstrated</x:v>
      </x:c>
      <x:c r="T109" s="14" t="str">
        <x:v>No demonstrated effectiveness</x:v>
      </x:c>
    </x:row>
    <x:row r="110" ht="76" customHeight="1">
      <x:c r="A110" s="14" t="str">
        <x:v>icare_0145</x:v>
      </x:c>
      <x:c r="B110" s="14" t="str">
        <x:v>Strengthen the healthcare system to respond effectively to extreme events</x:v>
      </x:c>
      <x:c r="C110" s="14" t="str">
        <x:v>Health</x:v>
      </x:c>
      <x:c r="D110" s="14" t="str">
        <x:v>Visceral leishmaniasis</x:v>
      </x:c>
      <x:c r="E110" s="14" t="str">
        <x:v>Vulnerability</x:v>
      </x:c>
      <x:c r="F110" s="15" t="str"/>
      <x:c r="G110" s="15" t="str"/>
      <x:c r="H110" s="14" t="str">
        <x:v>Guidance for Climate Resilient and Environmentally Sustainable Health Care Facilities</x:v>
      </x:c>
      <x:c r="I110" s="14" t="str">
        <x:v>https://iris.who.int/server/api/core/bitstreams/f914ca26-bee6-4c17-bf53-36e613f2abbb/content?download=1</x:v>
      </x:c>
      <x:c r="J110" s="14" t="n">
        <x:v>8</x:v>
      </x:c>
      <x:c r="K110" s="14" t="str">
        <x:v>vi</x:v>
      </x:c>
      <x:c r="L110" s="14" t="str">
        <x:v>Verified exact</x:v>
      </x:c>
      <x:c r="M110" s="14" t="str">
        <x:v>Normalized quote occurs on the cited PDF page.</x:v>
      </x:c>
      <x:c r="N110" s="14" t="str">
        <x:v>Supports</x:v>
      </x:c>
      <x:c r="O110" s="14" t="str">
        <x:v>Whole action</x:v>
      </x:c>
      <x:c r="P110" s="14" t="str">
        <x:v>No</x:v>
      </x:c>
      <x:c r="Q110" s="14" t="str">
        <x:v>Basic care coverage</x:v>
      </x:c>
      <x:c r="R110" s="14" t="str">
        <x:v>Climate-resilient and environmentally sustainable health care facilities contribute to high quality of care and accessibility of services, and by helping reduce facility costs also ensure better affordability. They are, therefore, an important component of universal health coverage.</x:v>
      </x:c>
      <x:c r="S110" s="14" t="str">
        <x:v>Strength not demonstrated</x:v>
      </x:c>
      <x:c r="T110" s="14" t="str">
        <x:v>No demonstrated effectiveness</x:v>
      </x:c>
    </x:row>
    <x:row r="111" ht="76" customHeight="1">
      <x:c r="A111" s="14" t="str">
        <x:v>icare_0145</x:v>
      </x:c>
      <x:c r="B111" s="14" t="str">
        <x:v>Strengthen the healthcare system to respond effectively to extreme events</x:v>
      </x:c>
      <x:c r="C111" s="14" t="str">
        <x:v>Health</x:v>
      </x:c>
      <x:c r="D111" s="14" t="str">
        <x:v>Visceral leishmaniasis</x:v>
      </x:c>
      <x:c r="E111" s="14" t="str">
        <x:v>Vulnerability</x:v>
      </x:c>
      <x:c r="F111" s="15" t="str"/>
      <x:c r="G111" s="15" t="str"/>
      <x:c r="H111" s="14" t="str">
        <x:v>Operational Framework for Building Climate Resilient Health Systems</x:v>
      </x:c>
      <x:c r="I111" s="14" t="str">
        <x:v>https://iris.who.int/server/api/core/bitstreams/63c28858-bafe-4ba0-881a-af0517b7e1bf/content?download=1</x:v>
      </x:c>
      <x:c r="J111" s="14" t="n">
        <x:v>15</x:v>
      </x:c>
      <x:c r="K111" s="14" t="str">
        <x:v>9</x:v>
      </x:c>
      <x:c r="L111" s="14" t="str">
        <x:v>Verified ordered</x:v>
      </x:c>
      <x:c r="M111" s="14" t="str">
        <x:v>Ordered token coverage on the cited PDF page is 97.8%.</x:v>
      </x:c>
      <x:c r="N111" s="14" t="str">
        <x:v>Supports</x:v>
      </x:c>
      <x:c r="O111" s="14" t="str">
        <x:v>Whole action</x:v>
      </x:c>
      <x:c r="P111" s="14" t="str">
        <x:v>No</x:v>
      </x:c>
      <x:c r="Q111" s="14" t="str">
        <x:v>Basic care coverage</x:v>
      </x:c>
      <x:c r="R111" s="14" t="str">
        <x:v>For health system strengthening the following measures are recommended: an adequate workforce and climate-proofed infrastructure in local facilities to control climate-sensitive diseases and improve response to local emergencies; surveillance systems to monitor population health and environmental exposure; and good practices of health governance.</x:v>
      </x:c>
      <x:c r="S111" s="14" t="str">
        <x:v>Strength not demonstrated</x:v>
      </x:c>
      <x:c r="T111" s="14" t="str">
        <x:v>No demonstrated effectiveness</x:v>
      </x:c>
    </x:row>
    <x:row r="112" ht="76" customHeight="1">
      <x:c r="A112" s="14" t="str">
        <x:v>icare_0169</x:v>
      </x:c>
      <x:c r="B112" s="14" t="str">
        <x:v>Establish a Plan for Preparation and Emergency Response Measures in the event of extreme weather events</x:v>
      </x:c>
      <x:c r="C112" s="14" t="str">
        <x:v>Water Resources</x:v>
      </x:c>
      <x:c r="D112" s="14" t="str">
        <x:v>Risk of water stress</x:v>
      </x:c>
      <x:c r="E112" s="14" t="str">
        <x:v>Vulnerability</x:v>
      </x:c>
      <x:c r="F112" s="15" t="str"/>
      <x:c r="G112" s="15" t="str"/>
      <x:c r="H112" s="14" t="str">
        <x:v>Water Security and Climate Change: Insights from Country Climate and Development Reports</x:v>
      </x:c>
      <x:c r="I112" s="14" t="str">
        <x:v>https://documents1.worldbank.org/curated/en/099124511122431814/pdf/IDU1fa8a4c3a1fd8c14810194851fb785b73d02d.pdf</x:v>
      </x:c>
      <x:c r="J112" s="14" t="n">
        <x:v>14</x:v>
      </x:c>
      <x:c r="K112" s="14" t="str"/>
      <x:c r="L112" s="14" t="str">
        <x:v>Verified ordered</x:v>
      </x:c>
      <x:c r="M112" s="14" t="str">
        <x:v>Ordered token coverage on the cited PDF page is 100.0%.</x:v>
      </x:c>
      <x:c r="N112" s="14" t="str">
        <x:v>Supports</x:v>
      </x:c>
      <x:c r="O112" s="14" t="str">
        <x:v>Whole action</x:v>
      </x:c>
      <x:c r="P112" s="14" t="str">
        <x:v>No</x:v>
      </x:c>
      <x:c r="Q112" s="14" t="str">
        <x:v>Drought-related prevention actions</x:v>
      </x:c>
      <x:c r="R112" s="14" t="str">
        <x:v>Smart agriculture, drip irrigation, agricultural research, reservoir management, and water availability forecast systems. Emergency response and alerts, digital infrastructure and apps. Surface water and underwater unmanned vehicles that monitor changes in climate and marine ecosystems.</x:v>
      </x:c>
      <x:c r="S112" s="14" t="str">
        <x:v>Strength not demonstrated</x:v>
      </x:c>
      <x:c r="T112" s="14" t="str">
        <x:v>No demonstrated effectiveness</x:v>
      </x:c>
    </x:row>
    <x:row r="113" ht="76" customHeight="1">
      <x:c r="A113" s="14" t="str">
        <x:v>icare_0180</x:v>
      </x:c>
      <x:c r="B113" s="14" t="str">
        <x:v>Expand urban green-blue networks and corridors</x:v>
      </x:c>
      <x:c r="C113" s="14" t="str">
        <x:v>Water Resources</x:v>
      </x:c>
      <x:c r="D113" s="14" t="str">
        <x:v>Risk of water stress</x:v>
      </x:c>
      <x:c r="E113" s="14" t="str">
        <x:v>Vulnerability</x:v>
      </x:c>
      <x:c r="F113" s="15" t="str"/>
      <x:c r="G113" s="15" t="str"/>
      <x:c r="H113" s="14" t="str">
        <x:v>Water and Climate Change Adaptation in Transboundary Basins: Lessons Learned and Good Practices</x:v>
      </x:c>
      <x:c r="I113" s="14" t="str">
        <x:v>https://unece.org/info/publications/pub/21743</x:v>
      </x:c>
      <x:c r="J113" s="14" t="n">
        <x:v>37</x:v>
      </x:c>
      <x:c r="K113" s="14" t="str"/>
      <x:c r="L113" s="14" t="str">
        <x:v>Verified ordered</x:v>
      </x:c>
      <x:c r="M113" s="14" t="str">
        <x:v>Ordered token coverage on the cited PDF page is 100.0%.</x:v>
      </x:c>
      <x:c r="N113" s="14" t="str">
        <x:v>Supports</x:v>
      </x:c>
      <x:c r="O113" s="14" t="str">
        <x:v>Part of action</x:v>
      </x:c>
      <x:c r="P113" s="14" t="str">
        <x:v>No</x:v>
      </x:c>
      <x:c r="Q113" s="14" t="str">
        <x:v>Water quality | Degraded and/or deforested areas</x:v>
      </x:c>
      <x:c r="R113" s="14" t="str">
        <x:v>The ecologic restoration project consisted in the transformation of rice fields into different habitats typical in wetlands. So far, the benefits of the project have been an improvement in water quality: the water ecosystems established in Tancat de la Pipa, both artificial wetlands with surface flow and lagoons, have shown a great capacity to reduce suspended solids, total phosphorous, total nitrogen and phytoplankton in water.</x:v>
      </x:c>
      <x:c r="S113" s="14" t="str">
        <x:v>Strength not demonstrated</x:v>
      </x:c>
      <x:c r="T113" s="14" t="str">
        <x:v>Medium effectiveness</x:v>
      </x:c>
    </x:row>
    <x:row r="114" ht="76" customHeight="1">
      <x:c r="A114" s="14" t="str">
        <x:v>icare_0180</x:v>
      </x:c>
      <x:c r="B114" s="14" t="str">
        <x:v>Expand urban green-blue networks and corridors</x:v>
      </x:c>
      <x:c r="C114" s="14" t="str">
        <x:v>Water Resources</x:v>
      </x:c>
      <x:c r="D114" s="14" t="str">
        <x:v>Risk of water stress</x:v>
      </x:c>
      <x:c r="E114" s="14" t="str">
        <x:v>Vulnerability</x:v>
      </x:c>
      <x:c r="F114" s="15" t="str"/>
      <x:c r="G114" s="15" t="str"/>
      <x:c r="H114" s="14" t="str">
        <x:v>Climate Change 2022: Impacts, Adaptation and Vulnerability — Chapter 4: Water</x:v>
      </x:c>
      <x:c r="I114" s="14" t="str">
        <x:v>https://www.ipcc.ch/report/ar6/wg2/downloads/report/IPCC_AR6_WGII_Chapter04.pdf</x:v>
      </x:c>
      <x:c r="J114" s="14" t="n">
        <x:v>82</x:v>
      </x:c>
      <x:c r="K114" s="14" t="str">
        <x:v>632</x:v>
      </x:c>
      <x:c r="L114" s="14" t="str">
        <x:v>Verified ordered</x:v>
      </x:c>
      <x:c r="M114" s="14" t="str">
        <x:v>Ordered token coverage on the cited PDF page is 100.0%.</x:v>
      </x:c>
      <x:c r="N114" s="14" t="str">
        <x:v>Supports</x:v>
      </x:c>
      <x:c r="O114" s="14" t="str">
        <x:v>Whole action</x:v>
      </x:c>
      <x:c r="P114" s="14" t="str">
        <x:v>No</x:v>
      </x:c>
      <x:c r="Q114" s="14" t="str">
        <x:v>Water quality</x:v>
      </x:c>
      <x:c r="R114" s="14"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S114" s="14" t="str">
        <x:v>Moderate or conditional outcome</x:v>
      </x:c>
      <x:c r="T114" s="14" t="str">
        <x:v>Medium effectiveness</x:v>
      </x:c>
    </x:row>
    <x:row r="115" ht="76" customHeight="1">
      <x:c r="A115" s="14" t="str">
        <x:v>ipcc_0086</x:v>
      </x:c>
      <x:c r="B115" s="14" t="str">
        <x:v>Implement ecosystem‑based adaptation measures</x:v>
      </x:c>
      <x:c r="C115" s="14" t="str">
        <x:v>Water Resources</x:v>
      </x:c>
      <x:c r="D115" s="14" t="str">
        <x:v>Risk of water stress</x:v>
      </x:c>
      <x:c r="E115" s="14" t="str">
        <x:v>Vulnerability</x:v>
      </x:c>
      <x:c r="F115" s="15" t="str"/>
      <x:c r="G115" s="15" t="str"/>
      <x:c r="H115" s="14" t="str">
        <x:v>Flowing Forward: Freshwater Ecosystem Adaptation to Climate Change in Water Resources Management and Biodiversity Conservation</x:v>
      </x:c>
      <x:c r="I115" s="14" t="str">
        <x:v>https://awsassets.panda.org/downloads/flowing_forward_freshwater_ecosystem_adaptation_to_climate_change.pdf</x:v>
      </x:c>
      <x:c r="J115" s="14" t="n">
        <x:v>19</x:v>
      </x:c>
      <x:c r="K115" s="14" t="str">
        <x:v>13</x:v>
      </x:c>
      <x:c r="L115" s="14" t="str">
        <x:v>Verified exact</x:v>
      </x:c>
      <x:c r="M115" s="14" t="str">
        <x:v>Normalized quote occurs on the cited PDF page.</x:v>
      </x:c>
      <x:c r="N115" s="14" t="str">
        <x:v>Supports</x:v>
      </x:c>
      <x:c r="O115" s="14" t="str">
        <x:v>Whole action</x:v>
      </x:c>
      <x:c r="P115" s="14" t="str">
        <x:v>No</x:v>
      </x:c>
      <x:c r="Q115" s="14" t="str">
        <x:v>Degraded and/or deforested areas | Ecological flow for ecosystem uses</x:v>
      </x:c>
      <x:c r="R115" s="14" t="str">
        <x:v>In recognition of the importance of freshwater ecosystems and the services that they provide, environmental sustainability is recognized as a core principle of integrated water resources management, enshrined in the first of the Dublin principles that recognizes that 'effective management of water resources demands a holistic approach, linking social and economic development with protection of natural ecosystems.' This increasing recognition has led to the significant development of tools and approaches that seek to ensure the maintenance, protection and restoration of ecosystems and ecosystem services in on-going water resources management efforts.</x:v>
      </x:c>
      <x:c r="S115" s="14" t="str">
        <x:v>Strength not demonstrated</x:v>
      </x:c>
      <x:c r="T115" s="14" t="str">
        <x:v>Medium effectiveness</x:v>
      </x:c>
    </x:row>
    <x:row r="116" ht="76" customHeight="1">
      <x:c r="A116" s="14" t="str">
        <x:v>ipcc_0086</x:v>
      </x:c>
      <x:c r="B116" s="14" t="str">
        <x:v>Implement ecosystem‑based adaptation measures</x:v>
      </x:c>
      <x:c r="C116" s="14" t="str">
        <x:v>Water Resources</x:v>
      </x:c>
      <x:c r="D116" s="14" t="str">
        <x:v>Risk of water stress</x:v>
      </x:c>
      <x:c r="E116" s="14" t="str">
        <x:v>Vulnerability</x:v>
      </x:c>
      <x:c r="F116" s="15" t="str"/>
      <x:c r="G116" s="15" t="str"/>
      <x:c r="H116" s="14" t="str">
        <x:v>Water and Climate Change Adaptation in Transboundary Basins: Lessons Learned and Good Practices</x:v>
      </x:c>
      <x:c r="I116" s="14" t="str">
        <x:v>https://unece.org/info/publications/pub/21743</x:v>
      </x:c>
      <x:c r="J116" s="14" t="n">
        <x:v>37</x:v>
      </x:c>
      <x:c r="K116" s="14" t="str"/>
      <x:c r="L116" s="14" t="str">
        <x:v>Verified ordered</x:v>
      </x:c>
      <x:c r="M116" s="14" t="str">
        <x:v>Ordered token coverage on the cited PDF page is 100.0%.</x:v>
      </x:c>
      <x:c r="N116" s="14" t="str">
        <x:v>Supports</x:v>
      </x:c>
      <x:c r="O116" s="14" t="str">
        <x:v>Part of action</x:v>
      </x:c>
      <x:c r="P116" s="14" t="str">
        <x:v>No</x:v>
      </x:c>
      <x:c r="Q116" s="14" t="str">
        <x:v>Water quality | Degraded and/or deforested areas</x:v>
      </x:c>
      <x:c r="R116" s="14" t="str">
        <x:v>The ecologic restoration project consisted in the transformation of rice fields into different habitats typical in wetlands. So far, the benefits of the project have been an improvement in water quality: the water ecosystems established in Tancat de la Pipa, both artificial wetlands with surface flow and lagoons, have shown a great capacity to reduce suspended solids, total phosphorous, total nitrogen and phytoplankton in water.</x:v>
      </x:c>
      <x:c r="S116" s="14" t="str">
        <x:v>Strength not demonstrated</x:v>
      </x:c>
      <x:c r="T116" s="14" t="str">
        <x:v>Medium effectiveness</x:v>
      </x:c>
    </x:row>
    <x:row r="117" ht="76" customHeight="1">
      <x:c r="A117" s="14" t="str">
        <x:v>ipcc_0086</x:v>
      </x:c>
      <x:c r="B117" s="14" t="str">
        <x:v>Implement ecosystem‑based adaptation measures</x:v>
      </x:c>
      <x:c r="C117" s="14" t="str">
        <x:v>Water Resources</x:v>
      </x:c>
      <x:c r="D117" s="14" t="str">
        <x:v>Risk of water stress</x:v>
      </x:c>
      <x:c r="E117" s="14" t="str">
        <x:v>Vulnerability</x:v>
      </x:c>
      <x:c r="F117" s="15" t="str"/>
      <x:c r="G117" s="15" t="str"/>
      <x:c r="H117" s="14" t="str">
        <x:v>Climate Change 2022: Impacts, Adaptation and Vulnerability — Chapter 4: Water</x:v>
      </x:c>
      <x:c r="I117" s="14" t="str">
        <x:v>https://www.ipcc.ch/report/ar6/wg2/downloads/report/IPCC_AR6_WGII_Chapter04.pdf</x:v>
      </x:c>
      <x:c r="J117" s="14" t="n">
        <x:v>82</x:v>
      </x:c>
      <x:c r="K117" s="14" t="str">
        <x:v>632</x:v>
      </x:c>
      <x:c r="L117" s="14" t="str">
        <x:v>Verified ordered</x:v>
      </x:c>
      <x:c r="M117" s="14" t="str">
        <x:v>Ordered token coverage on the cited PDF page is 100.0%.</x:v>
      </x:c>
      <x:c r="N117" s="14" t="str">
        <x:v>Supports</x:v>
      </x:c>
      <x:c r="O117" s="14" t="str">
        <x:v>Whole action</x:v>
      </x:c>
      <x:c r="P117" s="14" t="str">
        <x:v>No</x:v>
      </x:c>
      <x:c r="Q117" s="14" t="str">
        <x:v>Water quality</x:v>
      </x:c>
      <x:c r="R117" s="14"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S117" s="14" t="str">
        <x:v>Moderate or conditional outcome</x:v>
      </x:c>
      <x:c r="T117" s="14" t="str">
        <x:v>Medium effectiveness</x:v>
      </x:c>
    </x:row>
    <x:row r="118" ht="76" customHeight="1">
      <x:c r="A118" s="14" t="str">
        <x:v>ipcc_0100</x:v>
      </x:c>
      <x:c r="B118" s="14" t="str">
        <x:v>Improve Efficient water use/demand</x:v>
      </x:c>
      <x:c r="C118" s="14" t="str">
        <x:v>Water Resources</x:v>
      </x:c>
      <x:c r="D118" s="14" t="str">
        <x:v>Risk of water stress</x:v>
      </x:c>
      <x:c r="E118" s="14" t="str">
        <x:v>Vulnerability</x:v>
      </x:c>
      <x:c r="F118" s="15" t="str"/>
      <x:c r="G118" s="15" t="str"/>
      <x:c r="H118" s="14" t="str">
        <x:v>Water Security and Climate Change: Insights from Country Climate and Development Reports</x:v>
      </x:c>
      <x:c r="I118" s="14" t="str">
        <x:v>https://documents1.worldbank.org/curated/en/099124511122431814/pdf/IDU1fa8a4c3a1fd8c14810194851fb785b73d02d.pdf</x:v>
      </x:c>
      <x:c r="J118" s="14" t="n">
        <x:v>3</x:v>
      </x:c>
      <x:c r="K118" s="14" t="str"/>
      <x:c r="L118" s="14" t="str">
        <x:v>Verified exact</x:v>
      </x:c>
      <x:c r="M118" s="14" t="str">
        <x:v>Normalized quote occurs on the cited PDF page.</x:v>
      </x:c>
      <x:c r="N118" s="14" t="str">
        <x:v>Supports</x:v>
      </x:c>
      <x:c r="O118" s="14" t="str">
        <x:v>Whole action</x:v>
      </x:c>
      <x:c r="P118" s="14" t="str">
        <x:v>No</x:v>
      </x:c>
      <x:c r="Q118" s="14" t="str">
        <x:v>Inefficiency in water distribution | Average per capita water consumption</x:v>
      </x:c>
      <x:c r="R118" s="14" t="str">
        <x:v>Demand-side management often proves to be more cost-effective in addressing water supply shortages than investing in supply-side solutions. Effective water demand management involves adjusting water tariffs to reflect the true value of water in water allocation and use, increasing consumer awareness, and strengthening regulations and technologies to improve water use efficiency.</x:v>
      </x:c>
      <x:c r="S118" s="14" t="str">
        <x:v>Moderate or conditional outcome</x:v>
      </x:c>
      <x:c r="T118" s="14" t="str">
        <x:v>Medium effectiveness</x:v>
      </x:c>
    </x:row>
    <x:row r="119" ht="76" customHeight="1">
      <x:c r="A119" s="14" t="str">
        <x:v>icare_0164</x:v>
      </x:c>
      <x:c r="B119" s="14" t="str">
        <x:v>Improve Hydrological Monitoring System with Telemetry Stations</x:v>
      </x:c>
      <x:c r="C119" s="14" t="str">
        <x:v>Water Resources</x:v>
      </x:c>
      <x:c r="D119" s="14" t="str">
        <x:v>Risk of water stress</x:v>
      </x:c>
      <x:c r="E119" s="14" t="str">
        <x:v>Vulnerability</x:v>
      </x:c>
      <x:c r="F119" s="15" t="str"/>
      <x:c r="G119" s="15" t="str"/>
      <x:c r="H119" s="14" t="str">
        <x:v>Water Security and Climate Change: Insights from Country Climate and Development Reports</x:v>
      </x:c>
      <x:c r="I119" s="14" t="str">
        <x:v>https://documents1.worldbank.org/curated/en/099124511122431814/pdf/IDU1fa8a4c3a1fd8c14810194851fb785b73d02d.pdf</x:v>
      </x:c>
      <x:c r="J119" s="14" t="n">
        <x:v>14</x:v>
      </x:c>
      <x:c r="K119" s="14" t="str"/>
      <x:c r="L119" s="14" t="str">
        <x:v>Verified ordered</x:v>
      </x:c>
      <x:c r="M119" s="14" t="str">
        <x:v>Ordered token coverage on the cited PDF page is 100.0%.</x:v>
      </x:c>
      <x:c r="N119" s="14" t="str">
        <x:v>Supports</x:v>
      </x:c>
      <x:c r="O119" s="14" t="str">
        <x:v>Whole action</x:v>
      </x:c>
      <x:c r="P119" s="14" t="str">
        <x:v>No</x:v>
      </x:c>
      <x:c r="Q119" s="14" t="str">
        <x:v>Drought-related prevention actions</x:v>
      </x:c>
      <x:c r="R119" s="14" t="str">
        <x:v>Smart agriculture, drip irrigation, agricultural research, reservoir management, and water availability forecast systems. Emergency response and alerts, digital infrastructure and apps. Surface water and underwater unmanned vehicles that monitor changes in climate and marine ecosystems.</x:v>
      </x:c>
      <x:c r="S119" s="14" t="str">
        <x:v>Strength not demonstrated</x:v>
      </x:c>
      <x:c r="T119" s="14" t="str">
        <x:v>No demonstrated effectiveness</x:v>
      </x:c>
    </x:row>
    <x:row r="120" ht="76" customHeight="1">
      <x:c r="A120" s="14" t="str">
        <x:v>icare_0171</x:v>
      </x:c>
      <x:c r="B120" s="14" t="str">
        <x:v>Improve the hydrometeorological forecasting, monitoring, and alert system for climate risks</x:v>
      </x:c>
      <x:c r="C120" s="14" t="str">
        <x:v>Water Resources</x:v>
      </x:c>
      <x:c r="D120" s="14" t="str">
        <x:v>Risk of water stress</x:v>
      </x:c>
      <x:c r="E120" s="14" t="str">
        <x:v>Vulnerability</x:v>
      </x:c>
      <x:c r="F120" s="15" t="str"/>
      <x:c r="G120" s="15" t="str"/>
      <x:c r="H120" s="14" t="str">
        <x:v>Water Security and Climate Change: Insights from Country Climate and Development Reports</x:v>
      </x:c>
      <x:c r="I120" s="14" t="str">
        <x:v>https://documents1.worldbank.org/curated/en/099124511122431814/pdf/IDU1fa8a4c3a1fd8c14810194851fb785b73d02d.pdf</x:v>
      </x:c>
      <x:c r="J120" s="14" t="n">
        <x:v>14</x:v>
      </x:c>
      <x:c r="K120" s="14" t="str"/>
      <x:c r="L120" s="14" t="str">
        <x:v>Verified ordered</x:v>
      </x:c>
      <x:c r="M120" s="14" t="str">
        <x:v>Ordered token coverage on the cited PDF page is 100.0%.</x:v>
      </x:c>
      <x:c r="N120" s="14" t="str">
        <x:v>Supports</x:v>
      </x:c>
      <x:c r="O120" s="14" t="str">
        <x:v>Whole action</x:v>
      </x:c>
      <x:c r="P120" s="14" t="str">
        <x:v>No</x:v>
      </x:c>
      <x:c r="Q120" s="14" t="str">
        <x:v>Drought-related prevention actions</x:v>
      </x:c>
      <x:c r="R120" s="14" t="str">
        <x:v>Smart agriculture, drip irrigation, agricultural research, reservoir management, and water availability forecast systems. Emergency response and alerts, digital infrastructure and apps. Surface water and underwater unmanned vehicles that monitor changes in climate and marine ecosystems.</x:v>
      </x:c>
      <x:c r="S120" s="14" t="str">
        <x:v>Strength not demonstrated</x:v>
      </x:c>
      <x:c r="T120" s="14" t="str">
        <x:v>No demonstrated effectiveness</x:v>
      </x:c>
    </x:row>
    <x:row r="121" ht="76" customHeight="1">
      <x:c r="A121" s="14" t="str">
        <x:v>ipcc_0101</x:v>
      </x:c>
      <x:c r="B121" s="14" t="str">
        <x:v>Improve urban water management</x:v>
      </x:c>
      <x:c r="C121" s="14" t="str">
        <x:v>Water Resources</x:v>
      </x:c>
      <x:c r="D121" s="14" t="str">
        <x:v>Risk of water stress</x:v>
      </x:c>
      <x:c r="E121" s="14" t="str">
        <x:v>Vulnerability</x:v>
      </x:c>
      <x:c r="F121" s="15" t="str"/>
      <x:c r="G121" s="15" t="str"/>
      <x:c r="H121" s="14" t="str">
        <x:v>Water Security and Climate Change: Insights from Country Climate and Development Reports</x:v>
      </x:c>
      <x:c r="I121" s="14" t="str">
        <x:v>https://documents1.worldbank.org/curated/en/099124511122431814/pdf/IDU1fa8a4c3a1fd8c14810194851fb785b73d02d.pdf</x:v>
      </x:c>
      <x:c r="J121" s="14" t="n">
        <x:v>13</x:v>
      </x:c>
      <x:c r="K121" s="14" t="str"/>
      <x:c r="L121" s="14" t="str">
        <x:v>Verified ordered</x:v>
      </x:c>
      <x:c r="M121" s="14" t="str">
        <x:v>Ordered token coverage on the cited PDF page is 100.0%.</x:v>
      </x:c>
      <x:c r="N121" s="14" t="str">
        <x:v>Supports</x:v>
      </x:c>
      <x:c r="O121" s="14" t="str">
        <x:v>Part of action</x:v>
      </x:c>
      <x:c r="P121" s="14" t="str">
        <x:v>No</x:v>
      </x:c>
      <x:c r="Q121" s="14" t="str">
        <x:v>Inefficiency in water production | Inefficiency in water distribution</x:v>
      </x:c>
      <x:c r="R121" s="14" t="str">
        <x:v>Closing the water supply gap requires infrastructure investment but also policy, institutional, and regulatory reforms to improve irrigation and water supply and sanitation services and to increase their financial sustainability. Such measures include strengthening joint regional institutions for water operations, planning, and climate adaptation, and strengthening work to achieve universal provision of water, sanitation, and hygiene.</x:v>
      </x:c>
      <x:c r="S121" s="14" t="str">
        <x:v>Strength not demonstrated</x:v>
      </x:c>
      <x:c r="T121" s="14" t="str">
        <x:v>Medium effectiveness</x:v>
      </x:c>
    </x:row>
    <x:row r="122" ht="76" customHeight="1">
      <x:c r="A122" s="14" t="str">
        <x:v>ipcc_0101</x:v>
      </x:c>
      <x:c r="B122" s="14" t="str">
        <x:v>Improve urban water management</x:v>
      </x:c>
      <x:c r="C122" s="14" t="str">
        <x:v>Water Resources</x:v>
      </x:c>
      <x:c r="D122" s="14" t="str">
        <x:v>Risk of water stress</x:v>
      </x:c>
      <x:c r="E122" s="14" t="str">
        <x:v>Vulnerability</x:v>
      </x:c>
      <x:c r="F122" s="15" t="str"/>
      <x:c r="G122" s="15" t="str"/>
      <x:c r="H122" s="14" t="str">
        <x:v>Climate Change 2022: Impacts, Adaptation and Vulnerability — Chapter 4: Water</x:v>
      </x:c>
      <x:c r="I122" s="14" t="str">
        <x:v>https://www.ipcc.ch/report/ar6/wg2/downloads/report/IPCC_AR6_WGII_Chapter04.pdf</x:v>
      </x:c>
      <x:c r="J122" s="14" t="n">
        <x:v>82</x:v>
      </x:c>
      <x:c r="K122" s="14" t="str">
        <x:v>632</x:v>
      </x:c>
      <x:c r="L122" s="14" t="str">
        <x:v>Verified ordered</x:v>
      </x:c>
      <x:c r="M122" s="14" t="str">
        <x:v>Ordered token coverage on the cited PDF page is 100.0%.</x:v>
      </x:c>
      <x:c r="N122" s="14" t="str">
        <x:v>Supports</x:v>
      </x:c>
      <x:c r="O122" s="14" t="str">
        <x:v>Whole action</x:v>
      </x:c>
      <x:c r="P122" s="14" t="str">
        <x:v>No</x:v>
      </x:c>
      <x:c r="Q122" s="14" t="str">
        <x:v>Water quality</x:v>
      </x:c>
      <x:c r="R122" s="14"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S122" s="14" t="str">
        <x:v>Moderate or conditional outcome</x:v>
      </x:c>
      <x:c r="T122" s="14" t="str">
        <x:v>Medium effectiveness</x:v>
      </x:c>
    </x:row>
    <x:row r="123" ht="76" customHeight="1">
      <x:c r="A123" s="14" t="str">
        <x:v>c40_0056</x:v>
      </x:c>
      <x:c r="B123" s="14" t="str">
        <x:v>Improve Watershed Protection and Management</x:v>
      </x:c>
      <x:c r="C123" s="14" t="str">
        <x:v>Water Resources</x:v>
      </x:c>
      <x:c r="D123" s="14" t="str">
        <x:v>Risk of water stress</x:v>
      </x:c>
      <x:c r="E123" s="14" t="str">
        <x:v>Vulnerability</x:v>
      </x:c>
      <x:c r="F123" s="15" t="str"/>
      <x:c r="G123" s="15" t="str"/>
      <x:c r="H123" s="14" t="str">
        <x:v>Flowing Forward: Freshwater Ecosystem Adaptation to Climate Change in Water Resources Management and Biodiversity Conservation</x:v>
      </x:c>
      <x:c r="I123" s="14" t="str">
        <x:v>https://awsassets.panda.org/downloads/flowing_forward_freshwater_ecosystem_adaptation_to_climate_change.pdf</x:v>
      </x:c>
      <x:c r="J123" s="14" t="n">
        <x:v>19</x:v>
      </x:c>
      <x:c r="K123" s="14" t="str">
        <x:v>13</x:v>
      </x:c>
      <x:c r="L123" s="14" t="str">
        <x:v>Verified exact</x:v>
      </x:c>
      <x:c r="M123" s="14" t="str">
        <x:v>Normalized quote occurs on the cited PDF page.</x:v>
      </x:c>
      <x:c r="N123" s="14" t="str">
        <x:v>Supports</x:v>
      </x:c>
      <x:c r="O123" s="14" t="str">
        <x:v>Whole action</x:v>
      </x:c>
      <x:c r="P123" s="14" t="str">
        <x:v>No</x:v>
      </x:c>
      <x:c r="Q123" s="14" t="str">
        <x:v>Degraded and/or deforested areas | Ecological flow for ecosystem uses</x:v>
      </x:c>
      <x:c r="R123" s="14" t="str">
        <x:v>In recognition of the importance of freshwater ecosystems and the services that they provide, environmental sustainability is recognized as a core principle of integrated water resources management, enshrined in the first of the Dublin principles that recognizes that 'effective management of water resources demands a holistic approach, linking social and economic development with protection of natural ecosystems.' This increasing recognition has led to the significant development of tools and approaches that seek to ensure the maintenance, protection and restoration of ecosystems and ecosystem services in on-going water resources management efforts.</x:v>
      </x:c>
      <x:c r="S123" s="14" t="str">
        <x:v>Strength not demonstrated</x:v>
      </x:c>
      <x:c r="T123" s="14" t="str">
        <x:v>Medium effectiveness</x:v>
      </x:c>
    </x:row>
    <x:row r="124" ht="76" customHeight="1">
      <x:c r="A124" s="14" t="str">
        <x:v>c40_0056</x:v>
      </x:c>
      <x:c r="B124" s="14" t="str">
        <x:v>Improve Watershed Protection and Management</x:v>
      </x:c>
      <x:c r="C124" s="14" t="str">
        <x:v>Water Resources</x:v>
      </x:c>
      <x:c r="D124" s="14" t="str">
        <x:v>Risk of water stress</x:v>
      </x:c>
      <x:c r="E124" s="14" t="str">
        <x:v>Vulnerability</x:v>
      </x:c>
      <x:c r="F124" s="15" t="str"/>
      <x:c r="G124" s="15" t="str"/>
      <x:c r="H124" s="14" t="str">
        <x:v>Water and Climate Change Adaptation in Transboundary Basins: Lessons Learned and Good Practices</x:v>
      </x:c>
      <x:c r="I124" s="14" t="str">
        <x:v>https://unece.org/info/publications/pub/21743</x:v>
      </x:c>
      <x:c r="J124" s="14" t="n">
        <x:v>37</x:v>
      </x:c>
      <x:c r="K124" s="14" t="str"/>
      <x:c r="L124" s="14" t="str">
        <x:v>Verified ordered</x:v>
      </x:c>
      <x:c r="M124" s="14" t="str">
        <x:v>Ordered token coverage on the cited PDF page is 100.0%.</x:v>
      </x:c>
      <x:c r="N124" s="14" t="str">
        <x:v>Supports</x:v>
      </x:c>
      <x:c r="O124" s="14" t="str">
        <x:v>Part of action</x:v>
      </x:c>
      <x:c r="P124" s="14" t="str">
        <x:v>No</x:v>
      </x:c>
      <x:c r="Q124" s="14" t="str">
        <x:v>Water quality | Degraded and/or deforested areas</x:v>
      </x:c>
      <x:c r="R124" s="14" t="str">
        <x:v>The ecologic restoration project consisted in the transformation of rice fields into different habitats typical in wetlands. So far, the benefits of the project have been an improvement in water quality: the water ecosystems established in Tancat de la Pipa, both artificial wetlands with surface flow and lagoons, have shown a great capacity to reduce suspended solids, total phosphorous, total nitrogen and phytoplankton in water.</x:v>
      </x:c>
      <x:c r="S124" s="14" t="str">
        <x:v>Strength not demonstrated</x:v>
      </x:c>
      <x:c r="T124" s="14" t="str">
        <x:v>Medium effectiveness</x:v>
      </x:c>
    </x:row>
    <x:row r="125" ht="76" customHeight="1">
      <x:c r="A125" s="14" t="str">
        <x:v>c40_0056</x:v>
      </x:c>
      <x:c r="B125" s="14" t="str">
        <x:v>Improve Watershed Protection and Management</x:v>
      </x:c>
      <x:c r="C125" s="14" t="str">
        <x:v>Water Resources</x:v>
      </x:c>
      <x:c r="D125" s="14" t="str">
        <x:v>Risk of water stress</x:v>
      </x:c>
      <x:c r="E125" s="14" t="str">
        <x:v>Vulnerability</x:v>
      </x:c>
      <x:c r="F125" s="15" t="str"/>
      <x:c r="G125" s="15" t="str"/>
      <x:c r="H125" s="14" t="str">
        <x:v>Water and Climate Change Adaptation in Transboundary Basins: Lessons Learned and Good Practices</x:v>
      </x:c>
      <x:c r="I125" s="14" t="str">
        <x:v>https://unece.org/info/publications/pub/21743</x:v>
      </x:c>
      <x:c r="J125" s="14" t="n">
        <x:v>37</x:v>
      </x:c>
      <x:c r="K125" s="14" t="str">
        <x:v>15</x:v>
      </x:c>
      <x:c r="L125" s="14" t="str">
        <x:v>Verified exact</x:v>
      </x:c>
      <x:c r="M125" s="14" t="str">
        <x:v>Normalized quote occurs on the cited PDF page.</x:v>
      </x:c>
      <x:c r="N125" s="14" t="str">
        <x:v>Supports</x:v>
      </x:c>
      <x:c r="O125" s="14" t="str">
        <x:v>Part of action</x:v>
      </x:c>
      <x:c r="P125" s="14" t="str">
        <x:v>No</x:v>
      </x:c>
      <x:c r="Q125" s="14" t="str">
        <x:v>Water quality | Degraded and/or deforested areas</x:v>
      </x:c>
      <x:c r="R125" s="14" t="str">
        <x:v>The ecologic restoration project consisted in the transformation of rice fields into different habitats typical in wetlands. The Júcar River Basin Authority (Confederación Hidrográfica del Júcar) is the owner of the land and main implementer of the restoration works, together with the Regional Ministry for Infrastructures, Land and Environment. So far, the benefits of the project have been: An improvement in water quality. The water ecosystems established in Tancat de la Pipa, both artificial wetlands with surface flow (Green Filters) and lagoons, have shown a great capacity to reduce suspended solids, total phosphorous, total nitrogen and phytoplankton in water.</x:v>
      </x:c>
      <x:c r="S125" s="14" t="str">
        <x:v>Strength not demonstrated</x:v>
      </x:c>
      <x:c r="T125" s="14" t="str">
        <x:v>Medium effectiveness</x:v>
      </x:c>
    </x:row>
    <x:row r="126" ht="76" customHeight="1">
      <x:c r="A126" s="14" t="str">
        <x:v>c40_0056</x:v>
      </x:c>
      <x:c r="B126" s="14" t="str">
        <x:v>Improve Watershed Protection and Management</x:v>
      </x:c>
      <x:c r="C126" s="14" t="str">
        <x:v>Water Resources</x:v>
      </x:c>
      <x:c r="D126" s="14" t="str">
        <x:v>Risk of water stress</x:v>
      </x:c>
      <x:c r="E126" s="14" t="str">
        <x:v>Vulnerability</x:v>
      </x:c>
      <x:c r="F126" s="15" t="str"/>
      <x:c r="G126" s="15" t="str"/>
      <x:c r="H126" s="14" t="str">
        <x:v>Climate Change 2022: Impacts, Adaptation and Vulnerability — Chapter 4: Water</x:v>
      </x:c>
      <x:c r="I126" s="14" t="str">
        <x:v>https://www.ipcc.ch/report/ar6/wg2/downloads/report/IPCC_AR6_WGII_Chapter04.pdf</x:v>
      </x:c>
      <x:c r="J126" s="14" t="n">
        <x:v>82</x:v>
      </x:c>
      <x:c r="K126" s="14" t="str">
        <x:v>632</x:v>
      </x:c>
      <x:c r="L126" s="14" t="str">
        <x:v>Verified ordered</x:v>
      </x:c>
      <x:c r="M126" s="14" t="str">
        <x:v>Ordered token coverage on the cited PDF page is 100.0%.</x:v>
      </x:c>
      <x:c r="N126" s="14" t="str">
        <x:v>Supports</x:v>
      </x:c>
      <x:c r="O126" s="14" t="str">
        <x:v>Whole action</x:v>
      </x:c>
      <x:c r="P126" s="14" t="str">
        <x:v>No</x:v>
      </x:c>
      <x:c r="Q126" s="14" t="str">
        <x:v>Water quality</x:v>
      </x:c>
      <x:c r="R126" s="14"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S126" s="14" t="str">
        <x:v>Moderate or conditional outcome</x:v>
      </x:c>
      <x:c r="T126" s="14" t="str">
        <x:v>Medium effectiveness</x:v>
      </x:c>
    </x:row>
    <x:row r="127" ht="76" customHeight="1">
      <x:c r="A127" s="14" t="str">
        <x:v>ipcc_0099</x:v>
      </x:c>
      <x:c r="B127" s="14" t="str">
        <x:v>Increase Water Capture and Storage</x:v>
      </x:c>
      <x:c r="C127" s="14" t="str">
        <x:v>Water Resources</x:v>
      </x:c>
      <x:c r="D127" s="14" t="str">
        <x:v>Risk of water stress</x:v>
      </x:c>
      <x:c r="E127" s="14" t="str">
        <x:v>Vulnerability</x:v>
      </x:c>
      <x:c r="F127" s="15" t="str"/>
      <x:c r="G127" s="15" t="str"/>
      <x:c r="H127" s="14" t="str">
        <x:v>Climate Change 2022: Impacts Adaptation and Vulnerability — Chapter 8: Poverty Livelihoods and Sustainable Development</x:v>
      </x:c>
      <x:c r="I127" s="14" t="str">
        <x:v>https://www.ipcc.ch/report/ar6/wg2/downloads/report/IPCC_AR6_WGII_Chapter08.pdf</x:v>
      </x:c>
      <x:c r="J127" s="14" t="n">
        <x:v>16</x:v>
      </x:c>
      <x:c r="K127" s="14" t="str"/>
      <x:c r="L127" s="14" t="str">
        <x:v>Verified ordered</x:v>
      </x:c>
      <x:c r="M127" s="14" t="str">
        <x:v>Ordered token coverage is 100.0%.</x:v>
      </x:c>
      <x:c r="N127" s="14" t="str">
        <x:v>Qualifies</x:v>
      </x:c>
      <x:c r="O127" s="14" t="str">
        <x:v>Part of action</x:v>
      </x:c>
      <x:c r="P127" s="14" t="str">
        <x:v>No</x:v>
      </x:c>
      <x:c r="Q127" s="14" t="str">
        <x:v>Cisterns program: water for consumption</x:v>
      </x:c>
      <x:c r="R127" s="14" t="str">
        <x:v>These activities have directly benefited the resilience and food security of more than 1000 residents in Gargey Village. By its concurrent focus on enhancing food security through traditional crops, coupled with nutrient-rich vegetables, promoting rainwater harvesting systems and water conservation, and promoting resilient household livelihood opportunities, atoll communities brought together crucial elements needed to reduce vulnerabilities and to better cope with disasters and climate extremes, while embracing the traditional culture.</x:v>
      </x:c>
      <x:c r="S127" s="14" t="str">
        <x:v>Moderate or conditional outcome</x:v>
      </x:c>
      <x:c r="T127" s="14" t="str">
        <x:v>Medium effectiveness</x:v>
      </x:c>
    </x:row>
    <x:row r="128" ht="76" customHeight="1">
      <x:c r="A128" s="14" t="str">
        <x:v>ipcc_0099</x:v>
      </x:c>
      <x:c r="B128" s="14" t="str">
        <x:v>Increase Water Capture and Storage</x:v>
      </x:c>
      <x:c r="C128" s="14" t="str">
        <x:v>Water Resources</x:v>
      </x:c>
      <x:c r="D128" s="14" t="str">
        <x:v>Risk of water stress</x:v>
      </x:c>
      <x:c r="E128" s="14" t="str">
        <x:v>Vulnerability</x:v>
      </x:c>
      <x:c r="F128" s="15" t="str"/>
      <x:c r="G128" s="15" t="str"/>
      <x:c r="H128" s="14" t="str">
        <x:v>Plano Nacional de Segurança Hídrica</x:v>
      </x:c>
      <x:c r="I128" s="14" t="str">
        <x:v>https://arquivos.ana.gov.br/pnsh/pnsh.pdf</x:v>
      </x:c>
      <x:c r="J128" s="14" t="n">
        <x:v>37</x:v>
      </x:c>
      <x:c r="K128" s="14" t="str">
        <x:v>35</x:v>
      </x:c>
      <x:c r="L128" s="14" t="str">
        <x:v>Verified exact</x:v>
      </x:c>
      <x:c r="M128" s="14" t="str">
        <x:v>Normalized quote occurs on the cited PDF page.</x:v>
      </x:c>
      <x:c r="N128" s="14" t="str">
        <x:v>Supports</x:v>
      </x:c>
      <x:c r="O128" s="14" t="str">
        <x:v>Part of action</x:v>
      </x:c>
      <x:c r="P128" s="14" t="str">
        <x:v>No</x:v>
      </x:c>
      <x:c r="Q128" s="14" t="str">
        <x:v>Artificial reserve</x:v>
      </x:c>
      <x:c r="R128" s="14" t="str">
        <x:v>Cabe ressaltar também a importância relativa dos reservatórios, que aportam às suas áreas de influência uma resiliência maior aos eventos extremos de secas, elevando a segurança hídrica dessas regiões.</x:v>
      </x:c>
      <x:c r="S128" s="14" t="str">
        <x:v>Strength not demonstrated</x:v>
      </x:c>
      <x:c r="T128" s="14" t="str">
        <x:v>Medium effectiveness</x:v>
      </x:c>
    </x:row>
    <x:row r="129" ht="76" customHeight="1">
      <x:c r="A129" s="14" t="str">
        <x:v>ipcc_0099</x:v>
      </x:c>
      <x:c r="B129" s="14" t="str">
        <x:v>Increase Water Capture and Storage</x:v>
      </x:c>
      <x:c r="C129" s="14" t="str">
        <x:v>Water Resources</x:v>
      </x:c>
      <x:c r="D129" s="14" t="str">
        <x:v>Risk of water stress</x:v>
      </x:c>
      <x:c r="E129" s="14" t="str">
        <x:v>Vulnerability</x:v>
      </x:c>
      <x:c r="F129" s="15" t="str"/>
      <x:c r="G129" s="15" t="str"/>
      <x:c r="H129" s="14" t="str">
        <x:v>Climate Change 2022: Impacts, Adaptation and Vulnerability — Chapter 4: Water</x:v>
      </x:c>
      <x:c r="I129" s="14" t="str">
        <x:v>https://www.ipcc.ch/report/ar6/wg2/downloads/report/IPCC_AR6_WGII_Chapter04.pdf</x:v>
      </x:c>
      <x:c r="J129" s="14" t="n">
        <x:v>93</x:v>
      </x:c>
      <x:c r="K129" s="14" t="str">
        <x:v>643</x:v>
      </x:c>
      <x:c r="L129" s="14" t="str">
        <x:v>Verified ordered</x:v>
      </x:c>
      <x:c r="M129" s="14" t="str">
        <x:v>Ordered token coverage on the cited PDF page is 100.0%.</x:v>
      </x:c>
      <x:c r="N129" s="14" t="str">
        <x:v>Supports</x:v>
      </x:c>
      <x:c r="O129" s="14" t="str">
        <x:v>Part of action</x:v>
      </x:c>
      <x:c r="P129" s="14" t="str">
        <x:v>No</x:v>
      </x:c>
      <x:c r="Q129" s="14" t="str">
        <x:v>Underground storage potential</x:v>
      </x:c>
      <x:c r="R129" s="14" t="str">
        <x:v>Sand dams increase groundwater storage in riverbanks by up to 40%, which is maintained throughout the year.</x:v>
      </x:c>
      <x:c r="S129" s="14" t="str">
        <x:v>Strong or quantified outcome</x:v>
      </x:c>
      <x:c r="T129" s="14" t="str">
        <x:v>Medium effectiveness</x:v>
      </x:c>
    </x:row>
    <x:row r="130" ht="76" customHeight="1">
      <x:c r="A130" s="14" t="str">
        <x:v>ipcc_0104</x:v>
      </x:c>
      <x:c r="B130" s="14" t="str">
        <x:v>Plan and support permanent climate‑related migration</x:v>
      </x:c>
      <x:c r="C130" s="14" t="str">
        <x:v>Water Resources</x:v>
      </x:c>
      <x:c r="D130" s="14" t="str">
        <x:v>Risk of water stress</x:v>
      </x:c>
      <x:c r="E130" s="14" t="str">
        <x:v>Exposure</x:v>
      </x:c>
      <x:c r="F130" s="15" t="str"/>
      <x:c r="G130" s="15" t="str"/>
      <x:c r="H130" s="14" t="str">
        <x:v>Guidance on Water and Adaptation to Climate Change</x:v>
      </x:c>
      <x:c r="I130" s="14" t="str">
        <x:v>https://digitallibrary.un.org/record/670358/files/Guidance_water_climate.pdf</x:v>
      </x:c>
      <x:c r="J130" s="14" t="n">
        <x:v>32</x:v>
      </x:c>
      <x:c r="K130" s="14" t="str">
        <x:v>18</x:v>
      </x:c>
      <x:c r="L130" s="14" t="str">
        <x:v>Verified ordered</x:v>
      </x:c>
      <x:c r="M130" s="14" t="str">
        <x:v>Ordered token coverage on the cited PDF page is 98.0%.</x:v>
      </x:c>
      <x:c r="N130" s="14" t="str">
        <x:v>Contradicts</x:v>
      </x:c>
      <x:c r="O130" s="14" t="str">
        <x:v>Part of action</x:v>
      </x:c>
      <x:c r="P130" s="14" t="str">
        <x:v>Yes</x:v>
      </x:c>
      <x:c r="Q130" s="14" t="str">
        <x:v>Population density | Urban users exposed | Exposed rural users</x:v>
      </x:c>
      <x:c r="R130" s="14" t="str">
        <x:v>Demographic changes, including population growth and migration are certainly one of the main causes of increased water use. In addition, these changes are mainly concentrated in coastal areas which are already under high water stress and where climate change is expected to have the highest impact, including through salinization of groundwater.</x:v>
      </x:c>
      <x:c r="S130" s="14" t="str">
        <x:v>Not applicable (contradicting)</x:v>
      </x:c>
      <x:c r="T130" s="14" t="str">
        <x:v>No demonstrated effectiveness</x:v>
      </x:c>
    </x:row>
    <x:row r="131" ht="76" customHeight="1">
      <x:c r="A131" s="14" t="str">
        <x:v>c40_0053</x:v>
      </x:c>
      <x:c r="B131" s="14" t="str">
        <x:v>Promote water-saving technologies and practices</x:v>
      </x:c>
      <x:c r="C131" s="14" t="str">
        <x:v>Water Resources</x:v>
      </x:c>
      <x:c r="D131" s="14" t="str">
        <x:v>Risk of water stress</x:v>
      </x:c>
      <x:c r="E131" s="14" t="str">
        <x:v>Vulnerability</x:v>
      </x:c>
      <x:c r="F131" s="15" t="str"/>
      <x:c r="G131" s="15" t="str"/>
      <x:c r="H131" s="14" t="str">
        <x:v>Water Security and Climate Change: Insights from Country Climate and Development Reports</x:v>
      </x:c>
      <x:c r="I131" s="14" t="str">
        <x:v>https://documents1.worldbank.org/curated/en/099124511122431814/pdf/IDU1fa8a4c3a1fd8c14810194851fb785b73d02d.pdf</x:v>
      </x:c>
      <x:c r="J131" s="14" t="n">
        <x:v>3</x:v>
      </x:c>
      <x:c r="K131" s="14" t="str"/>
      <x:c r="L131" s="14" t="str">
        <x:v>Verified exact</x:v>
      </x:c>
      <x:c r="M131" s="14" t="str">
        <x:v>Normalized quote occurs on the cited PDF page.</x:v>
      </x:c>
      <x:c r="N131" s="14" t="str">
        <x:v>Qualifies</x:v>
      </x:c>
      <x:c r="O131" s="14" t="str">
        <x:v>Whole action</x:v>
      </x:c>
      <x:c r="P131" s="14" t="str">
        <x:v>No</x:v>
      </x:c>
      <x:c r="Q131" s="14" t="str">
        <x:v>Average per capita water consumption</x:v>
      </x:c>
      <x:c r="R131" s="14" t="str">
        <x:v>Demand-side management often proves to be more cost-effective in addressing water supply shortages than investing in supply-side solutions. Effective water demand management involves adjusting water tariffs to reflect the true value of water in water allocation and use, increasing consumer awareness, and strengthening regulations and technologies to improve water use efficiency. Increasing efficiency requires countries to overcome political-economy barriers while repurposing wasteful water subsidies. Countries experiencing water stress are more likely to recommend water tariff reforms in their CCDRs.</x:v>
      </x:c>
      <x:c r="S131" s="14" t="str">
        <x:v>Moderate or conditional outcome</x:v>
      </x:c>
      <x:c r="T131" s="14" t="str">
        <x:v>Medium effectiveness</x:v>
      </x:c>
    </x:row>
    <x:row r="132" ht="76" customHeight="1">
      <x:c r="A132" s="14" t="str">
        <x:v>c40_0053</x:v>
      </x:c>
      <x:c r="B132" s="14" t="str">
        <x:v>Promote water-saving technologies and practices</x:v>
      </x:c>
      <x:c r="C132" s="14" t="str">
        <x:v>Water Resources</x:v>
      </x:c>
      <x:c r="D132" s="14" t="str">
        <x:v>Risk of water stress</x:v>
      </x:c>
      <x:c r="E132" s="14" t="str">
        <x:v>Vulnerability</x:v>
      </x:c>
      <x:c r="F132" s="15" t="str"/>
      <x:c r="G132" s="15" t="str"/>
      <x:c r="H132" s="14" t="str">
        <x:v>Guidance on Water and Adaptation to Climate Change</x:v>
      </x:c>
      <x:c r="I132" s="14" t="str">
        <x:v>https://digitallibrary.un.org/record/670358/files/Guidance_water_climate.pdf</x:v>
      </x:c>
      <x:c r="J132" s="14" t="n">
        <x:v>98</x:v>
      </x:c>
      <x:c r="K132" s="14" t="str">
        <x:v>84</x:v>
      </x:c>
      <x:c r="L132" s="14" t="str">
        <x:v>Verified ordered</x:v>
      </x:c>
      <x:c r="M132" s="14" t="str">
        <x:v>Ordered token coverage on the cited PDF page is 100.0%.</x:v>
      </x:c>
      <x:c r="N132" s="14" t="str">
        <x:v>Supports</x:v>
      </x:c>
      <x:c r="O132" s="14" t="str">
        <x:v>Part of action</x:v>
      </x:c>
      <x:c r="P132" s="14" t="str">
        <x:v>No</x:v>
      </x:c>
      <x:c r="Q132" s="14" t="str">
        <x:v>Average per capita water consumption</x:v>
      </x:c>
      <x:c r="R132" s="14" t="str">
        <x:v>For example, encouraging the efficient use of water, and particularly hot water, in households is a win-win option, reducing demand on water resources and also mitigating climate change by reducing carbon emissions from water heating;</x:v>
      </x:c>
      <x:c r="S132" s="14" t="str">
        <x:v>Strength not demonstrated</x:v>
      </x:c>
      <x:c r="T132" s="14" t="str">
        <x:v>Medium effectiveness</x:v>
      </x:c>
    </x:row>
    <x:row r="133" ht="76" customHeight="1">
      <x:c r="A133" s="14" t="str">
        <x:v>ipcc_0085</x:v>
      </x:c>
      <x:c r="B133" s="14" t="str">
        <x:v>Reduce pressures on ecosystems to build resilience</x:v>
      </x:c>
      <x:c r="C133" s="14" t="str">
        <x:v>Water Resources</x:v>
      </x:c>
      <x:c r="D133" s="14" t="str">
        <x:v>Risk of water stress</x:v>
      </x:c>
      <x:c r="E133" s="14" t="str">
        <x:v>Vulnerability</x:v>
      </x:c>
      <x:c r="F133" s="15" t="str"/>
      <x:c r="G133" s="15" t="str"/>
      <x:c r="H133" s="14" t="str">
        <x:v>Flowing Forward: Freshwater Ecosystem Adaptation to Climate Change in Water Resources Management and Biodiversity Conservation</x:v>
      </x:c>
      <x:c r="I133" s="14" t="str">
        <x:v>https://awsassets.panda.org/downloads/flowing_forward_freshwater_ecosystem_adaptation_to_climate_change.pdf</x:v>
      </x:c>
      <x:c r="J133" s="14" t="n">
        <x:v>19</x:v>
      </x:c>
      <x:c r="K133" s="14" t="str">
        <x:v>13</x:v>
      </x:c>
      <x:c r="L133" s="14" t="str">
        <x:v>Verified exact</x:v>
      </x:c>
      <x:c r="M133" s="14" t="str">
        <x:v>Normalized quote occurs on the cited PDF page.</x:v>
      </x:c>
      <x:c r="N133" s="14" t="str">
        <x:v>Supports</x:v>
      </x:c>
      <x:c r="O133" s="14" t="str">
        <x:v>Whole action</x:v>
      </x:c>
      <x:c r="P133" s="14" t="str">
        <x:v>No</x:v>
      </x:c>
      <x:c r="Q133" s="14" t="str">
        <x:v>Degraded and/or deforested areas</x:v>
      </x:c>
      <x:c r="R133" s="14" t="str">
        <x:v>In recognition of the importance of freshwater ecosystems and the services that they provide, environmental sustainability is recognized as a core principle of integrated water resources management, enshrined in the first of the Dublin principles that recognizes that 'effective management of water resources demands a holistic approach, linking social and economic development with protection of natural ecosystems.' This increasing recognition has led to the significant development of tools and approaches that seek to ensure the maintenance, protection and restoration of ecosystems and ecosystem services in on-going water resources management efforts.</x:v>
      </x:c>
      <x:c r="S133" s="14" t="str">
        <x:v>Strength not demonstrated</x:v>
      </x:c>
      <x:c r="T133" s="14" t="str">
        <x:v>Medium effectiveness</x:v>
      </x:c>
    </x:row>
    <x:row r="134" ht="76" customHeight="1">
      <x:c r="A134" s="14" t="str">
        <x:v>ipcc_0085</x:v>
      </x:c>
      <x:c r="B134" s="14" t="str">
        <x:v>Reduce pressures on ecosystems to build resilience</x:v>
      </x:c>
      <x:c r="C134" s="14" t="str">
        <x:v>Water Resources</x:v>
      </x:c>
      <x:c r="D134" s="14" t="str">
        <x:v>Risk of water stress</x:v>
      </x:c>
      <x:c r="E134" s="14" t="str">
        <x:v>Vulnerability</x:v>
      </x:c>
      <x:c r="F134" s="15" t="str"/>
      <x:c r="G134" s="15" t="str"/>
      <x:c r="H134" s="14" t="str">
        <x:v>Water and Climate Change Adaptation in Transboundary Basins: Lessons Learned and Good Practices</x:v>
      </x:c>
      <x:c r="I134" s="14" t="str">
        <x:v>https://unece.org/info/publications/pub/21743</x:v>
      </x:c>
      <x:c r="J134" s="14" t="n">
        <x:v>37</x:v>
      </x:c>
      <x:c r="K134" s="14" t="str"/>
      <x:c r="L134" s="14" t="str">
        <x:v>Verified ordered</x:v>
      </x:c>
      <x:c r="M134" s="14" t="str">
        <x:v>Ordered token coverage on the cited PDF page is 100.0%.</x:v>
      </x:c>
      <x:c r="N134" s="14" t="str">
        <x:v>Supports</x:v>
      </x:c>
      <x:c r="O134" s="14" t="str">
        <x:v>Part of action</x:v>
      </x:c>
      <x:c r="P134" s="14" t="str">
        <x:v>No</x:v>
      </x:c>
      <x:c r="Q134" s="14" t="str">
        <x:v>Water quality | Degraded and/or deforested areas</x:v>
      </x:c>
      <x:c r="R134" s="14" t="str">
        <x:v>The ecologic restoration project consisted in the transformation of rice fields into different habitats typical in wetlands. So far, the benefits of the project have been an improvement in water quality: the water ecosystems established in Tancat de la Pipa, both artificial wetlands with surface flow and lagoons, have shown a great capacity to reduce suspended solids, total phosphorous, total nitrogen and phytoplankton in water.</x:v>
      </x:c>
      <x:c r="S134" s="14" t="str">
        <x:v>Strength not demonstrated</x:v>
      </x:c>
      <x:c r="T134" s="14" t="str">
        <x:v>Medium effectiveness</x:v>
      </x:c>
    </x:row>
    <x:row r="135" ht="76" customHeight="1">
      <x:c r="A135" s="14" t="str">
        <x:v>ipcc_0085</x:v>
      </x:c>
      <x:c r="B135" s="14" t="str">
        <x:v>Reduce pressures on ecosystems to build resilience</x:v>
      </x:c>
      <x:c r="C135" s="14" t="str">
        <x:v>Water Resources</x:v>
      </x:c>
      <x:c r="D135" s="14" t="str">
        <x:v>Risk of water stress</x:v>
      </x:c>
      <x:c r="E135" s="14" t="str">
        <x:v>Vulnerability</x:v>
      </x:c>
      <x:c r="F135" s="15" t="str"/>
      <x:c r="G135" s="15" t="str"/>
      <x:c r="H135" s="14" t="str">
        <x:v>Climate Change 2022: Impacts, Adaptation and Vulnerability — Chapter 4: Water</x:v>
      </x:c>
      <x:c r="I135" s="14" t="str">
        <x:v>https://www.ipcc.ch/report/ar6/wg2/downloads/report/IPCC_AR6_WGII_Chapter04.pdf</x:v>
      </x:c>
      <x:c r="J135" s="14" t="n">
        <x:v>82</x:v>
      </x:c>
      <x:c r="K135" s="14" t="str">
        <x:v>632</x:v>
      </x:c>
      <x:c r="L135" s="14" t="str">
        <x:v>Verified ordered</x:v>
      </x:c>
      <x:c r="M135" s="14" t="str">
        <x:v>Ordered token coverage on the cited PDF page is 100.0%.</x:v>
      </x:c>
      <x:c r="N135" s="14" t="str">
        <x:v>Supports</x:v>
      </x:c>
      <x:c r="O135" s="14" t="str">
        <x:v>Whole action</x:v>
      </x:c>
      <x:c r="P135" s="14" t="str">
        <x:v>No</x:v>
      </x:c>
      <x:c r="Q135" s="14" t="str">
        <x:v>Water quality</x:v>
      </x:c>
      <x:c r="R135" s="14"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S135" s="14" t="str">
        <x:v>Moderate or conditional outcome</x:v>
      </x:c>
      <x:c r="T135" s="14" t="str">
        <x:v>Medium effectiveness</x:v>
      </x:c>
    </x:row>
    <x:row r="136" ht="76" customHeight="1">
      <x:c r="A136" s="14" t="str">
        <x:v>c40_0062</x:v>
      </x:c>
      <x:c r="B136" s="14" t="str">
        <x:v>Reform water tariffs to support efficiency and equity</x:v>
      </x:c>
      <x:c r="C136" s="14" t="str">
        <x:v>Water Resources</x:v>
      </x:c>
      <x:c r="D136" s="14" t="str">
        <x:v>Risk of water stress</x:v>
      </x:c>
      <x:c r="E136" s="14" t="str">
        <x:v>Vulnerability</x:v>
      </x:c>
      <x:c r="F136" s="15" t="str"/>
      <x:c r="G136" s="15" t="str"/>
      <x:c r="H136" s="14" t="str">
        <x:v>Water Security and Climate Change: Insights from Country Climate and Development Reports</x:v>
      </x:c>
      <x:c r="I136" s="14" t="str">
        <x:v>https://documents1.worldbank.org/curated/en/099124511122431814/pdf/IDU1fa8a4c3a1fd8c14810194851fb785b73d02d.pdf</x:v>
      </x:c>
      <x:c r="J136" s="14" t="n">
        <x:v>3</x:v>
      </x:c>
      <x:c r="K136" s="14" t="str"/>
      <x:c r="L136" s="14" t="str">
        <x:v>Verified exact</x:v>
      </x:c>
      <x:c r="M136" s="14" t="str">
        <x:v>Normalized quote occurs on the cited PDF page.</x:v>
      </x:c>
      <x:c r="N136" s="14" t="str">
        <x:v>Supports</x:v>
      </x:c>
      <x:c r="O136" s="14" t="str">
        <x:v>Whole action</x:v>
      </x:c>
      <x:c r="P136" s="14" t="str">
        <x:v>No</x:v>
      </x:c>
      <x:c r="Q136" s="14" t="str">
        <x:v>Average per capita water consumption</x:v>
      </x:c>
      <x:c r="R136" s="14" t="str">
        <x:v>Demand-side management often proves to be more cost-effective in addressing water supply shortages than investing in supply-side solutions. Effective water demand management involves adjusting water tariffs to reflect the true value of water in water allocation and use, increasing consumer awareness, and strengthening regulations and technologies to improve water use efficiency.</x:v>
      </x:c>
      <x:c r="S136" s="14" t="str">
        <x:v>Moderate or conditional outcome</x:v>
      </x:c>
      <x:c r="T136" s="14" t="str">
        <x:v>Medium effectiveness</x:v>
      </x:c>
    </x:row>
    <x:row r="137" ht="76" customHeight="1">
      <x:c r="A137" s="14" t="str">
        <x:v>icare_0181</x:v>
      </x:c>
      <x:c r="B137" s="14" t="str">
        <x:v>Restore in Vulnerable Areas</x:v>
      </x:c>
      <x:c r="C137" s="14" t="str">
        <x:v>Water Resources</x:v>
      </x:c>
      <x:c r="D137" s="14" t="str">
        <x:v>Risk of water stress</x:v>
      </x:c>
      <x:c r="E137" s="14" t="str">
        <x:v>Vulnerability</x:v>
      </x:c>
      <x:c r="F137" s="15" t="str"/>
      <x:c r="G137" s="15" t="str"/>
      <x:c r="H137" s="14" t="str">
        <x:v>Water and Climate Change Adaptation in Transboundary Basins: Lessons Learned and Good Practices</x:v>
      </x:c>
      <x:c r="I137" s="14" t="str">
        <x:v>https://unece.org/info/publications/pub/21743</x:v>
      </x:c>
      <x:c r="J137" s="14" t="n">
        <x:v>37</x:v>
      </x:c>
      <x:c r="K137" s="14" t="str"/>
      <x:c r="L137" s="14" t="str">
        <x:v>Verified ordered</x:v>
      </x:c>
      <x:c r="M137" s="14" t="str">
        <x:v>Ordered token coverage on the cited PDF page is 100.0%.</x:v>
      </x:c>
      <x:c r="N137" s="14" t="str">
        <x:v>Supports</x:v>
      </x:c>
      <x:c r="O137" s="14" t="str">
        <x:v>Part of action</x:v>
      </x:c>
      <x:c r="P137" s="14" t="str">
        <x:v>No</x:v>
      </x:c>
      <x:c r="Q137" s="14" t="str">
        <x:v>Water quality | Degraded and/or deforested areas</x:v>
      </x:c>
      <x:c r="R137" s="14" t="str">
        <x:v>The ecologic restoration project consisted in the transformation of rice fields into different habitats typical in wetlands. So far, the benefits of the project have been an improvement in water quality: the water ecosystems established in Tancat de la Pipa, both artificial wetlands with surface flow and lagoons, have shown a great capacity to reduce suspended solids, total phosphorous, total nitrogen and phytoplankton in water.</x:v>
      </x:c>
      <x:c r="S137" s="14" t="str">
        <x:v>Strength not demonstrated</x:v>
      </x:c>
      <x:c r="T137" s="14" t="str">
        <x:v>Medium effectiveness</x:v>
      </x:c>
    </x:row>
    <x:row r="138" ht="76" customHeight="1">
      <x:c r="A138" s="14" t="str">
        <x:v>icare_0181</x:v>
      </x:c>
      <x:c r="B138" s="14" t="str">
        <x:v>Restore in Vulnerable Areas</x:v>
      </x:c>
      <x:c r="C138" s="14" t="str">
        <x:v>Water Resources</x:v>
      </x:c>
      <x:c r="D138" s="14" t="str">
        <x:v>Risk of water stress</x:v>
      </x:c>
      <x:c r="E138" s="14" t="str">
        <x:v>Vulnerability</x:v>
      </x:c>
      <x:c r="F138" s="15" t="str"/>
      <x:c r="G138" s="15" t="str"/>
      <x:c r="H138" s="14" t="str">
        <x:v>Climate Change 2022: Impacts, Adaptation and Vulnerability — Chapter 4: Water</x:v>
      </x:c>
      <x:c r="I138" s="14" t="str">
        <x:v>https://www.ipcc.ch/report/ar6/wg2/downloads/report/IPCC_AR6_WGII_Chapter04.pdf</x:v>
      </x:c>
      <x:c r="J138" s="14" t="n">
        <x:v>82</x:v>
      </x:c>
      <x:c r="K138" s="14" t="str">
        <x:v>632</x:v>
      </x:c>
      <x:c r="L138" s="14" t="str">
        <x:v>Verified ordered</x:v>
      </x:c>
      <x:c r="M138" s="14" t="str">
        <x:v>Ordered token coverage on the cited PDF page is 100.0%.</x:v>
      </x:c>
      <x:c r="N138" s="14" t="str">
        <x:v>Supports</x:v>
      </x:c>
      <x:c r="O138" s="14" t="str">
        <x:v>Whole action</x:v>
      </x:c>
      <x:c r="P138" s="14" t="str">
        <x:v>No</x:v>
      </x:c>
      <x:c r="Q138" s="14" t="str">
        <x:v>Water quality</x:v>
      </x:c>
      <x:c r="R138" s="14"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S138" s="14" t="str">
        <x:v>Moderate or conditional outcome</x:v>
      </x:c>
      <x:c r="T138" s="14" t="str">
        <x:v>Medium effectiveness</x:v>
      </x:c>
    </x:row>
    <x:row r="139" ht="76" customHeight="1">
      <x:c r="A139" s="14" t="str">
        <x:v>ipcc_0084</x:v>
      </x:c>
      <x:c r="B139" s="14" t="str">
        <x:v>Restore/create natural areas</x:v>
      </x:c>
      <x:c r="C139" s="14" t="str">
        <x:v>Water Resources</x:v>
      </x:c>
      <x:c r="D139" s="14" t="str">
        <x:v>Risk of water stress</x:v>
      </x:c>
      <x:c r="E139" s="14" t="str">
        <x:v>Vulnerability</x:v>
      </x:c>
      <x:c r="F139" s="15" t="str"/>
      <x:c r="G139" s="15" t="str"/>
      <x:c r="H139" s="14" t="str">
        <x:v>Flowing Forward: Freshwater Ecosystem Adaptation to Climate Change in Water Resources Management and Biodiversity Conservation</x:v>
      </x:c>
      <x:c r="I139" s="14" t="str">
        <x:v>https://awsassets.panda.org/downloads/flowing_forward_freshwater_ecosystem_adaptation_to_climate_change.pdf</x:v>
      </x:c>
      <x:c r="J139" s="14" t="n">
        <x:v>19</x:v>
      </x:c>
      <x:c r="K139" s="14" t="str">
        <x:v>13</x:v>
      </x:c>
      <x:c r="L139" s="14" t="str">
        <x:v>Verified exact</x:v>
      </x:c>
      <x:c r="M139" s="14" t="str">
        <x:v>Normalized quote occurs on the cited PDF page.</x:v>
      </x:c>
      <x:c r="N139" s="14" t="str">
        <x:v>Supports</x:v>
      </x:c>
      <x:c r="O139" s="14" t="str">
        <x:v>Whole action</x:v>
      </x:c>
      <x:c r="P139" s="14" t="str">
        <x:v>No</x:v>
      </x:c>
      <x:c r="Q139" s="14" t="str">
        <x:v>Degraded and/or deforested areas | Ecological flow for ecosystem uses</x:v>
      </x:c>
      <x:c r="R139" s="14" t="str">
        <x:v>In recognition of the importance of freshwater ecosystems and the services that they provide, environmental sustainability is recognized as a core principle of integrated water resources management, enshrined in the first of the Dublin principles that recognizes that 'effective management of water resources demands a holistic approach, linking social and economic development with protection of natural ecosystems.' This increasing recognition has led to the significant development of tools and approaches that seek to ensure the maintenance, protection and restoration of ecosystems and ecosystem services in on-going water resources management efforts.</x:v>
      </x:c>
      <x:c r="S139" s="14" t="str">
        <x:v>Strength not demonstrated</x:v>
      </x:c>
      <x:c r="T139" s="14" t="str">
        <x:v>Medium effectiveness</x:v>
      </x:c>
    </x:row>
    <x:row r="140" ht="76" customHeight="1">
      <x:c r="A140" s="14" t="str">
        <x:v>ipcc_0084</x:v>
      </x:c>
      <x:c r="B140" s="14" t="str">
        <x:v>Restore/create natural areas</x:v>
      </x:c>
      <x:c r="C140" s="14" t="str">
        <x:v>Water Resources</x:v>
      </x:c>
      <x:c r="D140" s="14" t="str">
        <x:v>Risk of water stress</x:v>
      </x:c>
      <x:c r="E140" s="14" t="str">
        <x:v>Vulnerability</x:v>
      </x:c>
      <x:c r="F140" s="15" t="str"/>
      <x:c r="G140" s="15" t="str"/>
      <x:c r="H140" s="14" t="str">
        <x:v>Water and Climate Change Adaptation in Transboundary Basins: Lessons Learned and Good Practices</x:v>
      </x:c>
      <x:c r="I140" s="14" t="str">
        <x:v>https://unece.org/info/publications/pub/21743</x:v>
      </x:c>
      <x:c r="J140" s="14" t="n">
        <x:v>37</x:v>
      </x:c>
      <x:c r="K140" s="14" t="str"/>
      <x:c r="L140" s="14" t="str">
        <x:v>Verified ordered</x:v>
      </x:c>
      <x:c r="M140" s="14" t="str">
        <x:v>Ordered token coverage on the cited PDF page is 100.0%.</x:v>
      </x:c>
      <x:c r="N140" s="14" t="str">
        <x:v>Supports</x:v>
      </x:c>
      <x:c r="O140" s="14" t="str">
        <x:v>Part of action</x:v>
      </x:c>
      <x:c r="P140" s="14" t="str">
        <x:v>No</x:v>
      </x:c>
      <x:c r="Q140" s="14" t="str">
        <x:v>Water quality | Degraded and/or deforested areas</x:v>
      </x:c>
      <x:c r="R140" s="14" t="str">
        <x:v>The ecologic restoration project consisted in the transformation of rice fields into different habitats typical in wetlands. So far, the benefits of the project have been an improvement in water quality: the water ecosystems established in Tancat de la Pipa, both artificial wetlands with surface flow and lagoons, have shown a great capacity to reduce suspended solids, total phosphorous, total nitrogen and phytoplankton in water.</x:v>
      </x:c>
      <x:c r="S140" s="14" t="str">
        <x:v>Strength not demonstrated</x:v>
      </x:c>
      <x:c r="T140" s="14" t="str">
        <x:v>Medium effectiveness</x:v>
      </x:c>
    </x:row>
    <x:row r="141" ht="76" customHeight="1">
      <x:c r="A141" s="14" t="str">
        <x:v>ipcc_0084</x:v>
      </x:c>
      <x:c r="B141" s="14" t="str">
        <x:v>Restore/create natural areas</x:v>
      </x:c>
      <x:c r="C141" s="14" t="str">
        <x:v>Water Resources</x:v>
      </x:c>
      <x:c r="D141" s="14" t="str">
        <x:v>Risk of water stress</x:v>
      </x:c>
      <x:c r="E141" s="14" t="str">
        <x:v>Vulnerability</x:v>
      </x:c>
      <x:c r="F141" s="15" t="str"/>
      <x:c r="G141" s="15" t="str"/>
      <x:c r="H141" s="14" t="str">
        <x:v>Climate Change 2022: Impacts, Adaptation and Vulnerability — Chapter 4: Water</x:v>
      </x:c>
      <x:c r="I141" s="14" t="str">
        <x:v>https://www.ipcc.ch/report/ar6/wg2/downloads/report/IPCC_AR6_WGII_Chapter04.pdf</x:v>
      </x:c>
      <x:c r="J141" s="14" t="n">
        <x:v>82</x:v>
      </x:c>
      <x:c r="K141" s="14" t="str">
        <x:v>632</x:v>
      </x:c>
      <x:c r="L141" s="14" t="str">
        <x:v>Verified ordered</x:v>
      </x:c>
      <x:c r="M141" s="14" t="str">
        <x:v>Ordered token coverage on the cited PDF page is 100.0%.</x:v>
      </x:c>
      <x:c r="N141" s="14" t="str">
        <x:v>Supports</x:v>
      </x:c>
      <x:c r="O141" s="14" t="str">
        <x:v>Whole action</x:v>
      </x:c>
      <x:c r="P141" s="14" t="str">
        <x:v>No</x:v>
      </x:c>
      <x:c r="Q141" s="14" t="str">
        <x:v>Water quality</x:v>
      </x:c>
      <x:c r="R141" s="14" t="str">
        <x:v>NbS have been used for stormwater management by combining water purification and retention functions. NbS have also been used to mitigate impacts from high-impact extreme precipitation events by integrating large-scale NbS investment plans into urban planning in cities like New York and Copenhagen, highlighting the importance of blended finance and investment (including insurance) to mainstream NbS investments. In summary, there is growing evidence on NbS effectiveness as an adaptation measure and its critical role for transformative adaptation to address climate change water-related hazards and water security (medium evidence, high agreement).</x:v>
      </x:c>
      <x:c r="S141" s="14" t="str">
        <x:v>Moderate or conditional outcome</x:v>
      </x:c>
      <x:c r="T141" s="14" t="str">
        <x:v>Medium effectiveness</x:v>
      </x:c>
    </x:row>
    <x:row r="142" ht="76" customHeight="1">
      <x:c r="A142" s="14" t="str">
        <x:v>ipcc_0096</x:v>
      </x:c>
      <x:c r="B142" s="14" t="str">
        <x:v>Strengthen climate resilience in farming and fisheries</x:v>
      </x:c>
      <x:c r="C142" s="14" t="str">
        <x:v>Water Resources</x:v>
      </x:c>
      <x:c r="D142" s="14" t="str">
        <x:v>Risk of water stress</x:v>
      </x:c>
      <x:c r="E142" s="14" t="str">
        <x:v>Vulnerability</x:v>
      </x:c>
      <x:c r="F142" s="15" t="str"/>
      <x:c r="G142" s="15" t="str"/>
      <x:c r="H142" s="14" t="str">
        <x:v>Water Security and Climate Change: Insights from Country Climate and Development Reports</x:v>
      </x:c>
      <x:c r="I142" s="14" t="str">
        <x:v>https://documents1.worldbank.org/curated/en/099124511122431814/pdf/IDU1fa8a4c3a1fd8c14810194851fb785b73d02d.pdf</x:v>
      </x:c>
      <x:c r="J142" s="14" t="n">
        <x:v>14</x:v>
      </x:c>
      <x:c r="K142" s="14" t="str"/>
      <x:c r="L142" s="14" t="str">
        <x:v>Verified ordered</x:v>
      </x:c>
      <x:c r="M142" s="14" t="str">
        <x:v>Ordered token coverage on the cited PDF page is 100.0%.</x:v>
      </x:c>
      <x:c r="N142" s="14" t="str">
        <x:v>Supports</x:v>
      </x:c>
      <x:c r="O142" s="14" t="str">
        <x:v>Whole action</x:v>
      </x:c>
      <x:c r="P142" s="14" t="str">
        <x:v>No</x:v>
      </x:c>
      <x:c r="Q142" s="14" t="str">
        <x:v>Drought-related prevention actions</x:v>
      </x:c>
      <x:c r="R142" s="14" t="str">
        <x:v>Smart agriculture, drip irrigation, agricultural research, reservoir management, and water availability forecast systems. Emergency response and alerts, digital infrastructure and apps. Surface water and underwater unmanned vehicles that monitor changes in climate and marine ecosystems.</x:v>
      </x:c>
      <x:c r="S142" s="14" t="str">
        <x:v>Strength not demonstrated</x:v>
      </x:c>
      <x:c r="T142" s="14" t="str">
        <x:v>No demonstrated effectiveness</x:v>
      </x:c>
    </x:row>
    <x:row r="143" ht="76" customHeight="1">
      <x:c r="A143" s="14" t="str">
        <x:v>ipcc_0103</x:v>
      </x:c>
      <x:c r="B143" s="14" t="str">
        <x:v>Strengthen cooperative climate governance</x:v>
      </x:c>
      <x:c r="C143" s="14" t="str">
        <x:v>Water Resources</x:v>
      </x:c>
      <x:c r="D143" s="14" t="str">
        <x:v>Risk of water stress</x:v>
      </x:c>
      <x:c r="E143" s="14" t="str">
        <x:v>Vulnerability</x:v>
      </x:c>
      <x:c r="F143" s="15" t="str"/>
      <x:c r="G143" s="15" t="str"/>
      <x:c r="H143" s="14" t="str">
        <x:v>Climate Change 2022: Impacts Adaptation and Vulnerability — Chapter 12: Central and South America</x:v>
      </x:c>
      <x:c r="I143" s="14" t="str">
        <x:v>https://www.ipcc.ch/report/ar6/wg2/downloads/report/IPCC_AR6_WGII_Chapter12.pdf</x:v>
      </x:c>
      <x:c r="J143" s="14" t="n">
        <x:v>71</x:v>
      </x:c>
      <x:c r="K143" s="14" t="str"/>
      <x:c r="L143" s="14" t="str">
        <x:v>Verified ordered</x:v>
      </x:c>
      <x:c r="M143" s="14" t="str">
        <x:v>Ordered token coverage is 100.0%.</x:v>
      </x:c>
      <x:c r="N143" s="14" t="str">
        <x:v>Supports</x:v>
      </x:c>
      <x:c r="O143" s="14" t="str">
        <x:v>Whole action</x:v>
      </x:c>
      <x:c r="P143" s="14" t="str">
        <x:v>No</x:v>
      </x:c>
      <x:c r="Q143" s="14" t="str">
        <x:v>Level of activity in basin committees | Drought-related prevention actions</x:v>
      </x:c>
      <x:c r="R143" s="14" t="str">
        <x:v>Progress in local water governance helped to solve that crisis and helped tackle challenges posed by reduced precipitation and flood risk in southern Guatemala.</x:v>
      </x:c>
      <x:c r="S143" s="14" t="str">
        <x:v>Moderate or conditional outcome</x:v>
      </x:c>
      <x:c r="T143" s="14" t="str">
        <x:v>Medium effectiveness</x:v>
      </x:c>
    </x:row>
    <x:row r="144" ht="76" customHeight="1">
      <x:c r="A144" s="14" t="str">
        <x:v>icare_0162</x:v>
      </x:c>
      <x:c r="B144" s="14" t="str">
        <x:v>Strengthen programs for control and conservation of protected areas</x:v>
      </x:c>
      <x:c r="C144" s="14" t="str">
        <x:v>Water Resources</x:v>
      </x:c>
      <x:c r="D144" s="14" t="str">
        <x:v>Risk of water stress</x:v>
      </x:c>
      <x:c r="E144" s="14" t="str">
        <x:v>Vulnerability</x:v>
      </x:c>
      <x:c r="F144" s="15" t="str"/>
      <x:c r="G144" s="15" t="str"/>
      <x:c r="H144" s="14" t="str">
        <x:v>Flowing Forward: Freshwater Ecosystem Adaptation to Climate Change in Water Resources Management and Biodiversity Conservation</x:v>
      </x:c>
      <x:c r="I144" s="14" t="str">
        <x:v>https://awsassets.panda.org/downloads/flowing_forward_freshwater_ecosystem_adaptation_to_climate_change.pdf</x:v>
      </x:c>
      <x:c r="J144" s="14" t="n">
        <x:v>19</x:v>
      </x:c>
      <x:c r="K144" s="14" t="str">
        <x:v>13</x:v>
      </x:c>
      <x:c r="L144" s="14" t="str">
        <x:v>Verified exact</x:v>
      </x:c>
      <x:c r="M144" s="14" t="str">
        <x:v>Normalized quote occurs on the cited PDF page.</x:v>
      </x:c>
      <x:c r="N144" s="14" t="str">
        <x:v>Supports</x:v>
      </x:c>
      <x:c r="O144" s="14" t="str">
        <x:v>Whole action</x:v>
      </x:c>
      <x:c r="P144" s="14" t="str">
        <x:v>No</x:v>
      </x:c>
      <x:c r="Q144" s="14" t="str">
        <x:v>Degraded and/or deforested areas</x:v>
      </x:c>
      <x:c r="R144" s="14" t="str">
        <x:v>In recognition of the importance of freshwater ecosystems and the services that they provide, environmental sustainability is recognized as a core principle of integrated water resources management, enshrined in the first of the Dublin principles that recognizes that 'effective management of water resources demands a holistic approach, linking social and economic development with protection of natural ecosystems.' This increasing recognition has led to the significant development of tools and approaches that seek to ensure the maintenance, protection and restoration of ecosystems and ecosystem services in on-going water resources management efforts.</x:v>
      </x:c>
      <x:c r="S144" s="14" t="str">
        <x:v>Strength not demonstrated</x:v>
      </x:c>
      <x:c r="T144" s="14" t="str">
        <x:v>No demonstrated effectiveness</x:v>
      </x:c>
    </x:row>
  </x:sheetData>
  <x:mergeCells>
    <x:mergeCell ref="A1:T1"/>
    <x:mergeCell ref="A2:T2"/>
  </x:mergeCells>
  <x:conditionalFormatting sqref="T5:T144">
    <x:cfRule type="containsText" dxfId="1" priority="1" operator="containsText" text="High effectiveness"/>
    <x:cfRule type="containsText" dxfId="3" priority="2" operator="containsText" text="Medium effectiveness"/>
    <x:cfRule type="containsText" dxfId="5" priority="3" operator="containsText" text="Low effectiveness"/>
    <x:cfRule type="containsText" dxfId="7" priority="4" operator="containsText" text="No demonstrated effectiveness"/>
  </x:conditionalFormatting>
  <x:conditionalFormatting sqref="L5:L144">
    <x:cfRule type="containsText" dxfId="9" priority="5" operator="containsText" text="Check layout"/>
  </x:conditionalFormatting>
  <x:dataValidations count="1">
    <x:dataValidation type="list" sqref="F5:F144">
      <x:formula1>"Accept,Needs change,Discuss"</x:formula1>
    </x:dataValidation>
  </x:dataValidations>
  <x:pageMargins left="0.7" right="0.7" top="0.75" bottom="0.75" header="0.3" footer="0.3"/>
  <x:tableParts count="1">
    <x:tablePart xmlns:r="http://schemas.openxmlformats.org/officeDocument/2006/relationships" r:id="R6a723139f55646f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50" hidden="0" customWidth="1"/>
    <x:col min="3" max="3" width="36" hidden="0" customWidth="1"/>
    <x:col min="4" max="4" width="15" hidden="0" customWidth="1"/>
    <x:col min="5" max="5" width="10" hidden="0" customWidth="1"/>
    <x:col min="6" max="6" width="15" hidden="0" customWidth="1"/>
    <x:col min="7" max="7" width="60" hidden="0" customWidth="1"/>
    <x:col min="8" max="8" width="11" hidden="0" customWidth="1"/>
    <x:col min="9" max="9" width="14" hidden="0" customWidth="1"/>
    <x:col min="10" max="10" width="20" hidden="0" customWidth="1"/>
    <x:col min="11" max="11" width="17" hidden="0" customWidth="1"/>
    <x:col min="12" max="12" width="34" hidden="0" customWidth="1"/>
  </x:cols>
  <x:sheetData>
    <x:row r="1" ht="28" customHeight="1">
      <x:c r="A1" s="3" t="str">
        <x:v>Source review</x:v>
      </x:c>
      <x:c r="B1" s="3"/>
      <x:c r="C1" s="3"/>
      <x:c r="D1" s="3"/>
      <x:c r="E1" s="3"/>
      <x:c r="F1" s="3"/>
      <x:c r="G1" s="3"/>
      <x:c r="H1" s="3"/>
      <x:c r="I1" s="3"/>
      <x:c r="J1" s="3"/>
      <x:c r="K1" s="3"/>
      <x:c r="L1" s="3"/>
    </x:row>
    <x:row r="2" ht="36" customHeight="1">
      <x:c r="A2" s="7" t="str">
        <x:v>One row per source document used in screening. Confirm sector relevance, identity, suitability and PDF access before accepting the assessment.</x:v>
      </x:c>
      <x:c r="B2" s="7"/>
      <x:c r="C2" s="7"/>
      <x:c r="D2" s="7"/>
      <x:c r="E2" s="7"/>
      <x:c r="F2" s="7"/>
      <x:c r="G2" s="7"/>
      <x:c r="H2" s="7"/>
      <x:c r="I2" s="7"/>
      <x:c r="J2" s="7"/>
      <x:c r="K2" s="7"/>
      <x:c r="L2" s="7"/>
    </x:row>
    <x:row r="4" ht="34" customHeight="1">
      <x:c r="A4" s="11" t="str">
        <x:v>Sector(s)</x:v>
      </x:c>
      <x:c r="B4" s="11" t="str">
        <x:v>Source title</x:v>
      </x:c>
      <x:c r="C4" s="11" t="str">
        <x:v>Publisher</x:v>
      </x:c>
      <x:c r="D4" s="11" t="str">
        <x:v>Publication year</x:v>
      </x:c>
      <x:c r="E4" s="11" t="str">
        <x:v>Tier</x:v>
      </x:c>
      <x:c r="F4" s="11" t="str">
        <x:v>Scope</x:v>
      </x:c>
      <x:c r="G4" s="11" t="str">
        <x:v>Source URL</x:v>
      </x:c>
      <x:c r="H4" s="11" t="str">
        <x:v>PDF pages</x:v>
      </x:c>
      <x:c r="I4" s="11" t="str">
        <x:v>Access</x:v>
      </x:c>
      <x:c r="J4" s="11" t="str">
        <x:v>Current review flag</x:v>
      </x:c>
      <x:c r="K4" s="11" t="str">
        <x:v>ICare decision</x:v>
      </x:c>
      <x:c r="L4" s="11" t="str">
        <x:v>ICare feedback</x:v>
      </x:c>
    </x:row>
    <x:row r="5" ht="58" customHeight="1">
      <x:c r="A5" s="14" t="str">
        <x:v>Biodiversity</x:v>
      </x:c>
      <x:c r="B5" s="14" t="str">
        <x:v>Climate Change 2022: Impacts, Adaptation and Vulnerability - Chapter 2: Terrestrial and Freshwater Ecosystems and their Services</x:v>
      </x:c>
      <x:c r="C5" s="14" t="str">
        <x:v>IPCC</x:v>
      </x:c>
      <x:c r="D5" s="14" t="n">
        <x:v>2022</x:v>
      </x:c>
      <x:c r="E5" s="14" t="str">
        <x:v>A</x:v>
      </x:c>
      <x:c r="F5" s="14" t="str">
        <x:v>International</x:v>
      </x:c>
      <x:c r="G5" s="14" t="str">
        <x:v>https://www.ipcc.ch/report/ar6/wg2/downloads/report/IPCC_AR6_WGII_Chapter02.pdf</x:v>
      </x:c>
      <x:c r="H5" s="14" t="n">
        <x:v>182</x:v>
      </x:c>
      <x:c r="I5" s="14" t="str">
        <x:v>Retrieved</x:v>
      </x:c>
      <x:c r="J5" s="14" t="str">
        <x:v>Proposed</x:v>
      </x:c>
      <x:c r="K5" s="15" t="str"/>
      <x:c r="L5" s="15" t="str"/>
    </x:row>
    <x:row r="6" ht="58" customHeight="1">
      <x:c r="A6" s="14" t="str">
        <x:v>Biodiversity</x:v>
      </x:c>
      <x:c r="B6" s="14" t="str">
        <x:v>Climate Change and Biodiversity in Brazil: What We Know, What We Don’t, and Paris Agreement’s Risk Reduction Potential</x:v>
      </x:c>
      <x:c r="C6" s="14" t="str">
        <x:v>Universidade Federal do Rio de Janeiro (UFRJ) / International Institute for Sustainability (IIS)</x:v>
      </x:c>
      <x:c r="D6" s="14" t="n">
        <x:v>2025</x:v>
      </x:c>
      <x:c r="E6" s="14" t="str">
        <x:v>C</x:v>
      </x:c>
      <x:c r="F6" s="14" t="str">
        <x:v>Brazil</x:v>
      </x:c>
      <x:c r="G6" s="14" t="str">
        <x:v>https://www.iis-rio.org/wp-content/uploads/2025/04/Malecha-et-al.-2025-PECON_estudo.pdf</x:v>
      </x:c>
      <x:c r="H6" s="14" t="n">
        <x:v>8</x:v>
      </x:c>
      <x:c r="I6" s="14" t="str">
        <x:v>Retrieved</x:v>
      </x:c>
      <x:c r="J6" s="14" t="str">
        <x:v>Needs Review</x:v>
      </x:c>
      <x:c r="K6" s="15" t="str"/>
      <x:c r="L6" s="15" t="str"/>
    </x:row>
    <x:row r="7" ht="58" customHeight="1">
      <x:c r="A7" s="14" t="str">
        <x:v>Biodiversity</x:v>
      </x:c>
      <x:c r="B7" s="14" t="str">
        <x:v>Documento teórico-metodológico do Setor Estratégico Biodiversidade — AdaptaBrasil MCTI, versão 1.0</x:v>
      </x:c>
      <x:c r="C7" s="14" t="str">
        <x:v>Instituto Nacional de Pesquisas Espaciais (INPE) / AdaptaBrasil MCTI</x:v>
      </x:c>
      <x:c r="D7" s="14" t="n">
        <x:v>2024</x:v>
      </x:c>
      <x:c r="E7" s="14" t="str">
        <x:v>A</x:v>
      </x:c>
      <x:c r="F7" s="14" t="str">
        <x:v>Brazil</x:v>
      </x:c>
      <x:c r="G7" s="14" t="str">
        <x:v>https://www.dropbox.com/scl/fi/3sqdjrwh1wezi1u60tchk/Teorico_metodologico_Biodiversidade_Integridade_13_12_2024.pdf?rlkey=xzm9bgxavcdfhyw3ebi4fi3fq&amp;dl=1</x:v>
      </x:c>
      <x:c r="H7" s="14" t="n">
        <x:v>13</x:v>
      </x:c>
      <x:c r="I7" s="14" t="str">
        <x:v>Retrieved</x:v>
      </x:c>
      <x:c r="J7" s="14" t="str">
        <x:v>Proposed</x:v>
      </x:c>
      <x:c r="K7" s="15" t="str"/>
      <x:c r="L7" s="15" t="str"/>
    </x:row>
    <x:row r="8" ht="58" customHeight="1">
      <x:c r="A8" s="14" t="str">
        <x:v>Biodiversity</x:v>
      </x:c>
      <x:c r="B8" s="14" t="str">
        <x:v>Ecosystem-based Adaptation Stakeholder Dialogue Report</x:v>
      </x:c>
      <x:c r="C8" s="14" t="str">
        <x:v>United Nations Environment Programme (UNEP)</x:v>
      </x:c>
      <x:c r="D8" s="14" t="n">
        <x:v>2023</x:v>
      </x:c>
      <x:c r="E8" s="14" t="str">
        <x:v>B</x:v>
      </x:c>
      <x:c r="F8" s="14" t="str">
        <x:v>International</x:v>
      </x:c>
      <x:c r="G8" s="14" t="str">
        <x:v>https://wedocs.unep.org/handle/20.500.11822/42198</x:v>
      </x:c>
      <x:c r="H8" s="14" t="n">
        <x:v>57</x:v>
      </x:c>
      <x:c r="I8" s="14" t="str">
        <x:v>Retrieved</x:v>
      </x:c>
      <x:c r="J8" s="14" t="str">
        <x:v>Proposed</x:v>
      </x:c>
      <x:c r="K8" s="15" t="str"/>
      <x:c r="L8" s="15" t="str"/>
    </x:row>
    <x:row r="9" ht="58" customHeight="1">
      <x:c r="A9" s="14" t="str">
        <x:v>Biodiversity</x:v>
      </x:c>
      <x:c r="B9" s="14" t="str">
        <x:v>Ecosystem-based Adaptation: Working with Nature to Adapt to a Changing Climate</x:v>
      </x:c>
      <x:c r="C9" s="14" t="str">
        <x:v>UNEP-WCMC</x:v>
      </x:c>
      <x:c r="D9" s="14" t="n">
        <x:v>2025</x:v>
      </x:c>
      <x:c r="E9" s="14" t="str">
        <x:v>B</x:v>
      </x:c>
      <x:c r="F9" s="14" t="str">
        <x:v>International</x:v>
      </x:c>
      <x:c r="G9" s="14" t="str">
        <x:v>https://www.unep-wcmc.org/en/news/ecosystem-based-adaptation-for-climate-resilience</x:v>
      </x:c>
      <x:c r="H9" s="14" t="str"/>
      <x:c r="I9" s="14" t="str">
        <x:v>Not Checked</x:v>
      </x:c>
      <x:c r="J9" s="14" t="str">
        <x:v>Needs Review</x:v>
      </x:c>
      <x:c r="K9" s="15" t="str"/>
      <x:c r="L9" s="15" t="str"/>
    </x:row>
    <x:row r="10" ht="58" customHeight="1">
      <x:c r="A10" s="14" t="str">
        <x:v>Biodiversity</x:v>
      </x:c>
      <x:c r="B10" s="14" t="str">
        <x:v>Estratégia e Plano de Ação Nacionais para a Biodiversidade (EPANB 2025–2030)</x:v>
      </x:c>
      <x:c r="C10" s="14" t="str">
        <x:v>Ministério do Meio Ambiente e Mudança do Clima (MMA)</x:v>
      </x:c>
      <x:c r="D10" s="14" t="n">
        <x:v>2025</x:v>
      </x:c>
      <x:c r="E10" s="14" t="str">
        <x:v>A</x:v>
      </x:c>
      <x:c r="F10" s="14" t="str">
        <x:v>Brazil</x:v>
      </x:c>
      <x:c r="G10" s="14" t="str">
        <x:v>https://www.gov.br/mma/pt-br/centrais-de-conteudo/publicacoes/biodiversidade-e-biomas/epanb-2025-2030.pdf</x:v>
      </x:c>
      <x:c r="H10" s="14" t="str"/>
      <x:c r="I10" s="14" t="str">
        <x:v>Unreachable</x:v>
      </x:c>
      <x:c r="J10" s="14" t="str">
        <x:v>Needs Review</x:v>
      </x:c>
      <x:c r="K10" s="15" t="str"/>
      <x:c r="L10" s="15" t="str"/>
    </x:row>
    <x:row r="11" ht="58" customHeight="1">
      <x:c r="A11" s="14" t="str">
        <x:v>Biodiversity</x:v>
      </x:c>
      <x:c r="B11" s="14" t="str">
        <x:v>Harnessing Nature to Build Climate Resilience: Scaling Up the Use of Ecosystem-based Adaptation</x:v>
      </x:c>
      <x:c r="C11" s="14" t="str">
        <x:v>United Nations Environment Programme (UNEP)</x:v>
      </x:c>
      <x:c r="D11" s="14" t="n">
        <x:v>2022</x:v>
      </x:c>
      <x:c r="E11" s="14" t="str">
        <x:v>B</x:v>
      </x:c>
      <x:c r="F11" s="14" t="str">
        <x:v>International</x:v>
      </x:c>
      <x:c r="G11" s="14" t="str">
        <x:v>https://globalebafund.org/wp-content/uploads/2022/07/Harnessing-nature-for-climate-resilience-Full-Report-V7-Web.pdf</x:v>
      </x:c>
      <x:c r="H11" s="14" t="n">
        <x:v>142</x:v>
      </x:c>
      <x:c r="I11" s="14" t="str">
        <x:v>Retrieved</x:v>
      </x:c>
      <x:c r="J11" s="14" t="str">
        <x:v>Proposed</x:v>
      </x:c>
      <x:c r="K11" s="15" t="str"/>
      <x:c r="L11" s="15" t="str"/>
    </x:row>
    <x:row r="12" ht="58" customHeight="1">
      <x:c r="A12" s="14" t="str">
        <x:v>Biodiversity</x:v>
      </x:c>
      <x:c r="B12" s="14" t="str">
        <x:v>Plano Clima Adaptação — Plano Temático de Biodiversidade</x:v>
      </x:c>
      <x:c r="C12" s="14" t="str">
        <x:v>Ministério do Meio Ambiente e Mudança do Clima (MMA)</x:v>
      </x:c>
      <x:c r="D12" s="14" t="n">
        <x:v>2025</x:v>
      </x:c>
      <x:c r="E12" s="14" t="str">
        <x:v>A</x:v>
      </x:c>
      <x:c r="F12" s="14" t="str">
        <x:v>Brazil</x:v>
      </x:c>
      <x:c r="G12" s="14" t="str">
        <x:v>https://www.gov.br/mma/pt-br/centrais-de-conteudo/publicacoes/mudanca-do-clima/plano-tematico-biodiversidade.pdf</x:v>
      </x:c>
      <x:c r="H12" s="14" t="n">
        <x:v>64</x:v>
      </x:c>
      <x:c r="I12" s="14" t="str">
        <x:v>Retrieved</x:v>
      </x:c>
      <x:c r="J12" s="14" t="str">
        <x:v>Proposed</x:v>
      </x:c>
      <x:c r="K12" s="15" t="str"/>
      <x:c r="L12" s="15" t="str"/>
    </x:row>
    <x:row r="13" ht="58" customHeight="1">
      <x:c r="A13" s="14" t="str">
        <x:v>Biodiversity</x:v>
      </x:c>
      <x:c r="B13" s="14" t="str">
        <x:v>Plano Clima Adaptação: Estratégia Nacional de Adaptação</x:v>
      </x:c>
      <x:c r="C13" s="14" t="str">
        <x:v>Ministério do Meio Ambiente e Mudança do Clima / MCTI / Casa Civil</x:v>
      </x:c>
      <x:c r="D13" s="14" t="n">
        <x:v>2025</x:v>
      </x:c>
      <x:c r="E13" s="14" t="str">
        <x:v>A</x:v>
      </x:c>
      <x:c r="F13" s="14" t="str">
        <x:v>Brazil</x:v>
      </x:c>
      <x:c r="G13" s="14" t="str">
        <x:v>https://www.gov.br/mma/pt-br/centrais-de-conteudo/publicacoes/mudanca-do-clima/estrategia-nacional-de-adaptacao.pdf</x:v>
      </x:c>
      <x:c r="H13" s="14" t="str"/>
      <x:c r="I13" s="14" t="str">
        <x:v>Unreachable</x:v>
      </x:c>
      <x:c r="J13" s="14" t="str">
        <x:v>Needs Review</x:v>
      </x:c>
      <x:c r="K13" s="15" t="str"/>
      <x:c r="L13" s="15" t="str"/>
    </x:row>
    <x:row r="14" ht="58" customHeight="1">
      <x:c r="A14" s="14" t="str">
        <x:v>Biodiversity</x:v>
      </x:c>
      <x:c r="B14" s="14" t="str">
        <x:v>Plano Nacional de Adaptação à Mudança do Clima</x:v>
      </x:c>
      <x:c r="C14" s="14" t="str">
        <x:v>Governo Federal do Brasil</x:v>
      </x:c>
      <x:c r="D14" s="14" t="n">
        <x:v>2016</x:v>
      </x:c>
      <x:c r="E14" s="14" t="str">
        <x:v>A</x:v>
      </x:c>
      <x:c r="F14" s="14" t="str">
        <x:v>Brazil</x:v>
      </x:c>
      <x:c r="G14" s="14" t="str">
        <x:v>https://unfccc.int/sites/default/files/resource/NAP_Brazil_2016_PR.pdf</x:v>
      </x:c>
      <x:c r="H14" s="14" t="n">
        <x:v>444</x:v>
      </x:c>
      <x:c r="I14" s="14" t="str">
        <x:v>Retrieved</x:v>
      </x:c>
      <x:c r="J14" s="14" t="str">
        <x:v>Needs Review</x:v>
      </x:c>
      <x:c r="K14" s="15" t="str"/>
      <x:c r="L14" s="15" t="str"/>
    </x:row>
    <x:row r="15" ht="58" customHeight="1">
      <x:c r="A15" s="14" t="str">
        <x:v>Biodiversity | Energy Security | Food Security | Geohydrological Disasters | Health | Water Resources</x:v>
      </x:c>
      <x:c r="B15" s="14" t="str">
        <x:v>Climate Change 2022: Impacts Adaptation and Vulnerability — Chapter 12: Central and South America</x:v>
      </x:c>
      <x:c r="C15" s="14" t="str">
        <x:v>IPCC</x:v>
      </x:c>
      <x:c r="D15" s="14" t="n">
        <x:v>2022</x:v>
      </x:c>
      <x:c r="E15" s="14" t="str">
        <x:v>A</x:v>
      </x:c>
      <x:c r="F15" s="14" t="str">
        <x:v>International</x:v>
      </x:c>
      <x:c r="G15" s="14" t="str">
        <x:v>https://www.ipcc.ch/report/ar6/wg2/downloads/report/IPCC_AR6_WGII_Chapter12.pdf</x:v>
      </x:c>
      <x:c r="H15" s="14" t="n">
        <x:v>128</x:v>
      </x:c>
      <x:c r="I15" s="14" t="str">
        <x:v>Retrieved</x:v>
      </x:c>
      <x:c r="J15" s="14" t="str">
        <x:v>Proposed</x:v>
      </x:c>
      <x:c r="K15" s="15" t="str"/>
      <x:c r="L15" s="15" t="str"/>
    </x:row>
    <x:row r="16" ht="58" customHeight="1">
      <x:c r="A16" s="14" t="str">
        <x:v>Biodiversity | Energy Security | Food Security | Geohydrological Disasters | Health | Water Resources</x:v>
      </x:c>
      <x:c r="B16" s="14" t="str">
        <x:v>Climate Change 2022: Impacts Adaptation and Vulnerability — Chapter 17: Decision-Making Options for Managing Risk</x:v>
      </x:c>
      <x:c r="C16" s="14" t="str">
        <x:v>IPCC</x:v>
      </x:c>
      <x:c r="D16" s="14" t="n">
        <x:v>2022</x:v>
      </x:c>
      <x:c r="E16" s="14" t="str">
        <x:v>A</x:v>
      </x:c>
      <x:c r="F16" s="14" t="str">
        <x:v>International</x:v>
      </x:c>
      <x:c r="G16" s="14" t="str">
        <x:v>https://www.ipcc.ch/report/ar6/wg2/downloads/report/IPCC_AR6_WGII_Chapter17.pdf</x:v>
      </x:c>
      <x:c r="H16" s="14" t="n">
        <x:v>116</x:v>
      </x:c>
      <x:c r="I16" s="14" t="str">
        <x:v>Retrieved</x:v>
      </x:c>
      <x:c r="J16" s="14" t="str">
        <x:v>Proposed</x:v>
      </x:c>
      <x:c r="K16" s="15" t="str"/>
      <x:c r="L16" s="15" t="str"/>
    </x:row>
    <x:row r="17" ht="58" customHeight="1">
      <x:c r="A17" s="14" t="str">
        <x:v>Biodiversity | Energy Security | Geohydrological Disasters | Health</x:v>
      </x:c>
      <x:c r="B17" s="14" t="str">
        <x:v>Climate Change 2022: Impacts, Adaptation and Vulnerability</x:v>
      </x:c>
      <x:c r="C17" s="14" t="str">
        <x:v>IPCC</x:v>
      </x:c>
      <x:c r="D17" s="14" t="n">
        <x:v>2022</x:v>
      </x:c>
      <x:c r="E17" s="14" t="str">
        <x:v>A</x:v>
      </x:c>
      <x:c r="F17" s="14" t="str">
        <x:v>International</x:v>
      </x:c>
      <x:c r="G17" s="14" t="str">
        <x:v>https://www.ipcc.ch/report/ar6/wg2/downloads/report/IPCC_AR6_WGII_FullReport.pdf</x:v>
      </x:c>
      <x:c r="H17" s="14" t="n">
        <x:v>3068</x:v>
      </x:c>
      <x:c r="I17" s="14" t="str">
        <x:v>Retrieved</x:v>
      </x:c>
      <x:c r="J17" s="14" t="str">
        <x:v>Proposed</x:v>
      </x:c>
      <x:c r="K17" s="15" t="str"/>
      <x:c r="L17" s="15" t="str"/>
    </x:row>
    <x:row r="18" ht="58" customHeight="1">
      <x:c r="A18" s="14" t="str">
        <x:v>Energy Security</x:v>
      </x:c>
      <x:c r="B18" s="14" t="str">
        <x:v>Brazil 2025 Energy Policy Review</x:v>
      </x:c>
      <x:c r="C18" s="14" t="str">
        <x:v>International Energy Agency (IEA) / Government of Brazil</x:v>
      </x:c>
      <x:c r="D18" s="14" t="n">
        <x:v>2025</x:v>
      </x:c>
      <x:c r="E18" s="14" t="str">
        <x:v>B</x:v>
      </x:c>
      <x:c r="F18" s="14" t="str">
        <x:v>Brazil</x:v>
      </x:c>
      <x:c r="G18" s="14" t="str">
        <x:v>https://iea.blob.core.windows.net/assets/6ea1af14-d51f-47f5-8fe7-76bfd55b0ea0/Brazil2025-EnergyPolicyReview.pdf</x:v>
      </x:c>
      <x:c r="H18" s="14" t="n">
        <x:v>134</x:v>
      </x:c>
      <x:c r="I18" s="14" t="str">
        <x:v>Retrieved</x:v>
      </x:c>
      <x:c r="J18" s="14" t="str">
        <x:v>Needs Review</x:v>
      </x:c>
      <x:c r="K18" s="15" t="str"/>
      <x:c r="L18" s="15" t="str"/>
    </x:row>
    <x:row r="19" ht="58" customHeight="1">
      <x:c r="A19" s="14" t="str">
        <x:v>Energy Security</x:v>
      </x:c>
      <x:c r="B19" s="14" t="str">
        <x:v>Brazil Country Climate and Development Report</x:v>
      </x:c>
      <x:c r="C19" s="14" t="str">
        <x:v>World Bank Group</x:v>
      </x:c>
      <x:c r="D19" s="14" t="n">
        <x:v>2023</x:v>
      </x:c>
      <x:c r="E19" s="14" t="str">
        <x:v>B</x:v>
      </x:c>
      <x:c r="F19" s="14" t="str">
        <x:v>Brazil</x:v>
      </x:c>
      <x:c r="G19" s="14" t="str">
        <x:v>https://openknowledge.worldbank.org/server/api/core/bitstreams/8c0713d7-5768-4f2c-9be5-e5aa1a3855b5/content</x:v>
      </x:c>
      <x:c r="H19" s="14" t="n">
        <x:v>14</x:v>
      </x:c>
      <x:c r="I19" s="14" t="str">
        <x:v>Retrieved</x:v>
      </x:c>
      <x:c r="J19" s="14" t="str">
        <x:v>Needs Review</x:v>
      </x:c>
      <x:c r="K19" s="15" t="str"/>
      <x:c r="L19" s="15" t="str"/>
    </x:row>
    <x:row r="20" ht="58" customHeight="1">
      <x:c r="A20" s="14" t="str">
        <x:v>Energy Security</x:v>
      </x:c>
      <x:c r="B20" s="14" t="str">
        <x:v>Climate Resilience for Energy Security</x:v>
      </x:c>
      <x:c r="C20" s="14" t="str">
        <x:v>International Energy Agency (IEA)</x:v>
      </x:c>
      <x:c r="D20" s="14" t="n">
        <x:v>2022</x:v>
      </x:c>
      <x:c r="E20" s="14" t="str">
        <x:v>B</x:v>
      </x:c>
      <x:c r="F20" s="14" t="str">
        <x:v>International</x:v>
      </x:c>
      <x:c r="G20" s="14" t="str">
        <x:v>https://iea.blob.core.windows.net/assets/10229b31-fd82-4371-b92c-a554f95369ea/ClimateResilienceforEnergySecurity.pdf</x:v>
      </x:c>
      <x:c r="H20" s="14" t="n">
        <x:v>191</x:v>
      </x:c>
      <x:c r="I20" s="14" t="str">
        <x:v>Retrieved</x:v>
      </x:c>
      <x:c r="J20" s="14" t="str">
        <x:v>Needs Review</x:v>
      </x:c>
      <x:c r="K20" s="15" t="str"/>
      <x:c r="L20" s="15" t="str"/>
    </x:row>
    <x:row r="21" ht="58" customHeight="1">
      <x:c r="A21" s="14" t="str">
        <x:v>Energy Security</x:v>
      </x:c>
      <x:c r="B21" s="14" t="str">
        <x:v>Climate Resilience: Part of Electricity Security 2021</x:v>
      </x:c>
      <x:c r="C21" s="14" t="str">
        <x:v>International Energy Agency (IEA)</x:v>
      </x:c>
      <x:c r="D21" s="14" t="n">
        <x:v>2021</x:v>
      </x:c>
      <x:c r="E21" s="14" t="str">
        <x:v>B</x:v>
      </x:c>
      <x:c r="F21" s="14" t="str">
        <x:v>International</x:v>
      </x:c>
      <x:c r="G21" s="14" t="str">
        <x:v>https://iea.blob.core.windows.net/assets/62c056f7-deed-4e3a-9a1f-a3ca8cc83813/Climate_Resilience.pdf</x:v>
      </x:c>
      <x:c r="H21" s="14" t="n">
        <x:v>70</x:v>
      </x:c>
      <x:c r="I21" s="14" t="str">
        <x:v>Retrieved</x:v>
      </x:c>
      <x:c r="J21" s="14" t="str">
        <x:v>Needs Review</x:v>
      </x:c>
      <x:c r="K21" s="15" t="str"/>
      <x:c r="L21" s="15" t="str"/>
    </x:row>
    <x:row r="22" ht="58" customHeight="1">
      <x:c r="A22" s="14" t="str">
        <x:v>Energy Security</x:v>
      </x:c>
      <x:c r="B22" s="14" t="str">
        <x:v>Documento teórico-metodológico do Setor Estratégico Segurança Energética — AdaptaBrasil MCTI, versão 2.0</x:v>
      </x:c>
      <x:c r="C22" s="14" t="str">
        <x:v>Instituto Nacional de Pesquisas Espaciais (INPE) / AdaptaBrasil MCTI</x:v>
      </x:c>
      <x:c r="D22" s="14" t="n">
        <x:v>2023</x:v>
      </x:c>
      <x:c r="E22" s="14" t="str">
        <x:v>A</x:v>
      </x:c>
      <x:c r="F22" s="14" t="str">
        <x:v>Brazil</x:v>
      </x:c>
      <x:c r="G22" s="14" t="str">
        <x:v>https://www.dropbox.com/scl/fi/ok4raqpty3d8znavifvth/Te-rico-metodol-gico_Seguran-a_Energ-tica_19_07_2023.pdf?rlkey=jy2af1bhtfaaw14c5cwt01nho&amp;dl=1</x:v>
      </x:c>
      <x:c r="H22" s="14" t="n">
        <x:v>20</x:v>
      </x:c>
      <x:c r="I22" s="14" t="str">
        <x:v>Retrieved</x:v>
      </x:c>
      <x:c r="J22" s="14" t="str">
        <x:v>Proposed</x:v>
      </x:c>
      <x:c r="K22" s="15" t="str"/>
      <x:c r="L22" s="15" t="str"/>
    </x:row>
    <x:row r="23" ht="58" customHeight="1">
      <x:c r="A23" s="14" t="str">
        <x:v>Energy Security</x:v>
      </x:c>
      <x:c r="B23" s="14" t="str">
        <x:v>Electricity Transmission and Climate Change: Roadmap for Climate Resilience in the Brazilian Power System</x:v>
      </x:c>
      <x:c r="C23" s="14" t="str">
        <x:v>Empresa de Pesquisa Energética (EPE)</x:v>
      </x:c>
      <x:c r="D23" s="14" t="n">
        <x:v>2025</x:v>
      </x:c>
      <x:c r="E23" s="14" t="str">
        <x:v>C</x:v>
      </x:c>
      <x:c r="F23" s="14" t="str">
        <x:v>Brazil</x:v>
      </x:c>
      <x:c r="G23" s="14" t="str">
        <x:v>https://www.epe.gov.br/sites-pt/publicacoes-dados-abertos/publicacoes/PublicacoesArquivos/publicacao-852/topico-736/Electricity%20transmission%20and%20climate%20change.pdf</x:v>
      </x:c>
      <x:c r="H23" s="14" t="n">
        <x:v>10</x:v>
      </x:c>
      <x:c r="I23" s="14" t="str">
        <x:v>Retrieved</x:v>
      </x:c>
      <x:c r="J23" s="14" t="str">
        <x:v>Needs Review</x:v>
      </x:c>
      <x:c r="K23" s="15" t="str"/>
      <x:c r="L23" s="15" t="str"/>
    </x:row>
    <x:row r="24" ht="58" customHeight="1">
      <x:c r="A24" s="14" t="str">
        <x:v>Energy Security</x:v>
      </x:c>
      <x:c r="B24" s="14" t="str">
        <x:v>Enhancing Resilience: Climate-proofing Power Infrastructure</x:v>
      </x:c>
      <x:c r="C24" s="14" t="str">
        <x:v>International Renewable Energy Agency (IRENA)</x:v>
      </x:c>
      <x:c r="D24" s="14" t="n">
        <x:v>2025</x:v>
      </x:c>
      <x:c r="E24" s="14" t="str">
        <x:v>C</x:v>
      </x:c>
      <x:c r="F24" s="14" t="str">
        <x:v>International</x:v>
      </x:c>
      <x:c r="G24" s="14" t="str">
        <x:v>https://www.irena.org/-/media/Files/IRENA/Agency/Publication/2025/Dec/IRENA_TEC_Enhancing_resilience_power_infrastructure_2025.pdf</x:v>
      </x:c>
      <x:c r="H24" s="14" t="n">
        <x:v>64</x:v>
      </x:c>
      <x:c r="I24" s="14" t="str">
        <x:v>Retrieved</x:v>
      </x:c>
      <x:c r="J24" s="14" t="str">
        <x:v>Needs Review</x:v>
      </x:c>
      <x:c r="K24" s="15" t="str"/>
      <x:c r="L24" s="15" t="str"/>
    </x:row>
    <x:row r="25" ht="58" customHeight="1">
      <x:c r="A25" s="14" t="str">
        <x:v>Energy Security</x:v>
      </x:c>
      <x:c r="B25" s="14" t="str">
        <x:v>Plano Clima Adaptação — Plano Setorial de Energia</x:v>
      </x:c>
      <x:c r="C25" s="14" t="str">
        <x:v>Ministério de Minas e Energia (MME)</x:v>
      </x:c>
      <x:c r="D25" s="14" t="n">
        <x:v>2025</x:v>
      </x:c>
      <x:c r="E25" s="14" t="str">
        <x:v>A</x:v>
      </x:c>
      <x:c r="F25" s="14" t="str">
        <x:v>Brazil</x:v>
      </x:c>
      <x:c r="G25" s="14" t="str">
        <x:v>https://www.gov.br/mma/pt-br/centrais-de-conteudo/publicacoes/mudanca-do-clima/planosetorial-energia.pdf</x:v>
      </x:c>
      <x:c r="H25" s="14" t="n">
        <x:v>84</x:v>
      </x:c>
      <x:c r="I25" s="14" t="str">
        <x:v>Retrieved</x:v>
      </x:c>
      <x:c r="J25" s="14" t="str">
        <x:v>Proposed</x:v>
      </x:c>
      <x:c r="K25" s="15" t="str"/>
      <x:c r="L25" s="15" t="str"/>
    </x:row>
    <x:row r="26" ht="58" customHeight="1">
      <x:c r="A26" s="14" t="str">
        <x:v>Energy Security</x:v>
      </x:c>
      <x:c r="B26" s="14" t="str">
        <x:v>Plano Nacional de Adaptação à Mudança do Clima: Volume II, Estratégias Setoriais e Temáticas</x:v>
      </x:c>
      <x:c r="C26" s="14" t="str">
        <x:v>Ministério do Meio Ambiente</x:v>
      </x:c>
      <x:c r="D26" s="14" t="n">
        <x:v>2016</x:v>
      </x:c>
      <x:c r="E26" s="14" t="str">
        <x:v>A</x:v>
      </x:c>
      <x:c r="F26" s="14" t="str">
        <x:v>Brazil</x:v>
      </x:c>
      <x:c r="G26" s="14" t="str">
        <x:v>https://www.comitebaixotiete.org/wp-content/uploads/2024/07/Plano-Nacional-de-adaptacao-a-mudanca-do-clima.pdf</x:v>
      </x:c>
      <x:c r="H26" s="14" t="n">
        <x:v>297</x:v>
      </x:c>
      <x:c r="I26" s="14" t="str">
        <x:v>Retrieved</x:v>
      </x:c>
      <x:c r="J26" s="14" t="str">
        <x:v>Needs Review</x:v>
      </x:c>
      <x:c r="K26" s="15" t="str"/>
      <x:c r="L26" s="15" t="str"/>
    </x:row>
    <x:row r="27" ht="58" customHeight="1">
      <x:c r="A27" s="14" t="str">
        <x:v>Energy Security</x:v>
      </x:c>
      <x:c r="B27" s="14" t="str">
        <x:v>Stronger Power: Improving Power Sector Resilience to Natural Hazards</x:v>
      </x:c>
      <x:c r="C27" s="14" t="str">
        <x:v>World Bank</x:v>
      </x:c>
      <x:c r="D27" s="14" t="n">
        <x:v>2019</x:v>
      </x:c>
      <x:c r="E27" s="14" t="str">
        <x:v>B</x:v>
      </x:c>
      <x:c r="F27" s="14" t="str">
        <x:v>International</x:v>
      </x:c>
      <x:c r="G27" s="14" t="str">
        <x:v>https://documents1.worldbank.org/curated/en/200771560790885170/pdf/Stronger-Power-Improving-Power-Sector-Resilience-to-Natural-Hazards.pdf</x:v>
      </x:c>
      <x:c r="H27" s="14" t="n">
        <x:v>46</x:v>
      </x:c>
      <x:c r="I27" s="14" t="str">
        <x:v>Retrieved</x:v>
      </x:c>
      <x:c r="J27" s="14" t="str">
        <x:v>Needs Review</x:v>
      </x:c>
      <x:c r="K27" s="15" t="str"/>
      <x:c r="L27" s="15" t="str"/>
    </x:row>
    <x:row r="28" ht="58" customHeight="1">
      <x:c r="A28" s="14" t="str">
        <x:v>Energy Security | Geohydrological Disasters | Health | Water Resources</x:v>
      </x:c>
      <x:c r="B28" s="14" t="str">
        <x:v>Climate Change 2022: Impacts Adaptation and Vulnerability — Chapter 6: Cities Settlements and Key Infrastructure</x:v>
      </x:c>
      <x:c r="C28" s="14" t="str">
        <x:v>IPCC</x:v>
      </x:c>
      <x:c r="D28" s="14" t="n">
        <x:v>2022</x:v>
      </x:c>
      <x:c r="E28" s="14" t="str">
        <x:v>A</x:v>
      </x:c>
      <x:c r="F28" s="14" t="str">
        <x:v>International</x:v>
      </x:c>
      <x:c r="G28" s="14" t="str">
        <x:v>https://www.ipcc.ch/report/ar6/wg2/downloads/report/IPCC_AR6_WGII_Chapter06.pdf</x:v>
      </x:c>
      <x:c r="H28" s="14" t="n">
        <x:v>134</x:v>
      </x:c>
      <x:c r="I28" s="14" t="str">
        <x:v>Retrieved</x:v>
      </x:c>
      <x:c r="J28" s="14" t="str">
        <x:v>Proposed</x:v>
      </x:c>
      <x:c r="K28" s="15" t="str"/>
      <x:c r="L28" s="15" t="str"/>
    </x:row>
    <x:row r="29" ht="58" customHeight="1">
      <x:c r="A29" s="14" t="str">
        <x:v>Food Security</x:v>
      </x:c>
      <x:c r="B29" s="14" t="str">
        <x:v>Adaptation Strategy: Food and Nutritional Security</x:v>
      </x:c>
      <x:c r="C29" s="14" t="str">
        <x:v>Ministério do Meio Ambiente</x:v>
      </x:c>
      <x:c r="D29" s="14" t="n">
        <x:v>2016</x:v>
      </x:c>
      <x:c r="E29" s="14" t="str">
        <x:v>A</x:v>
      </x:c>
      <x:c r="F29" s="14" t="str">
        <x:v>Brazil</x:v>
      </x:c>
      <x:c r="G29" s="14" t="str">
        <x:v>https://antigo.mma.gov.br/images/arquivo/80182/Adaptation%20Strategy%20-%20Food%20and%20Nutritional%20Security.pdf</x:v>
      </x:c>
      <x:c r="H29" s="14" t="str"/>
      <x:c r="I29" s="14" t="str">
        <x:v>Not Checked</x:v>
      </x:c>
      <x:c r="J29" s="14" t="str">
        <x:v>Needs Review</x:v>
      </x:c>
      <x:c r="K29" s="15" t="str"/>
      <x:c r="L29" s="15" t="str"/>
    </x:row>
    <x:row r="30" ht="58" customHeight="1">
      <x:c r="A30" s="14" t="str">
        <x:v>Food Security</x:v>
      </x:c>
      <x:c r="B30" s="14" t="str">
        <x:v>Brazil National Pathways to Sustainable Food Systems</x:v>
      </x:c>
      <x:c r="C30" s="14" t="str">
        <x:v>Government of Brazil / UN Food Systems Summit</x:v>
      </x:c>
      <x:c r="D30" s="14" t="n">
        <x:v>2023</x:v>
      </x:c>
      <x:c r="E30" s="14" t="str">
        <x:v>C</x:v>
      </x:c>
      <x:c r="F30" s="14" t="str">
        <x:v>Brazil</x:v>
      </x:c>
      <x:c r="G30" s="14" t="str">
        <x:v>https://www.unfoodsystemshub.org/docs/unfoodsystemslibraries/national-pathways/brazil/2023-07-21-caminhos-nacionais-ii-eng.pdf</x:v>
      </x:c>
      <x:c r="H30" s="14" t="n">
        <x:v>18</x:v>
      </x:c>
      <x:c r="I30" s="14" t="str">
        <x:v>Retrieved</x:v>
      </x:c>
      <x:c r="J30" s="14" t="str">
        <x:v>Needs Review</x:v>
      </x:c>
      <x:c r="K30" s="15" t="str"/>
      <x:c r="L30" s="15" t="str"/>
    </x:row>
    <x:row r="31" ht="58" customHeight="1">
      <x:c r="A31" s="14" t="str">
        <x:v>Food Security</x:v>
      </x:c>
      <x:c r="B31" s="14" t="str">
        <x:v>Ciência para o clima e soluções da agricultura brasileira: estratégias, tecnologias e indicadores de adaptação à mudança climática e de controle de emissões de gases de efeito-estufa na agricultura tropical.</x:v>
      </x:c>
      <x:c r="C31" s="14" t="str">
        <x:v>Empresa Brasileira de Pesquisa Agropecuária (Embrapa)</x:v>
      </x:c>
      <x:c r="D31" s="14" t="n">
        <x:v>2025</x:v>
      </x:c>
      <x:c r="E31" s="14" t="str">
        <x:v>C</x:v>
      </x:c>
      <x:c r="F31" s="14" t="str">
        <x:v>Brazil</x:v>
      </x:c>
      <x:c r="G31" s="14" t="str">
        <x:v>https://www.alice.cnptia.embrapa.br/alice/bitstream/doc/1181212/1/Ciencia-para-o-clima.pdf</x:v>
      </x:c>
      <x:c r="H31" s="14" t="n">
        <x:v>290</x:v>
      </x:c>
      <x:c r="I31" s="14" t="str">
        <x:v>Retrieved</x:v>
      </x:c>
      <x:c r="J31" s="14" t="str">
        <x:v>Proposed</x:v>
      </x:c>
      <x:c r="K31" s="15" t="str"/>
      <x:c r="L31" s="15" t="str"/>
    </x:row>
    <x:row r="32" ht="58" customHeight="1">
      <x:c r="A32" s="14" t="str">
        <x:v>Food Security</x:v>
      </x:c>
      <x:c r="B32" s="14" t="str">
        <x:v>Climate Change 2022: Impacts, Adaptation and Vulnerability (AR6 WGII), Chapter 5: Food, Fibre and Other Ecosystem Products</x:v>
      </x:c>
      <x:c r="C32" s="14" t="str">
        <x:v>IPCC</x:v>
      </x:c>
      <x:c r="D32" s="14" t="n">
        <x:v>2022</x:v>
      </x:c>
      <x:c r="E32" s="14" t="str">
        <x:v>A</x:v>
      </x:c>
      <x:c r="F32" s="14" t="str">
        <x:v>International</x:v>
      </x:c>
      <x:c r="G32" s="14" t="str">
        <x:v>https://www.ipcc.ch/report/ar6/wg2/downloads/report/IPCC_AR6_WGII_Chapter05.pdf</x:v>
      </x:c>
      <x:c r="H32" s="14" t="n">
        <x:v>194</x:v>
      </x:c>
      <x:c r="I32" s="14" t="str">
        <x:v>Retrieved</x:v>
      </x:c>
      <x:c r="J32" s="14" t="str">
        <x:v>Proposed</x:v>
      </x:c>
      <x:c r="K32" s="15" t="str"/>
      <x:c r="L32" s="15" t="str"/>
    </x:row>
    <x:row r="33" ht="58" customHeight="1">
      <x:c r="A33" s="14" t="str">
        <x:v>Food Security</x:v>
      </x:c>
      <x:c r="B33" s="14" t="str">
        <x:v>Climate change, agriculture and food security: a strategy for change</x:v>
      </x:c>
      <x:c r="C33" s="14" t="str">
        <x:v>Alliance of the CGIAR Centers</x:v>
      </x:c>
      <x:c r="D33" s="14" t="n">
        <x:v>2009</x:v>
      </x:c>
      <x:c r="E33" s="14" t="str">
        <x:v>C</x:v>
      </x:c>
      <x:c r="F33" s="14" t="str">
        <x:v>International</x:v>
      </x:c>
      <x:c r="G33" s="14" t="str">
        <x:v>https://documents.worldbank.org/curated/en/330581468162838292/pdf/521170WP0CCAFS10Box345553B01PUBLIC1.pdf</x:v>
      </x:c>
      <x:c r="H33" s="14" t="n">
        <x:v>56</x:v>
      </x:c>
      <x:c r="I33" s="14" t="str">
        <x:v>Retrieved</x:v>
      </x:c>
      <x:c r="J33" s="14" t="str">
        <x:v>Proposed</x:v>
      </x:c>
      <x:c r="K33" s="15" t="str"/>
      <x:c r="L33" s="15" t="str"/>
    </x:row>
    <x:row r="34" ht="58" customHeight="1">
      <x:c r="A34" s="14" t="str">
        <x:v>Food Security</x:v>
      </x:c>
      <x:c r="B34" s="14" t="str">
        <x:v>Climate-smart Agriculture for Food Security</x:v>
      </x:c>
      <x:c r="C34" s="14" t="str">
        <x:v>FAO</x:v>
      </x:c>
      <x:c r="D34" s="14" t="n">
        <x:v>2014</x:v>
      </x:c>
      <x:c r="E34" s="14" t="str">
        <x:v>C</x:v>
      </x:c>
      <x:c r="F34" s="14" t="str">
        <x:v>International</x:v>
      </x:c>
      <x:c r="G34" s="14" t="str">
        <x:v>https://openknowledge.fao.org/server/api/core/bitstreams/83ce8fff-f030-436e-aee3-b8d85ca4e492/content</x:v>
      </x:c>
      <x:c r="H34" s="14" t="n">
        <x:v>12</x:v>
      </x:c>
      <x:c r="I34" s="14" t="str">
        <x:v>Retrieved</x:v>
      </x:c>
      <x:c r="J34" s="14" t="str">
        <x:v>Needs Review</x:v>
      </x:c>
      <x:c r="K34" s="15" t="str"/>
      <x:c r="L34" s="15" t="str"/>
    </x:row>
    <x:row r="35" ht="58" customHeight="1">
      <x:c r="A35" s="14" t="str">
        <x:v>Food Security</x:v>
      </x:c>
      <x:c r="B35" s="14" t="str">
        <x:v>Documento teórico-metodológico do Setor Estratégico Segurança Alimentar — AdaptaBrasil MCTI</x:v>
      </x:c>
      <x:c r="C35" s="14" t="str">
        <x:v>Instituto Nacional de Pesquisas Espaciais (INPE) / AdaptaBrasil MCTI</x:v>
      </x:c>
      <x:c r="D35" s="14" t="n">
        <x:v>2025</x:v>
      </x:c>
      <x:c r="E35" s="14" t="str">
        <x:v>A</x:v>
      </x:c>
      <x:c r="F35" s="14" t="str">
        <x:v>Brazil</x:v>
      </x:c>
      <x:c r="G35" s="14" t="str">
        <x:v>https://www.dropbox.com/scl/fi/4v9zqz936z1v51vyht2gb/Teorico-metodologico_Seguran-a_Alimentar-15_08_25.pdf?rlkey=63mk4364r2juxlsc0d15pemdm&amp;dl=1</x:v>
      </x:c>
      <x:c r="H35" s="14" t="n">
        <x:v>132</x:v>
      </x:c>
      <x:c r="I35" s="14" t="str">
        <x:v>Retrieved</x:v>
      </x:c>
      <x:c r="J35" s="14" t="str">
        <x:v>Proposed</x:v>
      </x:c>
      <x:c r="K35" s="15" t="str"/>
      <x:c r="L35" s="15" t="str"/>
    </x:row>
    <x:row r="36" ht="58" customHeight="1">
      <x:c r="A36" s="14" t="str">
        <x:v>Food Security</x:v>
      </x:c>
      <x:c r="B36" s="14" t="str">
        <x:v>Estratégia de Adaptação à Mudança do Clima para a Agropecuária Brasileira</x:v>
      </x:c>
      <x:c r="C36" s="14" t="str">
        <x:v>Ministério da Agricultura e Pecuária (MAPA)</x:v>
      </x:c>
      <x:c r="D36" s="14" t="n">
        <x:v>2023</x:v>
      </x:c>
      <x:c r="E36" s="14" t="str">
        <x:v>A</x:v>
      </x:c>
      <x:c r="F36" s="14" t="str">
        <x:v>Brazil</x:v>
      </x:c>
      <x:c r="G36" s="14" t="str">
        <x:v>https://repositorio-dspace.agricultura.gov.br/bitstream/1/2120/4/PORTUGU%C3%8AS_NAP-Brazil-adaptation-report-pt-July03.pdf</x:v>
      </x:c>
      <x:c r="H36" s="14" t="n">
        <x:v>31</x:v>
      </x:c>
      <x:c r="I36" s="14" t="str">
        <x:v>Retrieved</x:v>
      </x:c>
      <x:c r="J36" s="14" t="str">
        <x:v>Needs Review</x:v>
      </x:c>
      <x:c r="K36" s="15" t="str"/>
      <x:c r="L36" s="15" t="str"/>
    </x:row>
    <x:row r="37" ht="58" customHeight="1">
      <x:c r="A37" s="14" t="str">
        <x:v>Food Security</x:v>
      </x:c>
      <x:c r="B37" s="14" t="str">
        <x:v>Food and Nutrition Security in Brazil</x:v>
      </x:c>
      <x:c r="C37" s="14" t="str">
        <x:v>InterAmerican Network of Academies of Sciences (IANAS)</x:v>
      </x:c>
      <x:c r="D37" s="14" t="n">
        <x:v>2017</x:v>
      </x:c>
      <x:c r="E37" s="14" t="str">
        <x:v>C</x:v>
      </x:c>
      <x:c r="F37" s="14" t="str">
        <x:v>Brazil</x:v>
      </x:c>
      <x:c r="G37" s="14" t="str">
        <x:v>https://ianas.org/wp-content/uploads/2025/04/fchap03.pdf</x:v>
      </x:c>
      <x:c r="H37" s="14" t="n">
        <x:v>34</x:v>
      </x:c>
      <x:c r="I37" s="14" t="str">
        <x:v>Retrieved</x:v>
      </x:c>
      <x:c r="J37" s="14" t="str">
        <x:v>Proposed</x:v>
      </x:c>
      <x:c r="K37" s="15" t="str"/>
      <x:c r="L37" s="15" t="str"/>
    </x:row>
    <x:row r="38" ht="58" customHeight="1">
      <x:c r="A38" s="14" t="str">
        <x:v>Food Security</x:v>
      </x:c>
      <x:c r="B38" s="14" t="str">
        <x:v>Future of Food: Shaping a Climate-Smart Global Food System</x:v>
      </x:c>
      <x:c r="C38" s="14" t="str">
        <x:v>World Bank</x:v>
      </x:c>
      <x:c r="D38" s="14" t="n">
        <x:v>2015</x:v>
      </x:c>
      <x:c r="E38" s="14" t="str">
        <x:v>B</x:v>
      </x:c>
      <x:c r="F38" s="14" t="str">
        <x:v>International</x:v>
      </x:c>
      <x:c r="G38" s="14" t="str">
        <x:v>https://documents1.worldbank.org/curated/en/645981468189237140/pdf/100046-WP-PUBLIC-dislcose-7am-10-8-15-Box393216B.pdf</x:v>
      </x:c>
      <x:c r="H38" s="14" t="n">
        <x:v>32</x:v>
      </x:c>
      <x:c r="I38" s="14" t="str">
        <x:v>Retrieved</x:v>
      </x:c>
      <x:c r="J38" s="14" t="str">
        <x:v>Proposed</x:v>
      </x:c>
      <x:c r="K38" s="15" t="str"/>
      <x:c r="L38" s="15" t="str"/>
    </x:row>
    <x:row r="39" ht="58" customHeight="1">
      <x:c r="A39" s="14" t="str">
        <x:v>Food Security</x:v>
      </x:c>
      <x:c r="B39" s="14" t="str">
        <x:v>Pathways to sustainability in Brazilian agriculture: technological drivers, governance, and policy linkages</x:v>
      </x:c>
      <x:c r="C39" s="14" t="str">
        <x:v>Current Opinion in Environmental Sustainability (Elsevier)</x:v>
      </x:c>
      <x:c r="D39" s="14" t="n">
        <x:v>2025</x:v>
      </x:c>
      <x:c r="E39" s="14" t="str">
        <x:v>C</x:v>
      </x:c>
      <x:c r="F39" s="14" t="str">
        <x:v>Brazil</x:v>
      </x:c>
      <x:c r="G39" s="14" t="str">
        <x:v>https://www.alice.cnptia.embrapa.br/alice/bitstream/doc/1179658/1/Pathways-of-sustainability.pdf</x:v>
      </x:c>
      <x:c r="H39" s="14" t="n">
        <x:v>8</x:v>
      </x:c>
      <x:c r="I39" s="14" t="str">
        <x:v>Retrieved</x:v>
      </x:c>
      <x:c r="J39" s="14" t="str">
        <x:v>Needs Review</x:v>
      </x:c>
      <x:c r="K39" s="15" t="str"/>
      <x:c r="L39" s="15" t="str"/>
    </x:row>
    <x:row r="40" ht="58" customHeight="1">
      <x:c r="A40" s="14" t="str">
        <x:v>Food Security</x:v>
      </x:c>
      <x:c r="B40" s="14" t="str">
        <x:v>Plano Clima Adaptação — Plano Setorial de Segurança Alimentar e Nutricional</x:v>
      </x:c>
      <x:c r="C40" s="14" t="str">
        <x:v>Ministério do Desenvolvimento e Assistência Social, Família e Combate à Fome (MDS)</x:v>
      </x:c>
      <x:c r="D40" s="14" t="n">
        <x:v>2025</x:v>
      </x:c>
      <x:c r="E40" s="14" t="str">
        <x:v>A</x:v>
      </x:c>
      <x:c r="F40" s="14" t="str">
        <x:v>Brazil</x:v>
      </x:c>
      <x:c r="G40" s="14" t="str">
        <x:v>https://www.gov.br/mma/pt-br/centrais-de-conteudo/publicacoes/mudanca-do-clima/planosetorial-seguranca-alimentar-nutricional.pdf</x:v>
      </x:c>
      <x:c r="H40" s="14" t="n">
        <x:v>82</x:v>
      </x:c>
      <x:c r="I40" s="14" t="str">
        <x:v>Retrieved</x:v>
      </x:c>
      <x:c r="J40" s="14" t="str">
        <x:v>Proposed</x:v>
      </x:c>
      <x:c r="K40" s="15" t="str"/>
      <x:c r="L40" s="15" t="str"/>
    </x:row>
    <x:row r="41" ht="58" customHeight="1">
      <x:c r="A41" s="14" t="str">
        <x:v>Food Security</x:v>
      </x:c>
      <x:c r="B41" s="14" t="str">
        <x:v>Rising to the Challenge: Success Stories and Strategies for Achieving Climate Adaptation and Resilience</x:v>
      </x:c>
      <x:c r="C41" s="14" t="str">
        <x:v>World Bank</x:v>
      </x:c>
      <x:c r="D41" s="14" t="n">
        <x:v>2024</x:v>
      </x:c>
      <x:c r="E41" s="14" t="str">
        <x:v>B</x:v>
      </x:c>
      <x:c r="F41" s="14" t="str">
        <x:v>International</x:v>
      </x:c>
      <x:c r="G41" s="14" t="str">
        <x:v>https://openknowledge.worldbank.org/server/api/core/bitstreams/13cc31f6-cb61-4b5f-91d9-12a14d9cb425/content</x:v>
      </x:c>
      <x:c r="H41" s="14" t="n">
        <x:v>20</x:v>
      </x:c>
      <x:c r="I41" s="14" t="str">
        <x:v>Retrieved</x:v>
      </x:c>
      <x:c r="J41" s="14" t="str">
        <x:v>Proposed</x:v>
      </x:c>
      <x:c r="K41" s="15" t="str"/>
      <x:c r="L41" s="15" t="str"/>
    </x:row>
    <x:row r="42" ht="58" customHeight="1">
      <x:c r="A42" s="14" t="str">
        <x:v>Food Security | Geohydrological Disasters | Health | Water Resources</x:v>
      </x:c>
      <x:c r="B42" s="14" t="str">
        <x:v>Climate Change 2022: Impacts Adaptation and Vulnerability — Chapter 8: Poverty Livelihoods and Sustainable Development</x:v>
      </x:c>
      <x:c r="C42" s="14" t="str">
        <x:v>IPCC</x:v>
      </x:c>
      <x:c r="D42" s="14" t="n">
        <x:v>2022</x:v>
      </x:c>
      <x:c r="E42" s="14" t="str">
        <x:v>A</x:v>
      </x:c>
      <x:c r="F42" s="14" t="str">
        <x:v>International</x:v>
      </x:c>
      <x:c r="G42" s="14" t="str">
        <x:v>https://www.ipcc.ch/report/ar6/wg2/downloads/report/IPCC_AR6_WGII_Chapter08.pdf</x:v>
      </x:c>
      <x:c r="H42" s="14" t="n">
        <x:v>114</x:v>
      </x:c>
      <x:c r="I42" s="14" t="str">
        <x:v>Retrieved</x:v>
      </x:c>
      <x:c r="J42" s="14" t="str">
        <x:v>Proposed</x:v>
      </x:c>
      <x:c r="K42" s="15" t="str"/>
      <x:c r="L42" s="15" t="str"/>
    </x:row>
    <x:row r="43" ht="58" customHeight="1">
      <x:c r="A43" s="14" t="str">
        <x:v>Geohydrological Disasters</x:v>
      </x:c>
      <x:c r="B43" s="14" t="str">
        <x:v>Coping with Losses: Options for Disaster Risk Financing in Brazil</x:v>
      </x:c>
      <x:c r="C43" s="14" t="str">
        <x:v>World Bank</x:v>
      </x:c>
      <x:c r="D43" s="14" t="n">
        <x:v>2014</x:v>
      </x:c>
      <x:c r="E43" s="14" t="str">
        <x:v>B</x:v>
      </x:c>
      <x:c r="F43" s="14" t="str">
        <x:v>Brazil</x:v>
      </x:c>
      <x:c r="G43" s="14" t="str">
        <x:v>https://documents1.worldbank.org/curated/en/138651519418943510/pdf/111953-PUBLIC-OptionsforDisasterRiskFinancinginBrazil-FINAL-Low.pdf</x:v>
      </x:c>
      <x:c r="H43" s="14" t="n">
        <x:v>86</x:v>
      </x:c>
      <x:c r="I43" s="14" t="str">
        <x:v>Retrieved</x:v>
      </x:c>
      <x:c r="J43" s="14" t="str">
        <x:v>Needs Review</x:v>
      </x:c>
      <x:c r="K43" s="15" t="str"/>
      <x:c r="L43" s="15" t="str"/>
    </x:row>
    <x:row r="44" ht="58" customHeight="1">
      <x:c r="A44" s="14" t="str">
        <x:v>Geohydrological Disasters</x:v>
      </x:c>
      <x:c r="B44" s="14" t="str">
        <x:v>Documento teórico-metodológico do Setor Estratégico Desastres Geohidrológicos — AdaptaBrasil MCTI, versão 1.0.1</x:v>
      </x:c>
      <x:c r="C44" s="14" t="str">
        <x:v>Instituto Nacional de Pesquisas Espaciais (INPE) / AdaptaBrasil MCTI</x:v>
      </x:c>
      <x:c r="D44" s="14" t="n">
        <x:v>2023</x:v>
      </x:c>
      <x:c r="E44" s="14" t="str">
        <x:v>A</x:v>
      </x:c>
      <x:c r="F44" s="14" t="str">
        <x:v>Brazil</x:v>
      </x:c>
      <x:c r="G44" s="14" t="str">
        <x:v>https://www.dropbox.com/scl/fi/dqho8bli8ehcpe82fvvm6/Te-rico-metodol-gico_AdaptaBrasil_1-0-1-Desastres-Geohidrol-gicos.pdf?rlkey=zjqwjjkaj5lbh6wnpku9gc6y4&amp;dl=1</x:v>
      </x:c>
      <x:c r="H44" s="14" t="n">
        <x:v>20</x:v>
      </x:c>
      <x:c r="I44" s="14" t="str">
        <x:v>Retrieved</x:v>
      </x:c>
      <x:c r="J44" s="14" t="str">
        <x:v>Proposed</x:v>
      </x:c>
      <x:c r="K44" s="15" t="str"/>
      <x:c r="L44" s="15" t="str"/>
    </x:row>
    <x:row r="45" ht="58" customHeight="1">
      <x:c r="A45" s="14" t="str">
        <x:v>Geohydrological Disasters</x:v>
      </x:c>
      <x:c r="B45" s="14" t="str">
        <x:v>Early Warnings for All: Executive Action Plan 2023–2027</x:v>
      </x:c>
      <x:c r="C45" s="14" t="str">
        <x:v>World Meteorological Organization (WMO)</x:v>
      </x:c>
      <x:c r="D45" s="14" t="n">
        <x:v>2022</x:v>
      </x:c>
      <x:c r="E45" s="14" t="str">
        <x:v>B</x:v>
      </x:c>
      <x:c r="F45" s="14" t="str">
        <x:v>International</x:v>
      </x:c>
      <x:c r="G45" s="14" t="str">
        <x:v>https://www.undrr.org/sites/default/files/inline-files/EWS_Executive_Action_Plan_en_compressed%20%281%29.pdf?startDownload=true</x:v>
      </x:c>
      <x:c r="H45" s="14" t="n">
        <x:v>56</x:v>
      </x:c>
      <x:c r="I45" s="14" t="str">
        <x:v>Retrieved</x:v>
      </x:c>
      <x:c r="J45" s="14" t="str">
        <x:v>Proposed</x:v>
      </x:c>
      <x:c r="K45" s="15" t="str"/>
      <x:c r="L45" s="15" t="str"/>
    </x:row>
    <x:row r="46" ht="58" customHeight="1">
      <x:c r="A46" s="14" t="str">
        <x:v>Geohydrological Disasters</x:v>
      </x:c>
      <x:c r="B46" s="14" t="str">
        <x:v>GIRD+10: Caderno técnico de gestão integrada de riscos e desastres</x:v>
      </x:c>
      <x:c r="C46" s="14" t="str">
        <x:v>Ministério do Desenvolvimento Regional / Secretaria Nacional de Proteção e Defesa Civil</x:v>
      </x:c>
      <x:c r="D46" s="14" t="n">
        <x:v>2021</x:v>
      </x:c>
      <x:c r="E46" s="14" t="str">
        <x:v>C</x:v>
      </x:c>
      <x:c r="F46" s="14" t="str">
        <x:v>Brazil</x:v>
      </x:c>
      <x:c r="G46" s="14" t="str">
        <x:v>https://www.institutosiades.org.br/wp-content/uploads/Caderno_GIRD10.pdf</x:v>
      </x:c>
      <x:c r="H46" s="14" t="n">
        <x:v>154</x:v>
      </x:c>
      <x:c r="I46" s="14" t="str">
        <x:v>Retrieved</x:v>
      </x:c>
      <x:c r="J46" s="14" t="str">
        <x:v>Proposed</x:v>
      </x:c>
      <x:c r="K46" s="15" t="str"/>
      <x:c r="L46" s="15" t="str"/>
    </x:row>
    <x:row r="47" ht="58" customHeight="1">
      <x:c r="A47" s="14" t="str">
        <x:v>Geohydrological Disasters</x:v>
      </x:c>
      <x:c r="B47" s="14" t="str">
        <x:v>Lifelines: The Resilient Infrastructure Opportunity</x:v>
      </x:c>
      <x:c r="C47" s="14" t="str">
        <x:v>World Bank</x:v>
      </x:c>
      <x:c r="D47" s="14" t="n">
        <x:v>2019</x:v>
      </x:c>
      <x:c r="E47" s="14" t="str">
        <x:v>B</x:v>
      </x:c>
      <x:c r="F47" s="14" t="str">
        <x:v>International</x:v>
      </x:c>
      <x:c r="G47" s="14" t="str">
        <x:v>https://documents1.worldbank.org/curated/en/111181560974989791/pdf/Lifelines-The-Resilient-Infrastructure-Opportunity.pdf</x:v>
      </x:c>
      <x:c r="H47" s="14" t="n">
        <x:v>224</x:v>
      </x:c>
      <x:c r="I47" s="14" t="str">
        <x:v>Retrieved</x:v>
      </x:c>
      <x:c r="J47" s="14" t="str">
        <x:v>Needs Review</x:v>
      </x:c>
      <x:c r="K47" s="15" t="str"/>
      <x:c r="L47" s="15" t="str"/>
    </x:row>
    <x:row r="48" ht="58" customHeight="1">
      <x:c r="A48" s="14" t="str">
        <x:v>Geohydrological Disasters</x:v>
      </x:c>
      <x:c r="B48" s="14" t="str">
        <x:v>Making Cities Resilient 2030 (MCR2030): Initial Proposal</x:v>
      </x:c>
      <x:c r="C48" s="14" t="str">
        <x:v>United Nations Office for Disaster Risk Reduction (UNDRR)</x:v>
      </x:c>
      <x:c r="D48" s="14" t="n">
        <x:v>2021</x:v>
      </x:c>
      <x:c r="E48" s="14" t="str">
        <x:v>B</x:v>
      </x:c>
      <x:c r="F48" s="14" t="str">
        <x:v>International</x:v>
      </x:c>
      <x:c r="G48" s="14" t="str">
        <x:v>https://mcr2030.undrr.org/sites/default/files/2021-04/MCR2030%20in%20English%20ver.2%20%2820210302%29.pdf?startDownload=true</x:v>
      </x:c>
      <x:c r="H48" s="14" t="n">
        <x:v>21</x:v>
      </x:c>
      <x:c r="I48" s="14" t="str">
        <x:v>Retrieved</x:v>
      </x:c>
      <x:c r="J48" s="14" t="str">
        <x:v>Needs Review</x:v>
      </x:c>
      <x:c r="K48" s="15" t="str"/>
      <x:c r="L48" s="15" t="str"/>
    </x:row>
    <x:row r="49" ht="58" customHeight="1">
      <x:c r="A49" s="14" t="str">
        <x:v>Geohydrological Disasters</x:v>
      </x:c>
      <x:c r="B49" s="14" t="str">
        <x:v>Making Cities Resilient Report 2019: A Snapshot of How Local Governments Progress in Reducing Disaster Risks in Alignment with the Sendai Framework for Disaster Risk Reduction</x:v>
      </x:c>
      <x:c r="C49" s="14" t="str">
        <x:v>United Nations Office for Disaster Risk Reduction (UNDRR)</x:v>
      </x:c>
      <x:c r="D49" s="14" t="n">
        <x:v>2019</x:v>
      </x:c>
      <x:c r="E49" s="14" t="str">
        <x:v>B</x:v>
      </x:c>
      <x:c r="F49" s="14" t="str">
        <x:v>International</x:v>
      </x:c>
      <x:c r="G49" s="14" t="str">
        <x:v>https://www.unisdr.org/campaign/resilientcities/assets/toolkit/documents/UNDRR_Making%20Cities%20Resilient%20Report%202019_April2019.pdf</x:v>
      </x:c>
      <x:c r="H49" s="14" t="n">
        <x:v>56</x:v>
      </x:c>
      <x:c r="I49" s="14" t="str">
        <x:v>Retrieved</x:v>
      </x:c>
      <x:c r="J49" s="14" t="str">
        <x:v>Needs Review</x:v>
      </x:c>
      <x:c r="K49" s="15" t="str"/>
      <x:c r="L49" s="15" t="str"/>
    </x:row>
    <x:row r="50" ht="58" customHeight="1">
      <x:c r="A50" s="14" t="str">
        <x:v>Geohydrological Disasters</x:v>
      </x:c>
      <x:c r="B50" s="14" t="str">
        <x:v>Manual para Apresentação de Propostas para Sistemas de Drenagem Urbana Sustentável e de Manejo de Águas Pluviais</x:v>
      </x:c>
      <x:c r="C50" s="14" t="str">
        <x:v>Ministério do Desenvolvimento Regional / Secretaria Nacional de Saneamento</x:v>
      </x:c>
      <x:c r="D50" s="14" t="n">
        <x:v>2020</x:v>
      </x:c>
      <x:c r="E50" s="14" t="str">
        <x:v>C</x:v>
      </x:c>
      <x:c r="F50" s="14" t="str">
        <x:v>Brazil</x:v>
      </x:c>
      <x:c r="G50" s="14" t="str">
        <x:v>https://www.gov.br/mdr/pt-br/assuntos/emendasparlamentares/acao_10SG_drenagem_urbana.pdf</x:v>
      </x:c>
      <x:c r="H50" s="14" t="n">
        <x:v>37</x:v>
      </x:c>
      <x:c r="I50" s="14" t="str">
        <x:v>Retrieved</x:v>
      </x:c>
      <x:c r="J50" s="14" t="str">
        <x:v>Needs Review</x:v>
      </x:c>
      <x:c r="K50" s="15" t="str"/>
      <x:c r="L50" s="15" t="str"/>
    </x:row>
    <x:row r="51" ht="58" customHeight="1">
      <x:c r="A51" s="14" t="str">
        <x:v>Geohydrological Disasters</x:v>
      </x:c>
      <x:c r="B51" s="14" t="str">
        <x:v>Plano Clima Adaptação — Plano Setorial de Redução e Gestão de Riscos e de Desastres</x:v>
      </x:c>
      <x:c r="C51" s="14" t="str">
        <x:v>Ministério da Integração e do Desenvolvimento Regional (MIDR)</x:v>
      </x:c>
      <x:c r="D51" s="14" t="n">
        <x:v>2025</x:v>
      </x:c>
      <x:c r="E51" s="14" t="str">
        <x:v>A</x:v>
      </x:c>
      <x:c r="F51" s="14" t="str">
        <x:v>Brazil</x:v>
      </x:c>
      <x:c r="G51" s="14" t="str">
        <x:v>https://www.gov.br/mma/pt-br/centrais-de-conteudo/publicacoes/mudanca-do-clima/planosetorial-reducao-gestao-riscos-desastres.pdf</x:v>
      </x:c>
      <x:c r="H51" s="14" t="n">
        <x:v>104</x:v>
      </x:c>
      <x:c r="I51" s="14" t="str">
        <x:v>Retrieved</x:v>
      </x:c>
      <x:c r="J51" s="14" t="str">
        <x:v>Proposed</x:v>
      </x:c>
      <x:c r="K51" s="15" t="str"/>
      <x:c r="L51" s="15" t="str"/>
    </x:row>
    <x:row r="52" ht="58" customHeight="1">
      <x:c r="A52" s="14" t="str">
        <x:v>Geohydrological Disasters</x:v>
      </x:c>
      <x:c r="B52" s="14" t="str">
        <x:v>Scaling Up Flood Risk Management in Brazil to Build Community-Level Resilience: Identifying Disaster Risk and Building Capacity to Inform Urban Resilience Strategies at Both the National and Local Levels</x:v>
      </x:c>
      <x:c r="C52" s="14" t="str">
        <x:v>World Bank</x:v>
      </x:c>
      <x:c r="D52" s="14" t="n">
        <x:v>2021</x:v>
      </x:c>
      <x:c r="E52" s="14" t="str">
        <x:v>B</x:v>
      </x:c>
      <x:c r="F52" s="14" t="str">
        <x:v>Brazil</x:v>
      </x:c>
      <x:c r="G52" s="14" t="str">
        <x:v>https://thedocs.worldbank.org/en/doc/7d99a71998e1aae72110dffda1b27be1-0360012021/original/RIR-Brazil-20210407-Final-sy-bmj-1.pdf</x:v>
      </x:c>
      <x:c r="H52" s="14" t="n">
        <x:v>2</x:v>
      </x:c>
      <x:c r="I52" s="14" t="str">
        <x:v>Retrieved</x:v>
      </x:c>
      <x:c r="J52" s="14" t="str">
        <x:v>Needs Review</x:v>
      </x:c>
      <x:c r="K52" s="15" t="str"/>
      <x:c r="L52" s="15" t="str"/>
    </x:row>
    <x:row r="53" ht="58" customHeight="1">
      <x:c r="A53" s="14" t="str">
        <x:v>Health</x:v>
      </x:c>
      <x:c r="B53" s="14" t="str">
        <x:v>Brazil Policy Brief 2023</x:v>
      </x:c>
      <x:c r="C53" s="14" t="str">
        <x:v>Lancet Countdown / Fundação Oswaldo Cruz (Fiocruz)</x:v>
      </x:c>
      <x:c r="D53" s="14" t="n">
        <x:v>2023</x:v>
      </x:c>
      <x:c r="E53" s="14" t="str">
        <x:v>C</x:v>
      </x:c>
      <x:c r="F53" s="14" t="str">
        <x:v>International</x:v>
      </x:c>
      <x:c r="G53" s="14" t="str">
        <x:v>https://lancetcountdown.org/wp-content/uploads/2024/06/2023-Lancet-Countdown-Policy-Brief_Brazil_EN.pdf</x:v>
      </x:c>
      <x:c r="H53" s="14" t="n">
        <x:v>10</x:v>
      </x:c>
      <x:c r="I53" s="14" t="str">
        <x:v>Retrieved</x:v>
      </x:c>
      <x:c r="J53" s="14" t="str">
        <x:v>Proposed</x:v>
      </x:c>
      <x:c r="K53" s="15" t="str"/>
      <x:c r="L53" s="15" t="str"/>
    </x:row>
    <x:row r="54" ht="58" customHeight="1">
      <x:c r="A54" s="14" t="str">
        <x:v>Health</x:v>
      </x:c>
      <x:c r="B54" s="14" t="str">
        <x:v>Climate Change 2022: Impacts Adaptation and Vulnerability — Chapter 7: Health Wellbeing and the Changing Structure of Communities</x:v>
      </x:c>
      <x:c r="C54" s="14" t="str">
        <x:v>IPCC</x:v>
      </x:c>
      <x:c r="D54" s="14" t="n">
        <x:v>2022</x:v>
      </x:c>
      <x:c r="E54" s="14" t="str">
        <x:v>A</x:v>
      </x:c>
      <x:c r="F54" s="14" t="str">
        <x:v>International</x:v>
      </x:c>
      <x:c r="G54" s="14" t="str">
        <x:v>https://www.ipcc.ch/report/ar6/wg2/downloads/report/IPCC_AR6_WGII_Chapter07.pdf</x:v>
      </x:c>
      <x:c r="H54" s="14" t="n">
        <x:v>130</x:v>
      </x:c>
      <x:c r="I54" s="14" t="str">
        <x:v>Retrieved</x:v>
      </x:c>
      <x:c r="J54" s="14" t="str">
        <x:v>Proposed</x:v>
      </x:c>
      <x:c r="K54" s="15" t="str"/>
      <x:c r="L54" s="15" t="str"/>
    </x:row>
    <x:row r="55" ht="58" customHeight="1">
      <x:c r="A55" s="14" t="str">
        <x:v>Health</x:v>
      </x:c>
      <x:c r="B55" s="14" t="str">
        <x:v>Climate change and health: vulnerability and adaptation assessment</x:v>
      </x:c>
      <x:c r="C55" s="14" t="str">
        <x:v>World Health Organization (WHO) / Pan American Health Organization / Health Canada</x:v>
      </x:c>
      <x:c r="D55" s="14" t="n">
        <x:v>2021</x:v>
      </x:c>
      <x:c r="E55" s="14" t="str">
        <x:v>B</x:v>
      </x:c>
      <x:c r="F55" s="14" t="str">
        <x:v>International</x:v>
      </x:c>
      <x:c r="G55" s="14" t="str">
        <x:v>https://iris.who.int/server/api/core/bitstreams/6edda8d7-451e-4edc-b096-c84d76e1355b/content?download=1</x:v>
      </x:c>
      <x:c r="H55" s="14" t="n">
        <x:v>84</x:v>
      </x:c>
      <x:c r="I55" s="14" t="str">
        <x:v>Retrieved</x:v>
      </x:c>
      <x:c r="J55" s="14" t="str">
        <x:v>Proposed</x:v>
      </x:c>
      <x:c r="K55" s="15" t="str"/>
      <x:c r="L55" s="15" t="str"/>
    </x:row>
    <x:row r="56" ht="58" customHeight="1">
      <x:c r="A56" s="14" t="str">
        <x:v>Health</x:v>
      </x:c>
      <x:c r="B56" s="14" t="str">
        <x:v>Documento teórico-metodológico do Setor Estratégico Saúde — Malária, LV, LTA e Arboviroses</x:v>
      </x:c>
      <x:c r="C56" s="14" t="str">
        <x:v>Instituto Nacional de Pesquisas Espaciais (INPE) / AdaptaBrasil MCTI</x:v>
      </x:c>
      <x:c r="D56" s="14" t="n">
        <x:v>2024</x:v>
      </x:c>
      <x:c r="E56" s="14" t="str">
        <x:v>A</x:v>
      </x:c>
      <x:c r="F56" s="14" t="str">
        <x:v>Brazil</x:v>
      </x:c>
      <x:c r="G56" s="14" t="str">
        <x:v>https://www.dropbox.com/scl/fi/rnyse7u9khoo004gdmgfj/Teorico-metodologico_Malaria_LV_LTA_Arboviroses_25_10_2024.pdf?rlkey=csmgsezm6y0mpornvvo6m37fy&amp;dl=1</x:v>
      </x:c>
      <x:c r="H56" s="14" t="n">
        <x:v>17</x:v>
      </x:c>
      <x:c r="I56" s="14" t="str">
        <x:v>Retrieved</x:v>
      </x:c>
      <x:c r="J56" s="14" t="str">
        <x:v>Proposed</x:v>
      </x:c>
      <x:c r="K56" s="15" t="str"/>
      <x:c r="L56" s="15" t="str"/>
    </x:row>
    <x:row r="57" ht="58" customHeight="1">
      <x:c r="A57" s="14" t="str">
        <x:v>Health</x:v>
      </x:c>
      <x:c r="B57" s="14" t="str">
        <x:v>Guidance for Climate Resilient and Environmentally Sustainable Health Care Facilities</x:v>
      </x:c>
      <x:c r="C57" s="14" t="str">
        <x:v>World Health Organization (WHO)</x:v>
      </x:c>
      <x:c r="D57" s="14" t="n">
        <x:v>2020</x:v>
      </x:c>
      <x:c r="E57" s="14" t="str">
        <x:v>B</x:v>
      </x:c>
      <x:c r="F57" s="14" t="str">
        <x:v>International</x:v>
      </x:c>
      <x:c r="G57" s="14" t="str">
        <x:v>https://iris.who.int/server/api/core/bitstreams/f914ca26-bee6-4c17-bf53-36e613f2abbb/content?download=1</x:v>
      </x:c>
      <x:c r="H57" s="14" t="n">
        <x:v>92</x:v>
      </x:c>
      <x:c r="I57" s="14" t="str">
        <x:v>Retrieved</x:v>
      </x:c>
      <x:c r="J57" s="14" t="str">
        <x:v>Proposed</x:v>
      </x:c>
      <x:c r="K57" s="15" t="str"/>
      <x:c r="L57" s="15" t="str"/>
    </x:row>
    <x:row r="58" ht="58" customHeight="1">
      <x:c r="A58" s="14" t="str">
        <x:v>Health</x:v>
      </x:c>
      <x:c r="B58" s="14" t="str">
        <x:v>Operational Framework for Building Climate Resilient Health Systems</x:v>
      </x:c>
      <x:c r="C58" s="14" t="str">
        <x:v>World Health Organization (WHO)</x:v>
      </x:c>
      <x:c r="D58" s="14" t="n">
        <x:v>2015</x:v>
      </x:c>
      <x:c r="E58" s="14" t="str">
        <x:v>B</x:v>
      </x:c>
      <x:c r="F58" s="14" t="str">
        <x:v>International</x:v>
      </x:c>
      <x:c r="G58" s="14" t="str">
        <x:v>https://iris.who.int/server/api/core/bitstreams/63c28858-bafe-4ba0-881a-af0517b7e1bf/content?download=1</x:v>
      </x:c>
      <x:c r="H58" s="14" t="n">
        <x:v>56</x:v>
      </x:c>
      <x:c r="I58" s="14" t="str">
        <x:v>Retrieved</x:v>
      </x:c>
      <x:c r="J58" s="14" t="str">
        <x:v>Proposed</x:v>
      </x:c>
      <x:c r="K58" s="15" t="str"/>
      <x:c r="L58" s="15" t="str"/>
    </x:row>
    <x:row r="59" ht="58" customHeight="1">
      <x:c r="A59" s="14" t="str">
        <x:v>Health</x:v>
      </x:c>
      <x:c r="B59" s="14" t="str">
        <x:v>Plano Clima Adaptação — Plano Setorial de Saúde (AdaptaSUS)</x:v>
      </x:c>
      <x:c r="C59" s="14" t="str">
        <x:v>Ministério da Saúde</x:v>
      </x:c>
      <x:c r="D59" s="14" t="n">
        <x:v>2025</x:v>
      </x:c>
      <x:c r="E59" s="14" t="str">
        <x:v>A</x:v>
      </x:c>
      <x:c r="F59" s="14" t="str">
        <x:v>Brazil</x:v>
      </x:c>
      <x:c r="G59" s="14" t="str">
        <x:v>https://www.gov.br/mma/pt-br/centrais-de-conteudo/publicacoes/mudanca-do-clima/planosetorial-saude.pdf</x:v>
      </x:c>
      <x:c r="H59" s="14" t="n">
        <x:v>103</x:v>
      </x:c>
      <x:c r="I59" s="14" t="str">
        <x:v>Retrieved</x:v>
      </x:c>
      <x:c r="J59" s="14" t="str">
        <x:v>Proposed</x:v>
      </x:c>
      <x:c r="K59" s="15" t="str"/>
      <x:c r="L59" s="15" t="str"/>
    </x:row>
    <x:row r="60" ht="58" customHeight="1">
      <x:c r="A60" s="14" t="str">
        <x:v>Health</x:v>
      </x:c>
      <x:c r="B60" s="14" t="str">
        <x:v>Plano de Ação Nacional de Saúde Ambiental</x:v>
      </x:c>
      <x:c r="C60" s="14" t="str">
        <x:v>Ministério da Saúde</x:v>
      </x:c>
      <x:c r="D60" s="14" t="n">
        <x:v>2021</x:v>
      </x:c>
      <x:c r="E60" s="14" t="str">
        <x:v>A</x:v>
      </x:c>
      <x:c r="F60" s="14" t="str">
        <x:v>Brazil</x:v>
      </x:c>
      <x:c r="G60" s="14" t="str">
        <x:v>https://bvsms.saude.gov.br/bvs/publicacoes/plano_acao_nacional_saude_ambiental.pdf</x:v>
      </x:c>
      <x:c r="H60" s="14" t="str"/>
      <x:c r="I60" s="14" t="str">
        <x:v>Not Checked</x:v>
      </x:c>
      <x:c r="J60" s="14" t="str">
        <x:v>Needs Review</x:v>
      </x:c>
      <x:c r="K60" s="15" t="str"/>
      <x:c r="L60" s="15" t="str"/>
    </x:row>
    <x:row r="61" ht="58" customHeight="1">
      <x:c r="A61" s="14" t="str">
        <x:v>Health</x:v>
      </x:c>
      <x:c r="B61" s="14" t="str">
        <x:v>Plano Nacional de Adaptação à Mudança do Clima — Volume II: Estratégias Setoriais e Temáticas</x:v>
      </x:c>
      <x:c r="C61" s="14" t="str">
        <x:v>Ministério do Meio Ambiente</x:v>
      </x:c>
      <x:c r="D61" s="14" t="n">
        <x:v>2016</x:v>
      </x:c>
      <x:c r="E61" s="14" t="str">
        <x:v>A</x:v>
      </x:c>
      <x:c r="F61" s="14" t="str">
        <x:v>Brazil</x:v>
      </x:c>
      <x:c r="G61" s="14" t="str">
        <x:v>https://www.gov.br/mma/pt-br/assuntos/biodiversidade-e-biomas/biomas-e-ecossistemas/biomas/arquivos-biomas/plano-nacional-de-adaptacao-a-mudanca-do-clima-pna-vol-ii.pdf</x:v>
      </x:c>
      <x:c r="H61" s="14" t="str"/>
      <x:c r="I61" s="14" t="str">
        <x:v>Not Checked</x:v>
      </x:c>
      <x:c r="J61" s="14" t="str">
        <x:v>Needs Review</x:v>
      </x:c>
      <x:c r="K61" s="15" t="str"/>
      <x:c r="L61" s="15" t="str"/>
    </x:row>
    <x:row r="62" ht="58" customHeight="1">
      <x:c r="A62" s="14" t="str">
        <x:v>Health</x:v>
      </x:c>
      <x:c r="B62" s="14" t="str">
        <x:v>Saúde Brasil 2023: análise da situação de saúde com enfoque nas crianças brasileiras</x:v>
      </x:c>
      <x:c r="C62" s="14" t="str">
        <x:v>Ministério da Saúde</x:v>
      </x:c>
      <x:c r="D62" s="14" t="n">
        <x:v>2024</x:v>
      </x:c>
      <x:c r="E62" s="14" t="str">
        <x:v>C</x:v>
      </x:c>
      <x:c r="F62" s="14" t="str">
        <x:v>Brazil</x:v>
      </x:c>
      <x:c r="G62" s="14" t="str">
        <x:v>https://bvsms.saude.gov.br/bvs/publicacoes/saudebrasil_2023_analise_situacao_criancas.pdf</x:v>
      </x:c>
      <x:c r="H62" s="14" t="str"/>
      <x:c r="I62" s="14" t="str">
        <x:v>Not Checked</x:v>
      </x:c>
      <x:c r="J62" s="14" t="str">
        <x:v>Needs Review</x:v>
      </x:c>
      <x:c r="K62" s="15" t="str"/>
      <x:c r="L62" s="15" t="str"/>
    </x:row>
    <x:row r="63" ht="58" customHeight="1">
      <x:c r="A63" s="14" t="str">
        <x:v>Health</x:v>
      </x:c>
      <x:c r="B63" s="14" t="str">
        <x:v>Vigilância em Saúde de Populações Expostas a Eventos Climáticos Extremos</x:v>
      </x:c>
      <x:c r="C63" s="14" t="str">
        <x:v>Ministério da Saúde</x:v>
      </x:c>
      <x:c r="D63" s="14" t="n">
        <x:v>2024</x:v>
      </x:c>
      <x:c r="E63" s="14" t="str">
        <x:v>C</x:v>
      </x:c>
      <x:c r="F63" s="14" t="str">
        <x:v>Brazil</x:v>
      </x:c>
      <x:c r="G63" s="14" t="str">
        <x:v>https://www.gov.br/saude/pt-br/composicao/svsa/vigilancia-em-saude-ambiental</x:v>
      </x:c>
      <x:c r="H63" s="14" t="str"/>
      <x:c r="I63" s="14" t="str">
        <x:v>Not Checked</x:v>
      </x:c>
      <x:c r="J63" s="14" t="str">
        <x:v>Needs Review</x:v>
      </x:c>
      <x:c r="K63" s="15" t="str"/>
      <x:c r="L63" s="15" t="str"/>
    </x:row>
    <x:row r="64" ht="58" customHeight="1">
      <x:c r="A64" s="14" t="str">
        <x:v>Water Resources</x:v>
      </x:c>
      <x:c r="B64" s="14" t="str">
        <x:v>Climate Change 2022: Impacts, Adaptation and Vulnerability — Chapter 4: Water</x:v>
      </x:c>
      <x:c r="C64" s="14" t="str">
        <x:v>Intergovernmental Panel on Climate Change (IPCC)</x:v>
      </x:c>
      <x:c r="D64" s="14" t="n">
        <x:v>2022</x:v>
      </x:c>
      <x:c r="E64" s="14" t="str">
        <x:v>A</x:v>
      </x:c>
      <x:c r="F64" s="14" t="str">
        <x:v>International</x:v>
      </x:c>
      <x:c r="G64" s="14" t="str">
        <x:v>https://www.ipcc.ch/report/ar6/wg2/downloads/report/IPCC_AR6_WGII_Chapter04.pdf</x:v>
      </x:c>
      <x:c r="H64" s="14" t="n">
        <x:v>162</x:v>
      </x:c>
      <x:c r="I64" s="14" t="str">
        <x:v>Retrieved</x:v>
      </x:c>
      <x:c r="J64" s="14" t="str">
        <x:v>Accepted</x:v>
      </x:c>
      <x:c r="K64" s="15" t="str"/>
      <x:c r="L64" s="15" t="str"/>
    </x:row>
    <x:row r="65" ht="58" customHeight="1">
      <x:c r="A65" s="14" t="str">
        <x:v>Water Resources</x:v>
      </x:c>
      <x:c r="B65" s="14" t="str">
        <x:v>Flowing Forward: Freshwater Ecosystem Adaptation to Climate Change in Water Resources Management and Biodiversity Conservation</x:v>
      </x:c>
      <x:c r="C65" s="14" t="str">
        <x:v>World Bank / World Wildlife Fund (WWF)</x:v>
      </x:c>
      <x:c r="D65" s="14" t="n">
        <x:v>2010</x:v>
      </x:c>
      <x:c r="E65" s="14" t="str">
        <x:v>B</x:v>
      </x:c>
      <x:c r="F65" s="14" t="str">
        <x:v>International</x:v>
      </x:c>
      <x:c r="G65" s="14" t="str">
        <x:v>https://awsassets.panda.org/downloads/flowing_forward_freshwater_ecosystem_adaptation_to_climate_change.pdf</x:v>
      </x:c>
      <x:c r="H65" s="14" t="n">
        <x:v>77</x:v>
      </x:c>
      <x:c r="I65" s="14" t="str">
        <x:v>Retrieved</x:v>
      </x:c>
      <x:c r="J65" s="14" t="str">
        <x:v>Accepted</x:v>
      </x:c>
      <x:c r="K65" s="15" t="str"/>
      <x:c r="L65" s="15" t="str"/>
    </x:row>
    <x:row r="66" ht="58" customHeight="1">
      <x:c r="A66" s="14" t="str">
        <x:v>Water Resources</x:v>
      </x:c>
      <x:c r="B66" s="14" t="str">
        <x:v>Guidance on Water and Adaptation to Climate Change</x:v>
      </x:c>
      <x:c r="C66" s="14" t="str">
        <x:v>United Nations Economic Commission for Europe (UNECE)</x:v>
      </x:c>
      <x:c r="D66" s="14" t="n">
        <x:v>2009</x:v>
      </x:c>
      <x:c r="E66" s="14" t="str">
        <x:v>B</x:v>
      </x:c>
      <x:c r="F66" s="14" t="str">
        <x:v>International</x:v>
      </x:c>
      <x:c r="G66" s="14" t="str">
        <x:v>https://digitallibrary.un.org/record/670358/files/Guidance_water_climate.pdf</x:v>
      </x:c>
      <x:c r="H66" s="14" t="n">
        <x:v>144</x:v>
      </x:c>
      <x:c r="I66" s="14" t="str">
        <x:v>Retrieved</x:v>
      </x:c>
      <x:c r="J66" s="14" t="str">
        <x:v>Accepted</x:v>
      </x:c>
      <x:c r="K66" s="15" t="str"/>
      <x:c r="L66" s="15" t="str"/>
    </x:row>
    <x:row r="67" ht="58" customHeight="1">
      <x:c r="A67" s="14" t="str">
        <x:v>Water Resources</x:v>
      </x:c>
      <x:c r="B67" s="14" t="str">
        <x:v>Plano Clima Adaptação — Plano Temático de Recursos Hídricos</x:v>
      </x:c>
      <x:c r="C67" s="14" t="str">
        <x:v>Ministério do Meio Ambiente e Mudança do Clima (MMA) / Agência Nacional de Águas e Saneamento Básico (ANA)</x:v>
      </x:c>
      <x:c r="D67" s="14" t="n">
        <x:v>2025</x:v>
      </x:c>
      <x:c r="E67" s="14" t="str">
        <x:v>A</x:v>
      </x:c>
      <x:c r="F67" s="14" t="str">
        <x:v>Brazil</x:v>
      </x:c>
      <x:c r="G67" s="14" t="str">
        <x:v>https://www.gov.br/mma/pt-br/centrais-de-conteudo/publicacoes/mudanca-do-clima/planotematico-recursos-hidricos.pdf</x:v>
      </x:c>
      <x:c r="H67" s="14" t="n">
        <x:v>99</x:v>
      </x:c>
      <x:c r="I67" s="14" t="str">
        <x:v>Retrieved</x:v>
      </x:c>
      <x:c r="J67" s="14" t="str">
        <x:v>Proposed</x:v>
      </x:c>
      <x:c r="K67" s="15" t="str"/>
      <x:c r="L67" s="15" t="str"/>
    </x:row>
    <x:row r="68" ht="58" customHeight="1">
      <x:c r="A68" s="14" t="str">
        <x:v>Water Resources</x:v>
      </x:c>
      <x:c r="B68" s="14" t="str">
        <x:v>Plano Nacional de Saneamento Básico (PLANSAB) – Revisão 2019</x:v>
      </x:c>
      <x:c r="C68" s="14" t="str">
        <x:v>Ministério do Desenvolvimento Regional</x:v>
      </x:c>
      <x:c r="D68" s="14" t="n">
        <x:v>2020</x:v>
      </x:c>
      <x:c r="E68" s="14" t="str">
        <x:v>A</x:v>
      </x:c>
      <x:c r="F68" s="14" t="str">
        <x:v>Brazil</x:v>
      </x:c>
      <x:c r="G68" s="14" t="str">
        <x:v>https://www.gov.br/cidades/pt-br/acesso-a-informacao/acoes-e-programas/saneamento/plano-nacional-de-saneamento-basico-plansab/revisao-2019/revisao-2019</x:v>
      </x:c>
      <x:c r="H68" s="14" t="str"/>
      <x:c r="I68" s="14" t="str">
        <x:v>Not Checked</x:v>
      </x:c>
      <x:c r="J68" s="14" t="str">
        <x:v>Needs Review</x:v>
      </x:c>
      <x:c r="K68" s="15" t="str"/>
      <x:c r="L68" s="15" t="str"/>
    </x:row>
    <x:row r="69" ht="58" customHeight="1">
      <x:c r="A69" s="14" t="str">
        <x:v>Water Resources</x:v>
      </x:c>
      <x:c r="B69" s="14" t="str">
        <x:v>Plano Nacional de Segurança Hídrica</x:v>
      </x:c>
      <x:c r="C69" s="14" t="str">
        <x:v>Agência Nacional de Águas (ANA) / Ministério do Desenvolvimento Regional</x:v>
      </x:c>
      <x:c r="D69" s="14" t="n">
        <x:v>2019</x:v>
      </x:c>
      <x:c r="E69" s="14" t="str">
        <x:v>A</x:v>
      </x:c>
      <x:c r="F69" s="14" t="str">
        <x:v>Brazil</x:v>
      </x:c>
      <x:c r="G69" s="14" t="str">
        <x:v>https://arquivos.ana.gov.br/pnsh/pnsh.pdf</x:v>
      </x:c>
      <x:c r="H69" s="14" t="n">
        <x:v>116</x:v>
      </x:c>
      <x:c r="I69" s="14" t="str">
        <x:v>Retrieved</x:v>
      </x:c>
      <x:c r="J69" s="14" t="str">
        <x:v>Accepted</x:v>
      </x:c>
      <x:c r="K69" s="15" t="str"/>
      <x:c r="L69" s="15" t="str"/>
    </x:row>
    <x:row r="70" ht="58" customHeight="1">
      <x:c r="A70" s="14" t="str">
        <x:v>Water Resources</x:v>
      </x:c>
      <x:c r="B70" s="14" t="str">
        <x:v>Programa Produtor de Água: Resultados e Perspectivas</x:v>
      </x:c>
      <x:c r="C70" s="14" t="str">
        <x:v>Agência Nacional de Águas e Saneamento Básico (ANA)</x:v>
      </x:c>
      <x:c r="D70" s="14" t="n">
        <x:v>2026</x:v>
      </x:c>
      <x:c r="E70" s="14" t="str">
        <x:v>C</x:v>
      </x:c>
      <x:c r="F70" s="14" t="str">
        <x:v>Brazil</x:v>
      </x:c>
      <x:c r="G70" s="14" t="str">
        <x:v>https://www.gov.br/ana/pt-br/acesso-a-informacao/acoes-e-programas/programa-produtor-de-agua/manuais-e-capacitacao/Programa_produtor_agua_digitalparaLANCAMENTO.pdf</x:v>
      </x:c>
      <x:c r="H70" s="14" t="n">
        <x:v>125</x:v>
      </x:c>
      <x:c r="I70" s="14" t="str">
        <x:v>Retrieved</x:v>
      </x:c>
      <x:c r="J70" s="14" t="str">
        <x:v>Accepted</x:v>
      </x:c>
      <x:c r="K70" s="15" t="str"/>
      <x:c r="L70" s="15" t="str"/>
    </x:row>
    <x:row r="71" ht="58" customHeight="1">
      <x:c r="A71" s="14" t="str">
        <x:v>Water Resources</x:v>
      </x:c>
      <x:c r="B71" s="14" t="str">
        <x:v>Teórico-metodológico para avaliação do risco de impacto das mudanças climáticas em Setores Estratégicos — Recursos Hídricos</x:v>
      </x:c>
      <x:c r="C71" s="14" t="str">
        <x:v>Instituto Nacional de Pesquisas Espaciais (INPE)</x:v>
      </x:c>
      <x:c r="D71" s="14" t="n">
        <x:v>2025</x:v>
      </x:c>
      <x:c r="E71" s="14" t="str">
        <x:v>A</x:v>
      </x:c>
      <x:c r="F71" s="14" t="str">
        <x:v>Brazil</x:v>
      </x:c>
      <x:c r="G71" s="14" t="str">
        <x:v>https://www.dropbox.com/scl/fi/iln5nsaomw5iaxnrarjam/Te-rico-metodol-gico_Recursos_Hidricos_2.0_19_08_2025.pdf?rlkey=c92kudj42qafe1xxyojskd1ui&amp;dl=1</x:v>
      </x:c>
      <x:c r="H71" s="14" t="n">
        <x:v>70</x:v>
      </x:c>
      <x:c r="I71" s="14" t="str">
        <x:v>Retrieved</x:v>
      </x:c>
      <x:c r="J71" s="14" t="str">
        <x:v>Accepted</x:v>
      </x:c>
      <x:c r="K71" s="15" t="str"/>
      <x:c r="L71" s="15" t="str"/>
    </x:row>
    <x:row r="72" ht="58" customHeight="1">
      <x:c r="A72" s="14" t="str">
        <x:v>Water Resources</x:v>
      </x:c>
      <x:c r="B72" s="14" t="str">
        <x:v>Under Pressure: Effects, Impacts, and Adaptation to Climate Change in Latin American and Caribbean Water Operators</x:v>
      </x:c>
      <x:c r="C72" s="14" t="str">
        <x:v>Inter-American Development Bank (IDB)</x:v>
      </x:c>
      <x:c r="D72" s="14" t="n">
        <x:v>2023</x:v>
      </x:c>
      <x:c r="E72" s="14" t="str">
        <x:v>B</x:v>
      </x:c>
      <x:c r="F72" s="14" t="str">
        <x:v>International</x:v>
      </x:c>
      <x:c r="G72" s="14" t="str">
        <x:v>https://publications.iadb.org/publications/english/document/Under-Pressure-Effects-Impacts-and-Adaptation-to-Climate-change-in-Latin-American-and-Caribbean-Water-Operators.pdf</x:v>
      </x:c>
      <x:c r="H72" s="14" t="str"/>
      <x:c r="I72" s="14" t="str">
        <x:v>Unreachable</x:v>
      </x:c>
      <x:c r="J72" s="14" t="str">
        <x:v>Needs Review</x:v>
      </x:c>
      <x:c r="K72" s="15" t="str"/>
      <x:c r="L72" s="15" t="str"/>
    </x:row>
    <x:row r="73" ht="58" customHeight="1">
      <x:c r="A73" s="14" t="str">
        <x:v>Water Resources</x:v>
      </x:c>
      <x:c r="B73" s="14" t="str">
        <x:v>Water and Climate Change Adaptation in Transboundary Basins: Lessons Learned and Good Practices</x:v>
      </x:c>
      <x:c r="C73" s="14" t="str">
        <x:v>UNECE / International Network of Basin Organizations</x:v>
      </x:c>
      <x:c r="D73" s="14" t="n">
        <x:v>2015</x:v>
      </x:c>
      <x:c r="E73" s="14" t="str">
        <x:v>B</x:v>
      </x:c>
      <x:c r="F73" s="14" t="str">
        <x:v>International</x:v>
      </x:c>
      <x:c r="G73" s="14" t="str">
        <x:v>https://unece.org/info/publications/pub/21743</x:v>
      </x:c>
      <x:c r="H73" s="14" t="n">
        <x:v>128</x:v>
      </x:c>
      <x:c r="I73" s="14" t="str">
        <x:v>Retrieved</x:v>
      </x:c>
      <x:c r="J73" s="14" t="str">
        <x:v>Accepted</x:v>
      </x:c>
      <x:c r="K73" s="15" t="str"/>
      <x:c r="L73" s="15" t="str"/>
    </x:row>
    <x:row r="74" ht="58" customHeight="1">
      <x:c r="A74" s="14" t="str">
        <x:v>Water Resources</x:v>
      </x:c>
      <x:c r="B74" s="14" t="str">
        <x:v>Water Security and Climate Change: Insights from Country Climate and Development Reports</x:v>
      </x:c>
      <x:c r="C74" s="14" t="str">
        <x:v>World Bank</x:v>
      </x:c>
      <x:c r="D74" s="14" t="n">
        <x:v>2024</x:v>
      </x:c>
      <x:c r="E74" s="14" t="str">
        <x:v>B</x:v>
      </x:c>
      <x:c r="F74" s="14" t="str">
        <x:v>International</x:v>
      </x:c>
      <x:c r="G74" s="14" t="str">
        <x:v>https://documents1.worldbank.org/curated/en/099124511122431814/pdf/IDU1fa8a4c3a1fd8c14810194851fb785b73d02d.pdf</x:v>
      </x:c>
      <x:c r="H74" s="14" t="n">
        <x:v>20</x:v>
      </x:c>
      <x:c r="I74" s="14" t="str">
        <x:v>Retrieved</x:v>
      </x:c>
      <x:c r="J74" s="14" t="str">
        <x:v>Accepted</x:v>
      </x:c>
      <x:c r="K74" s="15" t="str"/>
      <x:c r="L74" s="15" t="str"/>
    </x:row>
  </x:sheetData>
  <x:mergeCells>
    <x:mergeCell ref="A1:L1"/>
    <x:mergeCell ref="A2:L2"/>
  </x:mergeCells>
  <x:dataValidations count="1">
    <x:dataValidation type="list" sqref="K5:K74">
      <x:formula1>"Accept,Needs change,Discuss"</x:formula1>
    </x:dataValidation>
  </x:dataValidations>
  <x:pageMargins left="0.7" right="0.7" top="0.75" bottom="0.75" header="0.3" footer="0.3"/>
  <x:tableParts count="1">
    <x:tablePart xmlns:r="http://schemas.openxmlformats.org/officeDocument/2006/relationships" r:id="R900a94d5ee1d46d1"/>
  </x:tableParts>
</x:worksheet>
</file>